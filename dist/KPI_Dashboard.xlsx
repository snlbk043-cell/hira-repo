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I Dashboard" sheetId="1" state="visible" r:id="rId1"/>
    <sheet name="KPI Data Entry" sheetId="2" state="visible" r:id="rId2"/>
    <sheet name="Master Dropdown" sheetId="3" state="visible" r:id="rId3"/>
    <sheet name="Action Tracker" sheetId="4" state="visible" r:id="rId4"/>
    <sheet name="Action Dashboard" sheetId="5" state="visible" r:id="rId5"/>
    <sheet name="Review Log" sheetId="6" state="visible" r:id="rId6"/>
    <sheet name="Tracker Dropdown Master" sheetId="7" state="visible" r:id="rId7"/>
  </sheets>
  <definedNames>
    <definedName name="DeptList">'Master Dropdown'!$H$3:$H$10</definedName>
    <definedName name="TrackerDeptList">'Tracker Dropdown Master'!$A$3:$A$10</definedName>
    <definedName name="OwnerList">'Tracker Dropdown Master'!$B$3:$B$10</definedName>
    <definedName name="ActionStatusList">'Tracker Dropdown Master'!$C$3:$C$5</definedName>
    <definedName name="PriorityList">'Tracker Dropdown Master'!$D$3:$D$5</definedName>
    <definedName name="_xlnm.Print_Area" localSheetId="0">'KPI Dashboard'!$A$1:$U$69</definedName>
    <definedName name="_xlnm.Print_Area" localSheetId="4">'Action Dashboard'!$A$1:$U$42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0.0%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2"/>
    </font>
    <font>
      <name val="Segoe UI"/>
      <b val="1"/>
      <color rgb="00FFFFFF"/>
      <sz val="10.5"/>
    </font>
    <font>
      <name val="Segoe UI"/>
      <color rgb="001B1F27"/>
      <sz val="10"/>
    </font>
    <font>
      <name val="Segoe UI"/>
      <b val="1"/>
      <color rgb="001B1F27"/>
      <sz val="10"/>
    </font>
    <font>
      <name val="Segoe UI"/>
      <b val="1"/>
      <color rgb="00FFFFFF"/>
      <sz val="20"/>
    </font>
    <font>
      <name val="Segoe UI"/>
      <color rgb="00C7D1E0"/>
      <sz val="10.5"/>
    </font>
    <font>
      <name val="Segoe UI"/>
      <b val="1"/>
      <color rgb="002E75B6"/>
      <sz val="10"/>
    </font>
    <font>
      <name val="Segoe UI"/>
      <b val="1"/>
      <color rgb="00C7D1E0"/>
      <sz val="9"/>
    </font>
    <font>
      <name val="Segoe UI"/>
      <b val="1"/>
      <color rgb="00FFFFFF"/>
      <sz val="18"/>
    </font>
    <font>
      <name val="Segoe UI"/>
      <b val="1"/>
      <color rgb="008A93A6"/>
      <sz val="9"/>
    </font>
    <font>
      <name val="Segoe UI"/>
      <color rgb="008A93A6"/>
      <sz val="9"/>
    </font>
  </fonts>
  <fills count="7">
    <fill>
      <patternFill/>
    </fill>
    <fill>
      <patternFill patternType="gray125"/>
    </fill>
    <fill>
      <patternFill patternType="solid">
        <fgColor rgb="00141B2D"/>
      </patternFill>
    </fill>
    <fill>
      <patternFill patternType="solid">
        <fgColor rgb="001F2A44"/>
      </patternFill>
    </fill>
    <fill>
      <patternFill patternType="solid">
        <fgColor rgb="00F2F3F5"/>
      </patternFill>
    </fill>
    <fill>
      <patternFill patternType="solid">
        <fgColor rgb="00FFFFFF"/>
      </patternFill>
    </fill>
    <fill>
      <patternFill patternType="solid">
        <fgColor rgb="003A5A7D"/>
      </patternFill>
    </fill>
  </fills>
  <borders count="2">
    <border>
      <left/>
      <right/>
      <top/>
      <bottom/>
      <diagonal/>
    </border>
    <border>
      <left style="thin">
        <color rgb="00D9DCE1"/>
      </left>
      <right style="thin">
        <color rgb="00D9DCE1"/>
      </right>
      <top style="thin">
        <color rgb="00D9DCE1"/>
      </top>
      <bottom style="thin">
        <color rgb="00D9DC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left" vertical="center"/>
    </xf>
    <xf numFmtId="0" fontId="4" fillId="0" borderId="0" pivotButton="0" quotePrefix="0" xfId="0"/>
    <xf numFmtId="0" fontId="7" fillId="5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5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66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9" fontId="3" fillId="0" borderId="1" applyAlignment="1" pivotButton="0" quotePrefix="0" xfId="0">
      <alignment horizontal="center" vertical="center" wrapText="1"/>
    </xf>
    <xf numFmtId="9" fontId="3" fillId="4" borderId="1" applyAlignment="1" pivotButton="0" quotePrefix="0" xfId="0">
      <alignment horizontal="center" vertical="center" wrapText="1"/>
    </xf>
    <xf numFmtId="0" fontId="3" fillId="0" borderId="1" pivotButton="0" quotePrefix="0" xfId="0"/>
    <xf numFmtId="9" fontId="3" fillId="0" borderId="1" pivotButton="0" quotePrefix="0" xfId="0"/>
    <xf numFmtId="165" fontId="3" fillId="0" borderId="1" pivotButton="0" quotePrefix="0" xfId="0"/>
    <xf numFmtId="0" fontId="1" fillId="6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8" fillId="3" borderId="0" applyAlignment="1" pivotButton="0" quotePrefix="0" xfId="0">
      <alignment horizontal="center" vertical="center" wrapText="1"/>
    </xf>
    <xf numFmtId="166" fontId="9" fillId="3" borderId="0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center" vertical="center" wrapText="1"/>
    </xf>
    <xf numFmtId="2" fontId="3" fillId="4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0" pivotButton="0" quotePrefix="0" xfId="0"/>
    <xf numFmtId="9" fontId="11" fillId="0" borderId="0" pivotButton="0" quotePrefix="0" xfId="0"/>
    <xf numFmtId="0" fontId="9" fillId="3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11">
    <dxf>
      <font>
        <b val="1"/>
        <color rgb="002E7D32"/>
      </font>
      <fill>
        <patternFill patternType="solid">
          <fgColor rgb="00C6EFCE"/>
        </patternFill>
      </fill>
    </dxf>
    <dxf>
      <font>
        <b val="1"/>
        <color rgb="00B7791F"/>
      </font>
      <fill>
        <patternFill patternType="solid">
          <fgColor rgb="00FFEB9C"/>
        </patternFill>
      </fill>
    </dxf>
    <dxf>
      <font>
        <b val="1"/>
        <color rgb="00C0392B"/>
      </font>
      <fill>
        <patternFill patternType="solid">
          <fgColor rgb="00FFC7CE"/>
        </patternFill>
      </fill>
    </dxf>
    <dxf>
      <font>
        <b val="1"/>
        <color rgb="002E75B6"/>
      </font>
    </dxf>
    <dxf>
      <font>
        <b val="1"/>
        <color rgb="003A5A7D"/>
      </font>
    </dxf>
    <dxf>
      <font>
        <b val="1"/>
        <color rgb="001F2A44"/>
      </font>
    </dxf>
    <dxf>
      <font>
        <name val="Segoe UI"/>
        <b val="1"/>
        <color rgb="007BD88F"/>
        <sz val="18"/>
      </font>
    </dxf>
    <dxf>
      <font>
        <name val="Segoe UI"/>
        <b val="1"/>
        <color rgb="00FFD966"/>
        <sz val="18"/>
      </font>
    </dxf>
    <dxf>
      <font>
        <name val="Segoe UI"/>
        <b val="1"/>
        <color rgb="00FF8A80"/>
        <sz val="18"/>
      </font>
    </dxf>
    <dxf>
      <fill>
        <patternFill patternType="solid">
          <fgColor rgb="00D6F5DD"/>
        </patternFill>
      </fill>
    </dxf>
    <dxf>
      <fill>
        <patternFill patternType="solid">
          <fgColor rgb="00FBE0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Department-wise Achievement 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'KPI Dashboard'!E24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'KPI Dashboard'!$A$25:$A$32</f>
            </numRef>
          </cat>
          <val>
            <numRef>
              <f>'KPI Dashboard'!$E$25:$E$32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Trend — Overall Achievement 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'KPI Dashboard'!B35</f>
            </strRef>
          </tx>
          <spPr>
            <a:solidFill>
              <a:srgbClr val="16A085"/>
            </a:solidFill>
            <a:ln>
              <a:prstDash val="solid"/>
            </a:ln>
          </spPr>
          <cat>
            <numRef>
              <f>'KPI Dashboard'!$A$36:$A$42</f>
            </numRef>
          </cat>
          <val>
            <numRef>
              <f>'KPI Dashboard'!$B$36:$B$42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KPI Status Distribution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spPr>
              <a:solidFill>
                <a:srgbClr val="B7791F"/>
              </a:solidFill>
              <a:ln>
                <a:prstDash val="solid"/>
              </a:ln>
            </spPr>
          </dPt>
          <dPt>
            <idx val="2"/>
            <spPr>
              <a:solidFill>
                <a:srgbClr val="C0392B"/>
              </a:solidFill>
              <a:ln>
                <a:prstDash val="solid"/>
              </a:ln>
            </spPr>
          </dPt>
          <cat>
            <numRef>
              <f>'KPI Dashboard'!$A$45:$A$47</f>
            </numRef>
          </cat>
          <val>
            <numRef>
              <f>'KPI Dashboard'!$B$45:$B$47</f>
            </numRef>
          </val>
        </ser>
        <dLbls>
          <showVal val="1"/>
        </dLbls>
        <firstSliceAng val="0"/>
        <holeSize val="55"/>
      </doughnut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Department-wise Open Actions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'Action Dashboard'!B12</f>
            </strRef>
          </tx>
          <spPr>
            <a:solidFill>
              <a:srgbClr val="C0392B"/>
            </a:solidFill>
            <a:ln>
              <a:prstDash val="solid"/>
            </a:ln>
          </spPr>
          <cat>
            <numRef>
              <f>'Action Dashboard'!$A$13:$A$20</f>
            </numRef>
          </cat>
          <val>
            <numRef>
              <f>'Action Dashboard'!$B$13:$B$20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Overdue Actions by Department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'Action Dashboard'!E12</f>
            </strRef>
          </tx>
          <spPr>
            <a:solidFill>
              <a:srgbClr val="3A5A7D"/>
            </a:solidFill>
            <a:ln>
              <a:prstDash val="solid"/>
            </a:ln>
          </spPr>
          <cat>
            <numRef>
              <f>'Action Dashboard'!$A$13:$A$20</f>
            </numRef>
          </cat>
          <val>
            <numRef>
              <f>'Action Dashboard'!$E$13:$E$20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Action Status Distribution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B7791F"/>
              </a:solidFill>
              <a:ln>
                <a:prstDash val="solid"/>
              </a:ln>
            </spPr>
          </dPt>
          <dPt>
            <idx val="2"/>
            <spPr>
              <a:solidFill>
                <a:srgbClr val="2E7D32"/>
              </a:solidFill>
              <a:ln>
                <a:prstDash val="solid"/>
              </a:ln>
            </spPr>
          </dPt>
          <cat>
            <numRef>
              <f>'Action Dashboard'!$V$24:$V$26</f>
            </numRef>
          </cat>
          <val>
            <numRef>
              <f>'Action Dashboard'!$W$24:$W$26</f>
            </numRef>
          </val>
        </ser>
        <dLbls>
          <showVal val="1"/>
        </dLbls>
        <firstSliceAng val="0"/>
        <holeSize val="55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Relationship Type="http://schemas.openxmlformats.org/officeDocument/2006/relationships/chart" Target="/xl/charts/chart6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49</row>
      <rowOff>0</rowOff>
    </from>
    <ext cx="37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49</row>
      <rowOff>0</rowOff>
    </from>
    <ext cx="37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49</row>
      <rowOff>0</rowOff>
    </from>
    <ext cx="37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37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22</row>
      <rowOff>0</rowOff>
    </from>
    <ext cx="37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22</row>
      <rowOff>0</rowOff>
    </from>
    <ext cx="37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Entry" displayName="Tbl_Entry" ref="A2:J402" headerRowCount="1">
  <autoFilter ref="A2:J402"/>
  <tableColumns count="10">
    <tableColumn id="1" name="Date"/>
    <tableColumn id="2" name="Month"/>
    <tableColumn id="3" name="Week"/>
    <tableColumn id="4" name="Department"/>
    <tableColumn id="5" name="KPI Name"/>
    <tableColumn id="6" name="Target"/>
    <tableColumn id="7" name="Actual"/>
    <tableColumn id="8" name="Achievement %"/>
    <tableColumn id="9" name="Status"/>
    <tableColumn id="10" name="Remarks"/>
  </tableColumns>
  <tableStyleInfo name="TableStyleMedium2" showRowStripes="1"/>
</table>
</file>

<file path=xl/tables/table2.xml><?xml version="1.0" encoding="utf-8"?>
<table xmlns="http://schemas.openxmlformats.org/spreadsheetml/2006/main" id="2" name="Tbl_KPIMaster" displayName="Tbl_KPIMaster" ref="A2:F10" headerRowCount="1">
  <autoFilter ref="A2:F10"/>
  <tableColumns count="6">
    <tableColumn id="1" name="Department"/>
    <tableColumn id="2" name="KPI Name"/>
    <tableColumn id="3" name="Unit"/>
    <tableColumn id="4" name="Target"/>
    <tableColumn id="5" name="Direction"/>
    <tableColumn id="6" name="Owner"/>
  </tableColumns>
  <tableStyleInfo name="TableStyleMedium2" showRowStripes="1"/>
</table>
</file>

<file path=xl/tables/table3.xml><?xml version="1.0" encoding="utf-8"?>
<table xmlns="http://schemas.openxmlformats.org/spreadsheetml/2006/main" id="3" name="Tbl_ActionTracker" displayName="Tbl_ActionTracker" ref="A2:L46" headerRowCount="1">
  <autoFilter ref="A2:L46"/>
  <tableColumns count="12">
    <tableColumn id="1" name="Action ID"/>
    <tableColumn id="2" name="Date Raised"/>
    <tableColumn id="3" name="Department"/>
    <tableColumn id="4" name="Issue"/>
    <tableColumn id="5" name="Action"/>
    <tableColumn id="6" name="Owner"/>
    <tableColumn id="7" name="Due Date"/>
    <tableColumn id="8" name="Status"/>
    <tableColumn id="9" name="Priority"/>
    <tableColumn id="10" name="Completion %"/>
    <tableColumn id="11" name="Remarks"/>
    <tableColumn id="12" name="Overdue?"/>
  </tableColumns>
  <tableStyleInfo name="TableStyleMedium2" showRowStripes="1"/>
</table>
</file>

<file path=xl/tables/table4.xml><?xml version="1.0" encoding="utf-8"?>
<table xmlns="http://schemas.openxmlformats.org/spreadsheetml/2006/main" id="4" name="Tbl_ReviewLog" displayName="Tbl_ReviewLog" ref="A2:G37" headerRowCount="1">
  <autoFilter ref="A2:G37"/>
  <tableColumns count="7">
    <tableColumn id="1" name="Date"/>
    <tableColumn id="2" name="Review Type"/>
    <tableColumn id="3" name="Department"/>
    <tableColumn id="4" name="Reviewed By"/>
    <tableColumn id="5" name="Key Discussion Points"/>
    <tableColumn id="6" name="Action Points Raised"/>
    <tableColumn id="7" name="Statu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49"/>
  <sheetViews>
    <sheetView showGridLines="0" tabSelected="1" zoomScale="90" workbookViewId="0">
      <selection activeCell="A1" sqref="A1"/>
    </sheetView>
  </sheetViews>
  <sheetFormatPr baseColWidth="8" defaultRowHeight="15" outlineLevelCol="0"/>
  <cols>
    <col width="14" customWidth="1" min="1" max="1"/>
    <col width="22" customWidth="1" min="2" max="2"/>
    <col width="10" customWidth="1" min="3" max="3"/>
    <col width="12" customWidth="1" min="4" max="4"/>
    <col width="13" customWidth="1" min="5" max="5"/>
    <col width="10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</cols>
  <sheetData>
    <row r="1" ht="34" customHeight="1">
      <c r="A1" s="1" t="inlineStr">
        <is>
          <t xml:space="preserve">  KPI DASHBOARD</t>
        </is>
      </c>
    </row>
    <row r="2" ht="14" customHeight="1"/>
    <row r="3" ht="20" customHeight="1">
      <c r="A3" s="2">
        <f>"  Department-wise performance   |   "&amp;TEXT(TODAY(),"dddd, dd-mmm-yyyy")&amp;"   |   updates automatically from KPI Data Entry"</f>
        <v/>
      </c>
    </row>
    <row r="5">
      <c r="A5" s="3" t="inlineStr">
        <is>
          <t>Filter — Month:</t>
        </is>
      </c>
      <c r="B5" s="4" t="inlineStr">
        <is>
          <t>All</t>
        </is>
      </c>
    </row>
    <row r="7" ht="20" customHeight="1">
      <c r="A7" s="20" t="inlineStr">
        <is>
          <t>KPI SCORECARDS (Achievement %)</t>
        </is>
      </c>
    </row>
    <row r="8" ht="14" customHeight="1">
      <c r="A8" s="21" t="n"/>
      <c r="B8" s="21" t="n"/>
      <c r="C8" s="21" t="n"/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</row>
    <row r="9" ht="14" customHeight="1">
      <c r="A9" s="22" t="inlineStr">
        <is>
          <t>OVERALL PLANT</t>
        </is>
      </c>
      <c r="G9" s="22" t="inlineStr">
        <is>
          <t>SAFETY</t>
        </is>
      </c>
      <c r="M9" s="22" t="inlineStr">
        <is>
          <t>PRODUCTION</t>
        </is>
      </c>
    </row>
    <row r="10" ht="14" customHeight="1">
      <c r="A10" s="23">
        <f>IFERROR(AVERAGEIFS(Tbl_Entry[Achievement %],Tbl_Entry[Month],IF($B$5="All","*",$B$5)),0)</f>
        <v/>
      </c>
      <c r="G10" s="23">
        <f>IFERROR(AVERAGEIFS(Tbl_Entry[Achievement %],Tbl_Entry[Department],"Safety",Tbl_Entry[Month],IF($B$5="All","*",$B$5)),0)</f>
        <v/>
      </c>
      <c r="M10" s="23">
        <f>IFERROR(AVERAGEIFS(Tbl_Entry[Achievement %],Tbl_Entry[Department],"Production",Tbl_Entry[Month],IF($B$5="All","*",$B$5)),0)</f>
        <v/>
      </c>
    </row>
    <row r="11" ht="14" customHeight="1">
      <c r="A11" s="21" t="n"/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</row>
    <row r="13" ht="14" customHeight="1">
      <c r="A13" s="21" t="n"/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</row>
    <row r="14" ht="14" customHeight="1">
      <c r="A14" s="22" t="inlineStr">
        <is>
          <t>QUALITY</t>
        </is>
      </c>
      <c r="G14" s="22" t="inlineStr">
        <is>
          <t>MAINTENANCE</t>
        </is>
      </c>
      <c r="M14" s="22" t="inlineStr">
        <is>
          <t>UTILITIES</t>
        </is>
      </c>
    </row>
    <row r="15" ht="14" customHeight="1">
      <c r="A15" s="23">
        <f>IFERROR(AVERAGEIFS(Tbl_Entry[Achievement %],Tbl_Entry[Department],"Quality",Tbl_Entry[Month],IF($B$5="All","*",$B$5)),0)</f>
        <v/>
      </c>
      <c r="G15" s="23">
        <f>IFERROR(AVERAGEIFS(Tbl_Entry[Achievement %],Tbl_Entry[Department],"Maintenance",Tbl_Entry[Month],IF($B$5="All","*",$B$5)),0)</f>
        <v/>
      </c>
      <c r="M15" s="23">
        <f>IFERROR(AVERAGEIFS(Tbl_Entry[Achievement %],Tbl_Entry[Department],"Utilities",Tbl_Entry[Month],IF($B$5="All","*",$B$5)),0)</f>
        <v/>
      </c>
    </row>
    <row r="16" ht="14" customHeight="1">
      <c r="A16" s="21" t="n"/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</row>
    <row r="18" ht="14" customHeight="1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</row>
    <row r="19" ht="14" customHeight="1">
      <c r="A19" s="22" t="inlineStr">
        <is>
          <t>WAREHOUSE</t>
        </is>
      </c>
      <c r="G19" s="22" t="inlineStr">
        <is>
          <t>HR</t>
        </is>
      </c>
      <c r="M19" s="22" t="inlineStr">
        <is>
          <t>ENGINEERING</t>
        </is>
      </c>
    </row>
    <row r="20" ht="14" customHeight="1">
      <c r="A20" s="23">
        <f>IFERROR(AVERAGEIFS(Tbl_Entry[Achievement %],Tbl_Entry[Department],"Warehouse",Tbl_Entry[Month],IF($B$5="All","*",$B$5)),0)</f>
        <v/>
      </c>
      <c r="G20" s="23">
        <f>IFERROR(AVERAGEIFS(Tbl_Entry[Achievement %],Tbl_Entry[Department],"HR",Tbl_Entry[Month],IF($B$5="All","*",$B$5)),0)</f>
        <v/>
      </c>
      <c r="M20" s="23">
        <f>IFERROR(AVERAGEIFS(Tbl_Entry[Achievement %],Tbl_Entry[Department],"Engineering",Tbl_Entry[Month],IF($B$5="All","*",$B$5)),0)</f>
        <v/>
      </c>
    </row>
    <row r="21" ht="14" customHeight="1">
      <c r="A21" s="21" t="n"/>
      <c r="B21" s="21" t="n"/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</row>
    <row r="23" ht="20" customHeight="1">
      <c r="A23" s="20" t="inlineStr">
        <is>
          <t>DEPARTMENT PERFORMANCE</t>
        </is>
      </c>
    </row>
    <row r="24" ht="26" customHeight="1">
      <c r="A24" s="6" t="inlineStr">
        <is>
          <t>Department</t>
        </is>
      </c>
      <c r="B24" s="6" t="inlineStr">
        <is>
          <t>KPI Name</t>
        </is>
      </c>
      <c r="C24" s="6" t="inlineStr">
        <is>
          <t>Target</t>
        </is>
      </c>
      <c r="D24" s="6" t="inlineStr">
        <is>
          <t>Actual (avg)</t>
        </is>
      </c>
      <c r="E24" s="6" t="inlineStr">
        <is>
          <t>Achievement %</t>
        </is>
      </c>
      <c r="F24" s="6" t="inlineStr">
        <is>
          <t>Status</t>
        </is>
      </c>
    </row>
    <row r="25">
      <c r="A25" s="8" t="inlineStr">
        <is>
          <t>Safety</t>
        </is>
      </c>
      <c r="B25" s="10">
        <f>IFERROR(INDEX(Tbl_KPIMaster[KPI Name],MATCH($A25,Tbl_KPIMaster[Department],0)),"")</f>
        <v/>
      </c>
      <c r="C25" s="24">
        <f>IFERROR(INDEX(Tbl_KPIMaster[Target],MATCH($A25,Tbl_KPIMaster[Department],0)),0)</f>
        <v/>
      </c>
      <c r="D25" s="24">
        <f>IFERROR(AVERAGEIFS(Tbl_Entry[Actual],Tbl_Entry[Department],$A25,Tbl_Entry[Month],IF($B$5="All","*",$B$5)),0)</f>
        <v/>
      </c>
      <c r="E25" s="9">
        <f>IFERROR(AVERAGEIFS(Tbl_Entry[Achievement %],Tbl_Entry[Department],$A25,Tbl_Entry[Month],IF($B$5="All","*",$B$5)),0)</f>
        <v/>
      </c>
      <c r="F25" s="8">
        <f>IF($E25&gt;=1,"Green",IF($E25&gt;=0.85,"Amber","Red"))</f>
        <v/>
      </c>
    </row>
    <row r="26">
      <c r="A26" s="12" t="inlineStr">
        <is>
          <t>Production</t>
        </is>
      </c>
      <c r="B26" s="14">
        <f>IFERROR(INDEX(Tbl_KPIMaster[KPI Name],MATCH($A26,Tbl_KPIMaster[Department],0)),"")</f>
        <v/>
      </c>
      <c r="C26" s="25">
        <f>IFERROR(INDEX(Tbl_KPIMaster[Target],MATCH($A26,Tbl_KPIMaster[Department],0)),0)</f>
        <v/>
      </c>
      <c r="D26" s="25">
        <f>IFERROR(AVERAGEIFS(Tbl_Entry[Actual],Tbl_Entry[Department],$A26,Tbl_Entry[Month],IF($B$5="All","*",$B$5)),0)</f>
        <v/>
      </c>
      <c r="E26" s="13">
        <f>IFERROR(AVERAGEIFS(Tbl_Entry[Achievement %],Tbl_Entry[Department],$A26,Tbl_Entry[Month],IF($B$5="All","*",$B$5)),0)</f>
        <v/>
      </c>
      <c r="F26" s="12">
        <f>IF($E26&gt;=1,"Green",IF($E26&gt;=0.85,"Amber","Red"))</f>
        <v/>
      </c>
    </row>
    <row r="27">
      <c r="A27" s="8" t="inlineStr">
        <is>
          <t>Quality</t>
        </is>
      </c>
      <c r="B27" s="10">
        <f>IFERROR(INDEX(Tbl_KPIMaster[KPI Name],MATCH($A27,Tbl_KPIMaster[Department],0)),"")</f>
        <v/>
      </c>
      <c r="C27" s="24">
        <f>IFERROR(INDEX(Tbl_KPIMaster[Target],MATCH($A27,Tbl_KPIMaster[Department],0)),0)</f>
        <v/>
      </c>
      <c r="D27" s="24">
        <f>IFERROR(AVERAGEIFS(Tbl_Entry[Actual],Tbl_Entry[Department],$A27,Tbl_Entry[Month],IF($B$5="All","*",$B$5)),0)</f>
        <v/>
      </c>
      <c r="E27" s="9">
        <f>IFERROR(AVERAGEIFS(Tbl_Entry[Achievement %],Tbl_Entry[Department],$A27,Tbl_Entry[Month],IF($B$5="All","*",$B$5)),0)</f>
        <v/>
      </c>
      <c r="F27" s="8">
        <f>IF($E27&gt;=1,"Green",IF($E27&gt;=0.85,"Amber","Red"))</f>
        <v/>
      </c>
    </row>
    <row r="28">
      <c r="A28" s="12" t="inlineStr">
        <is>
          <t>Maintenance</t>
        </is>
      </c>
      <c r="B28" s="14">
        <f>IFERROR(INDEX(Tbl_KPIMaster[KPI Name],MATCH($A28,Tbl_KPIMaster[Department],0)),"")</f>
        <v/>
      </c>
      <c r="C28" s="25">
        <f>IFERROR(INDEX(Tbl_KPIMaster[Target],MATCH($A28,Tbl_KPIMaster[Department],0)),0)</f>
        <v/>
      </c>
      <c r="D28" s="25">
        <f>IFERROR(AVERAGEIFS(Tbl_Entry[Actual],Tbl_Entry[Department],$A28,Tbl_Entry[Month],IF($B$5="All","*",$B$5)),0)</f>
        <v/>
      </c>
      <c r="E28" s="13">
        <f>IFERROR(AVERAGEIFS(Tbl_Entry[Achievement %],Tbl_Entry[Department],$A28,Tbl_Entry[Month],IF($B$5="All","*",$B$5)),0)</f>
        <v/>
      </c>
      <c r="F28" s="12">
        <f>IF($E28&gt;=1,"Green",IF($E28&gt;=0.85,"Amber","Red"))</f>
        <v/>
      </c>
    </row>
    <row r="29">
      <c r="A29" s="8" t="inlineStr">
        <is>
          <t>Utilities</t>
        </is>
      </c>
      <c r="B29" s="10">
        <f>IFERROR(INDEX(Tbl_KPIMaster[KPI Name],MATCH($A29,Tbl_KPIMaster[Department],0)),"")</f>
        <v/>
      </c>
      <c r="C29" s="24">
        <f>IFERROR(INDEX(Tbl_KPIMaster[Target],MATCH($A29,Tbl_KPIMaster[Department],0)),0)</f>
        <v/>
      </c>
      <c r="D29" s="24">
        <f>IFERROR(AVERAGEIFS(Tbl_Entry[Actual],Tbl_Entry[Department],$A29,Tbl_Entry[Month],IF($B$5="All","*",$B$5)),0)</f>
        <v/>
      </c>
      <c r="E29" s="9">
        <f>IFERROR(AVERAGEIFS(Tbl_Entry[Achievement %],Tbl_Entry[Department],$A29,Tbl_Entry[Month],IF($B$5="All","*",$B$5)),0)</f>
        <v/>
      </c>
      <c r="F29" s="8">
        <f>IF($E29&gt;=1,"Green",IF($E29&gt;=0.85,"Amber","Red"))</f>
        <v/>
      </c>
    </row>
    <row r="30">
      <c r="A30" s="12" t="inlineStr">
        <is>
          <t>Warehouse</t>
        </is>
      </c>
      <c r="B30" s="14">
        <f>IFERROR(INDEX(Tbl_KPIMaster[KPI Name],MATCH($A30,Tbl_KPIMaster[Department],0)),"")</f>
        <v/>
      </c>
      <c r="C30" s="25">
        <f>IFERROR(INDEX(Tbl_KPIMaster[Target],MATCH($A30,Tbl_KPIMaster[Department],0)),0)</f>
        <v/>
      </c>
      <c r="D30" s="25">
        <f>IFERROR(AVERAGEIFS(Tbl_Entry[Actual],Tbl_Entry[Department],$A30,Tbl_Entry[Month],IF($B$5="All","*",$B$5)),0)</f>
        <v/>
      </c>
      <c r="E30" s="13">
        <f>IFERROR(AVERAGEIFS(Tbl_Entry[Achievement %],Tbl_Entry[Department],$A30,Tbl_Entry[Month],IF($B$5="All","*",$B$5)),0)</f>
        <v/>
      </c>
      <c r="F30" s="12">
        <f>IF($E30&gt;=1,"Green",IF($E30&gt;=0.85,"Amber","Red"))</f>
        <v/>
      </c>
    </row>
    <row r="31">
      <c r="A31" s="8" t="inlineStr">
        <is>
          <t>HR</t>
        </is>
      </c>
      <c r="B31" s="10">
        <f>IFERROR(INDEX(Tbl_KPIMaster[KPI Name],MATCH($A31,Tbl_KPIMaster[Department],0)),"")</f>
        <v/>
      </c>
      <c r="C31" s="24">
        <f>IFERROR(INDEX(Tbl_KPIMaster[Target],MATCH($A31,Tbl_KPIMaster[Department],0)),0)</f>
        <v/>
      </c>
      <c r="D31" s="24">
        <f>IFERROR(AVERAGEIFS(Tbl_Entry[Actual],Tbl_Entry[Department],$A31,Tbl_Entry[Month],IF($B$5="All","*",$B$5)),0)</f>
        <v/>
      </c>
      <c r="E31" s="9">
        <f>IFERROR(AVERAGEIFS(Tbl_Entry[Achievement %],Tbl_Entry[Department],$A31,Tbl_Entry[Month],IF($B$5="All","*",$B$5)),0)</f>
        <v/>
      </c>
      <c r="F31" s="8">
        <f>IF($E31&gt;=1,"Green",IF($E31&gt;=0.85,"Amber","Red"))</f>
        <v/>
      </c>
    </row>
    <row r="32">
      <c r="A32" s="12" t="inlineStr">
        <is>
          <t>Engineering</t>
        </is>
      </c>
      <c r="B32" s="14">
        <f>IFERROR(INDEX(Tbl_KPIMaster[KPI Name],MATCH($A32,Tbl_KPIMaster[Department],0)),"")</f>
        <v/>
      </c>
      <c r="C32" s="25">
        <f>IFERROR(INDEX(Tbl_KPIMaster[Target],MATCH($A32,Tbl_KPIMaster[Department],0)),0)</f>
        <v/>
      </c>
      <c r="D32" s="25">
        <f>IFERROR(AVERAGEIFS(Tbl_Entry[Actual],Tbl_Entry[Department],$A32,Tbl_Entry[Month],IF($B$5="All","*",$B$5)),0)</f>
        <v/>
      </c>
      <c r="E32" s="13">
        <f>IFERROR(AVERAGEIFS(Tbl_Entry[Achievement %],Tbl_Entry[Department],$A32,Tbl_Entry[Month],IF($B$5="All","*",$B$5)),0)</f>
        <v/>
      </c>
      <c r="F32" s="12">
        <f>IF($E32&gt;=1,"Green",IF($E32&gt;=0.85,"Amber","Red"))</f>
        <v/>
      </c>
    </row>
    <row r="34" ht="20" customHeight="1">
      <c r="A34" s="20" t="inlineStr">
        <is>
          <t>CHART DATA (auto — do not delete)</t>
        </is>
      </c>
    </row>
    <row r="35">
      <c r="A35" s="26" t="inlineStr">
        <is>
          <t>Week</t>
        </is>
      </c>
      <c r="B35" s="26" t="inlineStr">
        <is>
          <t>Overall Achievement %</t>
        </is>
      </c>
    </row>
    <row r="36">
      <c r="A36" s="27" t="inlineStr">
        <is>
          <t>W23</t>
        </is>
      </c>
      <c r="B36" s="28">
        <f>IFERROR(AVERAGEIFS(Tbl_Entry[Achievement %],Tbl_Entry[Week],$A36),0)</f>
        <v/>
      </c>
    </row>
    <row r="37">
      <c r="A37" s="27" t="inlineStr">
        <is>
          <t>W24</t>
        </is>
      </c>
      <c r="B37" s="28">
        <f>IFERROR(AVERAGEIFS(Tbl_Entry[Achievement %],Tbl_Entry[Week],$A37),0)</f>
        <v/>
      </c>
    </row>
    <row r="38">
      <c r="A38" s="27" t="inlineStr">
        <is>
          <t>W25</t>
        </is>
      </c>
      <c r="B38" s="28">
        <f>IFERROR(AVERAGEIFS(Tbl_Entry[Achievement %],Tbl_Entry[Week],$A38),0)</f>
        <v/>
      </c>
    </row>
    <row r="39">
      <c r="A39" s="27" t="inlineStr">
        <is>
          <t>W26</t>
        </is>
      </c>
      <c r="B39" s="28">
        <f>IFERROR(AVERAGEIFS(Tbl_Entry[Achievement %],Tbl_Entry[Week],$A39),0)</f>
        <v/>
      </c>
    </row>
    <row r="40">
      <c r="A40" s="27" t="inlineStr">
        <is>
          <t>W27</t>
        </is>
      </c>
      <c r="B40" s="28">
        <f>IFERROR(AVERAGEIFS(Tbl_Entry[Achievement %],Tbl_Entry[Week],$A40),0)</f>
        <v/>
      </c>
    </row>
    <row r="41">
      <c r="A41" s="27" t="inlineStr">
        <is>
          <t>W28</t>
        </is>
      </c>
      <c r="B41" s="28">
        <f>IFERROR(AVERAGEIFS(Tbl_Entry[Achievement %],Tbl_Entry[Week],$A41),0)</f>
        <v/>
      </c>
    </row>
    <row r="42">
      <c r="A42" s="27" t="inlineStr">
        <is>
          <t>W29</t>
        </is>
      </c>
      <c r="B42" s="28">
        <f>IFERROR(AVERAGEIFS(Tbl_Entry[Achievement %],Tbl_Entry[Week],$A42),0)</f>
        <v/>
      </c>
    </row>
    <row r="44">
      <c r="A44" s="26" t="inlineStr">
        <is>
          <t>Status</t>
        </is>
      </c>
      <c r="B44" s="26" t="inlineStr">
        <is>
          <t>Count</t>
        </is>
      </c>
    </row>
    <row r="45">
      <c r="A45" s="27" t="inlineStr">
        <is>
          <t>Green</t>
        </is>
      </c>
      <c r="B45" s="27">
        <f>COUNTIFS(Tbl_Entry[Status],$A45,Tbl_Entry[Month],IF($B$5="All","*",$B$5))</f>
        <v/>
      </c>
    </row>
    <row r="46">
      <c r="A46" s="27" t="inlineStr">
        <is>
          <t>Amber</t>
        </is>
      </c>
      <c r="B46" s="27">
        <f>COUNTIFS(Tbl_Entry[Status],$A46,Tbl_Entry[Month],IF($B$5="All","*",$B$5))</f>
        <v/>
      </c>
    </row>
    <row r="47">
      <c r="A47" s="27" t="inlineStr">
        <is>
          <t>Red</t>
        </is>
      </c>
      <c r="B47" s="27">
        <f>COUNTIFS(Tbl_Entry[Status],$A47,Tbl_Entry[Month],IF($B$5="All","*",$B$5))</f>
        <v/>
      </c>
    </row>
    <row r="49" ht="20" customHeight="1">
      <c r="A49" s="20" t="inlineStr">
        <is>
          <t>CHARTS</t>
        </is>
      </c>
    </row>
  </sheetData>
  <mergeCells count="24">
    <mergeCell ref="A23:J23"/>
    <mergeCell ref="G19:L19"/>
    <mergeCell ref="A1:S2"/>
    <mergeCell ref="G10:L10"/>
    <mergeCell ref="M10:R10"/>
    <mergeCell ref="G15:L15"/>
    <mergeCell ref="M15:R15"/>
    <mergeCell ref="A14:F14"/>
    <mergeCell ref="G14:L14"/>
    <mergeCell ref="A34:J34"/>
    <mergeCell ref="A20:F20"/>
    <mergeCell ref="G20:L20"/>
    <mergeCell ref="A10:F10"/>
    <mergeCell ref="M14:R14"/>
    <mergeCell ref="A49:S49"/>
    <mergeCell ref="A19:F19"/>
    <mergeCell ref="M19:R19"/>
    <mergeCell ref="A9:F9"/>
    <mergeCell ref="G9:L9"/>
    <mergeCell ref="A15:F15"/>
    <mergeCell ref="A7:S7"/>
    <mergeCell ref="M9:R9"/>
    <mergeCell ref="A3:S3"/>
    <mergeCell ref="M20:R20"/>
  </mergeCells>
  <conditionalFormatting sqref="A10">
    <cfRule type="cellIs" priority="1" operator="greaterThanOrEqual" dxfId="6">
      <formula>1</formula>
    </cfRule>
    <cfRule type="cellIs" priority="2" operator="between" dxfId="7">
      <formula>0.85</formula>
      <formula>1</formula>
    </cfRule>
    <cfRule type="cellIs" priority="3" operator="lessThan" dxfId="8">
      <formula>0.85</formula>
    </cfRule>
  </conditionalFormatting>
  <conditionalFormatting sqref="G10">
    <cfRule type="cellIs" priority="4" operator="greaterThanOrEqual" dxfId="6">
      <formula>1</formula>
    </cfRule>
    <cfRule type="cellIs" priority="5" operator="between" dxfId="7">
      <formula>0.85</formula>
      <formula>1</formula>
    </cfRule>
    <cfRule type="cellIs" priority="6" operator="lessThan" dxfId="8">
      <formula>0.85</formula>
    </cfRule>
  </conditionalFormatting>
  <conditionalFormatting sqref="M10">
    <cfRule type="cellIs" priority="7" operator="greaterThanOrEqual" dxfId="6">
      <formula>1</formula>
    </cfRule>
    <cfRule type="cellIs" priority="8" operator="between" dxfId="7">
      <formula>0.85</formula>
      <formula>1</formula>
    </cfRule>
    <cfRule type="cellIs" priority="9" operator="lessThan" dxfId="8">
      <formula>0.85</formula>
    </cfRule>
  </conditionalFormatting>
  <conditionalFormatting sqref="A15">
    <cfRule type="cellIs" priority="10" operator="greaterThanOrEqual" dxfId="6">
      <formula>1</formula>
    </cfRule>
    <cfRule type="cellIs" priority="11" operator="between" dxfId="7">
      <formula>0.85</formula>
      <formula>1</formula>
    </cfRule>
    <cfRule type="cellIs" priority="12" operator="lessThan" dxfId="8">
      <formula>0.85</formula>
    </cfRule>
  </conditionalFormatting>
  <conditionalFormatting sqref="G15">
    <cfRule type="cellIs" priority="13" operator="greaterThanOrEqual" dxfId="6">
      <formula>1</formula>
    </cfRule>
    <cfRule type="cellIs" priority="14" operator="between" dxfId="7">
      <formula>0.85</formula>
      <formula>1</formula>
    </cfRule>
    <cfRule type="cellIs" priority="15" operator="lessThan" dxfId="8">
      <formula>0.85</formula>
    </cfRule>
  </conditionalFormatting>
  <conditionalFormatting sqref="M15">
    <cfRule type="cellIs" priority="16" operator="greaterThanOrEqual" dxfId="6">
      <formula>1</formula>
    </cfRule>
    <cfRule type="cellIs" priority="17" operator="between" dxfId="7">
      <formula>0.85</formula>
      <formula>1</formula>
    </cfRule>
    <cfRule type="cellIs" priority="18" operator="lessThan" dxfId="8">
      <formula>0.85</formula>
    </cfRule>
  </conditionalFormatting>
  <conditionalFormatting sqref="A20">
    <cfRule type="cellIs" priority="19" operator="greaterThanOrEqual" dxfId="6">
      <formula>1</formula>
    </cfRule>
    <cfRule type="cellIs" priority="20" operator="between" dxfId="7">
      <formula>0.85</formula>
      <formula>1</formula>
    </cfRule>
    <cfRule type="cellIs" priority="21" operator="lessThan" dxfId="8">
      <formula>0.85</formula>
    </cfRule>
  </conditionalFormatting>
  <conditionalFormatting sqref="G20">
    <cfRule type="cellIs" priority="22" operator="greaterThanOrEqual" dxfId="6">
      <formula>1</formula>
    </cfRule>
    <cfRule type="cellIs" priority="23" operator="between" dxfId="7">
      <formula>0.85</formula>
      <formula>1</formula>
    </cfRule>
    <cfRule type="cellIs" priority="24" operator="lessThan" dxfId="8">
      <formula>0.85</formula>
    </cfRule>
  </conditionalFormatting>
  <conditionalFormatting sqref="M20">
    <cfRule type="cellIs" priority="25" operator="greaterThanOrEqual" dxfId="6">
      <formula>1</formula>
    </cfRule>
    <cfRule type="cellIs" priority="26" operator="between" dxfId="7">
      <formula>0.85</formula>
      <formula>1</formula>
    </cfRule>
    <cfRule type="cellIs" priority="27" operator="lessThan" dxfId="8">
      <formula>0.85</formula>
    </cfRule>
  </conditionalFormatting>
  <conditionalFormatting sqref="F25:F32">
    <cfRule type="expression" priority="28" dxfId="0">
      <formula>$F25="Green"</formula>
    </cfRule>
    <cfRule type="expression" priority="29" dxfId="1">
      <formula>$F25="Amber"</formula>
    </cfRule>
    <cfRule type="expression" priority="30" dxfId="2">
      <formula>$F25="Red"</formula>
    </cfRule>
  </conditionalFormatting>
  <conditionalFormatting sqref="A25:F32">
    <cfRule type="expression" priority="31" dxfId="9">
      <formula>$E25=MAX($E$25:$E$32)</formula>
    </cfRule>
    <cfRule type="expression" priority="32" dxfId="10">
      <formula>$E25=MIN($E$25:$E$32)</formula>
    </cfRule>
  </conditionalFormatting>
  <dataValidations count="1">
    <dataValidation sqref="B5" showDropDown="0" showInputMessage="0" showErrorMessage="0" allowBlank="0" type="list">
      <formula1>"All,Jun-2026,Jul-2026"</formula1>
    </dataValidation>
  </dataValidations>
  <pageMargins left="0.3" right="0.3" top="0.4" bottom="0.4" header="0.2" footer="0.2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402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1" customWidth="1" min="2" max="2"/>
    <col width="7" customWidth="1" min="3" max="3"/>
    <col width="13" customWidth="1" min="4" max="4"/>
    <col width="22" customWidth="1" min="5" max="5"/>
    <col width="10" customWidth="1" min="6" max="6"/>
    <col width="10" customWidth="1" min="7" max="7"/>
    <col width="12" customWidth="1" min="8" max="8"/>
    <col width="10" customWidth="1" min="9" max="9"/>
    <col width="26" customWidth="1" min="10" max="10"/>
  </cols>
  <sheetData>
    <row r="1" ht="28" customHeight="1">
      <c r="A1" s="5" t="inlineStr">
        <is>
          <t>KPI DATA ENTRY — type only Date / Department / Actual / Remarks. Everything else auto-fills.</t>
        </is>
      </c>
    </row>
    <row r="2" ht="26" customHeight="1">
      <c r="A2" s="6" t="inlineStr">
        <is>
          <t>Date</t>
        </is>
      </c>
      <c r="B2" s="6" t="inlineStr">
        <is>
          <t>Month</t>
        </is>
      </c>
      <c r="C2" s="6" t="inlineStr">
        <is>
          <t>Week</t>
        </is>
      </c>
      <c r="D2" s="6" t="inlineStr">
        <is>
          <t>Department</t>
        </is>
      </c>
      <c r="E2" s="6" t="inlineStr">
        <is>
          <t>KPI Name</t>
        </is>
      </c>
      <c r="F2" s="6" t="inlineStr">
        <is>
          <t>Target</t>
        </is>
      </c>
      <c r="G2" s="6" t="inlineStr">
        <is>
          <t>Actual</t>
        </is>
      </c>
      <c r="H2" s="6" t="inlineStr">
        <is>
          <t>Achievement %</t>
        </is>
      </c>
      <c r="I2" s="6" t="inlineStr">
        <is>
          <t>Status</t>
        </is>
      </c>
      <c r="J2" s="6" t="inlineStr">
        <is>
          <t>Remarks</t>
        </is>
      </c>
    </row>
    <row r="3">
      <c r="A3" s="7" t="n">
        <v>46175</v>
      </c>
      <c r="B3" s="8">
        <f>IF($A3="","",TEXT($A3,"mmm-yyyy"))</f>
        <v/>
      </c>
      <c r="C3" s="8">
        <f>IF($A3="","","W"&amp;WEEKNUM($A3,2))</f>
        <v/>
      </c>
      <c r="D3" s="8" t="inlineStr">
        <is>
          <t>Safety</t>
        </is>
      </c>
      <c r="E3" s="8">
        <f>IFERROR(INDEX(Tbl_KPIMaster[KPI Name],MATCH($D3,Tbl_KPIMaster[Department],0)),"")</f>
        <v/>
      </c>
      <c r="F3" s="8">
        <f>IFERROR(INDEX(Tbl_KPIMaster[Target],MATCH($D3,Tbl_KPIMaster[Department],0)),"")</f>
        <v/>
      </c>
      <c r="G3" s="8" t="n">
        <v>1</v>
      </c>
      <c r="H3" s="9">
        <f>IFERROR(IF(INDEX(Tbl_KPIMaster[Direction],MATCH($D3,Tbl_KPIMaster[Department],0))="Lower is Better",IF($G3=0,1,IF($F3=0,0,$F3/$G3)),IF($F3=0,1,$G3/$F3)),0)</f>
        <v/>
      </c>
      <c r="I3" s="8">
        <f>IF($H3&gt;=1,"Green",IF($H3&gt;=0.85,"Amber","Red"))</f>
        <v/>
      </c>
      <c r="J3" s="10" t="inlineStr">
        <is>
          <t>Within normal range</t>
        </is>
      </c>
    </row>
    <row r="4">
      <c r="A4" s="11" t="n">
        <v>46175</v>
      </c>
      <c r="B4" s="12">
        <f>IF($A4="","",TEXT($A4,"mmm-yyyy"))</f>
        <v/>
      </c>
      <c r="C4" s="12">
        <f>IF($A4="","","W"&amp;WEEKNUM($A4,2))</f>
        <v/>
      </c>
      <c r="D4" s="12" t="inlineStr">
        <is>
          <t>Production</t>
        </is>
      </c>
      <c r="E4" s="12">
        <f>IFERROR(INDEX(Tbl_KPIMaster[KPI Name],MATCH($D4,Tbl_KPIMaster[Department],0)),"")</f>
        <v/>
      </c>
      <c r="F4" s="12">
        <f>IFERROR(INDEX(Tbl_KPIMaster[Target],MATCH($D4,Tbl_KPIMaster[Department],0)),"")</f>
        <v/>
      </c>
      <c r="G4" s="12" t="n">
        <v>858.6</v>
      </c>
      <c r="H4" s="13">
        <f>IFERROR(IF(INDEX(Tbl_KPIMaster[Direction],MATCH($D4,Tbl_KPIMaster[Department],0))="Lower is Better",IF($G4=0,1,IF($F4=0,0,$F4/$G4)),IF($F4=0,1,$G4/$F4)),0)</f>
        <v/>
      </c>
      <c r="I4" s="12">
        <f>IF($H4&gt;=1,"Green",IF($H4&gt;=0.85,"Amber","Red"))</f>
        <v/>
      </c>
      <c r="J4" s="14" t="inlineStr">
        <is>
          <t>Vendor delay</t>
        </is>
      </c>
    </row>
    <row r="5">
      <c r="A5" s="7" t="n">
        <v>46175</v>
      </c>
      <c r="B5" s="8">
        <f>IF($A5="","",TEXT($A5,"mmm-yyyy"))</f>
        <v/>
      </c>
      <c r="C5" s="8">
        <f>IF($A5="","","W"&amp;WEEKNUM($A5,2))</f>
        <v/>
      </c>
      <c r="D5" s="8" t="inlineStr">
        <is>
          <t>Quality</t>
        </is>
      </c>
      <c r="E5" s="8">
        <f>IFERROR(INDEX(Tbl_KPIMaster[KPI Name],MATCH($D5,Tbl_KPIMaster[Department],0)),"")</f>
        <v/>
      </c>
      <c r="F5" s="8">
        <f>IFERROR(INDEX(Tbl_KPIMaster[Target],MATCH($D5,Tbl_KPIMaster[Department],0)),"")</f>
        <v/>
      </c>
      <c r="G5" s="8" t="n">
        <v>0.0194</v>
      </c>
      <c r="H5" s="9">
        <f>IFERROR(IF(INDEX(Tbl_KPIMaster[Direction],MATCH($D5,Tbl_KPIMaster[Department],0))="Lower is Better",IF($G5=0,1,IF($F5=0,0,$F5/$G5)),IF($F5=0,1,$G5/$F5)),0)</f>
        <v/>
      </c>
      <c r="I5" s="8">
        <f>IF($H5&gt;=1,"Green",IF($H5&gt;=0.85,"Amber","Red"))</f>
        <v/>
      </c>
      <c r="J5" s="10" t="inlineStr">
        <is>
          <t>Process improvement in progress</t>
        </is>
      </c>
    </row>
    <row r="6">
      <c r="A6" s="11" t="n">
        <v>46175</v>
      </c>
      <c r="B6" s="12">
        <f>IF($A6="","",TEXT($A6,"mmm-yyyy"))</f>
        <v/>
      </c>
      <c r="C6" s="12">
        <f>IF($A6="","","W"&amp;WEEKNUM($A6,2))</f>
        <v/>
      </c>
      <c r="D6" s="12" t="inlineStr">
        <is>
          <t>Maintenance</t>
        </is>
      </c>
      <c r="E6" s="12">
        <f>IFERROR(INDEX(Tbl_KPIMaster[KPI Name],MATCH($D6,Tbl_KPIMaster[Department],0)),"")</f>
        <v/>
      </c>
      <c r="F6" s="12">
        <f>IFERROR(INDEX(Tbl_KPIMaster[Target],MATCH($D6,Tbl_KPIMaster[Department],0)),"")</f>
        <v/>
      </c>
      <c r="G6" s="12" t="n">
        <v>1.03</v>
      </c>
      <c r="H6" s="13">
        <f>IFERROR(IF(INDEX(Tbl_KPIMaster[Direction],MATCH($D6,Tbl_KPIMaster[Department],0))="Lower is Better",IF($G6=0,1,IF($F6=0,0,$F6/$G6)),IF($F6=0,1,$G6/$F6)),0)</f>
        <v/>
      </c>
      <c r="I6" s="12">
        <f>IF($H6&gt;=1,"Green",IF($H6&gt;=0.85,"Amber","Red"))</f>
        <v/>
      </c>
      <c r="J6" s="14" t="inlineStr">
        <is>
          <t>Within normal range</t>
        </is>
      </c>
    </row>
    <row r="7">
      <c r="A7" s="7" t="n">
        <v>46175</v>
      </c>
      <c r="B7" s="8">
        <f>IF($A7="","",TEXT($A7,"mmm-yyyy"))</f>
        <v/>
      </c>
      <c r="C7" s="8">
        <f>IF($A7="","","W"&amp;WEEKNUM($A7,2))</f>
        <v/>
      </c>
      <c r="D7" s="8" t="inlineStr">
        <is>
          <t>Utilities</t>
        </is>
      </c>
      <c r="E7" s="8">
        <f>IFERROR(INDEX(Tbl_KPIMaster[KPI Name],MATCH($D7,Tbl_KPIMaster[Department],0)),"")</f>
        <v/>
      </c>
      <c r="F7" s="8">
        <f>IFERROR(INDEX(Tbl_KPIMaster[Target],MATCH($D7,Tbl_KPIMaster[Department],0)),"")</f>
        <v/>
      </c>
      <c r="G7" s="8" t="n">
        <v>4969.76</v>
      </c>
      <c r="H7" s="9">
        <f>IFERROR(IF(INDEX(Tbl_KPIMaster[Direction],MATCH($D7,Tbl_KPIMaster[Department],0))="Lower is Better",IF($G7=0,1,IF($F7=0,0,$F7/$G7)),IF($F7=0,1,$G7/$F7)),0)</f>
        <v/>
      </c>
      <c r="I7" s="8">
        <f>IF($H7&gt;=1,"Green",IF($H7&gt;=0.85,"Amber","Red"))</f>
        <v/>
      </c>
      <c r="J7" s="10" t="inlineStr">
        <is>
          <t>Manpower shortage</t>
        </is>
      </c>
    </row>
    <row r="8">
      <c r="A8" s="11" t="n">
        <v>46175</v>
      </c>
      <c r="B8" s="12">
        <f>IF($A8="","",TEXT($A8,"mmm-yyyy"))</f>
        <v/>
      </c>
      <c r="C8" s="12">
        <f>IF($A8="","","W"&amp;WEEKNUM($A8,2))</f>
        <v/>
      </c>
      <c r="D8" s="12" t="inlineStr">
        <is>
          <t>Warehouse</t>
        </is>
      </c>
      <c r="E8" s="12">
        <f>IFERROR(INDEX(Tbl_KPIMaster[KPI Name],MATCH($D8,Tbl_KPIMaster[Department],0)),"")</f>
        <v/>
      </c>
      <c r="F8" s="12">
        <f>IFERROR(INDEX(Tbl_KPIMaster[Target],MATCH($D8,Tbl_KPIMaster[Department],0)),"")</f>
        <v/>
      </c>
      <c r="G8" s="12" t="n">
        <v>0.9324</v>
      </c>
      <c r="H8" s="13">
        <f>IFERROR(IF(INDEX(Tbl_KPIMaster[Direction],MATCH($D8,Tbl_KPIMaster[Department],0))="Lower is Better",IF($G8=0,1,IF($F8=0,0,$F8/$G8)),IF($F8=0,1,$G8/$F8)),0)</f>
        <v/>
      </c>
      <c r="I8" s="12">
        <f>IF($H8&gt;=1,"Green",IF($H8&gt;=0.85,"Amber","Red"))</f>
        <v/>
      </c>
      <c r="J8" s="14" t="inlineStr">
        <is>
          <t>Within normal range</t>
        </is>
      </c>
    </row>
    <row r="9">
      <c r="A9" s="7" t="n">
        <v>46175</v>
      </c>
      <c r="B9" s="8">
        <f>IF($A9="","",TEXT($A9,"mmm-yyyy"))</f>
        <v/>
      </c>
      <c r="C9" s="8">
        <f>IF($A9="","","W"&amp;WEEKNUM($A9,2))</f>
        <v/>
      </c>
      <c r="D9" s="8" t="inlineStr">
        <is>
          <t>HR</t>
        </is>
      </c>
      <c r="E9" s="8">
        <f>IFERROR(INDEX(Tbl_KPIMaster[KPI Name],MATCH($D9,Tbl_KPIMaster[Department],0)),"")</f>
        <v/>
      </c>
      <c r="F9" s="8">
        <f>IFERROR(INDEX(Tbl_KPIMaster[Target],MATCH($D9,Tbl_KPIMaster[Department],0)),"")</f>
        <v/>
      </c>
      <c r="G9" s="8" t="n">
        <v>0.0309</v>
      </c>
      <c r="H9" s="9">
        <f>IFERROR(IF(INDEX(Tbl_KPIMaster[Direction],MATCH($D9,Tbl_KPIMaster[Department],0))="Lower is Better",IF($G9=0,1,IF($F9=0,0,$F9/$G9)),IF($F9=0,1,$G9/$F9)),0)</f>
        <v/>
      </c>
      <c r="I9" s="8">
        <f>IF($H9&gt;=1,"Green",IF($H9&gt;=0.85,"Amber","Red"))</f>
        <v/>
      </c>
      <c r="J9" s="10" t="inlineStr">
        <is>
          <t>Vendor delay</t>
        </is>
      </c>
    </row>
    <row r="10">
      <c r="A10" s="11" t="n">
        <v>46175</v>
      </c>
      <c r="B10" s="12">
        <f>IF($A10="","",TEXT($A10,"mmm-yyyy"))</f>
        <v/>
      </c>
      <c r="C10" s="12">
        <f>IF($A10="","","W"&amp;WEEKNUM($A10,2))</f>
        <v/>
      </c>
      <c r="D10" s="12" t="inlineStr">
        <is>
          <t>Engineering</t>
        </is>
      </c>
      <c r="E10" s="12">
        <f>IFERROR(INDEX(Tbl_KPIMaster[KPI Name],MATCH($D10,Tbl_KPIMaster[Department],0)),"")</f>
        <v/>
      </c>
      <c r="F10" s="12">
        <f>IFERROR(INDEX(Tbl_KPIMaster[Target],MATCH($D10,Tbl_KPIMaster[Department],0)),"")</f>
        <v/>
      </c>
      <c r="G10" s="12" t="n">
        <v>0.8508</v>
      </c>
      <c r="H10" s="13">
        <f>IFERROR(IF(INDEX(Tbl_KPIMaster[Direction],MATCH($D10,Tbl_KPIMaster[Department],0))="Lower is Better",IF($G10=0,1,IF($F10=0,0,$F10/$G10)),IF($F10=0,1,$G10/$F10)),0)</f>
        <v/>
      </c>
      <c r="I10" s="12">
        <f>IF($H10&gt;=1,"Green",IF($H10&gt;=0.85,"Amber","Red"))</f>
        <v/>
      </c>
      <c r="J10" s="14" t="inlineStr">
        <is>
          <t>Process improvement in progress</t>
        </is>
      </c>
    </row>
    <row r="11">
      <c r="A11" s="7" t="n">
        <v>46176</v>
      </c>
      <c r="B11" s="8">
        <f>IF($A11="","",TEXT($A11,"mmm-yyyy"))</f>
        <v/>
      </c>
      <c r="C11" s="8">
        <f>IF($A11="","","W"&amp;WEEKNUM($A11,2))</f>
        <v/>
      </c>
      <c r="D11" s="8" t="inlineStr">
        <is>
          <t>Safety</t>
        </is>
      </c>
      <c r="E11" s="8">
        <f>IFERROR(INDEX(Tbl_KPIMaster[KPI Name],MATCH($D11,Tbl_KPIMaster[Department],0)),"")</f>
        <v/>
      </c>
      <c r="F11" s="8">
        <f>IFERROR(INDEX(Tbl_KPIMaster[Target],MATCH($D11,Tbl_KPIMaster[Department],0)),"")</f>
        <v/>
      </c>
      <c r="G11" s="8" t="n">
        <v>1</v>
      </c>
      <c r="H11" s="9">
        <f>IFERROR(IF(INDEX(Tbl_KPIMaster[Direction],MATCH($D11,Tbl_KPIMaster[Department],0))="Lower is Better",IF($G11=0,1,IF($F11=0,0,$F11/$G11)),IF($F11=0,1,$G11/$F11)),0)</f>
        <v/>
      </c>
      <c r="I11" s="8">
        <f>IF($H11&gt;=1,"Green",IF($H11&gt;=0.85,"Amber","Red"))</f>
        <v/>
      </c>
      <c r="J11" s="10" t="inlineStr">
        <is>
          <t>Within normal range</t>
        </is>
      </c>
    </row>
    <row r="12">
      <c r="A12" s="11" t="n">
        <v>46176</v>
      </c>
      <c r="B12" s="12">
        <f>IF($A12="","",TEXT($A12,"mmm-yyyy"))</f>
        <v/>
      </c>
      <c r="C12" s="12">
        <f>IF($A12="","","W"&amp;WEEKNUM($A12,2))</f>
        <v/>
      </c>
      <c r="D12" s="12" t="inlineStr">
        <is>
          <t>Production</t>
        </is>
      </c>
      <c r="E12" s="12">
        <f>IFERROR(INDEX(Tbl_KPIMaster[KPI Name],MATCH($D12,Tbl_KPIMaster[Department],0)),"")</f>
        <v/>
      </c>
      <c r="F12" s="12">
        <f>IFERROR(INDEX(Tbl_KPIMaster[Target],MATCH($D12,Tbl_KPIMaster[Department],0)),"")</f>
        <v/>
      </c>
      <c r="G12" s="12" t="n">
        <v>949.2</v>
      </c>
      <c r="H12" s="13">
        <f>IFERROR(IF(INDEX(Tbl_KPIMaster[Direction],MATCH($D12,Tbl_KPIMaster[Department],0))="Lower is Better",IF($G12=0,1,IF($F12=0,0,$F12/$G12)),IF($F12=0,1,$G12/$F12)),0)</f>
        <v/>
      </c>
      <c r="I12" s="12">
        <f>IF($H12&gt;=1,"Green",IF($H12&gt;=0.85,"Amber","Red"))</f>
        <v/>
      </c>
      <c r="J12" s="14" t="inlineStr">
        <is>
          <t>Within normal range</t>
        </is>
      </c>
    </row>
    <row r="13">
      <c r="A13" s="7" t="n">
        <v>46176</v>
      </c>
      <c r="B13" s="8">
        <f>IF($A13="","",TEXT($A13,"mmm-yyyy"))</f>
        <v/>
      </c>
      <c r="C13" s="8">
        <f>IF($A13="","","W"&amp;WEEKNUM($A13,2))</f>
        <v/>
      </c>
      <c r="D13" s="8" t="inlineStr">
        <is>
          <t>Quality</t>
        </is>
      </c>
      <c r="E13" s="8">
        <f>IFERROR(INDEX(Tbl_KPIMaster[KPI Name],MATCH($D13,Tbl_KPIMaster[Department],0)),"")</f>
        <v/>
      </c>
      <c r="F13" s="8">
        <f>IFERROR(INDEX(Tbl_KPIMaster[Target],MATCH($D13,Tbl_KPIMaster[Department],0)),"")</f>
        <v/>
      </c>
      <c r="G13" s="8" t="n">
        <v>0.0245</v>
      </c>
      <c r="H13" s="9">
        <f>IFERROR(IF(INDEX(Tbl_KPIMaster[Direction],MATCH($D13,Tbl_KPIMaster[Department],0))="Lower is Better",IF($G13=0,1,IF($F13=0,0,$F13/$G13)),IF($F13=0,1,$G13/$F13)),0)</f>
        <v/>
      </c>
      <c r="I13" s="8">
        <f>IF($H13&gt;=1,"Green",IF($H13&gt;=0.85,"Amber","Red"))</f>
        <v/>
      </c>
      <c r="J13" s="10" t="inlineStr">
        <is>
          <t>Vendor delay</t>
        </is>
      </c>
    </row>
    <row r="14">
      <c r="A14" s="11" t="n">
        <v>46176</v>
      </c>
      <c r="B14" s="12">
        <f>IF($A14="","",TEXT($A14,"mmm-yyyy"))</f>
        <v/>
      </c>
      <c r="C14" s="12">
        <f>IF($A14="","","W"&amp;WEEKNUM($A14,2))</f>
        <v/>
      </c>
      <c r="D14" s="12" t="inlineStr">
        <is>
          <t>Maintenance</t>
        </is>
      </c>
      <c r="E14" s="12">
        <f>IFERROR(INDEX(Tbl_KPIMaster[KPI Name],MATCH($D14,Tbl_KPIMaster[Department],0)),"")</f>
        <v/>
      </c>
      <c r="F14" s="12">
        <f>IFERROR(INDEX(Tbl_KPIMaster[Target],MATCH($D14,Tbl_KPIMaster[Department],0)),"")</f>
        <v/>
      </c>
      <c r="G14" s="12" t="n">
        <v>1.07</v>
      </c>
      <c r="H14" s="13">
        <f>IFERROR(IF(INDEX(Tbl_KPIMaster[Direction],MATCH($D14,Tbl_KPIMaster[Department],0))="Lower is Better",IF($G14=0,1,IF($F14=0,0,$F14/$G14)),IF($F14=0,1,$G14/$F14)),0)</f>
        <v/>
      </c>
      <c r="I14" s="12">
        <f>IF($H14&gt;=1,"Green",IF($H14&gt;=0.85,"Amber","Red"))</f>
        <v/>
      </c>
      <c r="J14" s="14" t="inlineStr">
        <is>
          <t>Process improvement in progress</t>
        </is>
      </c>
    </row>
    <row r="15">
      <c r="A15" s="7" t="n">
        <v>46176</v>
      </c>
      <c r="B15" s="8">
        <f>IF($A15="","",TEXT($A15,"mmm-yyyy"))</f>
        <v/>
      </c>
      <c r="C15" s="8">
        <f>IF($A15="","","W"&amp;WEEKNUM($A15,2))</f>
        <v/>
      </c>
      <c r="D15" s="8" t="inlineStr">
        <is>
          <t>Utilities</t>
        </is>
      </c>
      <c r="E15" s="8">
        <f>IFERROR(INDEX(Tbl_KPIMaster[KPI Name],MATCH($D15,Tbl_KPIMaster[Department],0)),"")</f>
        <v/>
      </c>
      <c r="F15" s="8">
        <f>IFERROR(INDEX(Tbl_KPIMaster[Target],MATCH($D15,Tbl_KPIMaster[Department],0)),"")</f>
        <v/>
      </c>
      <c r="G15" s="8" t="n">
        <v>4842.48</v>
      </c>
      <c r="H15" s="9">
        <f>IFERROR(IF(INDEX(Tbl_KPIMaster[Direction],MATCH($D15,Tbl_KPIMaster[Department],0))="Lower is Better",IF($G15=0,1,IF($F15=0,0,$F15/$G15)),IF($F15=0,1,$G15/$F15)),0)</f>
        <v/>
      </c>
      <c r="I15" s="8">
        <f>IF($H15&gt;=1,"Green",IF($H15&gt;=0.85,"Amber","Red"))</f>
        <v/>
      </c>
      <c r="J15" s="10" t="inlineStr"/>
    </row>
    <row r="16">
      <c r="A16" s="11" t="n">
        <v>46176</v>
      </c>
      <c r="B16" s="12">
        <f>IF($A16="","",TEXT($A16,"mmm-yyyy"))</f>
        <v/>
      </c>
      <c r="C16" s="12">
        <f>IF($A16="","","W"&amp;WEEKNUM($A16,2))</f>
        <v/>
      </c>
      <c r="D16" s="12" t="inlineStr">
        <is>
          <t>Warehouse</t>
        </is>
      </c>
      <c r="E16" s="12">
        <f>IFERROR(INDEX(Tbl_KPIMaster[KPI Name],MATCH($D16,Tbl_KPIMaster[Department],0)),"")</f>
        <v/>
      </c>
      <c r="F16" s="12">
        <f>IFERROR(INDEX(Tbl_KPIMaster[Target],MATCH($D16,Tbl_KPIMaster[Department],0)),"")</f>
        <v/>
      </c>
      <c r="G16" s="12" t="n">
        <v>1.016</v>
      </c>
      <c r="H16" s="13">
        <f>IFERROR(IF(INDEX(Tbl_KPIMaster[Direction],MATCH($D16,Tbl_KPIMaster[Department],0))="Lower is Better",IF($G16=0,1,IF($F16=0,0,$F16/$G16)),IF($F16=0,1,$G16/$F16)),0)</f>
        <v/>
      </c>
      <c r="I16" s="12">
        <f>IF($H16&gt;=1,"Green",IF($H16&gt;=0.85,"Amber","Red"))</f>
        <v/>
      </c>
      <c r="J16" s="14" t="inlineStr">
        <is>
          <t>Awaiting spares</t>
        </is>
      </c>
    </row>
    <row r="17">
      <c r="A17" s="7" t="n">
        <v>46176</v>
      </c>
      <c r="B17" s="8">
        <f>IF($A17="","",TEXT($A17,"mmm-yyyy"))</f>
        <v/>
      </c>
      <c r="C17" s="8">
        <f>IF($A17="","","W"&amp;WEEKNUM($A17,2))</f>
        <v/>
      </c>
      <c r="D17" s="8" t="inlineStr">
        <is>
          <t>HR</t>
        </is>
      </c>
      <c r="E17" s="8">
        <f>IFERROR(INDEX(Tbl_KPIMaster[KPI Name],MATCH($D17,Tbl_KPIMaster[Department],0)),"")</f>
        <v/>
      </c>
      <c r="F17" s="8">
        <f>IFERROR(INDEX(Tbl_KPIMaster[Target],MATCH($D17,Tbl_KPIMaster[Department],0)),"")</f>
        <v/>
      </c>
      <c r="G17" s="8" t="n">
        <v>0.0255</v>
      </c>
      <c r="H17" s="9">
        <f>IFERROR(IF(INDEX(Tbl_KPIMaster[Direction],MATCH($D17,Tbl_KPIMaster[Department],0))="Lower is Better",IF($G17=0,1,IF($F17=0,0,$F17/$G17)),IF($F17=0,1,$G17/$F17)),0)</f>
        <v/>
      </c>
      <c r="I17" s="8">
        <f>IF($H17&gt;=1,"Green",IF($H17&gt;=0.85,"Amber","Red"))</f>
        <v/>
      </c>
      <c r="J17" s="10" t="inlineStr">
        <is>
          <t>Line changeover impact</t>
        </is>
      </c>
    </row>
    <row r="18">
      <c r="A18" s="11" t="n">
        <v>46176</v>
      </c>
      <c r="B18" s="12">
        <f>IF($A18="","",TEXT($A18,"mmm-yyyy"))</f>
        <v/>
      </c>
      <c r="C18" s="12">
        <f>IF($A18="","","W"&amp;WEEKNUM($A18,2))</f>
        <v/>
      </c>
      <c r="D18" s="12" t="inlineStr">
        <is>
          <t>Engineering</t>
        </is>
      </c>
      <c r="E18" s="12">
        <f>IFERROR(INDEX(Tbl_KPIMaster[KPI Name],MATCH($D18,Tbl_KPIMaster[Department],0)),"")</f>
        <v/>
      </c>
      <c r="F18" s="12">
        <f>IFERROR(INDEX(Tbl_KPIMaster[Target],MATCH($D18,Tbl_KPIMaster[Department],0)),"")</f>
        <v/>
      </c>
      <c r="G18" s="12" t="n">
        <v>0.8244</v>
      </c>
      <c r="H18" s="13">
        <f>IFERROR(IF(INDEX(Tbl_KPIMaster[Direction],MATCH($D18,Tbl_KPIMaster[Department],0))="Lower is Better",IF($G18=0,1,IF($F18=0,0,$F18/$G18)),IF($F18=0,1,$G18/$F18)),0)</f>
        <v/>
      </c>
      <c r="I18" s="12">
        <f>IF($H18&gt;=1,"Green",IF($H18&gt;=0.85,"Amber","Red"))</f>
        <v/>
      </c>
      <c r="J18" s="14" t="inlineStr">
        <is>
          <t>Line changeover impact</t>
        </is>
      </c>
    </row>
    <row r="19">
      <c r="A19" s="7" t="n">
        <v>46177</v>
      </c>
      <c r="B19" s="8">
        <f>IF($A19="","",TEXT($A19,"mmm-yyyy"))</f>
        <v/>
      </c>
      <c r="C19" s="8">
        <f>IF($A19="","","W"&amp;WEEKNUM($A19,2))</f>
        <v/>
      </c>
      <c r="D19" s="8" t="inlineStr">
        <is>
          <t>Safety</t>
        </is>
      </c>
      <c r="E19" s="8">
        <f>IFERROR(INDEX(Tbl_KPIMaster[KPI Name],MATCH($D19,Tbl_KPIMaster[Department],0)),"")</f>
        <v/>
      </c>
      <c r="F19" s="8">
        <f>IFERROR(INDEX(Tbl_KPIMaster[Target],MATCH($D19,Tbl_KPIMaster[Department],0)),"")</f>
        <v/>
      </c>
      <c r="G19" s="8" t="n">
        <v>0</v>
      </c>
      <c r="H19" s="9">
        <f>IFERROR(IF(INDEX(Tbl_KPIMaster[Direction],MATCH($D19,Tbl_KPIMaster[Department],0))="Lower is Better",IF($G19=0,1,IF($F19=0,0,$F19/$G19)),IF($F19=0,1,$G19/$F19)),0)</f>
        <v/>
      </c>
      <c r="I19" s="8">
        <f>IF($H19&gt;=1,"Green",IF($H19&gt;=0.85,"Amber","Red"))</f>
        <v/>
      </c>
      <c r="J19" s="10" t="inlineStr">
        <is>
          <t>Vendor delay</t>
        </is>
      </c>
    </row>
    <row r="20">
      <c r="A20" s="11" t="n">
        <v>46177</v>
      </c>
      <c r="B20" s="12">
        <f>IF($A20="","",TEXT($A20,"mmm-yyyy"))</f>
        <v/>
      </c>
      <c r="C20" s="12">
        <f>IF($A20="","","W"&amp;WEEKNUM($A20,2))</f>
        <v/>
      </c>
      <c r="D20" s="12" t="inlineStr">
        <is>
          <t>Production</t>
        </is>
      </c>
      <c r="E20" s="12">
        <f>IFERROR(INDEX(Tbl_KPIMaster[KPI Name],MATCH($D20,Tbl_KPIMaster[Department],0)),"")</f>
        <v/>
      </c>
      <c r="F20" s="12">
        <f>IFERROR(INDEX(Tbl_KPIMaster[Target],MATCH($D20,Tbl_KPIMaster[Department],0)),"")</f>
        <v/>
      </c>
      <c r="G20" s="12" t="n">
        <v>1016.17</v>
      </c>
      <c r="H20" s="13">
        <f>IFERROR(IF(INDEX(Tbl_KPIMaster[Direction],MATCH($D20,Tbl_KPIMaster[Department],0))="Lower is Better",IF($G20=0,1,IF($F20=0,0,$F20/$G20)),IF($F20=0,1,$G20/$F20)),0)</f>
        <v/>
      </c>
      <c r="I20" s="12">
        <f>IF($H20&gt;=1,"Green",IF($H20&gt;=0.85,"Amber","Red"))</f>
        <v/>
      </c>
      <c r="J20" s="14" t="inlineStr">
        <is>
          <t>Awaiting spares</t>
        </is>
      </c>
    </row>
    <row r="21">
      <c r="A21" s="7" t="n">
        <v>46177</v>
      </c>
      <c r="B21" s="8">
        <f>IF($A21="","",TEXT($A21,"mmm-yyyy"))</f>
        <v/>
      </c>
      <c r="C21" s="8">
        <f>IF($A21="","","W"&amp;WEEKNUM($A21,2))</f>
        <v/>
      </c>
      <c r="D21" s="8" t="inlineStr">
        <is>
          <t>Quality</t>
        </is>
      </c>
      <c r="E21" s="8">
        <f>IFERROR(INDEX(Tbl_KPIMaster[KPI Name],MATCH($D21,Tbl_KPIMaster[Department],0)),"")</f>
        <v/>
      </c>
      <c r="F21" s="8">
        <f>IFERROR(INDEX(Tbl_KPIMaster[Target],MATCH($D21,Tbl_KPIMaster[Department],0)),"")</f>
        <v/>
      </c>
      <c r="G21" s="8" t="n">
        <v>0.0181</v>
      </c>
      <c r="H21" s="9">
        <f>IFERROR(IF(INDEX(Tbl_KPIMaster[Direction],MATCH($D21,Tbl_KPIMaster[Department],0))="Lower is Better",IF($G21=0,1,IF($F21=0,0,$F21/$G21)),IF($F21=0,1,$G21/$F21)),0)</f>
        <v/>
      </c>
      <c r="I21" s="8">
        <f>IF($H21&gt;=1,"Green",IF($H21&gt;=0.85,"Amber","Red"))</f>
        <v/>
      </c>
      <c r="J21" s="10" t="inlineStr">
        <is>
          <t>Manpower shortage</t>
        </is>
      </c>
    </row>
    <row r="22">
      <c r="A22" s="11" t="n">
        <v>46177</v>
      </c>
      <c r="B22" s="12">
        <f>IF($A22="","",TEXT($A22,"mmm-yyyy"))</f>
        <v/>
      </c>
      <c r="C22" s="12">
        <f>IF($A22="","","W"&amp;WEEKNUM($A22,2))</f>
        <v/>
      </c>
      <c r="D22" s="12" t="inlineStr">
        <is>
          <t>Maintenance</t>
        </is>
      </c>
      <c r="E22" s="12">
        <f>IFERROR(INDEX(Tbl_KPIMaster[KPI Name],MATCH($D22,Tbl_KPIMaster[Department],0)),"")</f>
        <v/>
      </c>
      <c r="F22" s="12">
        <f>IFERROR(INDEX(Tbl_KPIMaster[Target],MATCH($D22,Tbl_KPIMaster[Department],0)),"")</f>
        <v/>
      </c>
      <c r="G22" s="12" t="n">
        <v>1.05</v>
      </c>
      <c r="H22" s="13">
        <f>IFERROR(IF(INDEX(Tbl_KPIMaster[Direction],MATCH($D22,Tbl_KPIMaster[Department],0))="Lower is Better",IF($G22=0,1,IF($F22=0,0,$F22/$G22)),IF($F22=0,1,$G22/$F22)),0)</f>
        <v/>
      </c>
      <c r="I22" s="12">
        <f>IF($H22&gt;=1,"Green",IF($H22&gt;=0.85,"Amber","Red"))</f>
        <v/>
      </c>
      <c r="J22" s="14" t="inlineStr">
        <is>
          <t>Vendor delay</t>
        </is>
      </c>
    </row>
    <row r="23">
      <c r="A23" s="7" t="n">
        <v>46177</v>
      </c>
      <c r="B23" s="8">
        <f>IF($A23="","",TEXT($A23,"mmm-yyyy"))</f>
        <v/>
      </c>
      <c r="C23" s="8">
        <f>IF($A23="","","W"&amp;WEEKNUM($A23,2))</f>
        <v/>
      </c>
      <c r="D23" s="8" t="inlineStr">
        <is>
          <t>Utilities</t>
        </is>
      </c>
      <c r="E23" s="8">
        <f>IFERROR(INDEX(Tbl_KPIMaster[KPI Name],MATCH($D23,Tbl_KPIMaster[Department],0)),"")</f>
        <v/>
      </c>
      <c r="F23" s="8">
        <f>IFERROR(INDEX(Tbl_KPIMaster[Target],MATCH($D23,Tbl_KPIMaster[Department],0)),"")</f>
        <v/>
      </c>
      <c r="G23" s="8" t="n">
        <v>4204.54</v>
      </c>
      <c r="H23" s="9">
        <f>IFERROR(IF(INDEX(Tbl_KPIMaster[Direction],MATCH($D23,Tbl_KPIMaster[Department],0))="Lower is Better",IF($G23=0,1,IF($F23=0,0,$F23/$G23)),IF($F23=0,1,$G23/$F23)),0)</f>
        <v/>
      </c>
      <c r="I23" s="8">
        <f>IF($H23&gt;=1,"Green",IF($H23&gt;=0.85,"Amber","Red"))</f>
        <v/>
      </c>
      <c r="J23" s="10" t="inlineStr"/>
    </row>
    <row r="24">
      <c r="A24" s="11" t="n">
        <v>46177</v>
      </c>
      <c r="B24" s="12">
        <f>IF($A24="","",TEXT($A24,"mmm-yyyy"))</f>
        <v/>
      </c>
      <c r="C24" s="12">
        <f>IF($A24="","","W"&amp;WEEKNUM($A24,2))</f>
        <v/>
      </c>
      <c r="D24" s="12" t="inlineStr">
        <is>
          <t>Warehouse</t>
        </is>
      </c>
      <c r="E24" s="12">
        <f>IFERROR(INDEX(Tbl_KPIMaster[KPI Name],MATCH($D24,Tbl_KPIMaster[Department],0)),"")</f>
        <v/>
      </c>
      <c r="F24" s="12">
        <f>IFERROR(INDEX(Tbl_KPIMaster[Target],MATCH($D24,Tbl_KPIMaster[Department],0)),"")</f>
        <v/>
      </c>
      <c r="G24" s="12" t="n">
        <v>1.1429</v>
      </c>
      <c r="H24" s="13">
        <f>IFERROR(IF(INDEX(Tbl_KPIMaster[Direction],MATCH($D24,Tbl_KPIMaster[Department],0))="Lower is Better",IF($G24=0,1,IF($F24=0,0,$F24/$G24)),IF($F24=0,1,$G24/$F24)),0)</f>
        <v/>
      </c>
      <c r="I24" s="12">
        <f>IF($H24&gt;=1,"Green",IF($H24&gt;=0.85,"Amber","Red"))</f>
        <v/>
      </c>
      <c r="J24" s="14" t="inlineStr">
        <is>
          <t>Within normal range</t>
        </is>
      </c>
    </row>
    <row r="25">
      <c r="A25" s="7" t="n">
        <v>46177</v>
      </c>
      <c r="B25" s="8">
        <f>IF($A25="","",TEXT($A25,"mmm-yyyy"))</f>
        <v/>
      </c>
      <c r="C25" s="8">
        <f>IF($A25="","","W"&amp;WEEKNUM($A25,2))</f>
        <v/>
      </c>
      <c r="D25" s="8" t="inlineStr">
        <is>
          <t>HR</t>
        </is>
      </c>
      <c r="E25" s="8">
        <f>IFERROR(INDEX(Tbl_KPIMaster[KPI Name],MATCH($D25,Tbl_KPIMaster[Department],0)),"")</f>
        <v/>
      </c>
      <c r="F25" s="8">
        <f>IFERROR(INDEX(Tbl_KPIMaster[Target],MATCH($D25,Tbl_KPIMaster[Department],0)),"")</f>
        <v/>
      </c>
      <c r="G25" s="8" t="n">
        <v>0.0261</v>
      </c>
      <c r="H25" s="9">
        <f>IFERROR(IF(INDEX(Tbl_KPIMaster[Direction],MATCH($D25,Tbl_KPIMaster[Department],0))="Lower is Better",IF($G25=0,1,IF($F25=0,0,$F25/$G25)),IF($F25=0,1,$G25/$F25)),0)</f>
        <v/>
      </c>
      <c r="I25" s="8">
        <f>IF($H25&gt;=1,"Green",IF($H25&gt;=0.85,"Amber","Red"))</f>
        <v/>
      </c>
      <c r="J25" s="10" t="inlineStr">
        <is>
          <t>Preventive check done</t>
        </is>
      </c>
    </row>
    <row r="26">
      <c r="A26" s="11" t="n">
        <v>46177</v>
      </c>
      <c r="B26" s="12">
        <f>IF($A26="","",TEXT($A26,"mmm-yyyy"))</f>
        <v/>
      </c>
      <c r="C26" s="12">
        <f>IF($A26="","","W"&amp;WEEKNUM($A26,2))</f>
        <v/>
      </c>
      <c r="D26" s="12" t="inlineStr">
        <is>
          <t>Engineering</t>
        </is>
      </c>
      <c r="E26" s="12">
        <f>IFERROR(INDEX(Tbl_KPIMaster[KPI Name],MATCH($D26,Tbl_KPIMaster[Department],0)),"")</f>
        <v/>
      </c>
      <c r="F26" s="12">
        <f>IFERROR(INDEX(Tbl_KPIMaster[Target],MATCH($D26,Tbl_KPIMaster[Department],0)),"")</f>
        <v/>
      </c>
      <c r="G26" s="12" t="n">
        <v>0.8406</v>
      </c>
      <c r="H26" s="13">
        <f>IFERROR(IF(INDEX(Tbl_KPIMaster[Direction],MATCH($D26,Tbl_KPIMaster[Department],0))="Lower is Better",IF($G26=0,1,IF($F26=0,0,$F26/$G26)),IF($F26=0,1,$G26/$F26)),0)</f>
        <v/>
      </c>
      <c r="I26" s="12">
        <f>IF($H26&gt;=1,"Green",IF($H26&gt;=0.85,"Amber","Red"))</f>
        <v/>
      </c>
      <c r="J26" s="14" t="inlineStr">
        <is>
          <t>Process improvement in progress</t>
        </is>
      </c>
    </row>
    <row r="27">
      <c r="A27" s="7" t="n">
        <v>46178</v>
      </c>
      <c r="B27" s="8">
        <f>IF($A27="","",TEXT($A27,"mmm-yyyy"))</f>
        <v/>
      </c>
      <c r="C27" s="8">
        <f>IF($A27="","","W"&amp;WEEKNUM($A27,2))</f>
        <v/>
      </c>
      <c r="D27" s="8" t="inlineStr">
        <is>
          <t>Safety</t>
        </is>
      </c>
      <c r="E27" s="8">
        <f>IFERROR(INDEX(Tbl_KPIMaster[KPI Name],MATCH($D27,Tbl_KPIMaster[Department],0)),"")</f>
        <v/>
      </c>
      <c r="F27" s="8">
        <f>IFERROR(INDEX(Tbl_KPIMaster[Target],MATCH($D27,Tbl_KPIMaster[Department],0)),"")</f>
        <v/>
      </c>
      <c r="G27" s="8" t="n">
        <v>0</v>
      </c>
      <c r="H27" s="9">
        <f>IFERROR(IF(INDEX(Tbl_KPIMaster[Direction],MATCH($D27,Tbl_KPIMaster[Department],0))="Lower is Better",IF($G27=0,1,IF($F27=0,0,$F27/$G27)),IF($F27=0,1,$G27/$F27)),0)</f>
        <v/>
      </c>
      <c r="I27" s="8">
        <f>IF($H27&gt;=1,"Green",IF($H27&gt;=0.85,"Amber","Red"))</f>
        <v/>
      </c>
      <c r="J27" s="10" t="inlineStr">
        <is>
          <t>Awaiting spares</t>
        </is>
      </c>
    </row>
    <row r="28">
      <c r="A28" s="11" t="n">
        <v>46178</v>
      </c>
      <c r="B28" s="12">
        <f>IF($A28="","",TEXT($A28,"mmm-yyyy"))</f>
        <v/>
      </c>
      <c r="C28" s="12">
        <f>IF($A28="","","W"&amp;WEEKNUM($A28,2))</f>
        <v/>
      </c>
      <c r="D28" s="12" t="inlineStr">
        <is>
          <t>Production</t>
        </is>
      </c>
      <c r="E28" s="12">
        <f>IFERROR(INDEX(Tbl_KPIMaster[KPI Name],MATCH($D28,Tbl_KPIMaster[Department],0)),"")</f>
        <v/>
      </c>
      <c r="F28" s="12">
        <f>IFERROR(INDEX(Tbl_KPIMaster[Target],MATCH($D28,Tbl_KPIMaster[Department],0)),"")</f>
        <v/>
      </c>
      <c r="G28" s="12" t="n">
        <v>673.47</v>
      </c>
      <c r="H28" s="13">
        <f>IFERROR(IF(INDEX(Tbl_KPIMaster[Direction],MATCH($D28,Tbl_KPIMaster[Department],0))="Lower is Better",IF($G28=0,1,IF($F28=0,0,$F28/$G28)),IF($F28=0,1,$G28/$F28)),0)</f>
        <v/>
      </c>
      <c r="I28" s="12">
        <f>IF($H28&gt;=1,"Green",IF($H28&gt;=0.85,"Amber","Red"))</f>
        <v/>
      </c>
      <c r="J28" s="14" t="inlineStr">
        <is>
          <t>Awaiting spares</t>
        </is>
      </c>
    </row>
    <row r="29">
      <c r="A29" s="7" t="n">
        <v>46178</v>
      </c>
      <c r="B29" s="8">
        <f>IF($A29="","",TEXT($A29,"mmm-yyyy"))</f>
        <v/>
      </c>
      <c r="C29" s="8">
        <f>IF($A29="","","W"&amp;WEEKNUM($A29,2))</f>
        <v/>
      </c>
      <c r="D29" s="8" t="inlineStr">
        <is>
          <t>Quality</t>
        </is>
      </c>
      <c r="E29" s="8">
        <f>IFERROR(INDEX(Tbl_KPIMaster[KPI Name],MATCH($D29,Tbl_KPIMaster[Department],0)),"")</f>
        <v/>
      </c>
      <c r="F29" s="8">
        <f>IFERROR(INDEX(Tbl_KPIMaster[Target],MATCH($D29,Tbl_KPIMaster[Department],0)),"")</f>
        <v/>
      </c>
      <c r="G29" s="8" t="n">
        <v>0.0201</v>
      </c>
      <c r="H29" s="9">
        <f>IFERROR(IF(INDEX(Tbl_KPIMaster[Direction],MATCH($D29,Tbl_KPIMaster[Department],0))="Lower is Better",IF($G29=0,1,IF($F29=0,0,$F29/$G29)),IF($F29=0,1,$G29/$F29)),0)</f>
        <v/>
      </c>
      <c r="I29" s="8">
        <f>IF($H29&gt;=1,"Green",IF($H29&gt;=0.85,"Amber","Red"))</f>
        <v/>
      </c>
      <c r="J29" s="10" t="inlineStr"/>
    </row>
    <row r="30">
      <c r="A30" s="11" t="n">
        <v>46178</v>
      </c>
      <c r="B30" s="12">
        <f>IF($A30="","",TEXT($A30,"mmm-yyyy"))</f>
        <v/>
      </c>
      <c r="C30" s="12">
        <f>IF($A30="","","W"&amp;WEEKNUM($A30,2))</f>
        <v/>
      </c>
      <c r="D30" s="12" t="inlineStr">
        <is>
          <t>Maintenance</t>
        </is>
      </c>
      <c r="E30" s="12">
        <f>IFERROR(INDEX(Tbl_KPIMaster[KPI Name],MATCH($D30,Tbl_KPIMaster[Department],0)),"")</f>
        <v/>
      </c>
      <c r="F30" s="12">
        <f>IFERROR(INDEX(Tbl_KPIMaster[Target],MATCH($D30,Tbl_KPIMaster[Department],0)),"")</f>
        <v/>
      </c>
      <c r="G30" s="12" t="n">
        <v>0.93</v>
      </c>
      <c r="H30" s="13">
        <f>IFERROR(IF(INDEX(Tbl_KPIMaster[Direction],MATCH($D30,Tbl_KPIMaster[Department],0))="Lower is Better",IF($G30=0,1,IF($F30=0,0,$F30/$G30)),IF($F30=0,1,$G30/$F30)),0)</f>
        <v/>
      </c>
      <c r="I30" s="12">
        <f>IF($H30&gt;=1,"Green",IF($H30&gt;=0.85,"Amber","Red"))</f>
        <v/>
      </c>
      <c r="J30" s="14" t="inlineStr">
        <is>
          <t>Vendor delay</t>
        </is>
      </c>
    </row>
    <row r="31">
      <c r="A31" s="7" t="n">
        <v>46178</v>
      </c>
      <c r="B31" s="8">
        <f>IF($A31="","",TEXT($A31,"mmm-yyyy"))</f>
        <v/>
      </c>
      <c r="C31" s="8">
        <f>IF($A31="","","W"&amp;WEEKNUM($A31,2))</f>
        <v/>
      </c>
      <c r="D31" s="8" t="inlineStr">
        <is>
          <t>Utilities</t>
        </is>
      </c>
      <c r="E31" s="8">
        <f>IFERROR(INDEX(Tbl_KPIMaster[KPI Name],MATCH($D31,Tbl_KPIMaster[Department],0)),"")</f>
        <v/>
      </c>
      <c r="F31" s="8">
        <f>IFERROR(INDEX(Tbl_KPIMaster[Target],MATCH($D31,Tbl_KPIMaster[Department],0)),"")</f>
        <v/>
      </c>
      <c r="G31" s="8" t="n">
        <v>5628.62</v>
      </c>
      <c r="H31" s="9">
        <f>IFERROR(IF(INDEX(Tbl_KPIMaster[Direction],MATCH($D31,Tbl_KPIMaster[Department],0))="Lower is Better",IF($G31=0,1,IF($F31=0,0,$F31/$G31)),IF($F31=0,1,$G31/$F31)),0)</f>
        <v/>
      </c>
      <c r="I31" s="8">
        <f>IF($H31&gt;=1,"Green",IF($H31&gt;=0.85,"Amber","Red"))</f>
        <v/>
      </c>
      <c r="J31" s="10" t="inlineStr">
        <is>
          <t>Line changeover impact</t>
        </is>
      </c>
    </row>
    <row r="32">
      <c r="A32" s="11" t="n">
        <v>46178</v>
      </c>
      <c r="B32" s="12">
        <f>IF($A32="","",TEXT($A32,"mmm-yyyy"))</f>
        <v/>
      </c>
      <c r="C32" s="12">
        <f>IF($A32="","","W"&amp;WEEKNUM($A32,2))</f>
        <v/>
      </c>
      <c r="D32" s="12" t="inlineStr">
        <is>
          <t>Warehouse</t>
        </is>
      </c>
      <c r="E32" s="12">
        <f>IFERROR(INDEX(Tbl_KPIMaster[KPI Name],MATCH($D32,Tbl_KPIMaster[Department],0)),"")</f>
        <v/>
      </c>
      <c r="F32" s="12">
        <f>IFERROR(INDEX(Tbl_KPIMaster[Target],MATCH($D32,Tbl_KPIMaster[Department],0)),"")</f>
        <v/>
      </c>
      <c r="G32" s="12" t="n">
        <v>0.7812</v>
      </c>
      <c r="H32" s="13">
        <f>IFERROR(IF(INDEX(Tbl_KPIMaster[Direction],MATCH($D32,Tbl_KPIMaster[Department],0))="Lower is Better",IF($G32=0,1,IF($F32=0,0,$F32/$G32)),IF($F32=0,1,$G32/$F32)),0)</f>
        <v/>
      </c>
      <c r="I32" s="12">
        <f>IF($H32&gt;=1,"Green",IF($H32&gt;=0.85,"Amber","Red"))</f>
        <v/>
      </c>
      <c r="J32" s="14" t="inlineStr">
        <is>
          <t>Within normal range</t>
        </is>
      </c>
    </row>
    <row r="33">
      <c r="A33" s="7" t="n">
        <v>46178</v>
      </c>
      <c r="B33" s="8">
        <f>IF($A33="","",TEXT($A33,"mmm-yyyy"))</f>
        <v/>
      </c>
      <c r="C33" s="8">
        <f>IF($A33="","","W"&amp;WEEKNUM($A33,2))</f>
        <v/>
      </c>
      <c r="D33" s="8" t="inlineStr">
        <is>
          <t>HR</t>
        </is>
      </c>
      <c r="E33" s="8">
        <f>IFERROR(INDEX(Tbl_KPIMaster[KPI Name],MATCH($D33,Tbl_KPIMaster[Department],0)),"")</f>
        <v/>
      </c>
      <c r="F33" s="8">
        <f>IFERROR(INDEX(Tbl_KPIMaster[Target],MATCH($D33,Tbl_KPIMaster[Department],0)),"")</f>
        <v/>
      </c>
      <c r="G33" s="8" t="n">
        <v>0.0278</v>
      </c>
      <c r="H33" s="9">
        <f>IFERROR(IF(INDEX(Tbl_KPIMaster[Direction],MATCH($D33,Tbl_KPIMaster[Department],0))="Lower is Better",IF($G33=0,1,IF($F33=0,0,$F33/$G33)),IF($F33=0,1,$G33/$F33)),0)</f>
        <v/>
      </c>
      <c r="I33" s="8">
        <f>IF($H33&gt;=1,"Green",IF($H33&gt;=0.85,"Amber","Red"))</f>
        <v/>
      </c>
      <c r="J33" s="10" t="inlineStr">
        <is>
          <t>Line changeover impact</t>
        </is>
      </c>
    </row>
    <row r="34">
      <c r="A34" s="11" t="n">
        <v>46178</v>
      </c>
      <c r="B34" s="12">
        <f>IF($A34="","",TEXT($A34,"mmm-yyyy"))</f>
        <v/>
      </c>
      <c r="C34" s="12">
        <f>IF($A34="","","W"&amp;WEEKNUM($A34,2))</f>
        <v/>
      </c>
      <c r="D34" s="12" t="inlineStr">
        <is>
          <t>Engineering</t>
        </is>
      </c>
      <c r="E34" s="12">
        <f>IFERROR(INDEX(Tbl_KPIMaster[KPI Name],MATCH($D34,Tbl_KPIMaster[Department],0)),"")</f>
        <v/>
      </c>
      <c r="F34" s="12">
        <f>IFERROR(INDEX(Tbl_KPIMaster[Target],MATCH($D34,Tbl_KPIMaster[Department],0)),"")</f>
        <v/>
      </c>
      <c r="G34" s="12" t="n">
        <v>1.0533</v>
      </c>
      <c r="H34" s="13">
        <f>IFERROR(IF(INDEX(Tbl_KPIMaster[Direction],MATCH($D34,Tbl_KPIMaster[Department],0))="Lower is Better",IF($G34=0,1,IF($F34=0,0,$F34/$G34)),IF($F34=0,1,$G34/$F34)),0)</f>
        <v/>
      </c>
      <c r="I34" s="12">
        <f>IF($H34&gt;=1,"Green",IF($H34&gt;=0.85,"Amber","Red"))</f>
        <v/>
      </c>
      <c r="J34" s="14" t="inlineStr">
        <is>
          <t>Preventive check done</t>
        </is>
      </c>
    </row>
    <row r="35">
      <c r="A35" s="7" t="n">
        <v>46179</v>
      </c>
      <c r="B35" s="8">
        <f>IF($A35="","",TEXT($A35,"mmm-yyyy"))</f>
        <v/>
      </c>
      <c r="C35" s="8">
        <f>IF($A35="","","W"&amp;WEEKNUM($A35,2))</f>
        <v/>
      </c>
      <c r="D35" s="8" t="inlineStr">
        <is>
          <t>Safety</t>
        </is>
      </c>
      <c r="E35" s="8">
        <f>IFERROR(INDEX(Tbl_KPIMaster[KPI Name],MATCH($D35,Tbl_KPIMaster[Department],0)),"")</f>
        <v/>
      </c>
      <c r="F35" s="8">
        <f>IFERROR(INDEX(Tbl_KPIMaster[Target],MATCH($D35,Tbl_KPIMaster[Department],0)),"")</f>
        <v/>
      </c>
      <c r="G35" s="8" t="n">
        <v>0</v>
      </c>
      <c r="H35" s="9">
        <f>IFERROR(IF(INDEX(Tbl_KPIMaster[Direction],MATCH($D35,Tbl_KPIMaster[Department],0))="Lower is Better",IF($G35=0,1,IF($F35=0,0,$F35/$G35)),IF($F35=0,1,$G35/$F35)),0)</f>
        <v/>
      </c>
      <c r="I35" s="8">
        <f>IF($H35&gt;=1,"Green",IF($H35&gt;=0.85,"Amber","Red"))</f>
        <v/>
      </c>
      <c r="J35" s="10" t="inlineStr">
        <is>
          <t>Line changeover impact</t>
        </is>
      </c>
    </row>
    <row r="36">
      <c r="A36" s="11" t="n">
        <v>46179</v>
      </c>
      <c r="B36" s="12">
        <f>IF($A36="","",TEXT($A36,"mmm-yyyy"))</f>
        <v/>
      </c>
      <c r="C36" s="12">
        <f>IF($A36="","","W"&amp;WEEKNUM($A36,2))</f>
        <v/>
      </c>
      <c r="D36" s="12" t="inlineStr">
        <is>
          <t>Production</t>
        </is>
      </c>
      <c r="E36" s="12">
        <f>IFERROR(INDEX(Tbl_KPIMaster[KPI Name],MATCH($D36,Tbl_KPIMaster[Department],0)),"")</f>
        <v/>
      </c>
      <c r="F36" s="12">
        <f>IFERROR(INDEX(Tbl_KPIMaster[Target],MATCH($D36,Tbl_KPIMaster[Department],0)),"")</f>
        <v/>
      </c>
      <c r="G36" s="12" t="n">
        <v>1062.42</v>
      </c>
      <c r="H36" s="13">
        <f>IFERROR(IF(INDEX(Tbl_KPIMaster[Direction],MATCH($D36,Tbl_KPIMaster[Department],0))="Lower is Better",IF($G36=0,1,IF($F36=0,0,$F36/$G36)),IF($F36=0,1,$G36/$F36)),0)</f>
        <v/>
      </c>
      <c r="I36" s="12">
        <f>IF($H36&gt;=1,"Green",IF($H36&gt;=0.85,"Amber","Red"))</f>
        <v/>
      </c>
      <c r="J36" s="14" t="inlineStr">
        <is>
          <t>Awaiting spares</t>
        </is>
      </c>
    </row>
    <row r="37">
      <c r="A37" s="7" t="n">
        <v>46179</v>
      </c>
      <c r="B37" s="8">
        <f>IF($A37="","",TEXT($A37,"mmm-yyyy"))</f>
        <v/>
      </c>
      <c r="C37" s="8">
        <f>IF($A37="","","W"&amp;WEEKNUM($A37,2))</f>
        <v/>
      </c>
      <c r="D37" s="8" t="inlineStr">
        <is>
          <t>Quality</t>
        </is>
      </c>
      <c r="E37" s="8">
        <f>IFERROR(INDEX(Tbl_KPIMaster[KPI Name],MATCH($D37,Tbl_KPIMaster[Department],0)),"")</f>
        <v/>
      </c>
      <c r="F37" s="8">
        <f>IFERROR(INDEX(Tbl_KPIMaster[Target],MATCH($D37,Tbl_KPIMaster[Department],0)),"")</f>
        <v/>
      </c>
      <c r="G37" s="8" t="n">
        <v>0.0196</v>
      </c>
      <c r="H37" s="9">
        <f>IFERROR(IF(INDEX(Tbl_KPIMaster[Direction],MATCH($D37,Tbl_KPIMaster[Department],0))="Lower is Better",IF($G37=0,1,IF($F37=0,0,$F37/$G37)),IF($F37=0,1,$G37/$F37)),0)</f>
        <v/>
      </c>
      <c r="I37" s="8">
        <f>IF($H37&gt;=1,"Green",IF($H37&gt;=0.85,"Amber","Red"))</f>
        <v/>
      </c>
      <c r="J37" s="10" t="inlineStr">
        <is>
          <t>Process improvement in progress</t>
        </is>
      </c>
    </row>
    <row r="38">
      <c r="A38" s="11" t="n">
        <v>46179</v>
      </c>
      <c r="B38" s="12">
        <f>IF($A38="","",TEXT($A38,"mmm-yyyy"))</f>
        <v/>
      </c>
      <c r="C38" s="12">
        <f>IF($A38="","","W"&amp;WEEKNUM($A38,2))</f>
        <v/>
      </c>
      <c r="D38" s="12" t="inlineStr">
        <is>
          <t>Maintenance</t>
        </is>
      </c>
      <c r="E38" s="12">
        <f>IFERROR(INDEX(Tbl_KPIMaster[KPI Name],MATCH($D38,Tbl_KPIMaster[Department],0)),"")</f>
        <v/>
      </c>
      <c r="F38" s="12">
        <f>IFERROR(INDEX(Tbl_KPIMaster[Target],MATCH($D38,Tbl_KPIMaster[Department],0)),"")</f>
        <v/>
      </c>
      <c r="G38" s="12" t="n">
        <v>0.96</v>
      </c>
      <c r="H38" s="13">
        <f>IFERROR(IF(INDEX(Tbl_KPIMaster[Direction],MATCH($D38,Tbl_KPIMaster[Department],0))="Lower is Better",IF($G38=0,1,IF($F38=0,0,$F38/$G38)),IF($F38=0,1,$G38/$F38)),0)</f>
        <v/>
      </c>
      <c r="I38" s="12">
        <f>IF($H38&gt;=1,"Green",IF($H38&gt;=0.85,"Amber","Red"))</f>
        <v/>
      </c>
      <c r="J38" s="14" t="inlineStr">
        <is>
          <t>Line changeover impact</t>
        </is>
      </c>
    </row>
    <row r="39">
      <c r="A39" s="7" t="n">
        <v>46179</v>
      </c>
      <c r="B39" s="8">
        <f>IF($A39="","",TEXT($A39,"mmm-yyyy"))</f>
        <v/>
      </c>
      <c r="C39" s="8">
        <f>IF($A39="","","W"&amp;WEEKNUM($A39,2))</f>
        <v/>
      </c>
      <c r="D39" s="8" t="inlineStr">
        <is>
          <t>Utilities</t>
        </is>
      </c>
      <c r="E39" s="8">
        <f>IFERROR(INDEX(Tbl_KPIMaster[KPI Name],MATCH($D39,Tbl_KPIMaster[Department],0)),"")</f>
        <v/>
      </c>
      <c r="F39" s="8">
        <f>IFERROR(INDEX(Tbl_KPIMaster[Target],MATCH($D39,Tbl_KPIMaster[Department],0)),"")</f>
        <v/>
      </c>
      <c r="G39" s="8" t="n">
        <v>5502.22</v>
      </c>
      <c r="H39" s="9">
        <f>IFERROR(IF(INDEX(Tbl_KPIMaster[Direction],MATCH($D39,Tbl_KPIMaster[Department],0))="Lower is Better",IF($G39=0,1,IF($F39=0,0,$F39/$G39)),IF($F39=0,1,$G39/$F39)),0)</f>
        <v/>
      </c>
      <c r="I39" s="8">
        <f>IF($H39&gt;=1,"Green",IF($H39&gt;=0.85,"Amber","Red"))</f>
        <v/>
      </c>
      <c r="J39" s="10" t="inlineStr">
        <is>
          <t>Manpower shortage</t>
        </is>
      </c>
    </row>
    <row r="40">
      <c r="A40" s="11" t="n">
        <v>46179</v>
      </c>
      <c r="B40" s="12">
        <f>IF($A40="","",TEXT($A40,"mmm-yyyy"))</f>
        <v/>
      </c>
      <c r="C40" s="12">
        <f>IF($A40="","","W"&amp;WEEKNUM($A40,2))</f>
        <v/>
      </c>
      <c r="D40" s="12" t="inlineStr">
        <is>
          <t>Warehouse</t>
        </is>
      </c>
      <c r="E40" s="12">
        <f>IFERROR(INDEX(Tbl_KPIMaster[KPI Name],MATCH($D40,Tbl_KPIMaster[Department],0)),"")</f>
        <v/>
      </c>
      <c r="F40" s="12">
        <f>IFERROR(INDEX(Tbl_KPIMaster[Target],MATCH($D40,Tbl_KPIMaster[Department],0)),"")</f>
        <v/>
      </c>
      <c r="G40" s="12" t="n">
        <v>0.9408</v>
      </c>
      <c r="H40" s="13">
        <f>IFERROR(IF(INDEX(Tbl_KPIMaster[Direction],MATCH($D40,Tbl_KPIMaster[Department],0))="Lower is Better",IF($G40=0,1,IF($F40=0,0,$F40/$G40)),IF($F40=0,1,$G40/$F40)),0)</f>
        <v/>
      </c>
      <c r="I40" s="12">
        <f>IF($H40&gt;=1,"Green",IF($H40&gt;=0.85,"Amber","Red"))</f>
        <v/>
      </c>
      <c r="J40" s="14" t="inlineStr">
        <is>
          <t>Process improvement in progress</t>
        </is>
      </c>
    </row>
    <row r="41">
      <c r="A41" s="7" t="n">
        <v>46179</v>
      </c>
      <c r="B41" s="8">
        <f>IF($A41="","",TEXT($A41,"mmm-yyyy"))</f>
        <v/>
      </c>
      <c r="C41" s="8">
        <f>IF($A41="","","W"&amp;WEEKNUM($A41,2))</f>
        <v/>
      </c>
      <c r="D41" s="8" t="inlineStr">
        <is>
          <t>HR</t>
        </is>
      </c>
      <c r="E41" s="8">
        <f>IFERROR(INDEX(Tbl_KPIMaster[KPI Name],MATCH($D41,Tbl_KPIMaster[Department],0)),"")</f>
        <v/>
      </c>
      <c r="F41" s="8">
        <f>IFERROR(INDEX(Tbl_KPIMaster[Target],MATCH($D41,Tbl_KPIMaster[Department],0)),"")</f>
        <v/>
      </c>
      <c r="G41" s="8" t="n">
        <v>0.0296</v>
      </c>
      <c r="H41" s="9">
        <f>IFERROR(IF(INDEX(Tbl_KPIMaster[Direction],MATCH($D41,Tbl_KPIMaster[Department],0))="Lower is Better",IF($G41=0,1,IF($F41=0,0,$F41/$G41)),IF($F41=0,1,$G41/$F41)),0)</f>
        <v/>
      </c>
      <c r="I41" s="8">
        <f>IF($H41&gt;=1,"Green",IF($H41&gt;=0.85,"Amber","Red"))</f>
        <v/>
      </c>
      <c r="J41" s="10" t="inlineStr">
        <is>
          <t>Awaiting spares</t>
        </is>
      </c>
    </row>
    <row r="42">
      <c r="A42" s="11" t="n">
        <v>46179</v>
      </c>
      <c r="B42" s="12">
        <f>IF($A42="","",TEXT($A42,"mmm-yyyy"))</f>
        <v/>
      </c>
      <c r="C42" s="12">
        <f>IF($A42="","","W"&amp;WEEKNUM($A42,2))</f>
        <v/>
      </c>
      <c r="D42" s="12" t="inlineStr">
        <is>
          <t>Engineering</t>
        </is>
      </c>
      <c r="E42" s="12">
        <f>IFERROR(INDEX(Tbl_KPIMaster[KPI Name],MATCH($D42,Tbl_KPIMaster[Department],0)),"")</f>
        <v/>
      </c>
      <c r="F42" s="12">
        <f>IFERROR(INDEX(Tbl_KPIMaster[Target],MATCH($D42,Tbl_KPIMaster[Department],0)),"")</f>
        <v/>
      </c>
      <c r="G42" s="12" t="n">
        <v>0.8799</v>
      </c>
      <c r="H42" s="13">
        <f>IFERROR(IF(INDEX(Tbl_KPIMaster[Direction],MATCH($D42,Tbl_KPIMaster[Department],0))="Lower is Better",IF($G42=0,1,IF($F42=0,0,$F42/$G42)),IF($F42=0,1,$G42/$F42)),0)</f>
        <v/>
      </c>
      <c r="I42" s="12">
        <f>IF($H42&gt;=1,"Green",IF($H42&gt;=0.85,"Amber","Red"))</f>
        <v/>
      </c>
      <c r="J42" s="14" t="inlineStr">
        <is>
          <t>Preventive check done</t>
        </is>
      </c>
    </row>
    <row r="43">
      <c r="A43" s="7" t="n">
        <v>46180</v>
      </c>
      <c r="B43" s="8">
        <f>IF($A43="","",TEXT($A43,"mmm-yyyy"))</f>
        <v/>
      </c>
      <c r="C43" s="8">
        <f>IF($A43="","","W"&amp;WEEKNUM($A43,2))</f>
        <v/>
      </c>
      <c r="D43" s="8" t="inlineStr">
        <is>
          <t>Safety</t>
        </is>
      </c>
      <c r="E43" s="8">
        <f>IFERROR(INDEX(Tbl_KPIMaster[KPI Name],MATCH($D43,Tbl_KPIMaster[Department],0)),"")</f>
        <v/>
      </c>
      <c r="F43" s="8">
        <f>IFERROR(INDEX(Tbl_KPIMaster[Target],MATCH($D43,Tbl_KPIMaster[Department],0)),"")</f>
        <v/>
      </c>
      <c r="G43" s="8" t="n">
        <v>0</v>
      </c>
      <c r="H43" s="9">
        <f>IFERROR(IF(INDEX(Tbl_KPIMaster[Direction],MATCH($D43,Tbl_KPIMaster[Department],0))="Lower is Better",IF($G43=0,1,IF($F43=0,0,$F43/$G43)),IF($F43=0,1,$G43/$F43)),0)</f>
        <v/>
      </c>
      <c r="I43" s="8">
        <f>IF($H43&gt;=1,"Green",IF($H43&gt;=0.85,"Amber","Red"))</f>
        <v/>
      </c>
      <c r="J43" s="10" t="inlineStr">
        <is>
          <t>Process improvement in progress</t>
        </is>
      </c>
    </row>
    <row r="44">
      <c r="A44" s="11" t="n">
        <v>46180</v>
      </c>
      <c r="B44" s="12">
        <f>IF($A44="","",TEXT($A44,"mmm-yyyy"))</f>
        <v/>
      </c>
      <c r="C44" s="12">
        <f>IF($A44="","","W"&amp;WEEKNUM($A44,2))</f>
        <v/>
      </c>
      <c r="D44" s="12" t="inlineStr">
        <is>
          <t>Production</t>
        </is>
      </c>
      <c r="E44" s="12">
        <f>IFERROR(INDEX(Tbl_KPIMaster[KPI Name],MATCH($D44,Tbl_KPIMaster[Department],0)),"")</f>
        <v/>
      </c>
      <c r="F44" s="12">
        <f>IFERROR(INDEX(Tbl_KPIMaster[Target],MATCH($D44,Tbl_KPIMaster[Department],0)),"")</f>
        <v/>
      </c>
      <c r="G44" s="12" t="n">
        <v>1028.08</v>
      </c>
      <c r="H44" s="13">
        <f>IFERROR(IF(INDEX(Tbl_KPIMaster[Direction],MATCH($D44,Tbl_KPIMaster[Department],0))="Lower is Better",IF($G44=0,1,IF($F44=0,0,$F44/$G44)),IF($F44=0,1,$G44/$F44)),0)</f>
        <v/>
      </c>
      <c r="I44" s="12">
        <f>IF($H44&gt;=1,"Green",IF($H44&gt;=0.85,"Amber","Red"))</f>
        <v/>
      </c>
      <c r="J44" s="14" t="inlineStr">
        <is>
          <t>Line changeover impact</t>
        </is>
      </c>
    </row>
    <row r="45">
      <c r="A45" s="7" t="n">
        <v>46180</v>
      </c>
      <c r="B45" s="8">
        <f>IF($A45="","",TEXT($A45,"mmm-yyyy"))</f>
        <v/>
      </c>
      <c r="C45" s="8">
        <f>IF($A45="","","W"&amp;WEEKNUM($A45,2))</f>
        <v/>
      </c>
      <c r="D45" s="8" t="inlineStr">
        <is>
          <t>Quality</t>
        </is>
      </c>
      <c r="E45" s="8">
        <f>IFERROR(INDEX(Tbl_KPIMaster[KPI Name],MATCH($D45,Tbl_KPIMaster[Department],0)),"")</f>
        <v/>
      </c>
      <c r="F45" s="8">
        <f>IFERROR(INDEX(Tbl_KPIMaster[Target],MATCH($D45,Tbl_KPIMaster[Department],0)),"")</f>
        <v/>
      </c>
      <c r="G45" s="8" t="n">
        <v>0.02</v>
      </c>
      <c r="H45" s="9">
        <f>IFERROR(IF(INDEX(Tbl_KPIMaster[Direction],MATCH($D45,Tbl_KPIMaster[Department],0))="Lower is Better",IF($G45=0,1,IF($F45=0,0,$F45/$G45)),IF($F45=0,1,$G45/$F45)),0)</f>
        <v/>
      </c>
      <c r="I45" s="8">
        <f>IF($H45&gt;=1,"Green",IF($H45&gt;=0.85,"Amber","Red"))</f>
        <v/>
      </c>
      <c r="J45" s="10" t="inlineStr">
        <is>
          <t>Within normal range</t>
        </is>
      </c>
    </row>
    <row r="46">
      <c r="A46" s="11" t="n">
        <v>46180</v>
      </c>
      <c r="B46" s="12">
        <f>IF($A46="","",TEXT($A46,"mmm-yyyy"))</f>
        <v/>
      </c>
      <c r="C46" s="12">
        <f>IF($A46="","","W"&amp;WEEKNUM($A46,2))</f>
        <v/>
      </c>
      <c r="D46" s="12" t="inlineStr">
        <is>
          <t>Maintenance</t>
        </is>
      </c>
      <c r="E46" s="12">
        <f>IFERROR(INDEX(Tbl_KPIMaster[KPI Name],MATCH($D46,Tbl_KPIMaster[Department],0)),"")</f>
        <v/>
      </c>
      <c r="F46" s="12">
        <f>IFERROR(INDEX(Tbl_KPIMaster[Target],MATCH($D46,Tbl_KPIMaster[Department],0)),"")</f>
        <v/>
      </c>
      <c r="G46" s="12" t="n">
        <v>1.12</v>
      </c>
      <c r="H46" s="13">
        <f>IFERROR(IF(INDEX(Tbl_KPIMaster[Direction],MATCH($D46,Tbl_KPIMaster[Department],0))="Lower is Better",IF($G46=0,1,IF($F46=0,0,$F46/$G46)),IF($F46=0,1,$G46/$F46)),0)</f>
        <v/>
      </c>
      <c r="I46" s="12">
        <f>IF($H46&gt;=1,"Green",IF($H46&gt;=0.85,"Amber","Red"))</f>
        <v/>
      </c>
      <c r="J46" s="14" t="inlineStr"/>
    </row>
    <row r="47">
      <c r="A47" s="7" t="n">
        <v>46180</v>
      </c>
      <c r="B47" s="8">
        <f>IF($A47="","",TEXT($A47,"mmm-yyyy"))</f>
        <v/>
      </c>
      <c r="C47" s="8">
        <f>IF($A47="","","W"&amp;WEEKNUM($A47,2))</f>
        <v/>
      </c>
      <c r="D47" s="8" t="inlineStr">
        <is>
          <t>Utilities</t>
        </is>
      </c>
      <c r="E47" s="8">
        <f>IFERROR(INDEX(Tbl_KPIMaster[KPI Name],MATCH($D47,Tbl_KPIMaster[Department],0)),"")</f>
        <v/>
      </c>
      <c r="F47" s="8">
        <f>IFERROR(INDEX(Tbl_KPIMaster[Target],MATCH($D47,Tbl_KPIMaster[Department],0)),"")</f>
        <v/>
      </c>
      <c r="G47" s="8" t="n">
        <v>6118.56</v>
      </c>
      <c r="H47" s="9">
        <f>IFERROR(IF(INDEX(Tbl_KPIMaster[Direction],MATCH($D47,Tbl_KPIMaster[Department],0))="Lower is Better",IF($G47=0,1,IF($F47=0,0,$F47/$G47)),IF($F47=0,1,$G47/$F47)),0)</f>
        <v/>
      </c>
      <c r="I47" s="8">
        <f>IF($H47&gt;=1,"Green",IF($H47&gt;=0.85,"Amber","Red"))</f>
        <v/>
      </c>
      <c r="J47" s="10" t="inlineStr">
        <is>
          <t>Manpower shortage</t>
        </is>
      </c>
    </row>
    <row r="48">
      <c r="A48" s="11" t="n">
        <v>46180</v>
      </c>
      <c r="B48" s="12">
        <f>IF($A48="","",TEXT($A48,"mmm-yyyy"))</f>
        <v/>
      </c>
      <c r="C48" s="12">
        <f>IF($A48="","","W"&amp;WEEKNUM($A48,2))</f>
        <v/>
      </c>
      <c r="D48" s="12" t="inlineStr">
        <is>
          <t>Warehouse</t>
        </is>
      </c>
      <c r="E48" s="12">
        <f>IFERROR(INDEX(Tbl_KPIMaster[KPI Name],MATCH($D48,Tbl_KPIMaster[Department],0)),"")</f>
        <v/>
      </c>
      <c r="F48" s="12">
        <f>IFERROR(INDEX(Tbl_KPIMaster[Target],MATCH($D48,Tbl_KPIMaster[Department],0)),"")</f>
        <v/>
      </c>
      <c r="G48" s="12" t="n">
        <v>0.9952</v>
      </c>
      <c r="H48" s="13">
        <f>IFERROR(IF(INDEX(Tbl_KPIMaster[Direction],MATCH($D48,Tbl_KPIMaster[Department],0))="Lower is Better",IF($G48=0,1,IF($F48=0,0,$F48/$G48)),IF($F48=0,1,$G48/$F48)),0)</f>
        <v/>
      </c>
      <c r="I48" s="12">
        <f>IF($H48&gt;=1,"Green",IF($H48&gt;=0.85,"Amber","Red"))</f>
        <v/>
      </c>
      <c r="J48" s="14" t="inlineStr">
        <is>
          <t>Awaiting spares</t>
        </is>
      </c>
    </row>
    <row r="49">
      <c r="A49" s="7" t="n">
        <v>46180</v>
      </c>
      <c r="B49" s="8">
        <f>IF($A49="","",TEXT($A49,"mmm-yyyy"))</f>
        <v/>
      </c>
      <c r="C49" s="8">
        <f>IF($A49="","","W"&amp;WEEKNUM($A49,2))</f>
        <v/>
      </c>
      <c r="D49" s="8" t="inlineStr">
        <is>
          <t>HR</t>
        </is>
      </c>
      <c r="E49" s="8">
        <f>IFERROR(INDEX(Tbl_KPIMaster[KPI Name],MATCH($D49,Tbl_KPIMaster[Department],0)),"")</f>
        <v/>
      </c>
      <c r="F49" s="8">
        <f>IFERROR(INDEX(Tbl_KPIMaster[Target],MATCH($D49,Tbl_KPIMaster[Department],0)),"")</f>
        <v/>
      </c>
      <c r="G49" s="8" t="n">
        <v>0.0319</v>
      </c>
      <c r="H49" s="9">
        <f>IFERROR(IF(INDEX(Tbl_KPIMaster[Direction],MATCH($D49,Tbl_KPIMaster[Department],0))="Lower is Better",IF($G49=0,1,IF($F49=0,0,$F49/$G49)),IF($F49=0,1,$G49/$F49)),0)</f>
        <v/>
      </c>
      <c r="I49" s="8">
        <f>IF($H49&gt;=1,"Green",IF($H49&gt;=0.85,"Amber","Red"))</f>
        <v/>
      </c>
      <c r="J49" s="10" t="inlineStr"/>
    </row>
    <row r="50">
      <c r="A50" s="11" t="n">
        <v>46180</v>
      </c>
      <c r="B50" s="12">
        <f>IF($A50="","",TEXT($A50,"mmm-yyyy"))</f>
        <v/>
      </c>
      <c r="C50" s="12">
        <f>IF($A50="","","W"&amp;WEEKNUM($A50,2))</f>
        <v/>
      </c>
      <c r="D50" s="12" t="inlineStr">
        <is>
          <t>Engineering</t>
        </is>
      </c>
      <c r="E50" s="12">
        <f>IFERROR(INDEX(Tbl_KPIMaster[KPI Name],MATCH($D50,Tbl_KPIMaster[Department],0)),"")</f>
        <v/>
      </c>
      <c r="F50" s="12">
        <f>IFERROR(INDEX(Tbl_KPIMaster[Target],MATCH($D50,Tbl_KPIMaster[Department],0)),"")</f>
        <v/>
      </c>
      <c r="G50" s="12" t="n">
        <v>0.8342000000000001</v>
      </c>
      <c r="H50" s="13">
        <f>IFERROR(IF(INDEX(Tbl_KPIMaster[Direction],MATCH($D50,Tbl_KPIMaster[Department],0))="Lower is Better",IF($G50=0,1,IF($F50=0,0,$F50/$G50)),IF($F50=0,1,$G50/$F50)),0)</f>
        <v/>
      </c>
      <c r="I50" s="12">
        <f>IF($H50&gt;=1,"Green",IF($H50&gt;=0.85,"Amber","Red"))</f>
        <v/>
      </c>
      <c r="J50" s="14" t="inlineStr">
        <is>
          <t>Manpower shortage</t>
        </is>
      </c>
    </row>
    <row r="51">
      <c r="A51" s="7" t="n">
        <v>46181</v>
      </c>
      <c r="B51" s="8">
        <f>IF($A51="","",TEXT($A51,"mmm-yyyy"))</f>
        <v/>
      </c>
      <c r="C51" s="8">
        <f>IF($A51="","","W"&amp;WEEKNUM($A51,2))</f>
        <v/>
      </c>
      <c r="D51" s="8" t="inlineStr">
        <is>
          <t>Safety</t>
        </is>
      </c>
      <c r="E51" s="8">
        <f>IFERROR(INDEX(Tbl_KPIMaster[KPI Name],MATCH($D51,Tbl_KPIMaster[Department],0)),"")</f>
        <v/>
      </c>
      <c r="F51" s="8">
        <f>IFERROR(INDEX(Tbl_KPIMaster[Target],MATCH($D51,Tbl_KPIMaster[Department],0)),"")</f>
        <v/>
      </c>
      <c r="G51" s="8" t="n">
        <v>2</v>
      </c>
      <c r="H51" s="9">
        <f>IFERROR(IF(INDEX(Tbl_KPIMaster[Direction],MATCH($D51,Tbl_KPIMaster[Department],0))="Lower is Better",IF($G51=0,1,IF($F51=0,0,$F51/$G51)),IF($F51=0,1,$G51/$F51)),0)</f>
        <v/>
      </c>
      <c r="I51" s="8">
        <f>IF($H51&gt;=1,"Green",IF($H51&gt;=0.85,"Amber","Red"))</f>
        <v/>
      </c>
      <c r="J51" s="10" t="inlineStr">
        <is>
          <t>Awaiting spares</t>
        </is>
      </c>
    </row>
    <row r="52">
      <c r="A52" s="11" t="n">
        <v>46181</v>
      </c>
      <c r="B52" s="12">
        <f>IF($A52="","",TEXT($A52,"mmm-yyyy"))</f>
        <v/>
      </c>
      <c r="C52" s="12">
        <f>IF($A52="","","W"&amp;WEEKNUM($A52,2))</f>
        <v/>
      </c>
      <c r="D52" s="12" t="inlineStr">
        <is>
          <t>Production</t>
        </is>
      </c>
      <c r="E52" s="12">
        <f>IFERROR(INDEX(Tbl_KPIMaster[KPI Name],MATCH($D52,Tbl_KPIMaster[Department],0)),"")</f>
        <v/>
      </c>
      <c r="F52" s="12">
        <f>IFERROR(INDEX(Tbl_KPIMaster[Target],MATCH($D52,Tbl_KPIMaster[Department],0)),"")</f>
        <v/>
      </c>
      <c r="G52" s="12" t="n">
        <v>799.24</v>
      </c>
      <c r="H52" s="13">
        <f>IFERROR(IF(INDEX(Tbl_KPIMaster[Direction],MATCH($D52,Tbl_KPIMaster[Department],0))="Lower is Better",IF($G52=0,1,IF($F52=0,0,$F52/$G52)),IF($F52=0,1,$G52/$F52)),0)</f>
        <v/>
      </c>
      <c r="I52" s="12">
        <f>IF($H52&gt;=1,"Green",IF($H52&gt;=0.85,"Amber","Red"))</f>
        <v/>
      </c>
      <c r="J52" s="14" t="inlineStr">
        <is>
          <t>Awaiting spares</t>
        </is>
      </c>
    </row>
    <row r="53">
      <c r="A53" s="7" t="n">
        <v>46181</v>
      </c>
      <c r="B53" s="8">
        <f>IF($A53="","",TEXT($A53,"mmm-yyyy"))</f>
        <v/>
      </c>
      <c r="C53" s="8">
        <f>IF($A53="","","W"&amp;WEEKNUM($A53,2))</f>
        <v/>
      </c>
      <c r="D53" s="8" t="inlineStr">
        <is>
          <t>Quality</t>
        </is>
      </c>
      <c r="E53" s="8">
        <f>IFERROR(INDEX(Tbl_KPIMaster[KPI Name],MATCH($D53,Tbl_KPIMaster[Department],0)),"")</f>
        <v/>
      </c>
      <c r="F53" s="8">
        <f>IFERROR(INDEX(Tbl_KPIMaster[Target],MATCH($D53,Tbl_KPIMaster[Department],0)),"")</f>
        <v/>
      </c>
      <c r="G53" s="8" t="n">
        <v>0.0202</v>
      </c>
      <c r="H53" s="9">
        <f>IFERROR(IF(INDEX(Tbl_KPIMaster[Direction],MATCH($D53,Tbl_KPIMaster[Department],0))="Lower is Better",IF($G53=0,1,IF($F53=0,0,$F53/$G53)),IF($F53=0,1,$G53/$F53)),0)</f>
        <v/>
      </c>
      <c r="I53" s="8">
        <f>IF($H53&gt;=1,"Green",IF($H53&gt;=0.85,"Amber","Red"))</f>
        <v/>
      </c>
      <c r="J53" s="10" t="inlineStr"/>
    </row>
    <row r="54">
      <c r="A54" s="11" t="n">
        <v>46181</v>
      </c>
      <c r="B54" s="12">
        <f>IF($A54="","",TEXT($A54,"mmm-yyyy"))</f>
        <v/>
      </c>
      <c r="C54" s="12">
        <f>IF($A54="","","W"&amp;WEEKNUM($A54,2))</f>
        <v/>
      </c>
      <c r="D54" s="12" t="inlineStr">
        <is>
          <t>Maintenance</t>
        </is>
      </c>
      <c r="E54" s="12">
        <f>IFERROR(INDEX(Tbl_KPIMaster[KPI Name],MATCH($D54,Tbl_KPIMaster[Department],0)),"")</f>
        <v/>
      </c>
      <c r="F54" s="12">
        <f>IFERROR(INDEX(Tbl_KPIMaster[Target],MATCH($D54,Tbl_KPIMaster[Department],0)),"")</f>
        <v/>
      </c>
      <c r="G54" s="12" t="n">
        <v>1.09</v>
      </c>
      <c r="H54" s="13">
        <f>IFERROR(IF(INDEX(Tbl_KPIMaster[Direction],MATCH($D54,Tbl_KPIMaster[Department],0))="Lower is Better",IF($G54=0,1,IF($F54=0,0,$F54/$G54)),IF($F54=0,1,$G54/$F54)),0)</f>
        <v/>
      </c>
      <c r="I54" s="12">
        <f>IF($H54&gt;=1,"Green",IF($H54&gt;=0.85,"Amber","Red"))</f>
        <v/>
      </c>
      <c r="J54" s="14" t="inlineStr">
        <is>
          <t>Within normal range</t>
        </is>
      </c>
    </row>
    <row r="55">
      <c r="A55" s="7" t="n">
        <v>46181</v>
      </c>
      <c r="B55" s="8">
        <f>IF($A55="","",TEXT($A55,"mmm-yyyy"))</f>
        <v/>
      </c>
      <c r="C55" s="8">
        <f>IF($A55="","","W"&amp;WEEKNUM($A55,2))</f>
        <v/>
      </c>
      <c r="D55" s="8" t="inlineStr">
        <is>
          <t>Utilities</t>
        </is>
      </c>
      <c r="E55" s="8">
        <f>IFERROR(INDEX(Tbl_KPIMaster[KPI Name],MATCH($D55,Tbl_KPIMaster[Department],0)),"")</f>
        <v/>
      </c>
      <c r="F55" s="8">
        <f>IFERROR(INDEX(Tbl_KPIMaster[Target],MATCH($D55,Tbl_KPIMaster[Department],0)),"")</f>
        <v/>
      </c>
      <c r="G55" s="8" t="n">
        <v>4496.09</v>
      </c>
      <c r="H55" s="9">
        <f>IFERROR(IF(INDEX(Tbl_KPIMaster[Direction],MATCH($D55,Tbl_KPIMaster[Department],0))="Lower is Better",IF($G55=0,1,IF($F55=0,0,$F55/$G55)),IF($F55=0,1,$G55/$F55)),0)</f>
        <v/>
      </c>
      <c r="I55" s="8">
        <f>IF($H55&gt;=1,"Green",IF($H55&gt;=0.85,"Amber","Red"))</f>
        <v/>
      </c>
      <c r="J55" s="10" t="inlineStr">
        <is>
          <t>Process improvement in progress</t>
        </is>
      </c>
    </row>
    <row r="56">
      <c r="A56" s="11" t="n">
        <v>46181</v>
      </c>
      <c r="B56" s="12">
        <f>IF($A56="","",TEXT($A56,"mmm-yyyy"))</f>
        <v/>
      </c>
      <c r="C56" s="12">
        <f>IF($A56="","","W"&amp;WEEKNUM($A56,2))</f>
        <v/>
      </c>
      <c r="D56" s="12" t="inlineStr">
        <is>
          <t>Warehouse</t>
        </is>
      </c>
      <c r="E56" s="12">
        <f>IFERROR(INDEX(Tbl_KPIMaster[KPI Name],MATCH($D56,Tbl_KPIMaster[Department],0)),"")</f>
        <v/>
      </c>
      <c r="F56" s="12">
        <f>IFERROR(INDEX(Tbl_KPIMaster[Target],MATCH($D56,Tbl_KPIMaster[Department],0)),"")</f>
        <v/>
      </c>
      <c r="G56" s="12" t="n">
        <v>0.9603</v>
      </c>
      <c r="H56" s="13">
        <f>IFERROR(IF(INDEX(Tbl_KPIMaster[Direction],MATCH($D56,Tbl_KPIMaster[Department],0))="Lower is Better",IF($G56=0,1,IF($F56=0,0,$F56/$G56)),IF($F56=0,1,$G56/$F56)),0)</f>
        <v/>
      </c>
      <c r="I56" s="12">
        <f>IF($H56&gt;=1,"Green",IF($H56&gt;=0.85,"Amber","Red"))</f>
        <v/>
      </c>
      <c r="J56" s="14" t="inlineStr">
        <is>
          <t>Manpower shortage</t>
        </is>
      </c>
    </row>
    <row r="57">
      <c r="A57" s="7" t="n">
        <v>46181</v>
      </c>
      <c r="B57" s="8">
        <f>IF($A57="","",TEXT($A57,"mmm-yyyy"))</f>
        <v/>
      </c>
      <c r="C57" s="8">
        <f>IF($A57="","","W"&amp;WEEKNUM($A57,2))</f>
        <v/>
      </c>
      <c r="D57" s="8" t="inlineStr">
        <is>
          <t>HR</t>
        </is>
      </c>
      <c r="E57" s="8">
        <f>IFERROR(INDEX(Tbl_KPIMaster[KPI Name],MATCH($D57,Tbl_KPIMaster[Department],0)),"")</f>
        <v/>
      </c>
      <c r="F57" s="8">
        <f>IFERROR(INDEX(Tbl_KPIMaster[Target],MATCH($D57,Tbl_KPIMaster[Department],0)),"")</f>
        <v/>
      </c>
      <c r="G57" s="8" t="n">
        <v>0.0219</v>
      </c>
      <c r="H57" s="9">
        <f>IFERROR(IF(INDEX(Tbl_KPIMaster[Direction],MATCH($D57,Tbl_KPIMaster[Department],0))="Lower is Better",IF($G57=0,1,IF($F57=0,0,$F57/$G57)),IF($F57=0,1,$G57/$F57)),0)</f>
        <v/>
      </c>
      <c r="I57" s="8">
        <f>IF($H57&gt;=1,"Green",IF($H57&gt;=0.85,"Amber","Red"))</f>
        <v/>
      </c>
      <c r="J57" s="10" t="inlineStr">
        <is>
          <t>Process improvement in progress</t>
        </is>
      </c>
    </row>
    <row r="58">
      <c r="A58" s="11" t="n">
        <v>46181</v>
      </c>
      <c r="B58" s="12">
        <f>IF($A58="","",TEXT($A58,"mmm-yyyy"))</f>
        <v/>
      </c>
      <c r="C58" s="12">
        <f>IF($A58="","","W"&amp;WEEKNUM($A58,2))</f>
        <v/>
      </c>
      <c r="D58" s="12" t="inlineStr">
        <is>
          <t>Engineering</t>
        </is>
      </c>
      <c r="E58" s="12">
        <f>IFERROR(INDEX(Tbl_KPIMaster[KPI Name],MATCH($D58,Tbl_KPIMaster[Department],0)),"")</f>
        <v/>
      </c>
      <c r="F58" s="12">
        <f>IFERROR(INDEX(Tbl_KPIMaster[Target],MATCH($D58,Tbl_KPIMaster[Department],0)),"")</f>
        <v/>
      </c>
      <c r="G58" s="12" t="n">
        <v>0.7917999999999999</v>
      </c>
      <c r="H58" s="13">
        <f>IFERROR(IF(INDEX(Tbl_KPIMaster[Direction],MATCH($D58,Tbl_KPIMaster[Department],0))="Lower is Better",IF($G58=0,1,IF($F58=0,0,$F58/$G58)),IF($F58=0,1,$G58/$F58)),0)</f>
        <v/>
      </c>
      <c r="I58" s="12">
        <f>IF($H58&gt;=1,"Green",IF($H58&gt;=0.85,"Amber","Red"))</f>
        <v/>
      </c>
      <c r="J58" s="14" t="inlineStr">
        <is>
          <t>Within normal range</t>
        </is>
      </c>
    </row>
    <row r="59">
      <c r="A59" s="7" t="n">
        <v>46182</v>
      </c>
      <c r="B59" s="8">
        <f>IF($A59="","",TEXT($A59,"mmm-yyyy"))</f>
        <v/>
      </c>
      <c r="C59" s="8">
        <f>IF($A59="","","W"&amp;WEEKNUM($A59,2))</f>
        <v/>
      </c>
      <c r="D59" s="8" t="inlineStr">
        <is>
          <t>Safety</t>
        </is>
      </c>
      <c r="E59" s="8">
        <f>IFERROR(INDEX(Tbl_KPIMaster[KPI Name],MATCH($D59,Tbl_KPIMaster[Department],0)),"")</f>
        <v/>
      </c>
      <c r="F59" s="8">
        <f>IFERROR(INDEX(Tbl_KPIMaster[Target],MATCH($D59,Tbl_KPIMaster[Department],0)),"")</f>
        <v/>
      </c>
      <c r="G59" s="8" t="n">
        <v>0</v>
      </c>
      <c r="H59" s="9">
        <f>IFERROR(IF(INDEX(Tbl_KPIMaster[Direction],MATCH($D59,Tbl_KPIMaster[Department],0))="Lower is Better",IF($G59=0,1,IF($F59=0,0,$F59/$G59)),IF($F59=0,1,$G59/$F59)),0)</f>
        <v/>
      </c>
      <c r="I59" s="8">
        <f>IF($H59&gt;=1,"Green",IF($H59&gt;=0.85,"Amber","Red"))</f>
        <v/>
      </c>
      <c r="J59" s="10" t="inlineStr">
        <is>
          <t>Process improvement in progress</t>
        </is>
      </c>
    </row>
    <row r="60">
      <c r="A60" s="11" t="n">
        <v>46182</v>
      </c>
      <c r="B60" s="12">
        <f>IF($A60="","",TEXT($A60,"mmm-yyyy"))</f>
        <v/>
      </c>
      <c r="C60" s="12">
        <f>IF($A60="","","W"&amp;WEEKNUM($A60,2))</f>
        <v/>
      </c>
      <c r="D60" s="12" t="inlineStr">
        <is>
          <t>Production</t>
        </is>
      </c>
      <c r="E60" s="12">
        <f>IFERROR(INDEX(Tbl_KPIMaster[KPI Name],MATCH($D60,Tbl_KPIMaster[Department],0)),"")</f>
        <v/>
      </c>
      <c r="F60" s="12">
        <f>IFERROR(INDEX(Tbl_KPIMaster[Target],MATCH($D60,Tbl_KPIMaster[Department],0)),"")</f>
        <v/>
      </c>
      <c r="G60" s="12" t="n">
        <v>878.64</v>
      </c>
      <c r="H60" s="13">
        <f>IFERROR(IF(INDEX(Tbl_KPIMaster[Direction],MATCH($D60,Tbl_KPIMaster[Department],0))="Lower is Better",IF($G60=0,1,IF($F60=0,0,$F60/$G60)),IF($F60=0,1,$G60/$F60)),0)</f>
        <v/>
      </c>
      <c r="I60" s="12">
        <f>IF($H60&gt;=1,"Green",IF($H60&gt;=0.85,"Amber","Red"))</f>
        <v/>
      </c>
      <c r="J60" s="14" t="inlineStr">
        <is>
          <t>Within normal range</t>
        </is>
      </c>
    </row>
    <row r="61">
      <c r="A61" s="7" t="n">
        <v>46182</v>
      </c>
      <c r="B61" s="8">
        <f>IF($A61="","",TEXT($A61,"mmm-yyyy"))</f>
        <v/>
      </c>
      <c r="C61" s="8">
        <f>IF($A61="","","W"&amp;WEEKNUM($A61,2))</f>
        <v/>
      </c>
      <c r="D61" s="8" t="inlineStr">
        <is>
          <t>Quality</t>
        </is>
      </c>
      <c r="E61" s="8">
        <f>IFERROR(INDEX(Tbl_KPIMaster[KPI Name],MATCH($D61,Tbl_KPIMaster[Department],0)),"")</f>
        <v/>
      </c>
      <c r="F61" s="8">
        <f>IFERROR(INDEX(Tbl_KPIMaster[Target],MATCH($D61,Tbl_KPIMaster[Department],0)),"")</f>
        <v/>
      </c>
      <c r="G61" s="8" t="n">
        <v>0.0209</v>
      </c>
      <c r="H61" s="9">
        <f>IFERROR(IF(INDEX(Tbl_KPIMaster[Direction],MATCH($D61,Tbl_KPIMaster[Department],0))="Lower is Better",IF($G61=0,1,IF($F61=0,0,$F61/$G61)),IF($F61=0,1,$G61/$F61)),0)</f>
        <v/>
      </c>
      <c r="I61" s="8">
        <f>IF($H61&gt;=1,"Green",IF($H61&gt;=0.85,"Amber","Red"))</f>
        <v/>
      </c>
      <c r="J61" s="10" t="inlineStr"/>
    </row>
    <row r="62">
      <c r="A62" s="11" t="n">
        <v>46182</v>
      </c>
      <c r="B62" s="12">
        <f>IF($A62="","",TEXT($A62,"mmm-yyyy"))</f>
        <v/>
      </c>
      <c r="C62" s="12">
        <f>IF($A62="","","W"&amp;WEEKNUM($A62,2))</f>
        <v/>
      </c>
      <c r="D62" s="12" t="inlineStr">
        <is>
          <t>Maintenance</t>
        </is>
      </c>
      <c r="E62" s="12">
        <f>IFERROR(INDEX(Tbl_KPIMaster[KPI Name],MATCH($D62,Tbl_KPIMaster[Department],0)),"")</f>
        <v/>
      </c>
      <c r="F62" s="12">
        <f>IFERROR(INDEX(Tbl_KPIMaster[Target],MATCH($D62,Tbl_KPIMaster[Department],0)),"")</f>
        <v/>
      </c>
      <c r="G62" s="12" t="n">
        <v>0.76</v>
      </c>
      <c r="H62" s="13">
        <f>IFERROR(IF(INDEX(Tbl_KPIMaster[Direction],MATCH($D62,Tbl_KPIMaster[Department],0))="Lower is Better",IF($G62=0,1,IF($F62=0,0,$F62/$G62)),IF($F62=0,1,$G62/$F62)),0)</f>
        <v/>
      </c>
      <c r="I62" s="12">
        <f>IF($H62&gt;=1,"Green",IF($H62&gt;=0.85,"Amber","Red"))</f>
        <v/>
      </c>
      <c r="J62" s="14" t="inlineStr">
        <is>
          <t>Line changeover impact</t>
        </is>
      </c>
    </row>
    <row r="63">
      <c r="A63" s="7" t="n">
        <v>46182</v>
      </c>
      <c r="B63" s="8">
        <f>IF($A63="","",TEXT($A63,"mmm-yyyy"))</f>
        <v/>
      </c>
      <c r="C63" s="8">
        <f>IF($A63="","","W"&amp;WEEKNUM($A63,2))</f>
        <v/>
      </c>
      <c r="D63" s="8" t="inlineStr">
        <is>
          <t>Utilities</t>
        </is>
      </c>
      <c r="E63" s="8">
        <f>IFERROR(INDEX(Tbl_KPIMaster[KPI Name],MATCH($D63,Tbl_KPIMaster[Department],0)),"")</f>
        <v/>
      </c>
      <c r="F63" s="8">
        <f>IFERROR(INDEX(Tbl_KPIMaster[Target],MATCH($D63,Tbl_KPIMaster[Department],0)),"")</f>
        <v/>
      </c>
      <c r="G63" s="8" t="n">
        <v>4296.7</v>
      </c>
      <c r="H63" s="9">
        <f>IFERROR(IF(INDEX(Tbl_KPIMaster[Direction],MATCH($D63,Tbl_KPIMaster[Department],0))="Lower is Better",IF($G63=0,1,IF($F63=0,0,$F63/$G63)),IF($F63=0,1,$G63/$F63)),0)</f>
        <v/>
      </c>
      <c r="I63" s="8">
        <f>IF($H63&gt;=1,"Green",IF($H63&gt;=0.85,"Amber","Red"))</f>
        <v/>
      </c>
      <c r="J63" s="10" t="inlineStr">
        <is>
          <t>Within normal range</t>
        </is>
      </c>
    </row>
    <row r="64">
      <c r="A64" s="11" t="n">
        <v>46182</v>
      </c>
      <c r="B64" s="12">
        <f>IF($A64="","",TEXT($A64,"mmm-yyyy"))</f>
        <v/>
      </c>
      <c r="C64" s="12">
        <f>IF($A64="","","W"&amp;WEEKNUM($A64,2))</f>
        <v/>
      </c>
      <c r="D64" s="12" t="inlineStr">
        <is>
          <t>Warehouse</t>
        </is>
      </c>
      <c r="E64" s="12">
        <f>IFERROR(INDEX(Tbl_KPIMaster[KPI Name],MATCH($D64,Tbl_KPIMaster[Department],0)),"")</f>
        <v/>
      </c>
      <c r="F64" s="12">
        <f>IFERROR(INDEX(Tbl_KPIMaster[Target],MATCH($D64,Tbl_KPIMaster[Department],0)),"")</f>
        <v/>
      </c>
      <c r="G64" s="12" t="n">
        <v>0.9816</v>
      </c>
      <c r="H64" s="13">
        <f>IFERROR(IF(INDEX(Tbl_KPIMaster[Direction],MATCH($D64,Tbl_KPIMaster[Department],0))="Lower is Better",IF($G64=0,1,IF($F64=0,0,$F64/$G64)),IF($F64=0,1,$G64/$F64)),0)</f>
        <v/>
      </c>
      <c r="I64" s="12">
        <f>IF($H64&gt;=1,"Green",IF($H64&gt;=0.85,"Amber","Red"))</f>
        <v/>
      </c>
      <c r="J64" s="14" t="inlineStr">
        <is>
          <t>Preventive check done</t>
        </is>
      </c>
    </row>
    <row r="65">
      <c r="A65" s="7" t="n">
        <v>46182</v>
      </c>
      <c r="B65" s="8">
        <f>IF($A65="","",TEXT($A65,"mmm-yyyy"))</f>
        <v/>
      </c>
      <c r="C65" s="8">
        <f>IF($A65="","","W"&amp;WEEKNUM($A65,2))</f>
        <v/>
      </c>
      <c r="D65" s="8" t="inlineStr">
        <is>
          <t>HR</t>
        </is>
      </c>
      <c r="E65" s="8">
        <f>IFERROR(INDEX(Tbl_KPIMaster[KPI Name],MATCH($D65,Tbl_KPIMaster[Department],0)),"")</f>
        <v/>
      </c>
      <c r="F65" s="8">
        <f>IFERROR(INDEX(Tbl_KPIMaster[Target],MATCH($D65,Tbl_KPIMaster[Department],0)),"")</f>
        <v/>
      </c>
      <c r="G65" s="8" t="n">
        <v>0.0356</v>
      </c>
      <c r="H65" s="9">
        <f>IFERROR(IF(INDEX(Tbl_KPIMaster[Direction],MATCH($D65,Tbl_KPIMaster[Department],0))="Lower is Better",IF($G65=0,1,IF($F65=0,0,$F65/$G65)),IF($F65=0,1,$G65/$F65)),0)</f>
        <v/>
      </c>
      <c r="I65" s="8">
        <f>IF($H65&gt;=1,"Green",IF($H65&gt;=0.85,"Amber","Red"))</f>
        <v/>
      </c>
      <c r="J65" s="10" t="inlineStr">
        <is>
          <t>Manpower shortage</t>
        </is>
      </c>
    </row>
    <row r="66">
      <c r="A66" s="11" t="n">
        <v>46182</v>
      </c>
      <c r="B66" s="12">
        <f>IF($A66="","",TEXT($A66,"mmm-yyyy"))</f>
        <v/>
      </c>
      <c r="C66" s="12">
        <f>IF($A66="","","W"&amp;WEEKNUM($A66,2))</f>
        <v/>
      </c>
      <c r="D66" s="12" t="inlineStr">
        <is>
          <t>Engineering</t>
        </is>
      </c>
      <c r="E66" s="12">
        <f>IFERROR(INDEX(Tbl_KPIMaster[KPI Name],MATCH($D66,Tbl_KPIMaster[Department],0)),"")</f>
        <v/>
      </c>
      <c r="F66" s="12">
        <f>IFERROR(INDEX(Tbl_KPIMaster[Target],MATCH($D66,Tbl_KPIMaster[Department],0)),"")</f>
        <v/>
      </c>
      <c r="G66" s="12" t="n">
        <v>0.9303</v>
      </c>
      <c r="H66" s="13">
        <f>IFERROR(IF(INDEX(Tbl_KPIMaster[Direction],MATCH($D66,Tbl_KPIMaster[Department],0))="Lower is Better",IF($G66=0,1,IF($F66=0,0,$F66/$G66)),IF($F66=0,1,$G66/$F66)),0)</f>
        <v/>
      </c>
      <c r="I66" s="12">
        <f>IF($H66&gt;=1,"Green",IF($H66&gt;=0.85,"Amber","Red"))</f>
        <v/>
      </c>
      <c r="J66" s="14" t="inlineStr">
        <is>
          <t>Line changeover impact</t>
        </is>
      </c>
    </row>
    <row r="67">
      <c r="A67" s="7" t="n">
        <v>46183</v>
      </c>
      <c r="B67" s="8">
        <f>IF($A67="","",TEXT($A67,"mmm-yyyy"))</f>
        <v/>
      </c>
      <c r="C67" s="8">
        <f>IF($A67="","","W"&amp;WEEKNUM($A67,2))</f>
        <v/>
      </c>
      <c r="D67" s="8" t="inlineStr">
        <is>
          <t>Safety</t>
        </is>
      </c>
      <c r="E67" s="8">
        <f>IFERROR(INDEX(Tbl_KPIMaster[KPI Name],MATCH($D67,Tbl_KPIMaster[Department],0)),"")</f>
        <v/>
      </c>
      <c r="F67" s="8">
        <f>IFERROR(INDEX(Tbl_KPIMaster[Target],MATCH($D67,Tbl_KPIMaster[Department],0)),"")</f>
        <v/>
      </c>
      <c r="G67" s="8" t="n">
        <v>0</v>
      </c>
      <c r="H67" s="9">
        <f>IFERROR(IF(INDEX(Tbl_KPIMaster[Direction],MATCH($D67,Tbl_KPIMaster[Department],0))="Lower is Better",IF($G67=0,1,IF($F67=0,0,$F67/$G67)),IF($F67=0,1,$G67/$F67)),0)</f>
        <v/>
      </c>
      <c r="I67" s="8">
        <f>IF($H67&gt;=1,"Green",IF($H67&gt;=0.85,"Amber","Red"))</f>
        <v/>
      </c>
      <c r="J67" s="10" t="inlineStr">
        <is>
          <t>Awaiting spares</t>
        </is>
      </c>
    </row>
    <row r="68">
      <c r="A68" s="11" t="n">
        <v>46183</v>
      </c>
      <c r="B68" s="12">
        <f>IF($A68="","",TEXT($A68,"mmm-yyyy"))</f>
        <v/>
      </c>
      <c r="C68" s="12">
        <f>IF($A68="","","W"&amp;WEEKNUM($A68,2))</f>
        <v/>
      </c>
      <c r="D68" s="12" t="inlineStr">
        <is>
          <t>Production</t>
        </is>
      </c>
      <c r="E68" s="12">
        <f>IFERROR(INDEX(Tbl_KPIMaster[KPI Name],MATCH($D68,Tbl_KPIMaster[Department],0)),"")</f>
        <v/>
      </c>
      <c r="F68" s="12">
        <f>IFERROR(INDEX(Tbl_KPIMaster[Target],MATCH($D68,Tbl_KPIMaster[Department],0)),"")</f>
        <v/>
      </c>
      <c r="G68" s="12" t="n">
        <v>1000.84</v>
      </c>
      <c r="H68" s="13">
        <f>IFERROR(IF(INDEX(Tbl_KPIMaster[Direction],MATCH($D68,Tbl_KPIMaster[Department],0))="Lower is Better",IF($G68=0,1,IF($F68=0,0,$F68/$G68)),IF($F68=0,1,$G68/$F68)),0)</f>
        <v/>
      </c>
      <c r="I68" s="12">
        <f>IF($H68&gt;=1,"Green",IF($H68&gt;=0.85,"Amber","Red"))</f>
        <v/>
      </c>
      <c r="J68" s="14" t="inlineStr">
        <is>
          <t>Awaiting spares</t>
        </is>
      </c>
    </row>
    <row r="69">
      <c r="A69" s="7" t="n">
        <v>46183</v>
      </c>
      <c r="B69" s="8">
        <f>IF($A69="","",TEXT($A69,"mmm-yyyy"))</f>
        <v/>
      </c>
      <c r="C69" s="8">
        <f>IF($A69="","","W"&amp;WEEKNUM($A69,2))</f>
        <v/>
      </c>
      <c r="D69" s="8" t="inlineStr">
        <is>
          <t>Quality</t>
        </is>
      </c>
      <c r="E69" s="8">
        <f>IFERROR(INDEX(Tbl_KPIMaster[KPI Name],MATCH($D69,Tbl_KPIMaster[Department],0)),"")</f>
        <v/>
      </c>
      <c r="F69" s="8">
        <f>IFERROR(INDEX(Tbl_KPIMaster[Target],MATCH($D69,Tbl_KPIMaster[Department],0)),"")</f>
        <v/>
      </c>
      <c r="G69" s="8" t="n">
        <v>0.0209</v>
      </c>
      <c r="H69" s="9">
        <f>IFERROR(IF(INDEX(Tbl_KPIMaster[Direction],MATCH($D69,Tbl_KPIMaster[Department],0))="Lower is Better",IF($G69=0,1,IF($F69=0,0,$F69/$G69)),IF($F69=0,1,$G69/$F69)),0)</f>
        <v/>
      </c>
      <c r="I69" s="8">
        <f>IF($H69&gt;=1,"Green",IF($H69&gt;=0.85,"Amber","Red"))</f>
        <v/>
      </c>
      <c r="J69" s="10" t="inlineStr">
        <is>
          <t>Preventive check done</t>
        </is>
      </c>
    </row>
    <row r="70">
      <c r="A70" s="11" t="n">
        <v>46183</v>
      </c>
      <c r="B70" s="12">
        <f>IF($A70="","",TEXT($A70,"mmm-yyyy"))</f>
        <v/>
      </c>
      <c r="C70" s="12">
        <f>IF($A70="","","W"&amp;WEEKNUM($A70,2))</f>
        <v/>
      </c>
      <c r="D70" s="12" t="inlineStr">
        <is>
          <t>Maintenance</t>
        </is>
      </c>
      <c r="E70" s="12">
        <f>IFERROR(INDEX(Tbl_KPIMaster[KPI Name],MATCH($D70,Tbl_KPIMaster[Department],0)),"")</f>
        <v/>
      </c>
      <c r="F70" s="12">
        <f>IFERROR(INDEX(Tbl_KPIMaster[Target],MATCH($D70,Tbl_KPIMaster[Department],0)),"")</f>
        <v/>
      </c>
      <c r="G70" s="12" t="n">
        <v>1.02</v>
      </c>
      <c r="H70" s="13">
        <f>IFERROR(IF(INDEX(Tbl_KPIMaster[Direction],MATCH($D70,Tbl_KPIMaster[Department],0))="Lower is Better",IF($G70=0,1,IF($F70=0,0,$F70/$G70)),IF($F70=0,1,$G70/$F70)),0)</f>
        <v/>
      </c>
      <c r="I70" s="12">
        <f>IF($H70&gt;=1,"Green",IF($H70&gt;=0.85,"Amber","Red"))</f>
        <v/>
      </c>
      <c r="J70" s="14" t="inlineStr">
        <is>
          <t>Awaiting spares</t>
        </is>
      </c>
    </row>
    <row r="71">
      <c r="A71" s="7" t="n">
        <v>46183</v>
      </c>
      <c r="B71" s="8">
        <f>IF($A71="","",TEXT($A71,"mmm-yyyy"))</f>
        <v/>
      </c>
      <c r="C71" s="8">
        <f>IF($A71="","","W"&amp;WEEKNUM($A71,2))</f>
        <v/>
      </c>
      <c r="D71" s="8" t="inlineStr">
        <is>
          <t>Utilities</t>
        </is>
      </c>
      <c r="E71" s="8">
        <f>IFERROR(INDEX(Tbl_KPIMaster[KPI Name],MATCH($D71,Tbl_KPIMaster[Department],0)),"")</f>
        <v/>
      </c>
      <c r="F71" s="8">
        <f>IFERROR(INDEX(Tbl_KPIMaster[Target],MATCH($D71,Tbl_KPIMaster[Department],0)),"")</f>
        <v/>
      </c>
      <c r="G71" s="8" t="n">
        <v>4745.04</v>
      </c>
      <c r="H71" s="9">
        <f>IFERROR(IF(INDEX(Tbl_KPIMaster[Direction],MATCH($D71,Tbl_KPIMaster[Department],0))="Lower is Better",IF($G71=0,1,IF($F71=0,0,$F71/$G71)),IF($F71=0,1,$G71/$F71)),0)</f>
        <v/>
      </c>
      <c r="I71" s="8">
        <f>IF($H71&gt;=1,"Green",IF($H71&gt;=0.85,"Amber","Red"))</f>
        <v/>
      </c>
      <c r="J71" s="10" t="inlineStr">
        <is>
          <t>Within normal range</t>
        </is>
      </c>
    </row>
    <row r="72">
      <c r="A72" s="11" t="n">
        <v>46183</v>
      </c>
      <c r="B72" s="12">
        <f>IF($A72="","",TEXT($A72,"mmm-yyyy"))</f>
        <v/>
      </c>
      <c r="C72" s="12">
        <f>IF($A72="","","W"&amp;WEEKNUM($A72,2))</f>
        <v/>
      </c>
      <c r="D72" s="12" t="inlineStr">
        <is>
          <t>Warehouse</t>
        </is>
      </c>
      <c r="E72" s="12">
        <f>IFERROR(INDEX(Tbl_KPIMaster[KPI Name],MATCH($D72,Tbl_KPIMaster[Department],0)),"")</f>
        <v/>
      </c>
      <c r="F72" s="12">
        <f>IFERROR(INDEX(Tbl_KPIMaster[Target],MATCH($D72,Tbl_KPIMaster[Department],0)),"")</f>
        <v/>
      </c>
      <c r="G72" s="12" t="n">
        <v>1.0199</v>
      </c>
      <c r="H72" s="13">
        <f>IFERROR(IF(INDEX(Tbl_KPIMaster[Direction],MATCH($D72,Tbl_KPIMaster[Department],0))="Lower is Better",IF($G72=0,1,IF($F72=0,0,$F72/$G72)),IF($F72=0,1,$G72/$F72)),0)</f>
        <v/>
      </c>
      <c r="I72" s="12">
        <f>IF($H72&gt;=1,"Green",IF($H72&gt;=0.85,"Amber","Red"))</f>
        <v/>
      </c>
      <c r="J72" s="14" t="inlineStr">
        <is>
          <t>Preventive check done</t>
        </is>
      </c>
    </row>
    <row r="73">
      <c r="A73" s="7" t="n">
        <v>46183</v>
      </c>
      <c r="B73" s="8">
        <f>IF($A73="","",TEXT($A73,"mmm-yyyy"))</f>
        <v/>
      </c>
      <c r="C73" s="8">
        <f>IF($A73="","","W"&amp;WEEKNUM($A73,2))</f>
        <v/>
      </c>
      <c r="D73" s="8" t="inlineStr">
        <is>
          <t>HR</t>
        </is>
      </c>
      <c r="E73" s="8">
        <f>IFERROR(INDEX(Tbl_KPIMaster[KPI Name],MATCH($D73,Tbl_KPIMaster[Department],0)),"")</f>
        <v/>
      </c>
      <c r="F73" s="8">
        <f>IFERROR(INDEX(Tbl_KPIMaster[Target],MATCH($D73,Tbl_KPIMaster[Department],0)),"")</f>
        <v/>
      </c>
      <c r="G73" s="8" t="n">
        <v>0.035</v>
      </c>
      <c r="H73" s="9">
        <f>IFERROR(IF(INDEX(Tbl_KPIMaster[Direction],MATCH($D73,Tbl_KPIMaster[Department],0))="Lower is Better",IF($G73=0,1,IF($F73=0,0,$F73/$G73)),IF($F73=0,1,$G73/$F73)),0)</f>
        <v/>
      </c>
      <c r="I73" s="8">
        <f>IF($H73&gt;=1,"Green",IF($H73&gt;=0.85,"Amber","Red"))</f>
        <v/>
      </c>
      <c r="J73" s="10" t="inlineStr">
        <is>
          <t>Awaiting spares</t>
        </is>
      </c>
    </row>
    <row r="74">
      <c r="A74" s="11" t="n">
        <v>46183</v>
      </c>
      <c r="B74" s="12">
        <f>IF($A74="","",TEXT($A74,"mmm-yyyy"))</f>
        <v/>
      </c>
      <c r="C74" s="12">
        <f>IF($A74="","","W"&amp;WEEKNUM($A74,2))</f>
        <v/>
      </c>
      <c r="D74" s="12" t="inlineStr">
        <is>
          <t>Engineering</t>
        </is>
      </c>
      <c r="E74" s="12">
        <f>IFERROR(INDEX(Tbl_KPIMaster[KPI Name],MATCH($D74,Tbl_KPIMaster[Department],0)),"")</f>
        <v/>
      </c>
      <c r="F74" s="12">
        <f>IFERROR(INDEX(Tbl_KPIMaster[Target],MATCH($D74,Tbl_KPIMaster[Department],0)),"")</f>
        <v/>
      </c>
      <c r="G74" s="12" t="n">
        <v>1.0465</v>
      </c>
      <c r="H74" s="13">
        <f>IFERROR(IF(INDEX(Tbl_KPIMaster[Direction],MATCH($D74,Tbl_KPIMaster[Department],0))="Lower is Better",IF($G74=0,1,IF($F74=0,0,$F74/$G74)),IF($F74=0,1,$G74/$F74)),0)</f>
        <v/>
      </c>
      <c r="I74" s="12">
        <f>IF($H74&gt;=1,"Green",IF($H74&gt;=0.85,"Amber","Red"))</f>
        <v/>
      </c>
      <c r="J74" s="14" t="inlineStr">
        <is>
          <t>Preventive check done</t>
        </is>
      </c>
    </row>
    <row r="75">
      <c r="A75" s="7" t="n">
        <v>46184</v>
      </c>
      <c r="B75" s="8">
        <f>IF($A75="","",TEXT($A75,"mmm-yyyy"))</f>
        <v/>
      </c>
      <c r="C75" s="8">
        <f>IF($A75="","","W"&amp;WEEKNUM($A75,2))</f>
        <v/>
      </c>
      <c r="D75" s="8" t="inlineStr">
        <is>
          <t>Safety</t>
        </is>
      </c>
      <c r="E75" s="8">
        <f>IFERROR(INDEX(Tbl_KPIMaster[KPI Name],MATCH($D75,Tbl_KPIMaster[Department],0)),"")</f>
        <v/>
      </c>
      <c r="F75" s="8">
        <f>IFERROR(INDEX(Tbl_KPIMaster[Target],MATCH($D75,Tbl_KPIMaster[Department],0)),"")</f>
        <v/>
      </c>
      <c r="G75" s="8" t="n">
        <v>0</v>
      </c>
      <c r="H75" s="9">
        <f>IFERROR(IF(INDEX(Tbl_KPIMaster[Direction],MATCH($D75,Tbl_KPIMaster[Department],0))="Lower is Better",IF($G75=0,1,IF($F75=0,0,$F75/$G75)),IF($F75=0,1,$G75/$F75)),0)</f>
        <v/>
      </c>
      <c r="I75" s="8">
        <f>IF($H75&gt;=1,"Green",IF($H75&gt;=0.85,"Amber","Red"))</f>
        <v/>
      </c>
      <c r="J75" s="10" t="inlineStr">
        <is>
          <t>Preventive check done</t>
        </is>
      </c>
    </row>
    <row r="76">
      <c r="A76" s="11" t="n">
        <v>46184</v>
      </c>
      <c r="B76" s="12">
        <f>IF($A76="","",TEXT($A76,"mmm-yyyy"))</f>
        <v/>
      </c>
      <c r="C76" s="12">
        <f>IF($A76="","","W"&amp;WEEKNUM($A76,2))</f>
        <v/>
      </c>
      <c r="D76" s="12" t="inlineStr">
        <is>
          <t>Production</t>
        </is>
      </c>
      <c r="E76" s="12">
        <f>IFERROR(INDEX(Tbl_KPIMaster[KPI Name],MATCH($D76,Tbl_KPIMaster[Department],0)),"")</f>
        <v/>
      </c>
      <c r="F76" s="12">
        <f>IFERROR(INDEX(Tbl_KPIMaster[Target],MATCH($D76,Tbl_KPIMaster[Department],0)),"")</f>
        <v/>
      </c>
      <c r="G76" s="12" t="n">
        <v>994.84</v>
      </c>
      <c r="H76" s="13">
        <f>IFERROR(IF(INDEX(Tbl_KPIMaster[Direction],MATCH($D76,Tbl_KPIMaster[Department],0))="Lower is Better",IF($G76=0,1,IF($F76=0,0,$F76/$G76)),IF($F76=0,1,$G76/$F76)),0)</f>
        <v/>
      </c>
      <c r="I76" s="12">
        <f>IF($H76&gt;=1,"Green",IF($H76&gt;=0.85,"Amber","Red"))</f>
        <v/>
      </c>
      <c r="J76" s="14" t="inlineStr">
        <is>
          <t>Within normal range</t>
        </is>
      </c>
    </row>
    <row r="77">
      <c r="A77" s="7" t="n">
        <v>46184</v>
      </c>
      <c r="B77" s="8">
        <f>IF($A77="","",TEXT($A77,"mmm-yyyy"))</f>
        <v/>
      </c>
      <c r="C77" s="8">
        <f>IF($A77="","","W"&amp;WEEKNUM($A77,2))</f>
        <v/>
      </c>
      <c r="D77" s="8" t="inlineStr">
        <is>
          <t>Quality</t>
        </is>
      </c>
      <c r="E77" s="8">
        <f>IFERROR(INDEX(Tbl_KPIMaster[KPI Name],MATCH($D77,Tbl_KPIMaster[Department],0)),"")</f>
        <v/>
      </c>
      <c r="F77" s="8">
        <f>IFERROR(INDEX(Tbl_KPIMaster[Target],MATCH($D77,Tbl_KPIMaster[Department],0)),"")</f>
        <v/>
      </c>
      <c r="G77" s="8" t="n">
        <v>0.0196</v>
      </c>
      <c r="H77" s="9">
        <f>IFERROR(IF(INDEX(Tbl_KPIMaster[Direction],MATCH($D77,Tbl_KPIMaster[Department],0))="Lower is Better",IF($G77=0,1,IF($F77=0,0,$F77/$G77)),IF($F77=0,1,$G77/$F77)),0)</f>
        <v/>
      </c>
      <c r="I77" s="8">
        <f>IF($H77&gt;=1,"Green",IF($H77&gt;=0.85,"Amber","Red"))</f>
        <v/>
      </c>
      <c r="J77" s="10" t="inlineStr">
        <is>
          <t>Line changeover impact</t>
        </is>
      </c>
    </row>
    <row r="78">
      <c r="A78" s="11" t="n">
        <v>46184</v>
      </c>
      <c r="B78" s="12">
        <f>IF($A78="","",TEXT($A78,"mmm-yyyy"))</f>
        <v/>
      </c>
      <c r="C78" s="12">
        <f>IF($A78="","","W"&amp;WEEKNUM($A78,2))</f>
        <v/>
      </c>
      <c r="D78" s="12" t="inlineStr">
        <is>
          <t>Maintenance</t>
        </is>
      </c>
      <c r="E78" s="12">
        <f>IFERROR(INDEX(Tbl_KPIMaster[KPI Name],MATCH($D78,Tbl_KPIMaster[Department],0)),"")</f>
        <v/>
      </c>
      <c r="F78" s="12">
        <f>IFERROR(INDEX(Tbl_KPIMaster[Target],MATCH($D78,Tbl_KPIMaster[Department],0)),"")</f>
        <v/>
      </c>
      <c r="G78" s="12" t="n">
        <v>1.22</v>
      </c>
      <c r="H78" s="13">
        <f>IFERROR(IF(INDEX(Tbl_KPIMaster[Direction],MATCH($D78,Tbl_KPIMaster[Department],0))="Lower is Better",IF($G78=0,1,IF($F78=0,0,$F78/$G78)),IF($F78=0,1,$G78/$F78)),0)</f>
        <v/>
      </c>
      <c r="I78" s="12">
        <f>IF($H78&gt;=1,"Green",IF($H78&gt;=0.85,"Amber","Red"))</f>
        <v/>
      </c>
      <c r="J78" s="14" t="inlineStr">
        <is>
          <t>Within normal range</t>
        </is>
      </c>
    </row>
    <row r="79">
      <c r="A79" s="7" t="n">
        <v>46184</v>
      </c>
      <c r="B79" s="8">
        <f>IF($A79="","",TEXT($A79,"mmm-yyyy"))</f>
        <v/>
      </c>
      <c r="C79" s="8">
        <f>IF($A79="","","W"&amp;WEEKNUM($A79,2))</f>
        <v/>
      </c>
      <c r="D79" s="8" t="inlineStr">
        <is>
          <t>Utilities</t>
        </is>
      </c>
      <c r="E79" s="8">
        <f>IFERROR(INDEX(Tbl_KPIMaster[KPI Name],MATCH($D79,Tbl_KPIMaster[Department],0)),"")</f>
        <v/>
      </c>
      <c r="F79" s="8">
        <f>IFERROR(INDEX(Tbl_KPIMaster[Target],MATCH($D79,Tbl_KPIMaster[Department],0)),"")</f>
        <v/>
      </c>
      <c r="G79" s="8" t="n">
        <v>6077</v>
      </c>
      <c r="H79" s="9">
        <f>IFERROR(IF(INDEX(Tbl_KPIMaster[Direction],MATCH($D79,Tbl_KPIMaster[Department],0))="Lower is Better",IF($G79=0,1,IF($F79=0,0,$F79/$G79)),IF($F79=0,1,$G79/$F79)),0)</f>
        <v/>
      </c>
      <c r="I79" s="8">
        <f>IF($H79&gt;=1,"Green",IF($H79&gt;=0.85,"Amber","Red"))</f>
        <v/>
      </c>
      <c r="J79" s="10" t="inlineStr">
        <is>
          <t>Manpower shortage</t>
        </is>
      </c>
    </row>
    <row r="80">
      <c r="A80" s="11" t="n">
        <v>46184</v>
      </c>
      <c r="B80" s="12">
        <f>IF($A80="","",TEXT($A80,"mmm-yyyy"))</f>
        <v/>
      </c>
      <c r="C80" s="12">
        <f>IF($A80="","","W"&amp;WEEKNUM($A80,2))</f>
        <v/>
      </c>
      <c r="D80" s="12" t="inlineStr">
        <is>
          <t>Warehouse</t>
        </is>
      </c>
      <c r="E80" s="12">
        <f>IFERROR(INDEX(Tbl_KPIMaster[KPI Name],MATCH($D80,Tbl_KPIMaster[Department],0)),"")</f>
        <v/>
      </c>
      <c r="F80" s="12">
        <f>IFERROR(INDEX(Tbl_KPIMaster[Target],MATCH($D80,Tbl_KPIMaster[Department],0)),"")</f>
        <v/>
      </c>
      <c r="G80" s="12" t="n">
        <v>0.9076</v>
      </c>
      <c r="H80" s="13">
        <f>IFERROR(IF(INDEX(Tbl_KPIMaster[Direction],MATCH($D80,Tbl_KPIMaster[Department],0))="Lower is Better",IF($G80=0,1,IF($F80=0,0,$F80/$G80)),IF($F80=0,1,$G80/$F80)),0)</f>
        <v/>
      </c>
      <c r="I80" s="12">
        <f>IF($H80&gt;=1,"Green",IF($H80&gt;=0.85,"Amber","Red"))</f>
        <v/>
      </c>
      <c r="J80" s="14" t="inlineStr">
        <is>
          <t>Line changeover impact</t>
        </is>
      </c>
    </row>
    <row r="81">
      <c r="A81" s="7" t="n">
        <v>46184</v>
      </c>
      <c r="B81" s="8">
        <f>IF($A81="","",TEXT($A81,"mmm-yyyy"))</f>
        <v/>
      </c>
      <c r="C81" s="8">
        <f>IF($A81="","","W"&amp;WEEKNUM($A81,2))</f>
        <v/>
      </c>
      <c r="D81" s="8" t="inlineStr">
        <is>
          <t>HR</t>
        </is>
      </c>
      <c r="E81" s="8">
        <f>IFERROR(INDEX(Tbl_KPIMaster[KPI Name],MATCH($D81,Tbl_KPIMaster[Department],0)),"")</f>
        <v/>
      </c>
      <c r="F81" s="8">
        <f>IFERROR(INDEX(Tbl_KPIMaster[Target],MATCH($D81,Tbl_KPIMaster[Department],0)),"")</f>
        <v/>
      </c>
      <c r="G81" s="8" t="n">
        <v>0.0343</v>
      </c>
      <c r="H81" s="9">
        <f>IFERROR(IF(INDEX(Tbl_KPIMaster[Direction],MATCH($D81,Tbl_KPIMaster[Department],0))="Lower is Better",IF($G81=0,1,IF($F81=0,0,$F81/$G81)),IF($F81=0,1,$G81/$F81)),0)</f>
        <v/>
      </c>
      <c r="I81" s="8">
        <f>IF($H81&gt;=1,"Green",IF($H81&gt;=0.85,"Amber","Red"))</f>
        <v/>
      </c>
      <c r="J81" s="10" t="inlineStr"/>
    </row>
    <row r="82">
      <c r="A82" s="11" t="n">
        <v>46184</v>
      </c>
      <c r="B82" s="12">
        <f>IF($A82="","",TEXT($A82,"mmm-yyyy"))</f>
        <v/>
      </c>
      <c r="C82" s="12">
        <f>IF($A82="","","W"&amp;WEEKNUM($A82,2))</f>
        <v/>
      </c>
      <c r="D82" s="12" t="inlineStr">
        <is>
          <t>Engineering</t>
        </is>
      </c>
      <c r="E82" s="12">
        <f>IFERROR(INDEX(Tbl_KPIMaster[KPI Name],MATCH($D82,Tbl_KPIMaster[Department],0)),"")</f>
        <v/>
      </c>
      <c r="F82" s="12">
        <f>IFERROR(INDEX(Tbl_KPIMaster[Target],MATCH($D82,Tbl_KPIMaster[Department],0)),"")</f>
        <v/>
      </c>
      <c r="G82" s="12" t="n">
        <v>0.9224</v>
      </c>
      <c r="H82" s="13">
        <f>IFERROR(IF(INDEX(Tbl_KPIMaster[Direction],MATCH($D82,Tbl_KPIMaster[Department],0))="Lower is Better",IF($G82=0,1,IF($F82=0,0,$F82/$G82)),IF($F82=0,1,$G82/$F82)),0)</f>
        <v/>
      </c>
      <c r="I82" s="12">
        <f>IF($H82&gt;=1,"Green",IF($H82&gt;=0.85,"Amber","Red"))</f>
        <v/>
      </c>
      <c r="J82" s="14" t="inlineStr"/>
    </row>
    <row r="83">
      <c r="A83" s="7" t="n">
        <v>46185</v>
      </c>
      <c r="B83" s="8">
        <f>IF($A83="","",TEXT($A83,"mmm-yyyy"))</f>
        <v/>
      </c>
      <c r="C83" s="8">
        <f>IF($A83="","","W"&amp;WEEKNUM($A83,2))</f>
        <v/>
      </c>
      <c r="D83" s="8" t="inlineStr">
        <is>
          <t>Safety</t>
        </is>
      </c>
      <c r="E83" s="8">
        <f>IFERROR(INDEX(Tbl_KPIMaster[KPI Name],MATCH($D83,Tbl_KPIMaster[Department],0)),"")</f>
        <v/>
      </c>
      <c r="F83" s="8">
        <f>IFERROR(INDEX(Tbl_KPIMaster[Target],MATCH($D83,Tbl_KPIMaster[Department],0)),"")</f>
        <v/>
      </c>
      <c r="G83" s="8" t="n">
        <v>0</v>
      </c>
      <c r="H83" s="9">
        <f>IFERROR(IF(INDEX(Tbl_KPIMaster[Direction],MATCH($D83,Tbl_KPIMaster[Department],0))="Lower is Better",IF($G83=0,1,IF($F83=0,0,$F83/$G83)),IF($F83=0,1,$G83/$F83)),0)</f>
        <v/>
      </c>
      <c r="I83" s="8">
        <f>IF($H83&gt;=1,"Green",IF($H83&gt;=0.85,"Amber","Red"))</f>
        <v/>
      </c>
      <c r="J83" s="10" t="inlineStr">
        <is>
          <t>Process improvement in progress</t>
        </is>
      </c>
    </row>
    <row r="84">
      <c r="A84" s="11" t="n">
        <v>46185</v>
      </c>
      <c r="B84" s="12">
        <f>IF($A84="","",TEXT($A84,"mmm-yyyy"))</f>
        <v/>
      </c>
      <c r="C84" s="12">
        <f>IF($A84="","","W"&amp;WEEKNUM($A84,2))</f>
        <v/>
      </c>
      <c r="D84" s="12" t="inlineStr">
        <is>
          <t>Production</t>
        </is>
      </c>
      <c r="E84" s="12">
        <f>IFERROR(INDEX(Tbl_KPIMaster[KPI Name],MATCH($D84,Tbl_KPIMaster[Department],0)),"")</f>
        <v/>
      </c>
      <c r="F84" s="12">
        <f>IFERROR(INDEX(Tbl_KPIMaster[Target],MATCH($D84,Tbl_KPIMaster[Department],0)),"")</f>
        <v/>
      </c>
      <c r="G84" s="12" t="n">
        <v>911.9299999999999</v>
      </c>
      <c r="H84" s="13">
        <f>IFERROR(IF(INDEX(Tbl_KPIMaster[Direction],MATCH($D84,Tbl_KPIMaster[Department],0))="Lower is Better",IF($G84=0,1,IF($F84=0,0,$F84/$G84)),IF($F84=0,1,$G84/$F84)),0)</f>
        <v/>
      </c>
      <c r="I84" s="12">
        <f>IF($H84&gt;=1,"Green",IF($H84&gt;=0.85,"Amber","Red"))</f>
        <v/>
      </c>
      <c r="J84" s="14" t="inlineStr">
        <is>
          <t>Preventive check done</t>
        </is>
      </c>
    </row>
    <row r="85">
      <c r="A85" s="7" t="n">
        <v>46185</v>
      </c>
      <c r="B85" s="8">
        <f>IF($A85="","",TEXT($A85,"mmm-yyyy"))</f>
        <v/>
      </c>
      <c r="C85" s="8">
        <f>IF($A85="","","W"&amp;WEEKNUM($A85,2))</f>
        <v/>
      </c>
      <c r="D85" s="8" t="inlineStr">
        <is>
          <t>Quality</t>
        </is>
      </c>
      <c r="E85" s="8">
        <f>IFERROR(INDEX(Tbl_KPIMaster[KPI Name],MATCH($D85,Tbl_KPIMaster[Department],0)),"")</f>
        <v/>
      </c>
      <c r="F85" s="8">
        <f>IFERROR(INDEX(Tbl_KPIMaster[Target],MATCH($D85,Tbl_KPIMaster[Department],0)),"")</f>
        <v/>
      </c>
      <c r="G85" s="8" t="n">
        <v>0.0204</v>
      </c>
      <c r="H85" s="9">
        <f>IFERROR(IF(INDEX(Tbl_KPIMaster[Direction],MATCH($D85,Tbl_KPIMaster[Department],0))="Lower is Better",IF($G85=0,1,IF($F85=0,0,$F85/$G85)),IF($F85=0,1,$G85/$F85)),0)</f>
        <v/>
      </c>
      <c r="I85" s="8">
        <f>IF($H85&gt;=1,"Green",IF($H85&gt;=0.85,"Amber","Red"))</f>
        <v/>
      </c>
      <c r="J85" s="10" t="inlineStr">
        <is>
          <t>Process improvement in progress</t>
        </is>
      </c>
    </row>
    <row r="86">
      <c r="A86" s="11" t="n">
        <v>46185</v>
      </c>
      <c r="B86" s="12">
        <f>IF($A86="","",TEXT($A86,"mmm-yyyy"))</f>
        <v/>
      </c>
      <c r="C86" s="12">
        <f>IF($A86="","","W"&amp;WEEKNUM($A86,2))</f>
        <v/>
      </c>
      <c r="D86" s="12" t="inlineStr">
        <is>
          <t>Maintenance</t>
        </is>
      </c>
      <c r="E86" s="12">
        <f>IFERROR(INDEX(Tbl_KPIMaster[KPI Name],MATCH($D86,Tbl_KPIMaster[Department],0)),"")</f>
        <v/>
      </c>
      <c r="F86" s="12">
        <f>IFERROR(INDEX(Tbl_KPIMaster[Target],MATCH($D86,Tbl_KPIMaster[Department],0)),"")</f>
        <v/>
      </c>
      <c r="G86" s="12" t="n">
        <v>0.85</v>
      </c>
      <c r="H86" s="13">
        <f>IFERROR(IF(INDEX(Tbl_KPIMaster[Direction],MATCH($D86,Tbl_KPIMaster[Department],0))="Lower is Better",IF($G86=0,1,IF($F86=0,0,$F86/$G86)),IF($F86=0,1,$G86/$F86)),0)</f>
        <v/>
      </c>
      <c r="I86" s="12">
        <f>IF($H86&gt;=1,"Green",IF($H86&gt;=0.85,"Amber","Red"))</f>
        <v/>
      </c>
      <c r="J86" s="14" t="inlineStr"/>
    </row>
    <row r="87">
      <c r="A87" s="7" t="n">
        <v>46185</v>
      </c>
      <c r="B87" s="8">
        <f>IF($A87="","",TEXT($A87,"mmm-yyyy"))</f>
        <v/>
      </c>
      <c r="C87" s="8">
        <f>IF($A87="","","W"&amp;WEEKNUM($A87,2))</f>
        <v/>
      </c>
      <c r="D87" s="8" t="inlineStr">
        <is>
          <t>Utilities</t>
        </is>
      </c>
      <c r="E87" s="8">
        <f>IFERROR(INDEX(Tbl_KPIMaster[KPI Name],MATCH($D87,Tbl_KPIMaster[Department],0)),"")</f>
        <v/>
      </c>
      <c r="F87" s="8">
        <f>IFERROR(INDEX(Tbl_KPIMaster[Target],MATCH($D87,Tbl_KPIMaster[Department],0)),"")</f>
        <v/>
      </c>
      <c r="G87" s="8" t="n">
        <v>4666.3</v>
      </c>
      <c r="H87" s="9">
        <f>IFERROR(IF(INDEX(Tbl_KPIMaster[Direction],MATCH($D87,Tbl_KPIMaster[Department],0))="Lower is Better",IF($G87=0,1,IF($F87=0,0,$F87/$G87)),IF($F87=0,1,$G87/$F87)),0)</f>
        <v/>
      </c>
      <c r="I87" s="8">
        <f>IF($H87&gt;=1,"Green",IF($H87&gt;=0.85,"Amber","Red"))</f>
        <v/>
      </c>
      <c r="J87" s="10" t="inlineStr">
        <is>
          <t>Vendor delay</t>
        </is>
      </c>
    </row>
    <row r="88">
      <c r="A88" s="11" t="n">
        <v>46185</v>
      </c>
      <c r="B88" s="12">
        <f>IF($A88="","",TEXT($A88,"mmm-yyyy"))</f>
        <v/>
      </c>
      <c r="C88" s="12">
        <f>IF($A88="","","W"&amp;WEEKNUM($A88,2))</f>
        <v/>
      </c>
      <c r="D88" s="12" t="inlineStr">
        <is>
          <t>Warehouse</t>
        </is>
      </c>
      <c r="E88" s="12">
        <f>IFERROR(INDEX(Tbl_KPIMaster[KPI Name],MATCH($D88,Tbl_KPIMaster[Department],0)),"")</f>
        <v/>
      </c>
      <c r="F88" s="12">
        <f>IFERROR(INDEX(Tbl_KPIMaster[Target],MATCH($D88,Tbl_KPIMaster[Department],0)),"")</f>
        <v/>
      </c>
      <c r="G88" s="12" t="n">
        <v>1.1553</v>
      </c>
      <c r="H88" s="13">
        <f>IFERROR(IF(INDEX(Tbl_KPIMaster[Direction],MATCH($D88,Tbl_KPIMaster[Department],0))="Lower is Better",IF($G88=0,1,IF($F88=0,0,$F88/$G88)),IF($F88=0,1,$G88/$F88)),0)</f>
        <v/>
      </c>
      <c r="I88" s="12">
        <f>IF($H88&gt;=1,"Green",IF($H88&gt;=0.85,"Amber","Red"))</f>
        <v/>
      </c>
      <c r="J88" s="14" t="inlineStr"/>
    </row>
    <row r="89">
      <c r="A89" s="7" t="n">
        <v>46185</v>
      </c>
      <c r="B89" s="8">
        <f>IF($A89="","",TEXT($A89,"mmm-yyyy"))</f>
        <v/>
      </c>
      <c r="C89" s="8">
        <f>IF($A89="","","W"&amp;WEEKNUM($A89,2))</f>
        <v/>
      </c>
      <c r="D89" s="8" t="inlineStr">
        <is>
          <t>HR</t>
        </is>
      </c>
      <c r="E89" s="8">
        <f>IFERROR(INDEX(Tbl_KPIMaster[KPI Name],MATCH($D89,Tbl_KPIMaster[Department],0)),"")</f>
        <v/>
      </c>
      <c r="F89" s="8">
        <f>IFERROR(INDEX(Tbl_KPIMaster[Target],MATCH($D89,Tbl_KPIMaster[Department],0)),"")</f>
        <v/>
      </c>
      <c r="G89" s="8" t="n">
        <v>0.0323</v>
      </c>
      <c r="H89" s="9">
        <f>IFERROR(IF(INDEX(Tbl_KPIMaster[Direction],MATCH($D89,Tbl_KPIMaster[Department],0))="Lower is Better",IF($G89=0,1,IF($F89=0,0,$F89/$G89)),IF($F89=0,1,$G89/$F89)),0)</f>
        <v/>
      </c>
      <c r="I89" s="8">
        <f>IF($H89&gt;=1,"Green",IF($H89&gt;=0.85,"Amber","Red"))</f>
        <v/>
      </c>
      <c r="J89" s="10" t="inlineStr">
        <is>
          <t>Vendor delay</t>
        </is>
      </c>
    </row>
    <row r="90">
      <c r="A90" s="11" t="n">
        <v>46185</v>
      </c>
      <c r="B90" s="12">
        <f>IF($A90="","",TEXT($A90,"mmm-yyyy"))</f>
        <v/>
      </c>
      <c r="C90" s="12">
        <f>IF($A90="","","W"&amp;WEEKNUM($A90,2))</f>
        <v/>
      </c>
      <c r="D90" s="12" t="inlineStr">
        <is>
          <t>Engineering</t>
        </is>
      </c>
      <c r="E90" s="12">
        <f>IFERROR(INDEX(Tbl_KPIMaster[KPI Name],MATCH($D90,Tbl_KPIMaster[Department],0)),"")</f>
        <v/>
      </c>
      <c r="F90" s="12">
        <f>IFERROR(INDEX(Tbl_KPIMaster[Target],MATCH($D90,Tbl_KPIMaster[Department],0)),"")</f>
        <v/>
      </c>
      <c r="G90" s="12" t="n">
        <v>0.7128</v>
      </c>
      <c r="H90" s="13">
        <f>IFERROR(IF(INDEX(Tbl_KPIMaster[Direction],MATCH($D90,Tbl_KPIMaster[Department],0))="Lower is Better",IF($G90=0,1,IF($F90=0,0,$F90/$G90)),IF($F90=0,1,$G90/$F90)),0)</f>
        <v/>
      </c>
      <c r="I90" s="12">
        <f>IF($H90&gt;=1,"Green",IF($H90&gt;=0.85,"Amber","Red"))</f>
        <v/>
      </c>
      <c r="J90" s="14" t="inlineStr">
        <is>
          <t>Within normal range</t>
        </is>
      </c>
    </row>
    <row r="91">
      <c r="A91" s="7" t="n">
        <v>46186</v>
      </c>
      <c r="B91" s="8">
        <f>IF($A91="","",TEXT($A91,"mmm-yyyy"))</f>
        <v/>
      </c>
      <c r="C91" s="8">
        <f>IF($A91="","","W"&amp;WEEKNUM($A91,2))</f>
        <v/>
      </c>
      <c r="D91" s="8" t="inlineStr">
        <is>
          <t>Safety</t>
        </is>
      </c>
      <c r="E91" s="8">
        <f>IFERROR(INDEX(Tbl_KPIMaster[KPI Name],MATCH($D91,Tbl_KPIMaster[Department],0)),"")</f>
        <v/>
      </c>
      <c r="F91" s="8">
        <f>IFERROR(INDEX(Tbl_KPIMaster[Target],MATCH($D91,Tbl_KPIMaster[Department],0)),"")</f>
        <v/>
      </c>
      <c r="G91" s="8" t="n">
        <v>0</v>
      </c>
      <c r="H91" s="9">
        <f>IFERROR(IF(INDEX(Tbl_KPIMaster[Direction],MATCH($D91,Tbl_KPIMaster[Department],0))="Lower is Better",IF($G91=0,1,IF($F91=0,0,$F91/$G91)),IF($F91=0,1,$G91/$F91)),0)</f>
        <v/>
      </c>
      <c r="I91" s="8">
        <f>IF($H91&gt;=1,"Green",IF($H91&gt;=0.85,"Amber","Red"))</f>
        <v/>
      </c>
      <c r="J91" s="10" t="inlineStr">
        <is>
          <t>Preventive check done</t>
        </is>
      </c>
    </row>
    <row r="92">
      <c r="A92" s="11" t="n">
        <v>46186</v>
      </c>
      <c r="B92" s="12">
        <f>IF($A92="","",TEXT($A92,"mmm-yyyy"))</f>
        <v/>
      </c>
      <c r="C92" s="12">
        <f>IF($A92="","","W"&amp;WEEKNUM($A92,2))</f>
        <v/>
      </c>
      <c r="D92" s="12" t="inlineStr">
        <is>
          <t>Production</t>
        </is>
      </c>
      <c r="E92" s="12">
        <f>IFERROR(INDEX(Tbl_KPIMaster[KPI Name],MATCH($D92,Tbl_KPIMaster[Department],0)),"")</f>
        <v/>
      </c>
      <c r="F92" s="12">
        <f>IFERROR(INDEX(Tbl_KPIMaster[Target],MATCH($D92,Tbl_KPIMaster[Department],0)),"")</f>
        <v/>
      </c>
      <c r="G92" s="12" t="n">
        <v>987.5599999999999</v>
      </c>
      <c r="H92" s="13">
        <f>IFERROR(IF(INDEX(Tbl_KPIMaster[Direction],MATCH($D92,Tbl_KPIMaster[Department],0))="Lower is Better",IF($G92=0,1,IF($F92=0,0,$F92/$G92)),IF($F92=0,1,$G92/$F92)),0)</f>
        <v/>
      </c>
      <c r="I92" s="12">
        <f>IF($H92&gt;=1,"Green",IF($H92&gt;=0.85,"Amber","Red"))</f>
        <v/>
      </c>
      <c r="J92" s="14" t="inlineStr">
        <is>
          <t>Vendor delay</t>
        </is>
      </c>
    </row>
    <row r="93">
      <c r="A93" s="7" t="n">
        <v>46186</v>
      </c>
      <c r="B93" s="8">
        <f>IF($A93="","",TEXT($A93,"mmm-yyyy"))</f>
        <v/>
      </c>
      <c r="C93" s="8">
        <f>IF($A93="","","W"&amp;WEEKNUM($A93,2))</f>
        <v/>
      </c>
      <c r="D93" s="8" t="inlineStr">
        <is>
          <t>Quality</t>
        </is>
      </c>
      <c r="E93" s="8">
        <f>IFERROR(INDEX(Tbl_KPIMaster[KPI Name],MATCH($D93,Tbl_KPIMaster[Department],0)),"")</f>
        <v/>
      </c>
      <c r="F93" s="8">
        <f>IFERROR(INDEX(Tbl_KPIMaster[Target],MATCH($D93,Tbl_KPIMaster[Department],0)),"")</f>
        <v/>
      </c>
      <c r="G93" s="8" t="n">
        <v>0.0209</v>
      </c>
      <c r="H93" s="9">
        <f>IFERROR(IF(INDEX(Tbl_KPIMaster[Direction],MATCH($D93,Tbl_KPIMaster[Department],0))="Lower is Better",IF($G93=0,1,IF($F93=0,0,$F93/$G93)),IF($F93=0,1,$G93/$F93)),0)</f>
        <v/>
      </c>
      <c r="I93" s="8">
        <f>IF($H93&gt;=1,"Green",IF($H93&gt;=0.85,"Amber","Red"))</f>
        <v/>
      </c>
      <c r="J93" s="10" t="inlineStr">
        <is>
          <t>Manpower shortage</t>
        </is>
      </c>
    </row>
    <row r="94">
      <c r="A94" s="11" t="n">
        <v>46186</v>
      </c>
      <c r="B94" s="12">
        <f>IF($A94="","",TEXT($A94,"mmm-yyyy"))</f>
        <v/>
      </c>
      <c r="C94" s="12">
        <f>IF($A94="","","W"&amp;WEEKNUM($A94,2))</f>
        <v/>
      </c>
      <c r="D94" s="12" t="inlineStr">
        <is>
          <t>Maintenance</t>
        </is>
      </c>
      <c r="E94" s="12">
        <f>IFERROR(INDEX(Tbl_KPIMaster[KPI Name],MATCH($D94,Tbl_KPIMaster[Department],0)),"")</f>
        <v/>
      </c>
      <c r="F94" s="12">
        <f>IFERROR(INDEX(Tbl_KPIMaster[Target],MATCH($D94,Tbl_KPIMaster[Department],0)),"")</f>
        <v/>
      </c>
      <c r="G94" s="12" t="n">
        <v>1.09</v>
      </c>
      <c r="H94" s="13">
        <f>IFERROR(IF(INDEX(Tbl_KPIMaster[Direction],MATCH($D94,Tbl_KPIMaster[Department],0))="Lower is Better",IF($G94=0,1,IF($F94=0,0,$F94/$G94)),IF($F94=0,1,$G94/$F94)),0)</f>
        <v/>
      </c>
      <c r="I94" s="12">
        <f>IF($H94&gt;=1,"Green",IF($H94&gt;=0.85,"Amber","Red"))</f>
        <v/>
      </c>
      <c r="J94" s="14" t="inlineStr">
        <is>
          <t>Awaiting spares</t>
        </is>
      </c>
    </row>
    <row r="95">
      <c r="A95" s="7" t="n">
        <v>46186</v>
      </c>
      <c r="B95" s="8">
        <f>IF($A95="","",TEXT($A95,"mmm-yyyy"))</f>
        <v/>
      </c>
      <c r="C95" s="8">
        <f>IF($A95="","","W"&amp;WEEKNUM($A95,2))</f>
        <v/>
      </c>
      <c r="D95" s="8" t="inlineStr">
        <is>
          <t>Utilities</t>
        </is>
      </c>
      <c r="E95" s="8">
        <f>IFERROR(INDEX(Tbl_KPIMaster[KPI Name],MATCH($D95,Tbl_KPIMaster[Department],0)),"")</f>
        <v/>
      </c>
      <c r="F95" s="8">
        <f>IFERROR(INDEX(Tbl_KPIMaster[Target],MATCH($D95,Tbl_KPIMaster[Department],0)),"")</f>
        <v/>
      </c>
      <c r="G95" s="8" t="n">
        <v>3299.32</v>
      </c>
      <c r="H95" s="9">
        <f>IFERROR(IF(INDEX(Tbl_KPIMaster[Direction],MATCH($D95,Tbl_KPIMaster[Department],0))="Lower is Better",IF($G95=0,1,IF($F95=0,0,$F95/$G95)),IF($F95=0,1,$G95/$F95)),0)</f>
        <v/>
      </c>
      <c r="I95" s="8">
        <f>IF($H95&gt;=1,"Green",IF($H95&gt;=0.85,"Amber","Red"))</f>
        <v/>
      </c>
      <c r="J95" s="10" t="inlineStr">
        <is>
          <t>Awaiting spares</t>
        </is>
      </c>
    </row>
    <row r="96">
      <c r="A96" s="11" t="n">
        <v>46186</v>
      </c>
      <c r="B96" s="12">
        <f>IF($A96="","",TEXT($A96,"mmm-yyyy"))</f>
        <v/>
      </c>
      <c r="C96" s="12">
        <f>IF($A96="","","W"&amp;WEEKNUM($A96,2))</f>
        <v/>
      </c>
      <c r="D96" s="12" t="inlineStr">
        <is>
          <t>Warehouse</t>
        </is>
      </c>
      <c r="E96" s="12">
        <f>IFERROR(INDEX(Tbl_KPIMaster[KPI Name],MATCH($D96,Tbl_KPIMaster[Department],0)),"")</f>
        <v/>
      </c>
      <c r="F96" s="12">
        <f>IFERROR(INDEX(Tbl_KPIMaster[Target],MATCH($D96,Tbl_KPIMaster[Department],0)),"")</f>
        <v/>
      </c>
      <c r="G96" s="12" t="n">
        <v>1.0373</v>
      </c>
      <c r="H96" s="13">
        <f>IFERROR(IF(INDEX(Tbl_KPIMaster[Direction],MATCH($D96,Tbl_KPIMaster[Department],0))="Lower is Better",IF($G96=0,1,IF($F96=0,0,$F96/$G96)),IF($F96=0,1,$G96/$F96)),0)</f>
        <v/>
      </c>
      <c r="I96" s="12">
        <f>IF($H96&gt;=1,"Green",IF($H96&gt;=0.85,"Amber","Red"))</f>
        <v/>
      </c>
      <c r="J96" s="14" t="inlineStr"/>
    </row>
    <row r="97">
      <c r="A97" s="7" t="n">
        <v>46186</v>
      </c>
      <c r="B97" s="8">
        <f>IF($A97="","",TEXT($A97,"mmm-yyyy"))</f>
        <v/>
      </c>
      <c r="C97" s="8">
        <f>IF($A97="","","W"&amp;WEEKNUM($A97,2))</f>
        <v/>
      </c>
      <c r="D97" s="8" t="inlineStr">
        <is>
          <t>HR</t>
        </is>
      </c>
      <c r="E97" s="8">
        <f>IFERROR(INDEX(Tbl_KPIMaster[KPI Name],MATCH($D97,Tbl_KPIMaster[Department],0)),"")</f>
        <v/>
      </c>
      <c r="F97" s="8">
        <f>IFERROR(INDEX(Tbl_KPIMaster[Target],MATCH($D97,Tbl_KPIMaster[Department],0)),"")</f>
        <v/>
      </c>
      <c r="G97" s="8" t="n">
        <v>0.0283</v>
      </c>
      <c r="H97" s="9">
        <f>IFERROR(IF(INDEX(Tbl_KPIMaster[Direction],MATCH($D97,Tbl_KPIMaster[Department],0))="Lower is Better",IF($G97=0,1,IF($F97=0,0,$F97/$G97)),IF($F97=0,1,$G97/$F97)),0)</f>
        <v/>
      </c>
      <c r="I97" s="8">
        <f>IF($H97&gt;=1,"Green",IF($H97&gt;=0.85,"Amber","Red"))</f>
        <v/>
      </c>
      <c r="J97" s="10" t="inlineStr">
        <is>
          <t>Awaiting spares</t>
        </is>
      </c>
    </row>
    <row r="98">
      <c r="A98" s="11" t="n">
        <v>46186</v>
      </c>
      <c r="B98" s="12">
        <f>IF($A98="","",TEXT($A98,"mmm-yyyy"))</f>
        <v/>
      </c>
      <c r="C98" s="12">
        <f>IF($A98="","","W"&amp;WEEKNUM($A98,2))</f>
        <v/>
      </c>
      <c r="D98" s="12" t="inlineStr">
        <is>
          <t>Engineering</t>
        </is>
      </c>
      <c r="E98" s="12">
        <f>IFERROR(INDEX(Tbl_KPIMaster[KPI Name],MATCH($D98,Tbl_KPIMaster[Department],0)),"")</f>
        <v/>
      </c>
      <c r="F98" s="12">
        <f>IFERROR(INDEX(Tbl_KPIMaster[Target],MATCH($D98,Tbl_KPIMaster[Department],0)),"")</f>
        <v/>
      </c>
      <c r="G98" s="12" t="n">
        <v>0.9573</v>
      </c>
      <c r="H98" s="13">
        <f>IFERROR(IF(INDEX(Tbl_KPIMaster[Direction],MATCH($D98,Tbl_KPIMaster[Department],0))="Lower is Better",IF($G98=0,1,IF($F98=0,0,$F98/$G98)),IF($F98=0,1,$G98/$F98)),0)</f>
        <v/>
      </c>
      <c r="I98" s="12">
        <f>IF($H98&gt;=1,"Green",IF($H98&gt;=0.85,"Amber","Red"))</f>
        <v/>
      </c>
      <c r="J98" s="14" t="inlineStr">
        <is>
          <t>Line changeover impact</t>
        </is>
      </c>
    </row>
    <row r="99">
      <c r="A99" s="7" t="n">
        <v>46187</v>
      </c>
      <c r="B99" s="8">
        <f>IF($A99="","",TEXT($A99,"mmm-yyyy"))</f>
        <v/>
      </c>
      <c r="C99" s="8">
        <f>IF($A99="","","W"&amp;WEEKNUM($A99,2))</f>
        <v/>
      </c>
      <c r="D99" s="8" t="inlineStr">
        <is>
          <t>Safety</t>
        </is>
      </c>
      <c r="E99" s="8">
        <f>IFERROR(INDEX(Tbl_KPIMaster[KPI Name],MATCH($D99,Tbl_KPIMaster[Department],0)),"")</f>
        <v/>
      </c>
      <c r="F99" s="8">
        <f>IFERROR(INDEX(Tbl_KPIMaster[Target],MATCH($D99,Tbl_KPIMaster[Department],0)),"")</f>
        <v/>
      </c>
      <c r="G99" s="8" t="n">
        <v>0</v>
      </c>
      <c r="H99" s="9">
        <f>IFERROR(IF(INDEX(Tbl_KPIMaster[Direction],MATCH($D99,Tbl_KPIMaster[Department],0))="Lower is Better",IF($G99=0,1,IF($F99=0,0,$F99/$G99)),IF($F99=0,1,$G99/$F99)),0)</f>
        <v/>
      </c>
      <c r="I99" s="8">
        <f>IF($H99&gt;=1,"Green",IF($H99&gt;=0.85,"Amber","Red"))</f>
        <v/>
      </c>
      <c r="J99" s="10" t="inlineStr">
        <is>
          <t>Manpower shortage</t>
        </is>
      </c>
    </row>
    <row r="100">
      <c r="A100" s="11" t="n">
        <v>46187</v>
      </c>
      <c r="B100" s="12">
        <f>IF($A100="","",TEXT($A100,"mmm-yyyy"))</f>
        <v/>
      </c>
      <c r="C100" s="12">
        <f>IF($A100="","","W"&amp;WEEKNUM($A100,2))</f>
        <v/>
      </c>
      <c r="D100" s="12" t="inlineStr">
        <is>
          <t>Production</t>
        </is>
      </c>
      <c r="E100" s="12">
        <f>IFERROR(INDEX(Tbl_KPIMaster[KPI Name],MATCH($D100,Tbl_KPIMaster[Department],0)),"")</f>
        <v/>
      </c>
      <c r="F100" s="12">
        <f>IFERROR(INDEX(Tbl_KPIMaster[Target],MATCH($D100,Tbl_KPIMaster[Department],0)),"")</f>
        <v/>
      </c>
      <c r="G100" s="12" t="n">
        <v>1161.01</v>
      </c>
      <c r="H100" s="13">
        <f>IFERROR(IF(INDEX(Tbl_KPIMaster[Direction],MATCH($D100,Tbl_KPIMaster[Department],0))="Lower is Better",IF($G100=0,1,IF($F100=0,0,$F100/$G100)),IF($F100=0,1,$G100/$F100)),0)</f>
        <v/>
      </c>
      <c r="I100" s="12">
        <f>IF($H100&gt;=1,"Green",IF($H100&gt;=0.85,"Amber","Red"))</f>
        <v/>
      </c>
      <c r="J100" s="14" t="inlineStr">
        <is>
          <t>Process improvement in progress</t>
        </is>
      </c>
    </row>
    <row r="101">
      <c r="A101" s="7" t="n">
        <v>46187</v>
      </c>
      <c r="B101" s="8">
        <f>IF($A101="","",TEXT($A101,"mmm-yyyy"))</f>
        <v/>
      </c>
      <c r="C101" s="8">
        <f>IF($A101="","","W"&amp;WEEKNUM($A101,2))</f>
        <v/>
      </c>
      <c r="D101" s="8" t="inlineStr">
        <is>
          <t>Quality</t>
        </is>
      </c>
      <c r="E101" s="8">
        <f>IFERROR(INDEX(Tbl_KPIMaster[KPI Name],MATCH($D101,Tbl_KPIMaster[Department],0)),"")</f>
        <v/>
      </c>
      <c r="F101" s="8">
        <f>IFERROR(INDEX(Tbl_KPIMaster[Target],MATCH($D101,Tbl_KPIMaster[Department],0)),"")</f>
        <v/>
      </c>
      <c r="G101" s="8" t="n">
        <v>0.0165</v>
      </c>
      <c r="H101" s="9">
        <f>IFERROR(IF(INDEX(Tbl_KPIMaster[Direction],MATCH($D101,Tbl_KPIMaster[Department],0))="Lower is Better",IF($G101=0,1,IF($F101=0,0,$F101/$G101)),IF($F101=0,1,$G101/$F101)),0)</f>
        <v/>
      </c>
      <c r="I101" s="8">
        <f>IF($H101&gt;=1,"Green",IF($H101&gt;=0.85,"Amber","Red"))</f>
        <v/>
      </c>
      <c r="J101" s="10" t="inlineStr">
        <is>
          <t>Vendor delay</t>
        </is>
      </c>
    </row>
    <row r="102">
      <c r="A102" s="11" t="n">
        <v>46187</v>
      </c>
      <c r="B102" s="12">
        <f>IF($A102="","",TEXT($A102,"mmm-yyyy"))</f>
        <v/>
      </c>
      <c r="C102" s="12">
        <f>IF($A102="","","W"&amp;WEEKNUM($A102,2))</f>
        <v/>
      </c>
      <c r="D102" s="12" t="inlineStr">
        <is>
          <t>Maintenance</t>
        </is>
      </c>
      <c r="E102" s="12">
        <f>IFERROR(INDEX(Tbl_KPIMaster[KPI Name],MATCH($D102,Tbl_KPIMaster[Department],0)),"")</f>
        <v/>
      </c>
      <c r="F102" s="12">
        <f>IFERROR(INDEX(Tbl_KPIMaster[Target],MATCH($D102,Tbl_KPIMaster[Department],0)),"")</f>
        <v/>
      </c>
      <c r="G102" s="12" t="n">
        <v>1.02</v>
      </c>
      <c r="H102" s="13">
        <f>IFERROR(IF(INDEX(Tbl_KPIMaster[Direction],MATCH($D102,Tbl_KPIMaster[Department],0))="Lower is Better",IF($G102=0,1,IF($F102=0,0,$F102/$G102)),IF($F102=0,1,$G102/$F102)),0)</f>
        <v/>
      </c>
      <c r="I102" s="12">
        <f>IF($H102&gt;=1,"Green",IF($H102&gt;=0.85,"Amber","Red"))</f>
        <v/>
      </c>
      <c r="J102" s="14" t="inlineStr">
        <is>
          <t>Manpower shortage</t>
        </is>
      </c>
    </row>
    <row r="103">
      <c r="A103" s="7" t="n">
        <v>46187</v>
      </c>
      <c r="B103" s="8">
        <f>IF($A103="","",TEXT($A103,"mmm-yyyy"))</f>
        <v/>
      </c>
      <c r="C103" s="8">
        <f>IF($A103="","","W"&amp;WEEKNUM($A103,2))</f>
        <v/>
      </c>
      <c r="D103" s="8" t="inlineStr">
        <is>
          <t>Utilities</t>
        </is>
      </c>
      <c r="E103" s="8">
        <f>IFERROR(INDEX(Tbl_KPIMaster[KPI Name],MATCH($D103,Tbl_KPIMaster[Department],0)),"")</f>
        <v/>
      </c>
      <c r="F103" s="8">
        <f>IFERROR(INDEX(Tbl_KPIMaster[Target],MATCH($D103,Tbl_KPIMaster[Department],0)),"")</f>
        <v/>
      </c>
      <c r="G103" s="8" t="n">
        <v>6077.41</v>
      </c>
      <c r="H103" s="9">
        <f>IFERROR(IF(INDEX(Tbl_KPIMaster[Direction],MATCH($D103,Tbl_KPIMaster[Department],0))="Lower is Better",IF($G103=0,1,IF($F103=0,0,$F103/$G103)),IF($F103=0,1,$G103/$F103)),0)</f>
        <v/>
      </c>
      <c r="I103" s="8">
        <f>IF($H103&gt;=1,"Green",IF($H103&gt;=0.85,"Amber","Red"))</f>
        <v/>
      </c>
      <c r="J103" s="10" t="inlineStr">
        <is>
          <t>Process improvement in progress</t>
        </is>
      </c>
    </row>
    <row r="104">
      <c r="A104" s="11" t="n">
        <v>46187</v>
      </c>
      <c r="B104" s="12">
        <f>IF($A104="","",TEXT($A104,"mmm-yyyy"))</f>
        <v/>
      </c>
      <c r="C104" s="12">
        <f>IF($A104="","","W"&amp;WEEKNUM($A104,2))</f>
        <v/>
      </c>
      <c r="D104" s="12" t="inlineStr">
        <is>
          <t>Warehouse</t>
        </is>
      </c>
      <c r="E104" s="12">
        <f>IFERROR(INDEX(Tbl_KPIMaster[KPI Name],MATCH($D104,Tbl_KPIMaster[Department],0)),"")</f>
        <v/>
      </c>
      <c r="F104" s="12">
        <f>IFERROR(INDEX(Tbl_KPIMaster[Target],MATCH($D104,Tbl_KPIMaster[Department],0)),"")</f>
        <v/>
      </c>
      <c r="G104" s="12" t="n">
        <v>0.7383999999999999</v>
      </c>
      <c r="H104" s="13">
        <f>IFERROR(IF(INDEX(Tbl_KPIMaster[Direction],MATCH($D104,Tbl_KPIMaster[Department],0))="Lower is Better",IF($G104=0,1,IF($F104=0,0,$F104/$G104)),IF($F104=0,1,$G104/$F104)),0)</f>
        <v/>
      </c>
      <c r="I104" s="12">
        <f>IF($H104&gt;=1,"Green",IF($H104&gt;=0.85,"Amber","Red"))</f>
        <v/>
      </c>
      <c r="J104" s="14" t="inlineStr">
        <is>
          <t>Line changeover impact</t>
        </is>
      </c>
    </row>
    <row r="105">
      <c r="A105" s="7" t="n">
        <v>46187</v>
      </c>
      <c r="B105" s="8">
        <f>IF($A105="","",TEXT($A105,"mmm-yyyy"))</f>
        <v/>
      </c>
      <c r="C105" s="8">
        <f>IF($A105="","","W"&amp;WEEKNUM($A105,2))</f>
        <v/>
      </c>
      <c r="D105" s="8" t="inlineStr">
        <is>
          <t>HR</t>
        </is>
      </c>
      <c r="E105" s="8">
        <f>IFERROR(INDEX(Tbl_KPIMaster[KPI Name],MATCH($D105,Tbl_KPIMaster[Department],0)),"")</f>
        <v/>
      </c>
      <c r="F105" s="8">
        <f>IFERROR(INDEX(Tbl_KPIMaster[Target],MATCH($D105,Tbl_KPIMaster[Department],0)),"")</f>
        <v/>
      </c>
      <c r="G105" s="8" t="n">
        <v>0.0278</v>
      </c>
      <c r="H105" s="9">
        <f>IFERROR(IF(INDEX(Tbl_KPIMaster[Direction],MATCH($D105,Tbl_KPIMaster[Department],0))="Lower is Better",IF($G105=0,1,IF($F105=0,0,$F105/$G105)),IF($F105=0,1,$G105/$F105)),0)</f>
        <v/>
      </c>
      <c r="I105" s="8">
        <f>IF($H105&gt;=1,"Green",IF($H105&gt;=0.85,"Amber","Red"))</f>
        <v/>
      </c>
      <c r="J105" s="10" t="inlineStr">
        <is>
          <t>Within normal range</t>
        </is>
      </c>
    </row>
    <row r="106">
      <c r="A106" s="11" t="n">
        <v>46187</v>
      </c>
      <c r="B106" s="12">
        <f>IF($A106="","",TEXT($A106,"mmm-yyyy"))</f>
        <v/>
      </c>
      <c r="C106" s="12">
        <f>IF($A106="","","W"&amp;WEEKNUM($A106,2))</f>
        <v/>
      </c>
      <c r="D106" s="12" t="inlineStr">
        <is>
          <t>Engineering</t>
        </is>
      </c>
      <c r="E106" s="12">
        <f>IFERROR(INDEX(Tbl_KPIMaster[KPI Name],MATCH($D106,Tbl_KPIMaster[Department],0)),"")</f>
        <v/>
      </c>
      <c r="F106" s="12">
        <f>IFERROR(INDEX(Tbl_KPIMaster[Target],MATCH($D106,Tbl_KPIMaster[Department],0)),"")</f>
        <v/>
      </c>
      <c r="G106" s="12" t="n">
        <v>0.9093</v>
      </c>
      <c r="H106" s="13">
        <f>IFERROR(IF(INDEX(Tbl_KPIMaster[Direction],MATCH($D106,Tbl_KPIMaster[Department],0))="Lower is Better",IF($G106=0,1,IF($F106=0,0,$F106/$G106)),IF($F106=0,1,$G106/$F106)),0)</f>
        <v/>
      </c>
      <c r="I106" s="12">
        <f>IF($H106&gt;=1,"Green",IF($H106&gt;=0.85,"Amber","Red"))</f>
        <v/>
      </c>
      <c r="J106" s="14" t="inlineStr"/>
    </row>
    <row r="107">
      <c r="A107" s="7" t="n">
        <v>46188</v>
      </c>
      <c r="B107" s="8">
        <f>IF($A107="","",TEXT($A107,"mmm-yyyy"))</f>
        <v/>
      </c>
      <c r="C107" s="8">
        <f>IF($A107="","","W"&amp;WEEKNUM($A107,2))</f>
        <v/>
      </c>
      <c r="D107" s="8" t="inlineStr">
        <is>
          <t>Safety</t>
        </is>
      </c>
      <c r="E107" s="8">
        <f>IFERROR(INDEX(Tbl_KPIMaster[KPI Name],MATCH($D107,Tbl_KPIMaster[Department],0)),"")</f>
        <v/>
      </c>
      <c r="F107" s="8">
        <f>IFERROR(INDEX(Tbl_KPIMaster[Target],MATCH($D107,Tbl_KPIMaster[Department],0)),"")</f>
        <v/>
      </c>
      <c r="G107" s="8" t="n">
        <v>1</v>
      </c>
      <c r="H107" s="9">
        <f>IFERROR(IF(INDEX(Tbl_KPIMaster[Direction],MATCH($D107,Tbl_KPIMaster[Department],0))="Lower is Better",IF($G107=0,1,IF($F107=0,0,$F107/$G107)),IF($F107=0,1,$G107/$F107)),0)</f>
        <v/>
      </c>
      <c r="I107" s="8">
        <f>IF($H107&gt;=1,"Green",IF($H107&gt;=0.85,"Amber","Red"))</f>
        <v/>
      </c>
      <c r="J107" s="10" t="inlineStr">
        <is>
          <t>Awaiting spares</t>
        </is>
      </c>
    </row>
    <row r="108">
      <c r="A108" s="11" t="n">
        <v>46188</v>
      </c>
      <c r="B108" s="12">
        <f>IF($A108="","",TEXT($A108,"mmm-yyyy"))</f>
        <v/>
      </c>
      <c r="C108" s="12">
        <f>IF($A108="","","W"&amp;WEEKNUM($A108,2))</f>
        <v/>
      </c>
      <c r="D108" s="12" t="inlineStr">
        <is>
          <t>Production</t>
        </is>
      </c>
      <c r="E108" s="12">
        <f>IFERROR(INDEX(Tbl_KPIMaster[KPI Name],MATCH($D108,Tbl_KPIMaster[Department],0)),"")</f>
        <v/>
      </c>
      <c r="F108" s="12">
        <f>IFERROR(INDEX(Tbl_KPIMaster[Target],MATCH($D108,Tbl_KPIMaster[Department],0)),"")</f>
        <v/>
      </c>
      <c r="G108" s="12" t="n">
        <v>695.84</v>
      </c>
      <c r="H108" s="13">
        <f>IFERROR(IF(INDEX(Tbl_KPIMaster[Direction],MATCH($D108,Tbl_KPIMaster[Department],0))="Lower is Better",IF($G108=0,1,IF($F108=0,0,$F108/$G108)),IF($F108=0,1,$G108/$F108)),0)</f>
        <v/>
      </c>
      <c r="I108" s="12">
        <f>IF($H108&gt;=1,"Green",IF($H108&gt;=0.85,"Amber","Red"))</f>
        <v/>
      </c>
      <c r="J108" s="14" t="inlineStr">
        <is>
          <t>Vendor delay</t>
        </is>
      </c>
    </row>
    <row r="109">
      <c r="A109" s="7" t="n">
        <v>46188</v>
      </c>
      <c r="B109" s="8">
        <f>IF($A109="","",TEXT($A109,"mmm-yyyy"))</f>
        <v/>
      </c>
      <c r="C109" s="8">
        <f>IF($A109="","","W"&amp;WEEKNUM($A109,2))</f>
        <v/>
      </c>
      <c r="D109" s="8" t="inlineStr">
        <is>
          <t>Quality</t>
        </is>
      </c>
      <c r="E109" s="8">
        <f>IFERROR(INDEX(Tbl_KPIMaster[KPI Name],MATCH($D109,Tbl_KPIMaster[Department],0)),"")</f>
        <v/>
      </c>
      <c r="F109" s="8">
        <f>IFERROR(INDEX(Tbl_KPIMaster[Target],MATCH($D109,Tbl_KPIMaster[Department],0)),"")</f>
        <v/>
      </c>
      <c r="G109" s="8" t="n">
        <v>0.0236</v>
      </c>
      <c r="H109" s="9">
        <f>IFERROR(IF(INDEX(Tbl_KPIMaster[Direction],MATCH($D109,Tbl_KPIMaster[Department],0))="Lower is Better",IF($G109=0,1,IF($F109=0,0,$F109/$G109)),IF($F109=0,1,$G109/$F109)),0)</f>
        <v/>
      </c>
      <c r="I109" s="8">
        <f>IF($H109&gt;=1,"Green",IF($H109&gt;=0.85,"Amber","Red"))</f>
        <v/>
      </c>
      <c r="J109" s="10" t="inlineStr">
        <is>
          <t>Process improvement in progress</t>
        </is>
      </c>
    </row>
    <row r="110">
      <c r="A110" s="11" t="n">
        <v>46188</v>
      </c>
      <c r="B110" s="12">
        <f>IF($A110="","",TEXT($A110,"mmm-yyyy"))</f>
        <v/>
      </c>
      <c r="C110" s="12">
        <f>IF($A110="","","W"&amp;WEEKNUM($A110,2))</f>
        <v/>
      </c>
      <c r="D110" s="12" t="inlineStr">
        <is>
          <t>Maintenance</t>
        </is>
      </c>
      <c r="E110" s="12">
        <f>IFERROR(INDEX(Tbl_KPIMaster[KPI Name],MATCH($D110,Tbl_KPIMaster[Department],0)),"")</f>
        <v/>
      </c>
      <c r="F110" s="12">
        <f>IFERROR(INDEX(Tbl_KPIMaster[Target],MATCH($D110,Tbl_KPIMaster[Department],0)),"")</f>
        <v/>
      </c>
      <c r="G110" s="12" t="n">
        <v>0.9399999999999999</v>
      </c>
      <c r="H110" s="13">
        <f>IFERROR(IF(INDEX(Tbl_KPIMaster[Direction],MATCH($D110,Tbl_KPIMaster[Department],0))="Lower is Better",IF($G110=0,1,IF($F110=0,0,$F110/$G110)),IF($F110=0,1,$G110/$F110)),0)</f>
        <v/>
      </c>
      <c r="I110" s="12">
        <f>IF($H110&gt;=1,"Green",IF($H110&gt;=0.85,"Amber","Red"))</f>
        <v/>
      </c>
      <c r="J110" s="14" t="inlineStr">
        <is>
          <t>Line changeover impact</t>
        </is>
      </c>
    </row>
    <row r="111">
      <c r="A111" s="7" t="n">
        <v>46188</v>
      </c>
      <c r="B111" s="8">
        <f>IF($A111="","",TEXT($A111,"mmm-yyyy"))</f>
        <v/>
      </c>
      <c r="C111" s="8">
        <f>IF($A111="","","W"&amp;WEEKNUM($A111,2))</f>
        <v/>
      </c>
      <c r="D111" s="8" t="inlineStr">
        <is>
          <t>Utilities</t>
        </is>
      </c>
      <c r="E111" s="8">
        <f>IFERROR(INDEX(Tbl_KPIMaster[KPI Name],MATCH($D111,Tbl_KPIMaster[Department],0)),"")</f>
        <v/>
      </c>
      <c r="F111" s="8">
        <f>IFERROR(INDEX(Tbl_KPIMaster[Target],MATCH($D111,Tbl_KPIMaster[Department],0)),"")</f>
        <v/>
      </c>
      <c r="G111" s="8" t="n">
        <v>5181.59</v>
      </c>
      <c r="H111" s="9">
        <f>IFERROR(IF(INDEX(Tbl_KPIMaster[Direction],MATCH($D111,Tbl_KPIMaster[Department],0))="Lower is Better",IF($G111=0,1,IF($F111=0,0,$F111/$G111)),IF($F111=0,1,$G111/$F111)),0)</f>
        <v/>
      </c>
      <c r="I111" s="8">
        <f>IF($H111&gt;=1,"Green",IF($H111&gt;=0.85,"Amber","Red"))</f>
        <v/>
      </c>
      <c r="J111" s="10" t="inlineStr">
        <is>
          <t>Line changeover impact</t>
        </is>
      </c>
    </row>
    <row r="112">
      <c r="A112" s="11" t="n">
        <v>46188</v>
      </c>
      <c r="B112" s="12">
        <f>IF($A112="","",TEXT($A112,"mmm-yyyy"))</f>
        <v/>
      </c>
      <c r="C112" s="12">
        <f>IF($A112="","","W"&amp;WEEKNUM($A112,2))</f>
        <v/>
      </c>
      <c r="D112" s="12" t="inlineStr">
        <is>
          <t>Warehouse</t>
        </is>
      </c>
      <c r="E112" s="12">
        <f>IFERROR(INDEX(Tbl_KPIMaster[KPI Name],MATCH($D112,Tbl_KPIMaster[Department],0)),"")</f>
        <v/>
      </c>
      <c r="F112" s="12">
        <f>IFERROR(INDEX(Tbl_KPIMaster[Target],MATCH($D112,Tbl_KPIMaster[Department],0)),"")</f>
        <v/>
      </c>
      <c r="G112" s="12" t="n">
        <v>1.1511</v>
      </c>
      <c r="H112" s="13">
        <f>IFERROR(IF(INDEX(Tbl_KPIMaster[Direction],MATCH($D112,Tbl_KPIMaster[Department],0))="Lower is Better",IF($G112=0,1,IF($F112=0,0,$F112/$G112)),IF($F112=0,1,$G112/$F112)),0)</f>
        <v/>
      </c>
      <c r="I112" s="12">
        <f>IF($H112&gt;=1,"Green",IF($H112&gt;=0.85,"Amber","Red"))</f>
        <v/>
      </c>
      <c r="J112" s="14" t="inlineStr">
        <is>
          <t>Preventive check done</t>
        </is>
      </c>
    </row>
    <row r="113">
      <c r="A113" s="7" t="n">
        <v>46188</v>
      </c>
      <c r="B113" s="8">
        <f>IF($A113="","",TEXT($A113,"mmm-yyyy"))</f>
        <v/>
      </c>
      <c r="C113" s="8">
        <f>IF($A113="","","W"&amp;WEEKNUM($A113,2))</f>
        <v/>
      </c>
      <c r="D113" s="8" t="inlineStr">
        <is>
          <t>HR</t>
        </is>
      </c>
      <c r="E113" s="8">
        <f>IFERROR(INDEX(Tbl_KPIMaster[KPI Name],MATCH($D113,Tbl_KPIMaster[Department],0)),"")</f>
        <v/>
      </c>
      <c r="F113" s="8">
        <f>IFERROR(INDEX(Tbl_KPIMaster[Target],MATCH($D113,Tbl_KPIMaster[Department],0)),"")</f>
        <v/>
      </c>
      <c r="G113" s="8" t="n">
        <v>0.0347</v>
      </c>
      <c r="H113" s="9">
        <f>IFERROR(IF(INDEX(Tbl_KPIMaster[Direction],MATCH($D113,Tbl_KPIMaster[Department],0))="Lower is Better",IF($G113=0,1,IF($F113=0,0,$F113/$G113)),IF($F113=0,1,$G113/$F113)),0)</f>
        <v/>
      </c>
      <c r="I113" s="8">
        <f>IF($H113&gt;=1,"Green",IF($H113&gt;=0.85,"Amber","Red"))</f>
        <v/>
      </c>
      <c r="J113" s="10" t="inlineStr">
        <is>
          <t>Line changeover impact</t>
        </is>
      </c>
    </row>
    <row r="114">
      <c r="A114" s="11" t="n">
        <v>46188</v>
      </c>
      <c r="B114" s="12">
        <f>IF($A114="","",TEXT($A114,"mmm-yyyy"))</f>
        <v/>
      </c>
      <c r="C114" s="12">
        <f>IF($A114="","","W"&amp;WEEKNUM($A114,2))</f>
        <v/>
      </c>
      <c r="D114" s="12" t="inlineStr">
        <is>
          <t>Engineering</t>
        </is>
      </c>
      <c r="E114" s="12">
        <f>IFERROR(INDEX(Tbl_KPIMaster[KPI Name],MATCH($D114,Tbl_KPIMaster[Department],0)),"")</f>
        <v/>
      </c>
      <c r="F114" s="12">
        <f>IFERROR(INDEX(Tbl_KPIMaster[Target],MATCH($D114,Tbl_KPIMaster[Department],0)),"")</f>
        <v/>
      </c>
      <c r="G114" s="12" t="n">
        <v>0.6316000000000001</v>
      </c>
      <c r="H114" s="13">
        <f>IFERROR(IF(INDEX(Tbl_KPIMaster[Direction],MATCH($D114,Tbl_KPIMaster[Department],0))="Lower is Better",IF($G114=0,1,IF($F114=0,0,$F114/$G114)),IF($F114=0,1,$G114/$F114)),0)</f>
        <v/>
      </c>
      <c r="I114" s="12">
        <f>IF($H114&gt;=1,"Green",IF($H114&gt;=0.85,"Amber","Red"))</f>
        <v/>
      </c>
      <c r="J114" s="14" t="inlineStr">
        <is>
          <t>Manpower shortage</t>
        </is>
      </c>
    </row>
    <row r="115">
      <c r="A115" s="7" t="n">
        <v>46189</v>
      </c>
      <c r="B115" s="8">
        <f>IF($A115="","",TEXT($A115,"mmm-yyyy"))</f>
        <v/>
      </c>
      <c r="C115" s="8">
        <f>IF($A115="","","W"&amp;WEEKNUM($A115,2))</f>
        <v/>
      </c>
      <c r="D115" s="8" t="inlineStr">
        <is>
          <t>Safety</t>
        </is>
      </c>
      <c r="E115" s="8">
        <f>IFERROR(INDEX(Tbl_KPIMaster[KPI Name],MATCH($D115,Tbl_KPIMaster[Department],0)),"")</f>
        <v/>
      </c>
      <c r="F115" s="8">
        <f>IFERROR(INDEX(Tbl_KPIMaster[Target],MATCH($D115,Tbl_KPIMaster[Department],0)),"")</f>
        <v/>
      </c>
      <c r="G115" s="8" t="n">
        <v>0</v>
      </c>
      <c r="H115" s="9">
        <f>IFERROR(IF(INDEX(Tbl_KPIMaster[Direction],MATCH($D115,Tbl_KPIMaster[Department],0))="Lower is Better",IF($G115=0,1,IF($F115=0,0,$F115/$G115)),IF($F115=0,1,$G115/$F115)),0)</f>
        <v/>
      </c>
      <c r="I115" s="8">
        <f>IF($H115&gt;=1,"Green",IF($H115&gt;=0.85,"Amber","Red"))</f>
        <v/>
      </c>
      <c r="J115" s="10" t="inlineStr">
        <is>
          <t>Line changeover impact</t>
        </is>
      </c>
    </row>
    <row r="116">
      <c r="A116" s="11" t="n">
        <v>46189</v>
      </c>
      <c r="B116" s="12">
        <f>IF($A116="","",TEXT($A116,"mmm-yyyy"))</f>
        <v/>
      </c>
      <c r="C116" s="12">
        <f>IF($A116="","","W"&amp;WEEKNUM($A116,2))</f>
        <v/>
      </c>
      <c r="D116" s="12" t="inlineStr">
        <is>
          <t>Production</t>
        </is>
      </c>
      <c r="E116" s="12">
        <f>IFERROR(INDEX(Tbl_KPIMaster[KPI Name],MATCH($D116,Tbl_KPIMaster[Department],0)),"")</f>
        <v/>
      </c>
      <c r="F116" s="12">
        <f>IFERROR(INDEX(Tbl_KPIMaster[Target],MATCH($D116,Tbl_KPIMaster[Department],0)),"")</f>
        <v/>
      </c>
      <c r="G116" s="12" t="n">
        <v>980.86</v>
      </c>
      <c r="H116" s="13">
        <f>IFERROR(IF(INDEX(Tbl_KPIMaster[Direction],MATCH($D116,Tbl_KPIMaster[Department],0))="Lower is Better",IF($G116=0,1,IF($F116=0,0,$F116/$G116)),IF($F116=0,1,$G116/$F116)),0)</f>
        <v/>
      </c>
      <c r="I116" s="12">
        <f>IF($H116&gt;=1,"Green",IF($H116&gt;=0.85,"Amber","Red"))</f>
        <v/>
      </c>
      <c r="J116" s="14" t="inlineStr">
        <is>
          <t>Process improvement in progress</t>
        </is>
      </c>
    </row>
    <row r="117">
      <c r="A117" s="7" t="n">
        <v>46189</v>
      </c>
      <c r="B117" s="8">
        <f>IF($A117="","",TEXT($A117,"mmm-yyyy"))</f>
        <v/>
      </c>
      <c r="C117" s="8">
        <f>IF($A117="","","W"&amp;WEEKNUM($A117,2))</f>
        <v/>
      </c>
      <c r="D117" s="8" t="inlineStr">
        <is>
          <t>Quality</t>
        </is>
      </c>
      <c r="E117" s="8">
        <f>IFERROR(INDEX(Tbl_KPIMaster[KPI Name],MATCH($D117,Tbl_KPIMaster[Department],0)),"")</f>
        <v/>
      </c>
      <c r="F117" s="8">
        <f>IFERROR(INDEX(Tbl_KPIMaster[Target],MATCH($D117,Tbl_KPIMaster[Department],0)),"")</f>
        <v/>
      </c>
      <c r="G117" s="8" t="n">
        <v>0.0183</v>
      </c>
      <c r="H117" s="9">
        <f>IFERROR(IF(INDEX(Tbl_KPIMaster[Direction],MATCH($D117,Tbl_KPIMaster[Department],0))="Lower is Better",IF($G117=0,1,IF($F117=0,0,$F117/$G117)),IF($F117=0,1,$G117/$F117)),0)</f>
        <v/>
      </c>
      <c r="I117" s="8">
        <f>IF($H117&gt;=1,"Green",IF($H117&gt;=0.85,"Amber","Red"))</f>
        <v/>
      </c>
      <c r="J117" s="10" t="inlineStr"/>
    </row>
    <row r="118">
      <c r="A118" s="11" t="n">
        <v>46189</v>
      </c>
      <c r="B118" s="12">
        <f>IF($A118="","",TEXT($A118,"mmm-yyyy"))</f>
        <v/>
      </c>
      <c r="C118" s="12">
        <f>IF($A118="","","W"&amp;WEEKNUM($A118,2))</f>
        <v/>
      </c>
      <c r="D118" s="12" t="inlineStr">
        <is>
          <t>Maintenance</t>
        </is>
      </c>
      <c r="E118" s="12">
        <f>IFERROR(INDEX(Tbl_KPIMaster[KPI Name],MATCH($D118,Tbl_KPIMaster[Department],0)),"")</f>
        <v/>
      </c>
      <c r="F118" s="12">
        <f>IFERROR(INDEX(Tbl_KPIMaster[Target],MATCH($D118,Tbl_KPIMaster[Department],0)),"")</f>
        <v/>
      </c>
      <c r="G118" s="12" t="n">
        <v>0.88</v>
      </c>
      <c r="H118" s="13">
        <f>IFERROR(IF(INDEX(Tbl_KPIMaster[Direction],MATCH($D118,Tbl_KPIMaster[Department],0))="Lower is Better",IF($G118=0,1,IF($F118=0,0,$F118/$G118)),IF($F118=0,1,$G118/$F118)),0)</f>
        <v/>
      </c>
      <c r="I118" s="12">
        <f>IF($H118&gt;=1,"Green",IF($H118&gt;=0.85,"Amber","Red"))</f>
        <v/>
      </c>
      <c r="J118" s="14" t="inlineStr"/>
    </row>
    <row r="119">
      <c r="A119" s="7" t="n">
        <v>46189</v>
      </c>
      <c r="B119" s="8">
        <f>IF($A119="","",TEXT($A119,"mmm-yyyy"))</f>
        <v/>
      </c>
      <c r="C119" s="8">
        <f>IF($A119="","","W"&amp;WEEKNUM($A119,2))</f>
        <v/>
      </c>
      <c r="D119" s="8" t="inlineStr">
        <is>
          <t>Utilities</t>
        </is>
      </c>
      <c r="E119" s="8">
        <f>IFERROR(INDEX(Tbl_KPIMaster[KPI Name],MATCH($D119,Tbl_KPIMaster[Department],0)),"")</f>
        <v/>
      </c>
      <c r="F119" s="8">
        <f>IFERROR(INDEX(Tbl_KPIMaster[Target],MATCH($D119,Tbl_KPIMaster[Department],0)),"")</f>
        <v/>
      </c>
      <c r="G119" s="8" t="n">
        <v>5199.5</v>
      </c>
      <c r="H119" s="9">
        <f>IFERROR(IF(INDEX(Tbl_KPIMaster[Direction],MATCH($D119,Tbl_KPIMaster[Department],0))="Lower is Better",IF($G119=0,1,IF($F119=0,0,$F119/$G119)),IF($F119=0,1,$G119/$F119)),0)</f>
        <v/>
      </c>
      <c r="I119" s="8">
        <f>IF($H119&gt;=1,"Green",IF($H119&gt;=0.85,"Amber","Red"))</f>
        <v/>
      </c>
      <c r="J119" s="10" t="inlineStr">
        <is>
          <t>Vendor delay</t>
        </is>
      </c>
    </row>
    <row r="120">
      <c r="A120" s="11" t="n">
        <v>46189</v>
      </c>
      <c r="B120" s="12">
        <f>IF($A120="","",TEXT($A120,"mmm-yyyy"))</f>
        <v/>
      </c>
      <c r="C120" s="12">
        <f>IF($A120="","","W"&amp;WEEKNUM($A120,2))</f>
        <v/>
      </c>
      <c r="D120" s="12" t="inlineStr">
        <is>
          <t>Warehouse</t>
        </is>
      </c>
      <c r="E120" s="12">
        <f>IFERROR(INDEX(Tbl_KPIMaster[KPI Name],MATCH($D120,Tbl_KPIMaster[Department],0)),"")</f>
        <v/>
      </c>
      <c r="F120" s="12">
        <f>IFERROR(INDEX(Tbl_KPIMaster[Target],MATCH($D120,Tbl_KPIMaster[Department],0)),"")</f>
        <v/>
      </c>
      <c r="G120" s="12" t="n">
        <v>0.7962</v>
      </c>
      <c r="H120" s="13">
        <f>IFERROR(IF(INDEX(Tbl_KPIMaster[Direction],MATCH($D120,Tbl_KPIMaster[Department],0))="Lower is Better",IF($G120=0,1,IF($F120=0,0,$F120/$G120)),IF($F120=0,1,$G120/$F120)),0)</f>
        <v/>
      </c>
      <c r="I120" s="12">
        <f>IF($H120&gt;=1,"Green",IF($H120&gt;=0.85,"Amber","Red"))</f>
        <v/>
      </c>
      <c r="J120" s="14" t="inlineStr">
        <is>
          <t>Manpower shortage</t>
        </is>
      </c>
    </row>
    <row r="121">
      <c r="A121" s="7" t="n">
        <v>46189</v>
      </c>
      <c r="B121" s="8">
        <f>IF($A121="","",TEXT($A121,"mmm-yyyy"))</f>
        <v/>
      </c>
      <c r="C121" s="8">
        <f>IF($A121="","","W"&amp;WEEKNUM($A121,2))</f>
        <v/>
      </c>
      <c r="D121" s="8" t="inlineStr">
        <is>
          <t>HR</t>
        </is>
      </c>
      <c r="E121" s="8">
        <f>IFERROR(INDEX(Tbl_KPIMaster[KPI Name],MATCH($D121,Tbl_KPIMaster[Department],0)),"")</f>
        <v/>
      </c>
      <c r="F121" s="8">
        <f>IFERROR(INDEX(Tbl_KPIMaster[Target],MATCH($D121,Tbl_KPIMaster[Department],0)),"")</f>
        <v/>
      </c>
      <c r="G121" s="8" t="n">
        <v>0.0293</v>
      </c>
      <c r="H121" s="9">
        <f>IFERROR(IF(INDEX(Tbl_KPIMaster[Direction],MATCH($D121,Tbl_KPIMaster[Department],0))="Lower is Better",IF($G121=0,1,IF($F121=0,0,$F121/$G121)),IF($F121=0,1,$G121/$F121)),0)</f>
        <v/>
      </c>
      <c r="I121" s="8">
        <f>IF($H121&gt;=1,"Green",IF($H121&gt;=0.85,"Amber","Red"))</f>
        <v/>
      </c>
      <c r="J121" s="10" t="inlineStr">
        <is>
          <t>Vendor delay</t>
        </is>
      </c>
    </row>
    <row r="122">
      <c r="A122" s="11" t="n">
        <v>46189</v>
      </c>
      <c r="B122" s="12">
        <f>IF($A122="","",TEXT($A122,"mmm-yyyy"))</f>
        <v/>
      </c>
      <c r="C122" s="12">
        <f>IF($A122="","","W"&amp;WEEKNUM($A122,2))</f>
        <v/>
      </c>
      <c r="D122" s="12" t="inlineStr">
        <is>
          <t>Engineering</t>
        </is>
      </c>
      <c r="E122" s="12">
        <f>IFERROR(INDEX(Tbl_KPIMaster[KPI Name],MATCH($D122,Tbl_KPIMaster[Department],0)),"")</f>
        <v/>
      </c>
      <c r="F122" s="12">
        <f>IFERROR(INDEX(Tbl_KPIMaster[Target],MATCH($D122,Tbl_KPIMaster[Department],0)),"")</f>
        <v/>
      </c>
      <c r="G122" s="12" t="n">
        <v>0.9772</v>
      </c>
      <c r="H122" s="13">
        <f>IFERROR(IF(INDEX(Tbl_KPIMaster[Direction],MATCH($D122,Tbl_KPIMaster[Department],0))="Lower is Better",IF($G122=0,1,IF($F122=0,0,$F122/$G122)),IF($F122=0,1,$G122/$F122)),0)</f>
        <v/>
      </c>
      <c r="I122" s="12">
        <f>IF($H122&gt;=1,"Green",IF($H122&gt;=0.85,"Amber","Red"))</f>
        <v/>
      </c>
      <c r="J122" s="14" t="inlineStr">
        <is>
          <t>Process improvement in progress</t>
        </is>
      </c>
    </row>
    <row r="123">
      <c r="A123" s="7" t="n">
        <v>46190</v>
      </c>
      <c r="B123" s="8">
        <f>IF($A123="","",TEXT($A123,"mmm-yyyy"))</f>
        <v/>
      </c>
      <c r="C123" s="8">
        <f>IF($A123="","","W"&amp;WEEKNUM($A123,2))</f>
        <v/>
      </c>
      <c r="D123" s="8" t="inlineStr">
        <is>
          <t>Safety</t>
        </is>
      </c>
      <c r="E123" s="8">
        <f>IFERROR(INDEX(Tbl_KPIMaster[KPI Name],MATCH($D123,Tbl_KPIMaster[Department],0)),"")</f>
        <v/>
      </c>
      <c r="F123" s="8">
        <f>IFERROR(INDEX(Tbl_KPIMaster[Target],MATCH($D123,Tbl_KPIMaster[Department],0)),"")</f>
        <v/>
      </c>
      <c r="G123" s="8" t="n">
        <v>0</v>
      </c>
      <c r="H123" s="9">
        <f>IFERROR(IF(INDEX(Tbl_KPIMaster[Direction],MATCH($D123,Tbl_KPIMaster[Department],0))="Lower is Better",IF($G123=0,1,IF($F123=0,0,$F123/$G123)),IF($F123=0,1,$G123/$F123)),0)</f>
        <v/>
      </c>
      <c r="I123" s="8">
        <f>IF($H123&gt;=1,"Green",IF($H123&gt;=0.85,"Amber","Red"))</f>
        <v/>
      </c>
      <c r="J123" s="10" t="inlineStr"/>
    </row>
    <row r="124">
      <c r="A124" s="11" t="n">
        <v>46190</v>
      </c>
      <c r="B124" s="12">
        <f>IF($A124="","",TEXT($A124,"mmm-yyyy"))</f>
        <v/>
      </c>
      <c r="C124" s="12">
        <f>IF($A124="","","W"&amp;WEEKNUM($A124,2))</f>
        <v/>
      </c>
      <c r="D124" s="12" t="inlineStr">
        <is>
          <t>Production</t>
        </is>
      </c>
      <c r="E124" s="12">
        <f>IFERROR(INDEX(Tbl_KPIMaster[KPI Name],MATCH($D124,Tbl_KPIMaster[Department],0)),"")</f>
        <v/>
      </c>
      <c r="F124" s="12">
        <f>IFERROR(INDEX(Tbl_KPIMaster[Target],MATCH($D124,Tbl_KPIMaster[Department],0)),"")</f>
        <v/>
      </c>
      <c r="G124" s="12" t="n">
        <v>1030.99</v>
      </c>
      <c r="H124" s="13">
        <f>IFERROR(IF(INDEX(Tbl_KPIMaster[Direction],MATCH($D124,Tbl_KPIMaster[Department],0))="Lower is Better",IF($G124=0,1,IF($F124=0,0,$F124/$G124)),IF($F124=0,1,$G124/$F124)),0)</f>
        <v/>
      </c>
      <c r="I124" s="12">
        <f>IF($H124&gt;=1,"Green",IF($H124&gt;=0.85,"Amber","Red"))</f>
        <v/>
      </c>
      <c r="J124" s="14" t="inlineStr">
        <is>
          <t>Manpower shortage</t>
        </is>
      </c>
    </row>
    <row r="125">
      <c r="A125" s="7" t="n">
        <v>46190</v>
      </c>
      <c r="B125" s="8">
        <f>IF($A125="","",TEXT($A125,"mmm-yyyy"))</f>
        <v/>
      </c>
      <c r="C125" s="8">
        <f>IF($A125="","","W"&amp;WEEKNUM($A125,2))</f>
        <v/>
      </c>
      <c r="D125" s="8" t="inlineStr">
        <is>
          <t>Quality</t>
        </is>
      </c>
      <c r="E125" s="8">
        <f>IFERROR(INDEX(Tbl_KPIMaster[KPI Name],MATCH($D125,Tbl_KPIMaster[Department],0)),"")</f>
        <v/>
      </c>
      <c r="F125" s="8">
        <f>IFERROR(INDEX(Tbl_KPIMaster[Target],MATCH($D125,Tbl_KPIMaster[Department],0)),"")</f>
        <v/>
      </c>
      <c r="G125" s="8" t="n">
        <v>0.0169</v>
      </c>
      <c r="H125" s="9">
        <f>IFERROR(IF(INDEX(Tbl_KPIMaster[Direction],MATCH($D125,Tbl_KPIMaster[Department],0))="Lower is Better",IF($G125=0,1,IF($F125=0,0,$F125/$G125)),IF($F125=0,1,$G125/$F125)),0)</f>
        <v/>
      </c>
      <c r="I125" s="8">
        <f>IF($H125&gt;=1,"Green",IF($H125&gt;=0.85,"Amber","Red"))</f>
        <v/>
      </c>
      <c r="J125" s="10" t="inlineStr">
        <is>
          <t>Line changeover impact</t>
        </is>
      </c>
    </row>
    <row r="126">
      <c r="A126" s="11" t="n">
        <v>46190</v>
      </c>
      <c r="B126" s="12">
        <f>IF($A126="","",TEXT($A126,"mmm-yyyy"))</f>
        <v/>
      </c>
      <c r="C126" s="12">
        <f>IF($A126="","","W"&amp;WEEKNUM($A126,2))</f>
        <v/>
      </c>
      <c r="D126" s="12" t="inlineStr">
        <is>
          <t>Maintenance</t>
        </is>
      </c>
      <c r="E126" s="12">
        <f>IFERROR(INDEX(Tbl_KPIMaster[KPI Name],MATCH($D126,Tbl_KPIMaster[Department],0)),"")</f>
        <v/>
      </c>
      <c r="F126" s="12">
        <f>IFERROR(INDEX(Tbl_KPIMaster[Target],MATCH($D126,Tbl_KPIMaster[Department],0)),"")</f>
        <v/>
      </c>
      <c r="G126" s="12" t="n">
        <v>1.04</v>
      </c>
      <c r="H126" s="13">
        <f>IFERROR(IF(INDEX(Tbl_KPIMaster[Direction],MATCH($D126,Tbl_KPIMaster[Department],0))="Lower is Better",IF($G126=0,1,IF($F126=0,0,$F126/$G126)),IF($F126=0,1,$G126/$F126)),0)</f>
        <v/>
      </c>
      <c r="I126" s="12">
        <f>IF($H126&gt;=1,"Green",IF($H126&gt;=0.85,"Amber","Red"))</f>
        <v/>
      </c>
      <c r="J126" s="14" t="inlineStr">
        <is>
          <t>Preventive check done</t>
        </is>
      </c>
    </row>
    <row r="127">
      <c r="A127" s="7" t="n">
        <v>46190</v>
      </c>
      <c r="B127" s="8">
        <f>IF($A127="","",TEXT($A127,"mmm-yyyy"))</f>
        <v/>
      </c>
      <c r="C127" s="8">
        <f>IF($A127="","","W"&amp;WEEKNUM($A127,2))</f>
        <v/>
      </c>
      <c r="D127" s="8" t="inlineStr">
        <is>
          <t>Utilities</t>
        </is>
      </c>
      <c r="E127" s="8">
        <f>IFERROR(INDEX(Tbl_KPIMaster[KPI Name],MATCH($D127,Tbl_KPIMaster[Department],0)),"")</f>
        <v/>
      </c>
      <c r="F127" s="8">
        <f>IFERROR(INDEX(Tbl_KPIMaster[Target],MATCH($D127,Tbl_KPIMaster[Department],0)),"")</f>
        <v/>
      </c>
      <c r="G127" s="8" t="n">
        <v>5054.03</v>
      </c>
      <c r="H127" s="9">
        <f>IFERROR(IF(INDEX(Tbl_KPIMaster[Direction],MATCH($D127,Tbl_KPIMaster[Department],0))="Lower is Better",IF($G127=0,1,IF($F127=0,0,$F127/$G127)),IF($F127=0,1,$G127/$F127)),0)</f>
        <v/>
      </c>
      <c r="I127" s="8">
        <f>IF($H127&gt;=1,"Green",IF($H127&gt;=0.85,"Amber","Red"))</f>
        <v/>
      </c>
      <c r="J127" s="10" t="inlineStr">
        <is>
          <t>Preventive check done</t>
        </is>
      </c>
    </row>
    <row r="128">
      <c r="A128" s="11" t="n">
        <v>46190</v>
      </c>
      <c r="B128" s="12">
        <f>IF($A128="","",TEXT($A128,"mmm-yyyy"))</f>
        <v/>
      </c>
      <c r="C128" s="12">
        <f>IF($A128="","","W"&amp;WEEKNUM($A128,2))</f>
        <v/>
      </c>
      <c r="D128" s="12" t="inlineStr">
        <is>
          <t>Warehouse</t>
        </is>
      </c>
      <c r="E128" s="12">
        <f>IFERROR(INDEX(Tbl_KPIMaster[KPI Name],MATCH($D128,Tbl_KPIMaster[Department],0)),"")</f>
        <v/>
      </c>
      <c r="F128" s="12">
        <f>IFERROR(INDEX(Tbl_KPIMaster[Target],MATCH($D128,Tbl_KPIMaster[Department],0)),"")</f>
        <v/>
      </c>
      <c r="G128" s="12" t="n">
        <v>0.8835</v>
      </c>
      <c r="H128" s="13">
        <f>IFERROR(IF(INDEX(Tbl_KPIMaster[Direction],MATCH($D128,Tbl_KPIMaster[Department],0))="Lower is Better",IF($G128=0,1,IF($F128=0,0,$F128/$G128)),IF($F128=0,1,$G128/$F128)),0)</f>
        <v/>
      </c>
      <c r="I128" s="12">
        <f>IF($H128&gt;=1,"Green",IF($H128&gt;=0.85,"Amber","Red"))</f>
        <v/>
      </c>
      <c r="J128" s="14" t="inlineStr">
        <is>
          <t>Preventive check done</t>
        </is>
      </c>
    </row>
    <row r="129">
      <c r="A129" s="7" t="n">
        <v>46190</v>
      </c>
      <c r="B129" s="8">
        <f>IF($A129="","",TEXT($A129,"mmm-yyyy"))</f>
        <v/>
      </c>
      <c r="C129" s="8">
        <f>IF($A129="","","W"&amp;WEEKNUM($A129,2))</f>
        <v/>
      </c>
      <c r="D129" s="8" t="inlineStr">
        <is>
          <t>HR</t>
        </is>
      </c>
      <c r="E129" s="8">
        <f>IFERROR(INDEX(Tbl_KPIMaster[KPI Name],MATCH($D129,Tbl_KPIMaster[Department],0)),"")</f>
        <v/>
      </c>
      <c r="F129" s="8">
        <f>IFERROR(INDEX(Tbl_KPIMaster[Target],MATCH($D129,Tbl_KPIMaster[Department],0)),"")</f>
        <v/>
      </c>
      <c r="G129" s="8" t="n">
        <v>0.0339</v>
      </c>
      <c r="H129" s="9">
        <f>IFERROR(IF(INDEX(Tbl_KPIMaster[Direction],MATCH($D129,Tbl_KPIMaster[Department],0))="Lower is Better",IF($G129=0,1,IF($F129=0,0,$F129/$G129)),IF($F129=0,1,$G129/$F129)),0)</f>
        <v/>
      </c>
      <c r="I129" s="8">
        <f>IF($H129&gt;=1,"Green",IF($H129&gt;=0.85,"Amber","Red"))</f>
        <v/>
      </c>
      <c r="J129" s="10" t="inlineStr">
        <is>
          <t>Preventive check done</t>
        </is>
      </c>
    </row>
    <row r="130">
      <c r="A130" s="11" t="n">
        <v>46190</v>
      </c>
      <c r="B130" s="12">
        <f>IF($A130="","",TEXT($A130,"mmm-yyyy"))</f>
        <v/>
      </c>
      <c r="C130" s="12">
        <f>IF($A130="","","W"&amp;WEEKNUM($A130,2))</f>
        <v/>
      </c>
      <c r="D130" s="12" t="inlineStr">
        <is>
          <t>Engineering</t>
        </is>
      </c>
      <c r="E130" s="12">
        <f>IFERROR(INDEX(Tbl_KPIMaster[KPI Name],MATCH($D130,Tbl_KPIMaster[Department],0)),"")</f>
        <v/>
      </c>
      <c r="F130" s="12">
        <f>IFERROR(INDEX(Tbl_KPIMaster[Target],MATCH($D130,Tbl_KPIMaster[Department],0)),"")</f>
        <v/>
      </c>
      <c r="G130" s="12" t="n">
        <v>0.9136</v>
      </c>
      <c r="H130" s="13">
        <f>IFERROR(IF(INDEX(Tbl_KPIMaster[Direction],MATCH($D130,Tbl_KPIMaster[Department],0))="Lower is Better",IF($G130=0,1,IF($F130=0,0,$F130/$G130)),IF($F130=0,1,$G130/$F130)),0)</f>
        <v/>
      </c>
      <c r="I130" s="12">
        <f>IF($H130&gt;=1,"Green",IF($H130&gt;=0.85,"Amber","Red"))</f>
        <v/>
      </c>
      <c r="J130" s="14" t="inlineStr">
        <is>
          <t>Awaiting spares</t>
        </is>
      </c>
    </row>
    <row r="131">
      <c r="A131" s="7" t="n">
        <v>46191</v>
      </c>
      <c r="B131" s="8">
        <f>IF($A131="","",TEXT($A131,"mmm-yyyy"))</f>
        <v/>
      </c>
      <c r="C131" s="8">
        <f>IF($A131="","","W"&amp;WEEKNUM($A131,2))</f>
        <v/>
      </c>
      <c r="D131" s="8" t="inlineStr">
        <is>
          <t>Safety</t>
        </is>
      </c>
      <c r="E131" s="8">
        <f>IFERROR(INDEX(Tbl_KPIMaster[KPI Name],MATCH($D131,Tbl_KPIMaster[Department],0)),"")</f>
        <v/>
      </c>
      <c r="F131" s="8">
        <f>IFERROR(INDEX(Tbl_KPIMaster[Target],MATCH($D131,Tbl_KPIMaster[Department],0)),"")</f>
        <v/>
      </c>
      <c r="G131" s="8" t="n">
        <v>0</v>
      </c>
      <c r="H131" s="9">
        <f>IFERROR(IF(INDEX(Tbl_KPIMaster[Direction],MATCH($D131,Tbl_KPIMaster[Department],0))="Lower is Better",IF($G131=0,1,IF($F131=0,0,$F131/$G131)),IF($F131=0,1,$G131/$F131)),0)</f>
        <v/>
      </c>
      <c r="I131" s="8">
        <f>IF($H131&gt;=1,"Green",IF($H131&gt;=0.85,"Amber","Red"))</f>
        <v/>
      </c>
      <c r="J131" s="10" t="inlineStr">
        <is>
          <t>Preventive check done</t>
        </is>
      </c>
    </row>
    <row r="132">
      <c r="A132" s="11" t="n">
        <v>46191</v>
      </c>
      <c r="B132" s="12">
        <f>IF($A132="","",TEXT($A132,"mmm-yyyy"))</f>
        <v/>
      </c>
      <c r="C132" s="12">
        <f>IF($A132="","","W"&amp;WEEKNUM($A132,2))</f>
        <v/>
      </c>
      <c r="D132" s="12" t="inlineStr">
        <is>
          <t>Production</t>
        </is>
      </c>
      <c r="E132" s="12">
        <f>IFERROR(INDEX(Tbl_KPIMaster[KPI Name],MATCH($D132,Tbl_KPIMaster[Department],0)),"")</f>
        <v/>
      </c>
      <c r="F132" s="12">
        <f>IFERROR(INDEX(Tbl_KPIMaster[Target],MATCH($D132,Tbl_KPIMaster[Department],0)),"")</f>
        <v/>
      </c>
      <c r="G132" s="12" t="n">
        <v>929.6900000000001</v>
      </c>
      <c r="H132" s="13">
        <f>IFERROR(IF(INDEX(Tbl_KPIMaster[Direction],MATCH($D132,Tbl_KPIMaster[Department],0))="Lower is Better",IF($G132=0,1,IF($F132=0,0,$F132/$G132)),IF($F132=0,1,$G132/$F132)),0)</f>
        <v/>
      </c>
      <c r="I132" s="12">
        <f>IF($H132&gt;=1,"Green",IF($H132&gt;=0.85,"Amber","Red"))</f>
        <v/>
      </c>
      <c r="J132" s="14" t="inlineStr">
        <is>
          <t>Preventive check done</t>
        </is>
      </c>
    </row>
    <row r="133">
      <c r="A133" s="7" t="n">
        <v>46191</v>
      </c>
      <c r="B133" s="8">
        <f>IF($A133="","",TEXT($A133,"mmm-yyyy"))</f>
        <v/>
      </c>
      <c r="C133" s="8">
        <f>IF($A133="","","W"&amp;WEEKNUM($A133,2))</f>
        <v/>
      </c>
      <c r="D133" s="8" t="inlineStr">
        <is>
          <t>Quality</t>
        </is>
      </c>
      <c r="E133" s="8">
        <f>IFERROR(INDEX(Tbl_KPIMaster[KPI Name],MATCH($D133,Tbl_KPIMaster[Department],0)),"")</f>
        <v/>
      </c>
      <c r="F133" s="8">
        <f>IFERROR(INDEX(Tbl_KPIMaster[Target],MATCH($D133,Tbl_KPIMaster[Department],0)),"")</f>
        <v/>
      </c>
      <c r="G133" s="8" t="n">
        <v>0.018</v>
      </c>
      <c r="H133" s="9">
        <f>IFERROR(IF(INDEX(Tbl_KPIMaster[Direction],MATCH($D133,Tbl_KPIMaster[Department],0))="Lower is Better",IF($G133=0,1,IF($F133=0,0,$F133/$G133)),IF($F133=0,1,$G133/$F133)),0)</f>
        <v/>
      </c>
      <c r="I133" s="8">
        <f>IF($H133&gt;=1,"Green",IF($H133&gt;=0.85,"Amber","Red"))</f>
        <v/>
      </c>
      <c r="J133" s="10" t="inlineStr">
        <is>
          <t>Manpower shortage</t>
        </is>
      </c>
    </row>
    <row r="134">
      <c r="A134" s="11" t="n">
        <v>46191</v>
      </c>
      <c r="B134" s="12">
        <f>IF($A134="","",TEXT($A134,"mmm-yyyy"))</f>
        <v/>
      </c>
      <c r="C134" s="12">
        <f>IF($A134="","","W"&amp;WEEKNUM($A134,2))</f>
        <v/>
      </c>
      <c r="D134" s="12" t="inlineStr">
        <is>
          <t>Maintenance</t>
        </is>
      </c>
      <c r="E134" s="12">
        <f>IFERROR(INDEX(Tbl_KPIMaster[KPI Name],MATCH($D134,Tbl_KPIMaster[Department],0)),"")</f>
        <v/>
      </c>
      <c r="F134" s="12">
        <f>IFERROR(INDEX(Tbl_KPIMaster[Target],MATCH($D134,Tbl_KPIMaster[Department],0)),"")</f>
        <v/>
      </c>
      <c r="G134" s="12" t="n">
        <v>0.96</v>
      </c>
      <c r="H134" s="13">
        <f>IFERROR(IF(INDEX(Tbl_KPIMaster[Direction],MATCH($D134,Tbl_KPIMaster[Department],0))="Lower is Better",IF($G134=0,1,IF($F134=0,0,$F134/$G134)),IF($F134=0,1,$G134/$F134)),0)</f>
        <v/>
      </c>
      <c r="I134" s="12">
        <f>IF($H134&gt;=1,"Green",IF($H134&gt;=0.85,"Amber","Red"))</f>
        <v/>
      </c>
      <c r="J134" s="14" t="inlineStr"/>
    </row>
    <row r="135">
      <c r="A135" s="7" t="n">
        <v>46191</v>
      </c>
      <c r="B135" s="8">
        <f>IF($A135="","",TEXT($A135,"mmm-yyyy"))</f>
        <v/>
      </c>
      <c r="C135" s="8">
        <f>IF($A135="","","W"&amp;WEEKNUM($A135,2))</f>
        <v/>
      </c>
      <c r="D135" s="8" t="inlineStr">
        <is>
          <t>Utilities</t>
        </is>
      </c>
      <c r="E135" s="8">
        <f>IFERROR(INDEX(Tbl_KPIMaster[KPI Name],MATCH($D135,Tbl_KPIMaster[Department],0)),"")</f>
        <v/>
      </c>
      <c r="F135" s="8">
        <f>IFERROR(INDEX(Tbl_KPIMaster[Target],MATCH($D135,Tbl_KPIMaster[Department],0)),"")</f>
        <v/>
      </c>
      <c r="G135" s="8" t="n">
        <v>4554.65</v>
      </c>
      <c r="H135" s="9">
        <f>IFERROR(IF(INDEX(Tbl_KPIMaster[Direction],MATCH($D135,Tbl_KPIMaster[Department],0))="Lower is Better",IF($G135=0,1,IF($F135=0,0,$F135/$G135)),IF($F135=0,1,$G135/$F135)),0)</f>
        <v/>
      </c>
      <c r="I135" s="8">
        <f>IF($H135&gt;=1,"Green",IF($H135&gt;=0.85,"Amber","Red"))</f>
        <v/>
      </c>
      <c r="J135" s="10" t="inlineStr">
        <is>
          <t>Manpower shortage</t>
        </is>
      </c>
    </row>
    <row r="136">
      <c r="A136" s="11" t="n">
        <v>46191</v>
      </c>
      <c r="B136" s="12">
        <f>IF($A136="","",TEXT($A136,"mmm-yyyy"))</f>
        <v/>
      </c>
      <c r="C136" s="12">
        <f>IF($A136="","","W"&amp;WEEKNUM($A136,2))</f>
        <v/>
      </c>
      <c r="D136" s="12" t="inlineStr">
        <is>
          <t>Warehouse</t>
        </is>
      </c>
      <c r="E136" s="12">
        <f>IFERROR(INDEX(Tbl_KPIMaster[KPI Name],MATCH($D136,Tbl_KPIMaster[Department],0)),"")</f>
        <v/>
      </c>
      <c r="F136" s="12">
        <f>IFERROR(INDEX(Tbl_KPIMaster[Target],MATCH($D136,Tbl_KPIMaster[Department],0)),"")</f>
        <v/>
      </c>
      <c r="G136" s="12" t="n">
        <v>0.8973</v>
      </c>
      <c r="H136" s="13">
        <f>IFERROR(IF(INDEX(Tbl_KPIMaster[Direction],MATCH($D136,Tbl_KPIMaster[Department],0))="Lower is Better",IF($G136=0,1,IF($F136=0,0,$F136/$G136)),IF($F136=0,1,$G136/$F136)),0)</f>
        <v/>
      </c>
      <c r="I136" s="12">
        <f>IF($H136&gt;=1,"Green",IF($H136&gt;=0.85,"Amber","Red"))</f>
        <v/>
      </c>
      <c r="J136" s="14" t="inlineStr">
        <is>
          <t>Vendor delay</t>
        </is>
      </c>
    </row>
    <row r="137">
      <c r="A137" s="7" t="n">
        <v>46191</v>
      </c>
      <c r="B137" s="8">
        <f>IF($A137="","",TEXT($A137,"mmm-yyyy"))</f>
        <v/>
      </c>
      <c r="C137" s="8">
        <f>IF($A137="","","W"&amp;WEEKNUM($A137,2))</f>
        <v/>
      </c>
      <c r="D137" s="8" t="inlineStr">
        <is>
          <t>HR</t>
        </is>
      </c>
      <c r="E137" s="8">
        <f>IFERROR(INDEX(Tbl_KPIMaster[KPI Name],MATCH($D137,Tbl_KPIMaster[Department],0)),"")</f>
        <v/>
      </c>
      <c r="F137" s="8">
        <f>IFERROR(INDEX(Tbl_KPIMaster[Target],MATCH($D137,Tbl_KPIMaster[Department],0)),"")</f>
        <v/>
      </c>
      <c r="G137" s="8" t="n">
        <v>0.029</v>
      </c>
      <c r="H137" s="9">
        <f>IFERROR(IF(INDEX(Tbl_KPIMaster[Direction],MATCH($D137,Tbl_KPIMaster[Department],0))="Lower is Better",IF($G137=0,1,IF($F137=0,0,$F137/$G137)),IF($F137=0,1,$G137/$F137)),0)</f>
        <v/>
      </c>
      <c r="I137" s="8">
        <f>IF($H137&gt;=1,"Green",IF($H137&gt;=0.85,"Amber","Red"))</f>
        <v/>
      </c>
      <c r="J137" s="10" t="inlineStr">
        <is>
          <t>Manpower shortage</t>
        </is>
      </c>
    </row>
    <row r="138">
      <c r="A138" s="11" t="n">
        <v>46191</v>
      </c>
      <c r="B138" s="12">
        <f>IF($A138="","",TEXT($A138,"mmm-yyyy"))</f>
        <v/>
      </c>
      <c r="C138" s="12">
        <f>IF($A138="","","W"&amp;WEEKNUM($A138,2))</f>
        <v/>
      </c>
      <c r="D138" s="12" t="inlineStr">
        <is>
          <t>Engineering</t>
        </is>
      </c>
      <c r="E138" s="12">
        <f>IFERROR(INDEX(Tbl_KPIMaster[KPI Name],MATCH($D138,Tbl_KPIMaster[Department],0)),"")</f>
        <v/>
      </c>
      <c r="F138" s="12">
        <f>IFERROR(INDEX(Tbl_KPIMaster[Target],MATCH($D138,Tbl_KPIMaster[Department],0)),"")</f>
        <v/>
      </c>
      <c r="G138" s="12" t="n">
        <v>1.0831</v>
      </c>
      <c r="H138" s="13">
        <f>IFERROR(IF(INDEX(Tbl_KPIMaster[Direction],MATCH($D138,Tbl_KPIMaster[Department],0))="Lower is Better",IF($G138=0,1,IF($F138=0,0,$F138/$G138)),IF($F138=0,1,$G138/$F138)),0)</f>
        <v/>
      </c>
      <c r="I138" s="12">
        <f>IF($H138&gt;=1,"Green",IF($H138&gt;=0.85,"Amber","Red"))</f>
        <v/>
      </c>
      <c r="J138" s="14" t="inlineStr">
        <is>
          <t>Manpower shortage</t>
        </is>
      </c>
    </row>
    <row r="139">
      <c r="A139" s="7" t="n">
        <v>46192</v>
      </c>
      <c r="B139" s="8">
        <f>IF($A139="","",TEXT($A139,"mmm-yyyy"))</f>
        <v/>
      </c>
      <c r="C139" s="8">
        <f>IF($A139="","","W"&amp;WEEKNUM($A139,2))</f>
        <v/>
      </c>
      <c r="D139" s="8" t="inlineStr">
        <is>
          <t>Safety</t>
        </is>
      </c>
      <c r="E139" s="8">
        <f>IFERROR(INDEX(Tbl_KPIMaster[KPI Name],MATCH($D139,Tbl_KPIMaster[Department],0)),"")</f>
        <v/>
      </c>
      <c r="F139" s="8">
        <f>IFERROR(INDEX(Tbl_KPIMaster[Target],MATCH($D139,Tbl_KPIMaster[Department],0)),"")</f>
        <v/>
      </c>
      <c r="G139" s="8" t="n">
        <v>0</v>
      </c>
      <c r="H139" s="9">
        <f>IFERROR(IF(INDEX(Tbl_KPIMaster[Direction],MATCH($D139,Tbl_KPIMaster[Department],0))="Lower is Better",IF($G139=0,1,IF($F139=0,0,$F139/$G139)),IF($F139=0,1,$G139/$F139)),0)</f>
        <v/>
      </c>
      <c r="I139" s="8">
        <f>IF($H139&gt;=1,"Green",IF($H139&gt;=0.85,"Amber","Red"))</f>
        <v/>
      </c>
      <c r="J139" s="10" t="inlineStr">
        <is>
          <t>Vendor delay</t>
        </is>
      </c>
    </row>
    <row r="140">
      <c r="A140" s="11" t="n">
        <v>46192</v>
      </c>
      <c r="B140" s="12">
        <f>IF($A140="","",TEXT($A140,"mmm-yyyy"))</f>
        <v/>
      </c>
      <c r="C140" s="12">
        <f>IF($A140="","","W"&amp;WEEKNUM($A140,2))</f>
        <v/>
      </c>
      <c r="D140" s="12" t="inlineStr">
        <is>
          <t>Production</t>
        </is>
      </c>
      <c r="E140" s="12">
        <f>IFERROR(INDEX(Tbl_KPIMaster[KPI Name],MATCH($D140,Tbl_KPIMaster[Department],0)),"")</f>
        <v/>
      </c>
      <c r="F140" s="12">
        <f>IFERROR(INDEX(Tbl_KPIMaster[Target],MATCH($D140,Tbl_KPIMaster[Department],0)),"")</f>
        <v/>
      </c>
      <c r="G140" s="12" t="n">
        <v>735.65</v>
      </c>
      <c r="H140" s="13">
        <f>IFERROR(IF(INDEX(Tbl_KPIMaster[Direction],MATCH($D140,Tbl_KPIMaster[Department],0))="Lower is Better",IF($G140=0,1,IF($F140=0,0,$F140/$G140)),IF($F140=0,1,$G140/$F140)),0)</f>
        <v/>
      </c>
      <c r="I140" s="12">
        <f>IF($H140&gt;=1,"Green",IF($H140&gt;=0.85,"Amber","Red"))</f>
        <v/>
      </c>
      <c r="J140" s="14" t="inlineStr">
        <is>
          <t>Preventive check done</t>
        </is>
      </c>
    </row>
    <row r="141">
      <c r="A141" s="7" t="n">
        <v>46192</v>
      </c>
      <c r="B141" s="8">
        <f>IF($A141="","",TEXT($A141,"mmm-yyyy"))</f>
        <v/>
      </c>
      <c r="C141" s="8">
        <f>IF($A141="","","W"&amp;WEEKNUM($A141,2))</f>
        <v/>
      </c>
      <c r="D141" s="8" t="inlineStr">
        <is>
          <t>Quality</t>
        </is>
      </c>
      <c r="E141" s="8">
        <f>IFERROR(INDEX(Tbl_KPIMaster[KPI Name],MATCH($D141,Tbl_KPIMaster[Department],0)),"")</f>
        <v/>
      </c>
      <c r="F141" s="8">
        <f>IFERROR(INDEX(Tbl_KPIMaster[Target],MATCH($D141,Tbl_KPIMaster[Department],0)),"")</f>
        <v/>
      </c>
      <c r="G141" s="8" t="n">
        <v>0.0171</v>
      </c>
      <c r="H141" s="9">
        <f>IFERROR(IF(INDEX(Tbl_KPIMaster[Direction],MATCH($D141,Tbl_KPIMaster[Department],0))="Lower is Better",IF($G141=0,1,IF($F141=0,0,$F141/$G141)),IF($F141=0,1,$G141/$F141)),0)</f>
        <v/>
      </c>
      <c r="I141" s="8">
        <f>IF($H141&gt;=1,"Green",IF($H141&gt;=0.85,"Amber","Red"))</f>
        <v/>
      </c>
      <c r="J141" s="10" t="inlineStr">
        <is>
          <t>Manpower shortage</t>
        </is>
      </c>
    </row>
    <row r="142">
      <c r="A142" s="11" t="n">
        <v>46192</v>
      </c>
      <c r="B142" s="12">
        <f>IF($A142="","",TEXT($A142,"mmm-yyyy"))</f>
        <v/>
      </c>
      <c r="C142" s="12">
        <f>IF($A142="","","W"&amp;WEEKNUM($A142,2))</f>
        <v/>
      </c>
      <c r="D142" s="12" t="inlineStr">
        <is>
          <t>Maintenance</t>
        </is>
      </c>
      <c r="E142" s="12">
        <f>IFERROR(INDEX(Tbl_KPIMaster[KPI Name],MATCH($D142,Tbl_KPIMaster[Department],0)),"")</f>
        <v/>
      </c>
      <c r="F142" s="12">
        <f>IFERROR(INDEX(Tbl_KPIMaster[Target],MATCH($D142,Tbl_KPIMaster[Department],0)),"")</f>
        <v/>
      </c>
      <c r="G142" s="12" t="n">
        <v>0.99</v>
      </c>
      <c r="H142" s="13">
        <f>IFERROR(IF(INDEX(Tbl_KPIMaster[Direction],MATCH($D142,Tbl_KPIMaster[Department],0))="Lower is Better",IF($G142=0,1,IF($F142=0,0,$F142/$G142)),IF($F142=0,1,$G142/$F142)),0)</f>
        <v/>
      </c>
      <c r="I142" s="12">
        <f>IF($H142&gt;=1,"Green",IF($H142&gt;=0.85,"Amber","Red"))</f>
        <v/>
      </c>
      <c r="J142" s="14" t="inlineStr">
        <is>
          <t>Awaiting spares</t>
        </is>
      </c>
    </row>
    <row r="143">
      <c r="A143" s="7" t="n">
        <v>46192</v>
      </c>
      <c r="B143" s="8">
        <f>IF($A143="","",TEXT($A143,"mmm-yyyy"))</f>
        <v/>
      </c>
      <c r="C143" s="8">
        <f>IF($A143="","","W"&amp;WEEKNUM($A143,2))</f>
        <v/>
      </c>
      <c r="D143" s="8" t="inlineStr">
        <is>
          <t>Utilities</t>
        </is>
      </c>
      <c r="E143" s="8">
        <f>IFERROR(INDEX(Tbl_KPIMaster[KPI Name],MATCH($D143,Tbl_KPIMaster[Department],0)),"")</f>
        <v/>
      </c>
      <c r="F143" s="8">
        <f>IFERROR(INDEX(Tbl_KPIMaster[Target],MATCH($D143,Tbl_KPIMaster[Department],0)),"")</f>
        <v/>
      </c>
      <c r="G143" s="8" t="n">
        <v>3897.65</v>
      </c>
      <c r="H143" s="9">
        <f>IFERROR(IF(INDEX(Tbl_KPIMaster[Direction],MATCH($D143,Tbl_KPIMaster[Department],0))="Lower is Better",IF($G143=0,1,IF($F143=0,0,$F143/$G143)),IF($F143=0,1,$G143/$F143)),0)</f>
        <v/>
      </c>
      <c r="I143" s="8">
        <f>IF($H143&gt;=1,"Green",IF($H143&gt;=0.85,"Amber","Red"))</f>
        <v/>
      </c>
      <c r="J143" s="10" t="inlineStr">
        <is>
          <t>Line changeover impact</t>
        </is>
      </c>
    </row>
    <row r="144">
      <c r="A144" s="11" t="n">
        <v>46192</v>
      </c>
      <c r="B144" s="12">
        <f>IF($A144="","",TEXT($A144,"mmm-yyyy"))</f>
        <v/>
      </c>
      <c r="C144" s="12">
        <f>IF($A144="","","W"&amp;WEEKNUM($A144,2))</f>
        <v/>
      </c>
      <c r="D144" s="12" t="inlineStr">
        <is>
          <t>Warehouse</t>
        </is>
      </c>
      <c r="E144" s="12">
        <f>IFERROR(INDEX(Tbl_KPIMaster[KPI Name],MATCH($D144,Tbl_KPIMaster[Department],0)),"")</f>
        <v/>
      </c>
      <c r="F144" s="12">
        <f>IFERROR(INDEX(Tbl_KPIMaster[Target],MATCH($D144,Tbl_KPIMaster[Department],0)),"")</f>
        <v/>
      </c>
      <c r="G144" s="12" t="n">
        <v>0.923</v>
      </c>
      <c r="H144" s="13">
        <f>IFERROR(IF(INDEX(Tbl_KPIMaster[Direction],MATCH($D144,Tbl_KPIMaster[Department],0))="Lower is Better",IF($G144=0,1,IF($F144=0,0,$F144/$G144)),IF($F144=0,1,$G144/$F144)),0)</f>
        <v/>
      </c>
      <c r="I144" s="12">
        <f>IF($H144&gt;=1,"Green",IF($H144&gt;=0.85,"Amber","Red"))</f>
        <v/>
      </c>
      <c r="J144" s="14" t="inlineStr">
        <is>
          <t>Process improvement in progress</t>
        </is>
      </c>
    </row>
    <row r="145">
      <c r="A145" s="7" t="n">
        <v>46192</v>
      </c>
      <c r="B145" s="8">
        <f>IF($A145="","",TEXT($A145,"mmm-yyyy"))</f>
        <v/>
      </c>
      <c r="C145" s="8">
        <f>IF($A145="","","W"&amp;WEEKNUM($A145,2))</f>
        <v/>
      </c>
      <c r="D145" s="8" t="inlineStr">
        <is>
          <t>HR</t>
        </is>
      </c>
      <c r="E145" s="8">
        <f>IFERROR(INDEX(Tbl_KPIMaster[KPI Name],MATCH($D145,Tbl_KPIMaster[Department],0)),"")</f>
        <v/>
      </c>
      <c r="F145" s="8">
        <f>IFERROR(INDEX(Tbl_KPIMaster[Target],MATCH($D145,Tbl_KPIMaster[Department],0)),"")</f>
        <v/>
      </c>
      <c r="G145" s="8" t="n">
        <v>0.0361</v>
      </c>
      <c r="H145" s="9">
        <f>IFERROR(IF(INDEX(Tbl_KPIMaster[Direction],MATCH($D145,Tbl_KPIMaster[Department],0))="Lower is Better",IF($G145=0,1,IF($F145=0,0,$F145/$G145)),IF($F145=0,1,$G145/$F145)),0)</f>
        <v/>
      </c>
      <c r="I145" s="8">
        <f>IF($H145&gt;=1,"Green",IF($H145&gt;=0.85,"Amber","Red"))</f>
        <v/>
      </c>
      <c r="J145" s="10" t="inlineStr">
        <is>
          <t>Preventive check done</t>
        </is>
      </c>
    </row>
    <row r="146">
      <c r="A146" s="11" t="n">
        <v>46192</v>
      </c>
      <c r="B146" s="12">
        <f>IF($A146="","",TEXT($A146,"mmm-yyyy"))</f>
        <v/>
      </c>
      <c r="C146" s="12">
        <f>IF($A146="","","W"&amp;WEEKNUM($A146,2))</f>
        <v/>
      </c>
      <c r="D146" s="12" t="inlineStr">
        <is>
          <t>Engineering</t>
        </is>
      </c>
      <c r="E146" s="12">
        <f>IFERROR(INDEX(Tbl_KPIMaster[KPI Name],MATCH($D146,Tbl_KPIMaster[Department],0)),"")</f>
        <v/>
      </c>
      <c r="F146" s="12">
        <f>IFERROR(INDEX(Tbl_KPIMaster[Target],MATCH($D146,Tbl_KPIMaster[Department],0)),"")</f>
        <v/>
      </c>
      <c r="G146" s="12" t="n">
        <v>0.7194</v>
      </c>
      <c r="H146" s="13">
        <f>IFERROR(IF(INDEX(Tbl_KPIMaster[Direction],MATCH($D146,Tbl_KPIMaster[Department],0))="Lower is Better",IF($G146=0,1,IF($F146=0,0,$F146/$G146)),IF($F146=0,1,$G146/$F146)),0)</f>
        <v/>
      </c>
      <c r="I146" s="12">
        <f>IF($H146&gt;=1,"Green",IF($H146&gt;=0.85,"Amber","Red"))</f>
        <v/>
      </c>
      <c r="J146" s="14" t="inlineStr">
        <is>
          <t>Manpower shortage</t>
        </is>
      </c>
    </row>
    <row r="147">
      <c r="A147" s="7" t="n">
        <v>46193</v>
      </c>
      <c r="B147" s="8">
        <f>IF($A147="","",TEXT($A147,"mmm-yyyy"))</f>
        <v/>
      </c>
      <c r="C147" s="8">
        <f>IF($A147="","","W"&amp;WEEKNUM($A147,2))</f>
        <v/>
      </c>
      <c r="D147" s="8" t="inlineStr">
        <is>
          <t>Safety</t>
        </is>
      </c>
      <c r="E147" s="8">
        <f>IFERROR(INDEX(Tbl_KPIMaster[KPI Name],MATCH($D147,Tbl_KPIMaster[Department],0)),"")</f>
        <v/>
      </c>
      <c r="F147" s="8">
        <f>IFERROR(INDEX(Tbl_KPIMaster[Target],MATCH($D147,Tbl_KPIMaster[Department],0)),"")</f>
        <v/>
      </c>
      <c r="G147" s="8" t="n">
        <v>2</v>
      </c>
      <c r="H147" s="9">
        <f>IFERROR(IF(INDEX(Tbl_KPIMaster[Direction],MATCH($D147,Tbl_KPIMaster[Department],0))="Lower is Better",IF($G147=0,1,IF($F147=0,0,$F147/$G147)),IF($F147=0,1,$G147/$F147)),0)</f>
        <v/>
      </c>
      <c r="I147" s="8">
        <f>IF($H147&gt;=1,"Green",IF($H147&gt;=0.85,"Amber","Red"))</f>
        <v/>
      </c>
      <c r="J147" s="10" t="inlineStr">
        <is>
          <t>Manpower shortage</t>
        </is>
      </c>
    </row>
    <row r="148">
      <c r="A148" s="11" t="n">
        <v>46193</v>
      </c>
      <c r="B148" s="12">
        <f>IF($A148="","",TEXT($A148,"mmm-yyyy"))</f>
        <v/>
      </c>
      <c r="C148" s="12">
        <f>IF($A148="","","W"&amp;WEEKNUM($A148,2))</f>
        <v/>
      </c>
      <c r="D148" s="12" t="inlineStr">
        <is>
          <t>Production</t>
        </is>
      </c>
      <c r="E148" s="12">
        <f>IFERROR(INDEX(Tbl_KPIMaster[KPI Name],MATCH($D148,Tbl_KPIMaster[Department],0)),"")</f>
        <v/>
      </c>
      <c r="F148" s="12">
        <f>IFERROR(INDEX(Tbl_KPIMaster[Target],MATCH($D148,Tbl_KPIMaster[Department],0)),"")</f>
        <v/>
      </c>
      <c r="G148" s="12" t="n">
        <v>919.83</v>
      </c>
      <c r="H148" s="13">
        <f>IFERROR(IF(INDEX(Tbl_KPIMaster[Direction],MATCH($D148,Tbl_KPIMaster[Department],0))="Lower is Better",IF($G148=0,1,IF($F148=0,0,$F148/$G148)),IF($F148=0,1,$G148/$F148)),0)</f>
        <v/>
      </c>
      <c r="I148" s="12">
        <f>IF($H148&gt;=1,"Green",IF($H148&gt;=0.85,"Amber","Red"))</f>
        <v/>
      </c>
      <c r="J148" s="14" t="inlineStr">
        <is>
          <t>Line changeover impact</t>
        </is>
      </c>
    </row>
    <row r="149">
      <c r="A149" s="7" t="n">
        <v>46193</v>
      </c>
      <c r="B149" s="8">
        <f>IF($A149="","",TEXT($A149,"mmm-yyyy"))</f>
        <v/>
      </c>
      <c r="C149" s="8">
        <f>IF($A149="","","W"&amp;WEEKNUM($A149,2))</f>
        <v/>
      </c>
      <c r="D149" s="8" t="inlineStr">
        <is>
          <t>Quality</t>
        </is>
      </c>
      <c r="E149" s="8">
        <f>IFERROR(INDEX(Tbl_KPIMaster[KPI Name],MATCH($D149,Tbl_KPIMaster[Department],0)),"")</f>
        <v/>
      </c>
      <c r="F149" s="8">
        <f>IFERROR(INDEX(Tbl_KPIMaster[Target],MATCH($D149,Tbl_KPIMaster[Department],0)),"")</f>
        <v/>
      </c>
      <c r="G149" s="8" t="n">
        <v>0.0191</v>
      </c>
      <c r="H149" s="9">
        <f>IFERROR(IF(INDEX(Tbl_KPIMaster[Direction],MATCH($D149,Tbl_KPIMaster[Department],0))="Lower is Better",IF($G149=0,1,IF($F149=0,0,$F149/$G149)),IF($F149=0,1,$G149/$F149)),0)</f>
        <v/>
      </c>
      <c r="I149" s="8">
        <f>IF($H149&gt;=1,"Green",IF($H149&gt;=0.85,"Amber","Red"))</f>
        <v/>
      </c>
      <c r="J149" s="10" t="inlineStr"/>
    </row>
    <row r="150">
      <c r="A150" s="11" t="n">
        <v>46193</v>
      </c>
      <c r="B150" s="12">
        <f>IF($A150="","",TEXT($A150,"mmm-yyyy"))</f>
        <v/>
      </c>
      <c r="C150" s="12">
        <f>IF($A150="","","W"&amp;WEEKNUM($A150,2))</f>
        <v/>
      </c>
      <c r="D150" s="12" t="inlineStr">
        <is>
          <t>Maintenance</t>
        </is>
      </c>
      <c r="E150" s="12">
        <f>IFERROR(INDEX(Tbl_KPIMaster[KPI Name],MATCH($D150,Tbl_KPIMaster[Department],0)),"")</f>
        <v/>
      </c>
      <c r="F150" s="12">
        <f>IFERROR(INDEX(Tbl_KPIMaster[Target],MATCH($D150,Tbl_KPIMaster[Department],0)),"")</f>
        <v/>
      </c>
      <c r="G150" s="12" t="n">
        <v>1.02</v>
      </c>
      <c r="H150" s="13">
        <f>IFERROR(IF(INDEX(Tbl_KPIMaster[Direction],MATCH($D150,Tbl_KPIMaster[Department],0))="Lower is Better",IF($G150=0,1,IF($F150=0,0,$F150/$G150)),IF($F150=0,1,$G150/$F150)),0)</f>
        <v/>
      </c>
      <c r="I150" s="12">
        <f>IF($H150&gt;=1,"Green",IF($H150&gt;=0.85,"Amber","Red"))</f>
        <v/>
      </c>
      <c r="J150" s="14" t="inlineStr">
        <is>
          <t>Within normal range</t>
        </is>
      </c>
    </row>
    <row r="151">
      <c r="A151" s="7" t="n">
        <v>46193</v>
      </c>
      <c r="B151" s="8">
        <f>IF($A151="","",TEXT($A151,"mmm-yyyy"))</f>
        <v/>
      </c>
      <c r="C151" s="8">
        <f>IF($A151="","","W"&amp;WEEKNUM($A151,2))</f>
        <v/>
      </c>
      <c r="D151" s="8" t="inlineStr">
        <is>
          <t>Utilities</t>
        </is>
      </c>
      <c r="E151" s="8">
        <f>IFERROR(INDEX(Tbl_KPIMaster[KPI Name],MATCH($D151,Tbl_KPIMaster[Department],0)),"")</f>
        <v/>
      </c>
      <c r="F151" s="8">
        <f>IFERROR(INDEX(Tbl_KPIMaster[Target],MATCH($D151,Tbl_KPIMaster[Department],0)),"")</f>
        <v/>
      </c>
      <c r="G151" s="8" t="n">
        <v>5645.35</v>
      </c>
      <c r="H151" s="9">
        <f>IFERROR(IF(INDEX(Tbl_KPIMaster[Direction],MATCH($D151,Tbl_KPIMaster[Department],0))="Lower is Better",IF($G151=0,1,IF($F151=0,0,$F151/$G151)),IF($F151=0,1,$G151/$F151)),0)</f>
        <v/>
      </c>
      <c r="I151" s="8">
        <f>IF($H151&gt;=1,"Green",IF($H151&gt;=0.85,"Amber","Red"))</f>
        <v/>
      </c>
      <c r="J151" s="10" t="inlineStr">
        <is>
          <t>Line changeover impact</t>
        </is>
      </c>
    </row>
    <row r="152">
      <c r="A152" s="11" t="n">
        <v>46193</v>
      </c>
      <c r="B152" s="12">
        <f>IF($A152="","",TEXT($A152,"mmm-yyyy"))</f>
        <v/>
      </c>
      <c r="C152" s="12">
        <f>IF($A152="","","W"&amp;WEEKNUM($A152,2))</f>
        <v/>
      </c>
      <c r="D152" s="12" t="inlineStr">
        <is>
          <t>Warehouse</t>
        </is>
      </c>
      <c r="E152" s="12">
        <f>IFERROR(INDEX(Tbl_KPIMaster[KPI Name],MATCH($D152,Tbl_KPIMaster[Department],0)),"")</f>
        <v/>
      </c>
      <c r="F152" s="12">
        <f>IFERROR(INDEX(Tbl_KPIMaster[Target],MATCH($D152,Tbl_KPIMaster[Department],0)),"")</f>
        <v/>
      </c>
      <c r="G152" s="12" t="n">
        <v>0.7754</v>
      </c>
      <c r="H152" s="13">
        <f>IFERROR(IF(INDEX(Tbl_KPIMaster[Direction],MATCH($D152,Tbl_KPIMaster[Department],0))="Lower is Better",IF($G152=0,1,IF($F152=0,0,$F152/$G152)),IF($F152=0,1,$G152/$F152)),0)</f>
        <v/>
      </c>
      <c r="I152" s="12">
        <f>IF($H152&gt;=1,"Green",IF($H152&gt;=0.85,"Amber","Red"))</f>
        <v/>
      </c>
      <c r="J152" s="14" t="inlineStr">
        <is>
          <t>Within normal range</t>
        </is>
      </c>
    </row>
    <row r="153">
      <c r="A153" s="7" t="n">
        <v>46193</v>
      </c>
      <c r="B153" s="8">
        <f>IF($A153="","",TEXT($A153,"mmm-yyyy"))</f>
        <v/>
      </c>
      <c r="C153" s="8">
        <f>IF($A153="","","W"&amp;WEEKNUM($A153,2))</f>
        <v/>
      </c>
      <c r="D153" s="8" t="inlineStr">
        <is>
          <t>HR</t>
        </is>
      </c>
      <c r="E153" s="8">
        <f>IFERROR(INDEX(Tbl_KPIMaster[KPI Name],MATCH($D153,Tbl_KPIMaster[Department],0)),"")</f>
        <v/>
      </c>
      <c r="F153" s="8">
        <f>IFERROR(INDEX(Tbl_KPIMaster[Target],MATCH($D153,Tbl_KPIMaster[Department],0)),"")</f>
        <v/>
      </c>
      <c r="G153" s="8" t="n">
        <v>0.0289</v>
      </c>
      <c r="H153" s="9">
        <f>IFERROR(IF(INDEX(Tbl_KPIMaster[Direction],MATCH($D153,Tbl_KPIMaster[Department],0))="Lower is Better",IF($G153=0,1,IF($F153=0,0,$F153/$G153)),IF($F153=0,1,$G153/$F153)),0)</f>
        <v/>
      </c>
      <c r="I153" s="8">
        <f>IF($H153&gt;=1,"Green",IF($H153&gt;=0.85,"Amber","Red"))</f>
        <v/>
      </c>
      <c r="J153" s="10" t="inlineStr"/>
    </row>
    <row r="154">
      <c r="A154" s="11" t="n">
        <v>46193</v>
      </c>
      <c r="B154" s="12">
        <f>IF($A154="","",TEXT($A154,"mmm-yyyy"))</f>
        <v/>
      </c>
      <c r="C154" s="12">
        <f>IF($A154="","","W"&amp;WEEKNUM($A154,2))</f>
        <v/>
      </c>
      <c r="D154" s="12" t="inlineStr">
        <is>
          <t>Engineering</t>
        </is>
      </c>
      <c r="E154" s="12">
        <f>IFERROR(INDEX(Tbl_KPIMaster[KPI Name],MATCH($D154,Tbl_KPIMaster[Department],0)),"")</f>
        <v/>
      </c>
      <c r="F154" s="12">
        <f>IFERROR(INDEX(Tbl_KPIMaster[Target],MATCH($D154,Tbl_KPIMaster[Department],0)),"")</f>
        <v/>
      </c>
      <c r="G154" s="12" t="n">
        <v>0.7449</v>
      </c>
      <c r="H154" s="13">
        <f>IFERROR(IF(INDEX(Tbl_KPIMaster[Direction],MATCH($D154,Tbl_KPIMaster[Department],0))="Lower is Better",IF($G154=0,1,IF($F154=0,0,$F154/$G154)),IF($F154=0,1,$G154/$F154)),0)</f>
        <v/>
      </c>
      <c r="I154" s="12">
        <f>IF($H154&gt;=1,"Green",IF($H154&gt;=0.85,"Amber","Red"))</f>
        <v/>
      </c>
      <c r="J154" s="14" t="inlineStr">
        <is>
          <t>Manpower shortage</t>
        </is>
      </c>
    </row>
    <row r="155">
      <c r="A155" s="7" t="n">
        <v>46194</v>
      </c>
      <c r="B155" s="8">
        <f>IF($A155="","",TEXT($A155,"mmm-yyyy"))</f>
        <v/>
      </c>
      <c r="C155" s="8">
        <f>IF($A155="","","W"&amp;WEEKNUM($A155,2))</f>
        <v/>
      </c>
      <c r="D155" s="8" t="inlineStr">
        <is>
          <t>Safety</t>
        </is>
      </c>
      <c r="E155" s="8">
        <f>IFERROR(INDEX(Tbl_KPIMaster[KPI Name],MATCH($D155,Tbl_KPIMaster[Department],0)),"")</f>
        <v/>
      </c>
      <c r="F155" s="8">
        <f>IFERROR(INDEX(Tbl_KPIMaster[Target],MATCH($D155,Tbl_KPIMaster[Department],0)),"")</f>
        <v/>
      </c>
      <c r="G155" s="8" t="n">
        <v>1</v>
      </c>
      <c r="H155" s="9">
        <f>IFERROR(IF(INDEX(Tbl_KPIMaster[Direction],MATCH($D155,Tbl_KPIMaster[Department],0))="Lower is Better",IF($G155=0,1,IF($F155=0,0,$F155/$G155)),IF($F155=0,1,$G155/$F155)),0)</f>
        <v/>
      </c>
      <c r="I155" s="8">
        <f>IF($H155&gt;=1,"Green",IF($H155&gt;=0.85,"Amber","Red"))</f>
        <v/>
      </c>
      <c r="J155" s="10" t="inlineStr"/>
    </row>
    <row r="156">
      <c r="A156" s="11" t="n">
        <v>46194</v>
      </c>
      <c r="B156" s="12">
        <f>IF($A156="","",TEXT($A156,"mmm-yyyy"))</f>
        <v/>
      </c>
      <c r="C156" s="12">
        <f>IF($A156="","","W"&amp;WEEKNUM($A156,2))</f>
        <v/>
      </c>
      <c r="D156" s="12" t="inlineStr">
        <is>
          <t>Production</t>
        </is>
      </c>
      <c r="E156" s="12">
        <f>IFERROR(INDEX(Tbl_KPIMaster[KPI Name],MATCH($D156,Tbl_KPIMaster[Department],0)),"")</f>
        <v/>
      </c>
      <c r="F156" s="12">
        <f>IFERROR(INDEX(Tbl_KPIMaster[Target],MATCH($D156,Tbl_KPIMaster[Department],0)),"")</f>
        <v/>
      </c>
      <c r="G156" s="12" t="n">
        <v>982.89</v>
      </c>
      <c r="H156" s="13">
        <f>IFERROR(IF(INDEX(Tbl_KPIMaster[Direction],MATCH($D156,Tbl_KPIMaster[Department],0))="Lower is Better",IF($G156=0,1,IF($F156=0,0,$F156/$G156)),IF($F156=0,1,$G156/$F156)),0)</f>
        <v/>
      </c>
      <c r="I156" s="12">
        <f>IF($H156&gt;=1,"Green",IF($H156&gt;=0.85,"Amber","Red"))</f>
        <v/>
      </c>
      <c r="J156" s="14" t="inlineStr">
        <is>
          <t>Awaiting spares</t>
        </is>
      </c>
    </row>
    <row r="157">
      <c r="A157" s="7" t="n">
        <v>46194</v>
      </c>
      <c r="B157" s="8">
        <f>IF($A157="","",TEXT($A157,"mmm-yyyy"))</f>
        <v/>
      </c>
      <c r="C157" s="8">
        <f>IF($A157="","","W"&amp;WEEKNUM($A157,2))</f>
        <v/>
      </c>
      <c r="D157" s="8" t="inlineStr">
        <is>
          <t>Quality</t>
        </is>
      </c>
      <c r="E157" s="8">
        <f>IFERROR(INDEX(Tbl_KPIMaster[KPI Name],MATCH($D157,Tbl_KPIMaster[Department],0)),"")</f>
        <v/>
      </c>
      <c r="F157" s="8">
        <f>IFERROR(INDEX(Tbl_KPIMaster[Target],MATCH($D157,Tbl_KPIMaster[Department],0)),"")</f>
        <v/>
      </c>
      <c r="G157" s="8" t="n">
        <v>0.0127</v>
      </c>
      <c r="H157" s="9">
        <f>IFERROR(IF(INDEX(Tbl_KPIMaster[Direction],MATCH($D157,Tbl_KPIMaster[Department],0))="Lower is Better",IF($G157=0,1,IF($F157=0,0,$F157/$G157)),IF($F157=0,1,$G157/$F157)),0)</f>
        <v/>
      </c>
      <c r="I157" s="8">
        <f>IF($H157&gt;=1,"Green",IF($H157&gt;=0.85,"Amber","Red"))</f>
        <v/>
      </c>
      <c r="J157" s="10" t="inlineStr">
        <is>
          <t>Within normal range</t>
        </is>
      </c>
    </row>
    <row r="158">
      <c r="A158" s="11" t="n">
        <v>46194</v>
      </c>
      <c r="B158" s="12">
        <f>IF($A158="","",TEXT($A158,"mmm-yyyy"))</f>
        <v/>
      </c>
      <c r="C158" s="12">
        <f>IF($A158="","","W"&amp;WEEKNUM($A158,2))</f>
        <v/>
      </c>
      <c r="D158" s="12" t="inlineStr">
        <is>
          <t>Maintenance</t>
        </is>
      </c>
      <c r="E158" s="12">
        <f>IFERROR(INDEX(Tbl_KPIMaster[KPI Name],MATCH($D158,Tbl_KPIMaster[Department],0)),"")</f>
        <v/>
      </c>
      <c r="F158" s="12">
        <f>IFERROR(INDEX(Tbl_KPIMaster[Target],MATCH($D158,Tbl_KPIMaster[Department],0)),"")</f>
        <v/>
      </c>
      <c r="G158" s="12" t="n">
        <v>1.03</v>
      </c>
      <c r="H158" s="13">
        <f>IFERROR(IF(INDEX(Tbl_KPIMaster[Direction],MATCH($D158,Tbl_KPIMaster[Department],0))="Lower is Better",IF($G158=0,1,IF($F158=0,0,$F158/$G158)),IF($F158=0,1,$G158/$F158)),0)</f>
        <v/>
      </c>
      <c r="I158" s="12">
        <f>IF($H158&gt;=1,"Green",IF($H158&gt;=0.85,"Amber","Red"))</f>
        <v/>
      </c>
      <c r="J158" s="14" t="inlineStr">
        <is>
          <t>Preventive check done</t>
        </is>
      </c>
    </row>
    <row r="159">
      <c r="A159" s="7" t="n">
        <v>46194</v>
      </c>
      <c r="B159" s="8">
        <f>IF($A159="","",TEXT($A159,"mmm-yyyy"))</f>
        <v/>
      </c>
      <c r="C159" s="8">
        <f>IF($A159="","","W"&amp;WEEKNUM($A159,2))</f>
        <v/>
      </c>
      <c r="D159" s="8" t="inlineStr">
        <is>
          <t>Utilities</t>
        </is>
      </c>
      <c r="E159" s="8">
        <f>IFERROR(INDEX(Tbl_KPIMaster[KPI Name],MATCH($D159,Tbl_KPIMaster[Department],0)),"")</f>
        <v/>
      </c>
      <c r="F159" s="8">
        <f>IFERROR(INDEX(Tbl_KPIMaster[Target],MATCH($D159,Tbl_KPIMaster[Department],0)),"")</f>
        <v/>
      </c>
      <c r="G159" s="8" t="n">
        <v>3909.08</v>
      </c>
      <c r="H159" s="9">
        <f>IFERROR(IF(INDEX(Tbl_KPIMaster[Direction],MATCH($D159,Tbl_KPIMaster[Department],0))="Lower is Better",IF($G159=0,1,IF($F159=0,0,$F159/$G159)),IF($F159=0,1,$G159/$F159)),0)</f>
        <v/>
      </c>
      <c r="I159" s="8">
        <f>IF($H159&gt;=1,"Green",IF($H159&gt;=0.85,"Amber","Red"))</f>
        <v/>
      </c>
      <c r="J159" s="10" t="inlineStr">
        <is>
          <t>Manpower shortage</t>
        </is>
      </c>
    </row>
    <row r="160">
      <c r="A160" s="11" t="n">
        <v>46194</v>
      </c>
      <c r="B160" s="12">
        <f>IF($A160="","",TEXT($A160,"mmm-yyyy"))</f>
        <v/>
      </c>
      <c r="C160" s="12">
        <f>IF($A160="","","W"&amp;WEEKNUM($A160,2))</f>
        <v/>
      </c>
      <c r="D160" s="12" t="inlineStr">
        <is>
          <t>Warehouse</t>
        </is>
      </c>
      <c r="E160" s="12">
        <f>IFERROR(INDEX(Tbl_KPIMaster[KPI Name],MATCH($D160,Tbl_KPIMaster[Department],0)),"")</f>
        <v/>
      </c>
      <c r="F160" s="12">
        <f>IFERROR(INDEX(Tbl_KPIMaster[Target],MATCH($D160,Tbl_KPIMaster[Department],0)),"")</f>
        <v/>
      </c>
      <c r="G160" s="12" t="n">
        <v>1.0073</v>
      </c>
      <c r="H160" s="13">
        <f>IFERROR(IF(INDEX(Tbl_KPIMaster[Direction],MATCH($D160,Tbl_KPIMaster[Department],0))="Lower is Better",IF($G160=0,1,IF($F160=0,0,$F160/$G160)),IF($F160=0,1,$G160/$F160)),0)</f>
        <v/>
      </c>
      <c r="I160" s="12">
        <f>IF($H160&gt;=1,"Green",IF($H160&gt;=0.85,"Amber","Red"))</f>
        <v/>
      </c>
      <c r="J160" s="14" t="inlineStr">
        <is>
          <t>Line changeover impact</t>
        </is>
      </c>
    </row>
    <row r="161">
      <c r="A161" s="7" t="n">
        <v>46194</v>
      </c>
      <c r="B161" s="8">
        <f>IF($A161="","",TEXT($A161,"mmm-yyyy"))</f>
        <v/>
      </c>
      <c r="C161" s="8">
        <f>IF($A161="","","W"&amp;WEEKNUM($A161,2))</f>
        <v/>
      </c>
      <c r="D161" s="8" t="inlineStr">
        <is>
          <t>HR</t>
        </is>
      </c>
      <c r="E161" s="8">
        <f>IFERROR(INDEX(Tbl_KPIMaster[KPI Name],MATCH($D161,Tbl_KPIMaster[Department],0)),"")</f>
        <v/>
      </c>
      <c r="F161" s="8">
        <f>IFERROR(INDEX(Tbl_KPIMaster[Target],MATCH($D161,Tbl_KPIMaster[Department],0)),"")</f>
        <v/>
      </c>
      <c r="G161" s="8" t="n">
        <v>0.0276</v>
      </c>
      <c r="H161" s="9">
        <f>IFERROR(IF(INDEX(Tbl_KPIMaster[Direction],MATCH($D161,Tbl_KPIMaster[Department],0))="Lower is Better",IF($G161=0,1,IF($F161=0,0,$F161/$G161)),IF($F161=0,1,$G161/$F161)),0)</f>
        <v/>
      </c>
      <c r="I161" s="8">
        <f>IF($H161&gt;=1,"Green",IF($H161&gt;=0.85,"Amber","Red"))</f>
        <v/>
      </c>
      <c r="J161" s="10" t="inlineStr">
        <is>
          <t>Within normal range</t>
        </is>
      </c>
    </row>
    <row r="162">
      <c r="A162" s="11" t="n">
        <v>46194</v>
      </c>
      <c r="B162" s="12">
        <f>IF($A162="","",TEXT($A162,"mmm-yyyy"))</f>
        <v/>
      </c>
      <c r="C162" s="12">
        <f>IF($A162="","","W"&amp;WEEKNUM($A162,2))</f>
        <v/>
      </c>
      <c r="D162" s="12" t="inlineStr">
        <is>
          <t>Engineering</t>
        </is>
      </c>
      <c r="E162" s="12">
        <f>IFERROR(INDEX(Tbl_KPIMaster[KPI Name],MATCH($D162,Tbl_KPIMaster[Department],0)),"")</f>
        <v/>
      </c>
      <c r="F162" s="12">
        <f>IFERROR(INDEX(Tbl_KPIMaster[Target],MATCH($D162,Tbl_KPIMaster[Department],0)),"")</f>
        <v/>
      </c>
      <c r="G162" s="12" t="n">
        <v>0.7429</v>
      </c>
      <c r="H162" s="13">
        <f>IFERROR(IF(INDEX(Tbl_KPIMaster[Direction],MATCH($D162,Tbl_KPIMaster[Department],0))="Lower is Better",IF($G162=0,1,IF($F162=0,0,$F162/$G162)),IF($F162=0,1,$G162/$F162)),0)</f>
        <v/>
      </c>
      <c r="I162" s="12">
        <f>IF($H162&gt;=1,"Green",IF($H162&gt;=0.85,"Amber","Red"))</f>
        <v/>
      </c>
      <c r="J162" s="14" t="inlineStr">
        <is>
          <t>Manpower shortage</t>
        </is>
      </c>
    </row>
    <row r="163">
      <c r="A163" s="7" t="n">
        <v>46195</v>
      </c>
      <c r="B163" s="8">
        <f>IF($A163="","",TEXT($A163,"mmm-yyyy"))</f>
        <v/>
      </c>
      <c r="C163" s="8">
        <f>IF($A163="","","W"&amp;WEEKNUM($A163,2))</f>
        <v/>
      </c>
      <c r="D163" s="8" t="inlineStr">
        <is>
          <t>Safety</t>
        </is>
      </c>
      <c r="E163" s="8">
        <f>IFERROR(INDEX(Tbl_KPIMaster[KPI Name],MATCH($D163,Tbl_KPIMaster[Department],0)),"")</f>
        <v/>
      </c>
      <c r="F163" s="8">
        <f>IFERROR(INDEX(Tbl_KPIMaster[Target],MATCH($D163,Tbl_KPIMaster[Department],0)),"")</f>
        <v/>
      </c>
      <c r="G163" s="8" t="n">
        <v>0</v>
      </c>
      <c r="H163" s="9">
        <f>IFERROR(IF(INDEX(Tbl_KPIMaster[Direction],MATCH($D163,Tbl_KPIMaster[Department],0))="Lower is Better",IF($G163=0,1,IF($F163=0,0,$F163/$G163)),IF($F163=0,1,$G163/$F163)),0)</f>
        <v/>
      </c>
      <c r="I163" s="8">
        <f>IF($H163&gt;=1,"Green",IF($H163&gt;=0.85,"Amber","Red"))</f>
        <v/>
      </c>
      <c r="J163" s="10" t="inlineStr">
        <is>
          <t>Manpower shortage</t>
        </is>
      </c>
    </row>
    <row r="164">
      <c r="A164" s="11" t="n">
        <v>46195</v>
      </c>
      <c r="B164" s="12">
        <f>IF($A164="","",TEXT($A164,"mmm-yyyy"))</f>
        <v/>
      </c>
      <c r="C164" s="12">
        <f>IF($A164="","","W"&amp;WEEKNUM($A164,2))</f>
        <v/>
      </c>
      <c r="D164" s="12" t="inlineStr">
        <is>
          <t>Production</t>
        </is>
      </c>
      <c r="E164" s="12">
        <f>IFERROR(INDEX(Tbl_KPIMaster[KPI Name],MATCH($D164,Tbl_KPIMaster[Department],0)),"")</f>
        <v/>
      </c>
      <c r="F164" s="12">
        <f>IFERROR(INDEX(Tbl_KPIMaster[Target],MATCH($D164,Tbl_KPIMaster[Department],0)),"")</f>
        <v/>
      </c>
      <c r="G164" s="12" t="n">
        <v>1008.38</v>
      </c>
      <c r="H164" s="13">
        <f>IFERROR(IF(INDEX(Tbl_KPIMaster[Direction],MATCH($D164,Tbl_KPIMaster[Department],0))="Lower is Better",IF($G164=0,1,IF($F164=0,0,$F164/$G164)),IF($F164=0,1,$G164/$F164)),0)</f>
        <v/>
      </c>
      <c r="I164" s="12">
        <f>IF($H164&gt;=1,"Green",IF($H164&gt;=0.85,"Amber","Red"))</f>
        <v/>
      </c>
      <c r="J164" s="14" t="inlineStr">
        <is>
          <t>Line changeover impact</t>
        </is>
      </c>
    </row>
    <row r="165">
      <c r="A165" s="7" t="n">
        <v>46195</v>
      </c>
      <c r="B165" s="8">
        <f>IF($A165="","",TEXT($A165,"mmm-yyyy"))</f>
        <v/>
      </c>
      <c r="C165" s="8">
        <f>IF($A165="","","W"&amp;WEEKNUM($A165,2))</f>
        <v/>
      </c>
      <c r="D165" s="8" t="inlineStr">
        <is>
          <t>Quality</t>
        </is>
      </c>
      <c r="E165" s="8">
        <f>IFERROR(INDEX(Tbl_KPIMaster[KPI Name],MATCH($D165,Tbl_KPIMaster[Department],0)),"")</f>
        <v/>
      </c>
      <c r="F165" s="8">
        <f>IFERROR(INDEX(Tbl_KPIMaster[Target],MATCH($D165,Tbl_KPIMaster[Department],0)),"")</f>
        <v/>
      </c>
      <c r="G165" s="8" t="n">
        <v>0.0191</v>
      </c>
      <c r="H165" s="9">
        <f>IFERROR(IF(INDEX(Tbl_KPIMaster[Direction],MATCH($D165,Tbl_KPIMaster[Department],0))="Lower is Better",IF($G165=0,1,IF($F165=0,0,$F165/$G165)),IF($F165=0,1,$G165/$F165)),0)</f>
        <v/>
      </c>
      <c r="I165" s="8">
        <f>IF($H165&gt;=1,"Green",IF($H165&gt;=0.85,"Amber","Red"))</f>
        <v/>
      </c>
      <c r="J165" s="10" t="inlineStr">
        <is>
          <t>Awaiting spares</t>
        </is>
      </c>
    </row>
    <row r="166">
      <c r="A166" s="11" t="n">
        <v>46195</v>
      </c>
      <c r="B166" s="12">
        <f>IF($A166="","",TEXT($A166,"mmm-yyyy"))</f>
        <v/>
      </c>
      <c r="C166" s="12">
        <f>IF($A166="","","W"&amp;WEEKNUM($A166,2))</f>
        <v/>
      </c>
      <c r="D166" s="12" t="inlineStr">
        <is>
          <t>Maintenance</t>
        </is>
      </c>
      <c r="E166" s="12">
        <f>IFERROR(INDEX(Tbl_KPIMaster[KPI Name],MATCH($D166,Tbl_KPIMaster[Department],0)),"")</f>
        <v/>
      </c>
      <c r="F166" s="12">
        <f>IFERROR(INDEX(Tbl_KPIMaster[Target],MATCH($D166,Tbl_KPIMaster[Department],0)),"")</f>
        <v/>
      </c>
      <c r="G166" s="12" t="n">
        <v>1</v>
      </c>
      <c r="H166" s="13">
        <f>IFERROR(IF(INDEX(Tbl_KPIMaster[Direction],MATCH($D166,Tbl_KPIMaster[Department],0))="Lower is Better",IF($G166=0,1,IF($F166=0,0,$F166/$G166)),IF($F166=0,1,$G166/$F166)),0)</f>
        <v/>
      </c>
      <c r="I166" s="12">
        <f>IF($H166&gt;=1,"Green",IF($H166&gt;=0.85,"Amber","Red"))</f>
        <v/>
      </c>
      <c r="J166" s="14" t="inlineStr">
        <is>
          <t>Vendor delay</t>
        </is>
      </c>
    </row>
    <row r="167">
      <c r="A167" s="7" t="n">
        <v>46195</v>
      </c>
      <c r="B167" s="8">
        <f>IF($A167="","",TEXT($A167,"mmm-yyyy"))</f>
        <v/>
      </c>
      <c r="C167" s="8">
        <f>IF($A167="","","W"&amp;WEEKNUM($A167,2))</f>
        <v/>
      </c>
      <c r="D167" s="8" t="inlineStr">
        <is>
          <t>Utilities</t>
        </is>
      </c>
      <c r="E167" s="8">
        <f>IFERROR(INDEX(Tbl_KPIMaster[KPI Name],MATCH($D167,Tbl_KPIMaster[Department],0)),"")</f>
        <v/>
      </c>
      <c r="F167" s="8">
        <f>IFERROR(INDEX(Tbl_KPIMaster[Target],MATCH($D167,Tbl_KPIMaster[Department],0)),"")</f>
        <v/>
      </c>
      <c r="G167" s="8" t="n">
        <v>4750.06</v>
      </c>
      <c r="H167" s="9">
        <f>IFERROR(IF(INDEX(Tbl_KPIMaster[Direction],MATCH($D167,Tbl_KPIMaster[Department],0))="Lower is Better",IF($G167=0,1,IF($F167=0,0,$F167/$G167)),IF($F167=0,1,$G167/$F167)),0)</f>
        <v/>
      </c>
      <c r="I167" s="8">
        <f>IF($H167&gt;=1,"Green",IF($H167&gt;=0.85,"Amber","Red"))</f>
        <v/>
      </c>
      <c r="J167" s="10" t="inlineStr"/>
    </row>
    <row r="168">
      <c r="A168" s="11" t="n">
        <v>46195</v>
      </c>
      <c r="B168" s="12">
        <f>IF($A168="","",TEXT($A168,"mmm-yyyy"))</f>
        <v/>
      </c>
      <c r="C168" s="12">
        <f>IF($A168="","","W"&amp;WEEKNUM($A168,2))</f>
        <v/>
      </c>
      <c r="D168" s="12" t="inlineStr">
        <is>
          <t>Warehouse</t>
        </is>
      </c>
      <c r="E168" s="12">
        <f>IFERROR(INDEX(Tbl_KPIMaster[KPI Name],MATCH($D168,Tbl_KPIMaster[Department],0)),"")</f>
        <v/>
      </c>
      <c r="F168" s="12">
        <f>IFERROR(INDEX(Tbl_KPIMaster[Target],MATCH($D168,Tbl_KPIMaster[Department],0)),"")</f>
        <v/>
      </c>
      <c r="G168" s="12" t="n">
        <v>0.9405</v>
      </c>
      <c r="H168" s="13">
        <f>IFERROR(IF(INDEX(Tbl_KPIMaster[Direction],MATCH($D168,Tbl_KPIMaster[Department],0))="Lower is Better",IF($G168=0,1,IF($F168=0,0,$F168/$G168)),IF($F168=0,1,$G168/$F168)),0)</f>
        <v/>
      </c>
      <c r="I168" s="12">
        <f>IF($H168&gt;=1,"Green",IF($H168&gt;=0.85,"Amber","Red"))</f>
        <v/>
      </c>
      <c r="J168" s="14" t="inlineStr">
        <is>
          <t>Preventive check done</t>
        </is>
      </c>
    </row>
    <row r="169">
      <c r="A169" s="7" t="n">
        <v>46195</v>
      </c>
      <c r="B169" s="8">
        <f>IF($A169="","",TEXT($A169,"mmm-yyyy"))</f>
        <v/>
      </c>
      <c r="C169" s="8">
        <f>IF($A169="","","W"&amp;WEEKNUM($A169,2))</f>
        <v/>
      </c>
      <c r="D169" s="8" t="inlineStr">
        <is>
          <t>HR</t>
        </is>
      </c>
      <c r="E169" s="8">
        <f>IFERROR(INDEX(Tbl_KPIMaster[KPI Name],MATCH($D169,Tbl_KPIMaster[Department],0)),"")</f>
        <v/>
      </c>
      <c r="F169" s="8">
        <f>IFERROR(INDEX(Tbl_KPIMaster[Target],MATCH($D169,Tbl_KPIMaster[Department],0)),"")</f>
        <v/>
      </c>
      <c r="G169" s="8" t="n">
        <v>0.0313</v>
      </c>
      <c r="H169" s="9">
        <f>IFERROR(IF(INDEX(Tbl_KPIMaster[Direction],MATCH($D169,Tbl_KPIMaster[Department],0))="Lower is Better",IF($G169=0,1,IF($F169=0,0,$F169/$G169)),IF($F169=0,1,$G169/$F169)),0)</f>
        <v/>
      </c>
      <c r="I169" s="8">
        <f>IF($H169&gt;=1,"Green",IF($H169&gt;=0.85,"Amber","Red"))</f>
        <v/>
      </c>
      <c r="J169" s="10" t="inlineStr">
        <is>
          <t>Within normal range</t>
        </is>
      </c>
    </row>
    <row r="170">
      <c r="A170" s="11" t="n">
        <v>46195</v>
      </c>
      <c r="B170" s="12">
        <f>IF($A170="","",TEXT($A170,"mmm-yyyy"))</f>
        <v/>
      </c>
      <c r="C170" s="12">
        <f>IF($A170="","","W"&amp;WEEKNUM($A170,2))</f>
        <v/>
      </c>
      <c r="D170" s="12" t="inlineStr">
        <is>
          <t>Engineering</t>
        </is>
      </c>
      <c r="E170" s="12">
        <f>IFERROR(INDEX(Tbl_KPIMaster[KPI Name],MATCH($D170,Tbl_KPIMaster[Department],0)),"")</f>
        <v/>
      </c>
      <c r="F170" s="12">
        <f>IFERROR(INDEX(Tbl_KPIMaster[Target],MATCH($D170,Tbl_KPIMaster[Department],0)),"")</f>
        <v/>
      </c>
      <c r="G170" s="12" t="n">
        <v>0.8157</v>
      </c>
      <c r="H170" s="13">
        <f>IFERROR(IF(INDEX(Tbl_KPIMaster[Direction],MATCH($D170,Tbl_KPIMaster[Department],0))="Lower is Better",IF($G170=0,1,IF($F170=0,0,$F170/$G170)),IF($F170=0,1,$G170/$F170)),0)</f>
        <v/>
      </c>
      <c r="I170" s="12">
        <f>IF($H170&gt;=1,"Green",IF($H170&gt;=0.85,"Amber","Red"))</f>
        <v/>
      </c>
      <c r="J170" s="14" t="inlineStr">
        <is>
          <t>Line changeover impact</t>
        </is>
      </c>
    </row>
    <row r="171">
      <c r="A171" s="7" t="n">
        <v>46196</v>
      </c>
      <c r="B171" s="8">
        <f>IF($A171="","",TEXT($A171,"mmm-yyyy"))</f>
        <v/>
      </c>
      <c r="C171" s="8">
        <f>IF($A171="","","W"&amp;WEEKNUM($A171,2))</f>
        <v/>
      </c>
      <c r="D171" s="8" t="inlineStr">
        <is>
          <t>Safety</t>
        </is>
      </c>
      <c r="E171" s="8">
        <f>IFERROR(INDEX(Tbl_KPIMaster[KPI Name],MATCH($D171,Tbl_KPIMaster[Department],0)),"")</f>
        <v/>
      </c>
      <c r="F171" s="8">
        <f>IFERROR(INDEX(Tbl_KPIMaster[Target],MATCH($D171,Tbl_KPIMaster[Department],0)),"")</f>
        <v/>
      </c>
      <c r="G171" s="8" t="n">
        <v>2</v>
      </c>
      <c r="H171" s="9">
        <f>IFERROR(IF(INDEX(Tbl_KPIMaster[Direction],MATCH($D171,Tbl_KPIMaster[Department],0))="Lower is Better",IF($G171=0,1,IF($F171=0,0,$F171/$G171)),IF($F171=0,1,$G171/$F171)),0)</f>
        <v/>
      </c>
      <c r="I171" s="8">
        <f>IF($H171&gt;=1,"Green",IF($H171&gt;=0.85,"Amber","Red"))</f>
        <v/>
      </c>
      <c r="J171" s="10" t="inlineStr">
        <is>
          <t>Awaiting spares</t>
        </is>
      </c>
    </row>
    <row r="172">
      <c r="A172" s="11" t="n">
        <v>46196</v>
      </c>
      <c r="B172" s="12">
        <f>IF($A172="","",TEXT($A172,"mmm-yyyy"))</f>
        <v/>
      </c>
      <c r="C172" s="12">
        <f>IF($A172="","","W"&amp;WEEKNUM($A172,2))</f>
        <v/>
      </c>
      <c r="D172" s="12" t="inlineStr">
        <is>
          <t>Production</t>
        </is>
      </c>
      <c r="E172" s="12">
        <f>IFERROR(INDEX(Tbl_KPIMaster[KPI Name],MATCH($D172,Tbl_KPIMaster[Department],0)),"")</f>
        <v/>
      </c>
      <c r="F172" s="12">
        <f>IFERROR(INDEX(Tbl_KPIMaster[Target],MATCH($D172,Tbl_KPIMaster[Department],0)),"")</f>
        <v/>
      </c>
      <c r="G172" s="12" t="n">
        <v>882.79</v>
      </c>
      <c r="H172" s="13">
        <f>IFERROR(IF(INDEX(Tbl_KPIMaster[Direction],MATCH($D172,Tbl_KPIMaster[Department],0))="Lower is Better",IF($G172=0,1,IF($F172=0,0,$F172/$G172)),IF($F172=0,1,$G172/$F172)),0)</f>
        <v/>
      </c>
      <c r="I172" s="12">
        <f>IF($H172&gt;=1,"Green",IF($H172&gt;=0.85,"Amber","Red"))</f>
        <v/>
      </c>
      <c r="J172" s="14" t="inlineStr">
        <is>
          <t>Manpower shortage</t>
        </is>
      </c>
    </row>
    <row r="173">
      <c r="A173" s="7" t="n">
        <v>46196</v>
      </c>
      <c r="B173" s="8">
        <f>IF($A173="","",TEXT($A173,"mmm-yyyy"))</f>
        <v/>
      </c>
      <c r="C173" s="8">
        <f>IF($A173="","","W"&amp;WEEKNUM($A173,2))</f>
        <v/>
      </c>
      <c r="D173" s="8" t="inlineStr">
        <is>
          <t>Quality</t>
        </is>
      </c>
      <c r="E173" s="8">
        <f>IFERROR(INDEX(Tbl_KPIMaster[KPI Name],MATCH($D173,Tbl_KPIMaster[Department],0)),"")</f>
        <v/>
      </c>
      <c r="F173" s="8">
        <f>IFERROR(INDEX(Tbl_KPIMaster[Target],MATCH($D173,Tbl_KPIMaster[Department],0)),"")</f>
        <v/>
      </c>
      <c r="G173" s="8" t="n">
        <v>0.0227</v>
      </c>
      <c r="H173" s="9">
        <f>IFERROR(IF(INDEX(Tbl_KPIMaster[Direction],MATCH($D173,Tbl_KPIMaster[Department],0))="Lower is Better",IF($G173=0,1,IF($F173=0,0,$F173/$G173)),IF($F173=0,1,$G173/$F173)),0)</f>
        <v/>
      </c>
      <c r="I173" s="8">
        <f>IF($H173&gt;=1,"Green",IF($H173&gt;=0.85,"Amber","Red"))</f>
        <v/>
      </c>
      <c r="J173" s="10" t="inlineStr">
        <is>
          <t>Within normal range</t>
        </is>
      </c>
    </row>
    <row r="174">
      <c r="A174" s="11" t="n">
        <v>46196</v>
      </c>
      <c r="B174" s="12">
        <f>IF($A174="","",TEXT($A174,"mmm-yyyy"))</f>
        <v/>
      </c>
      <c r="C174" s="12">
        <f>IF($A174="","","W"&amp;WEEKNUM($A174,2))</f>
        <v/>
      </c>
      <c r="D174" s="12" t="inlineStr">
        <is>
          <t>Maintenance</t>
        </is>
      </c>
      <c r="E174" s="12">
        <f>IFERROR(INDEX(Tbl_KPIMaster[KPI Name],MATCH($D174,Tbl_KPIMaster[Department],0)),"")</f>
        <v/>
      </c>
      <c r="F174" s="12">
        <f>IFERROR(INDEX(Tbl_KPIMaster[Target],MATCH($D174,Tbl_KPIMaster[Department],0)),"")</f>
        <v/>
      </c>
      <c r="G174" s="12" t="n">
        <v>0.92</v>
      </c>
      <c r="H174" s="13">
        <f>IFERROR(IF(INDEX(Tbl_KPIMaster[Direction],MATCH($D174,Tbl_KPIMaster[Department],0))="Lower is Better",IF($G174=0,1,IF($F174=0,0,$F174/$G174)),IF($F174=0,1,$G174/$F174)),0)</f>
        <v/>
      </c>
      <c r="I174" s="12">
        <f>IF($H174&gt;=1,"Green",IF($H174&gt;=0.85,"Amber","Red"))</f>
        <v/>
      </c>
      <c r="J174" s="14" t="inlineStr">
        <is>
          <t>Awaiting spares</t>
        </is>
      </c>
    </row>
    <row r="175">
      <c r="A175" s="7" t="n">
        <v>46196</v>
      </c>
      <c r="B175" s="8">
        <f>IF($A175="","",TEXT($A175,"mmm-yyyy"))</f>
        <v/>
      </c>
      <c r="C175" s="8">
        <f>IF($A175="","","W"&amp;WEEKNUM($A175,2))</f>
        <v/>
      </c>
      <c r="D175" s="8" t="inlineStr">
        <is>
          <t>Utilities</t>
        </is>
      </c>
      <c r="E175" s="8">
        <f>IFERROR(INDEX(Tbl_KPIMaster[KPI Name],MATCH($D175,Tbl_KPIMaster[Department],0)),"")</f>
        <v/>
      </c>
      <c r="F175" s="8">
        <f>IFERROR(INDEX(Tbl_KPIMaster[Target],MATCH($D175,Tbl_KPIMaster[Department],0)),"")</f>
        <v/>
      </c>
      <c r="G175" s="8" t="n">
        <v>6427.87</v>
      </c>
      <c r="H175" s="9">
        <f>IFERROR(IF(INDEX(Tbl_KPIMaster[Direction],MATCH($D175,Tbl_KPIMaster[Department],0))="Lower is Better",IF($G175=0,1,IF($F175=0,0,$F175/$G175)),IF($F175=0,1,$G175/$F175)),0)</f>
        <v/>
      </c>
      <c r="I175" s="8">
        <f>IF($H175&gt;=1,"Green",IF($H175&gt;=0.85,"Amber","Red"))</f>
        <v/>
      </c>
      <c r="J175" s="10" t="inlineStr">
        <is>
          <t>Awaiting spares</t>
        </is>
      </c>
    </row>
    <row r="176">
      <c r="A176" s="11" t="n">
        <v>46196</v>
      </c>
      <c r="B176" s="12">
        <f>IF($A176="","",TEXT($A176,"mmm-yyyy"))</f>
        <v/>
      </c>
      <c r="C176" s="12">
        <f>IF($A176="","","W"&amp;WEEKNUM($A176,2))</f>
        <v/>
      </c>
      <c r="D176" s="12" t="inlineStr">
        <is>
          <t>Warehouse</t>
        </is>
      </c>
      <c r="E176" s="12">
        <f>IFERROR(INDEX(Tbl_KPIMaster[KPI Name],MATCH($D176,Tbl_KPIMaster[Department],0)),"")</f>
        <v/>
      </c>
      <c r="F176" s="12">
        <f>IFERROR(INDEX(Tbl_KPIMaster[Target],MATCH($D176,Tbl_KPIMaster[Department],0)),"")</f>
        <v/>
      </c>
      <c r="G176" s="12" t="n">
        <v>1.0115</v>
      </c>
      <c r="H176" s="13">
        <f>IFERROR(IF(INDEX(Tbl_KPIMaster[Direction],MATCH($D176,Tbl_KPIMaster[Department],0))="Lower is Better",IF($G176=0,1,IF($F176=0,0,$F176/$G176)),IF($F176=0,1,$G176/$F176)),0)</f>
        <v/>
      </c>
      <c r="I176" s="12">
        <f>IF($H176&gt;=1,"Green",IF($H176&gt;=0.85,"Amber","Red"))</f>
        <v/>
      </c>
      <c r="J176" s="14" t="inlineStr">
        <is>
          <t>Vendor delay</t>
        </is>
      </c>
    </row>
    <row r="177">
      <c r="A177" s="7" t="n">
        <v>46196</v>
      </c>
      <c r="B177" s="8">
        <f>IF($A177="","",TEXT($A177,"mmm-yyyy"))</f>
        <v/>
      </c>
      <c r="C177" s="8">
        <f>IF($A177="","","W"&amp;WEEKNUM($A177,2))</f>
        <v/>
      </c>
      <c r="D177" s="8" t="inlineStr">
        <is>
          <t>HR</t>
        </is>
      </c>
      <c r="E177" s="8">
        <f>IFERROR(INDEX(Tbl_KPIMaster[KPI Name],MATCH($D177,Tbl_KPIMaster[Department],0)),"")</f>
        <v/>
      </c>
      <c r="F177" s="8">
        <f>IFERROR(INDEX(Tbl_KPIMaster[Target],MATCH($D177,Tbl_KPIMaster[Department],0)),"")</f>
        <v/>
      </c>
      <c r="G177" s="8" t="n">
        <v>0.0418</v>
      </c>
      <c r="H177" s="9">
        <f>IFERROR(IF(INDEX(Tbl_KPIMaster[Direction],MATCH($D177,Tbl_KPIMaster[Department],0))="Lower is Better",IF($G177=0,1,IF($F177=0,0,$F177/$G177)),IF($F177=0,1,$G177/$F177)),0)</f>
        <v/>
      </c>
      <c r="I177" s="8">
        <f>IF($H177&gt;=1,"Green",IF($H177&gt;=0.85,"Amber","Red"))</f>
        <v/>
      </c>
      <c r="J177" s="10" t="inlineStr">
        <is>
          <t>Within normal range</t>
        </is>
      </c>
    </row>
    <row r="178">
      <c r="A178" s="11" t="n">
        <v>46196</v>
      </c>
      <c r="B178" s="12">
        <f>IF($A178="","",TEXT($A178,"mmm-yyyy"))</f>
        <v/>
      </c>
      <c r="C178" s="12">
        <f>IF($A178="","","W"&amp;WEEKNUM($A178,2))</f>
        <v/>
      </c>
      <c r="D178" s="12" t="inlineStr">
        <is>
          <t>Engineering</t>
        </is>
      </c>
      <c r="E178" s="12">
        <f>IFERROR(INDEX(Tbl_KPIMaster[KPI Name],MATCH($D178,Tbl_KPIMaster[Department],0)),"")</f>
        <v/>
      </c>
      <c r="F178" s="12">
        <f>IFERROR(INDEX(Tbl_KPIMaster[Target],MATCH($D178,Tbl_KPIMaster[Department],0)),"")</f>
        <v/>
      </c>
      <c r="G178" s="12" t="n">
        <v>0.8421</v>
      </c>
      <c r="H178" s="13">
        <f>IFERROR(IF(INDEX(Tbl_KPIMaster[Direction],MATCH($D178,Tbl_KPIMaster[Department],0))="Lower is Better",IF($G178=0,1,IF($F178=0,0,$F178/$G178)),IF($F178=0,1,$G178/$F178)),0)</f>
        <v/>
      </c>
      <c r="I178" s="12">
        <f>IF($H178&gt;=1,"Green",IF($H178&gt;=0.85,"Amber","Red"))</f>
        <v/>
      </c>
      <c r="J178" s="14" t="inlineStr">
        <is>
          <t>Manpower shortage</t>
        </is>
      </c>
    </row>
    <row r="179">
      <c r="A179" s="7" t="n">
        <v>46197</v>
      </c>
      <c r="B179" s="8">
        <f>IF($A179="","",TEXT($A179,"mmm-yyyy"))</f>
        <v/>
      </c>
      <c r="C179" s="8">
        <f>IF($A179="","","W"&amp;WEEKNUM($A179,2))</f>
        <v/>
      </c>
      <c r="D179" s="8" t="inlineStr">
        <is>
          <t>Safety</t>
        </is>
      </c>
      <c r="E179" s="8">
        <f>IFERROR(INDEX(Tbl_KPIMaster[KPI Name],MATCH($D179,Tbl_KPIMaster[Department],0)),"")</f>
        <v/>
      </c>
      <c r="F179" s="8">
        <f>IFERROR(INDEX(Tbl_KPIMaster[Target],MATCH($D179,Tbl_KPIMaster[Department],0)),"")</f>
        <v/>
      </c>
      <c r="G179" s="8" t="n">
        <v>1</v>
      </c>
      <c r="H179" s="9">
        <f>IFERROR(IF(INDEX(Tbl_KPIMaster[Direction],MATCH($D179,Tbl_KPIMaster[Department],0))="Lower is Better",IF($G179=0,1,IF($F179=0,0,$F179/$G179)),IF($F179=0,1,$G179/$F179)),0)</f>
        <v/>
      </c>
      <c r="I179" s="8">
        <f>IF($H179&gt;=1,"Green",IF($H179&gt;=0.85,"Amber","Red"))</f>
        <v/>
      </c>
      <c r="J179" s="10" t="inlineStr">
        <is>
          <t>Preventive check done</t>
        </is>
      </c>
    </row>
    <row r="180">
      <c r="A180" s="11" t="n">
        <v>46197</v>
      </c>
      <c r="B180" s="12">
        <f>IF($A180="","",TEXT($A180,"mmm-yyyy"))</f>
        <v/>
      </c>
      <c r="C180" s="12">
        <f>IF($A180="","","W"&amp;WEEKNUM($A180,2))</f>
        <v/>
      </c>
      <c r="D180" s="12" t="inlineStr">
        <is>
          <t>Production</t>
        </is>
      </c>
      <c r="E180" s="12">
        <f>IFERROR(INDEX(Tbl_KPIMaster[KPI Name],MATCH($D180,Tbl_KPIMaster[Department],0)),"")</f>
        <v/>
      </c>
      <c r="F180" s="12">
        <f>IFERROR(INDEX(Tbl_KPIMaster[Target],MATCH($D180,Tbl_KPIMaster[Department],0)),"")</f>
        <v/>
      </c>
      <c r="G180" s="12" t="n">
        <v>965</v>
      </c>
      <c r="H180" s="13">
        <f>IFERROR(IF(INDEX(Tbl_KPIMaster[Direction],MATCH($D180,Tbl_KPIMaster[Department],0))="Lower is Better",IF($G180=0,1,IF($F180=0,0,$F180/$G180)),IF($F180=0,1,$G180/$F180)),0)</f>
        <v/>
      </c>
      <c r="I180" s="12">
        <f>IF($H180&gt;=1,"Green",IF($H180&gt;=0.85,"Amber","Red"))</f>
        <v/>
      </c>
      <c r="J180" s="14" t="inlineStr">
        <is>
          <t>Within normal range</t>
        </is>
      </c>
    </row>
    <row r="181">
      <c r="A181" s="7" t="n">
        <v>46197</v>
      </c>
      <c r="B181" s="8">
        <f>IF($A181="","",TEXT($A181,"mmm-yyyy"))</f>
        <v/>
      </c>
      <c r="C181" s="8">
        <f>IF($A181="","","W"&amp;WEEKNUM($A181,2))</f>
        <v/>
      </c>
      <c r="D181" s="8" t="inlineStr">
        <is>
          <t>Quality</t>
        </is>
      </c>
      <c r="E181" s="8">
        <f>IFERROR(INDEX(Tbl_KPIMaster[KPI Name],MATCH($D181,Tbl_KPIMaster[Department],0)),"")</f>
        <v/>
      </c>
      <c r="F181" s="8">
        <f>IFERROR(INDEX(Tbl_KPIMaster[Target],MATCH($D181,Tbl_KPIMaster[Department],0)),"")</f>
        <v/>
      </c>
      <c r="G181" s="8" t="n">
        <v>0.0184</v>
      </c>
      <c r="H181" s="9">
        <f>IFERROR(IF(INDEX(Tbl_KPIMaster[Direction],MATCH($D181,Tbl_KPIMaster[Department],0))="Lower is Better",IF($G181=0,1,IF($F181=0,0,$F181/$G181)),IF($F181=0,1,$G181/$F181)),0)</f>
        <v/>
      </c>
      <c r="I181" s="8">
        <f>IF($H181&gt;=1,"Green",IF($H181&gt;=0.85,"Amber","Red"))</f>
        <v/>
      </c>
      <c r="J181" s="10" t="inlineStr">
        <is>
          <t>Manpower shortage</t>
        </is>
      </c>
    </row>
    <row r="182">
      <c r="A182" s="11" t="n">
        <v>46197</v>
      </c>
      <c r="B182" s="12">
        <f>IF($A182="","",TEXT($A182,"mmm-yyyy"))</f>
        <v/>
      </c>
      <c r="C182" s="12">
        <f>IF($A182="","","W"&amp;WEEKNUM($A182,2))</f>
        <v/>
      </c>
      <c r="D182" s="12" t="inlineStr">
        <is>
          <t>Maintenance</t>
        </is>
      </c>
      <c r="E182" s="12">
        <f>IFERROR(INDEX(Tbl_KPIMaster[KPI Name],MATCH($D182,Tbl_KPIMaster[Department],0)),"")</f>
        <v/>
      </c>
      <c r="F182" s="12">
        <f>IFERROR(INDEX(Tbl_KPIMaster[Target],MATCH($D182,Tbl_KPIMaster[Department],0)),"")</f>
        <v/>
      </c>
      <c r="G182" s="12" t="n">
        <v>1.13</v>
      </c>
      <c r="H182" s="13">
        <f>IFERROR(IF(INDEX(Tbl_KPIMaster[Direction],MATCH($D182,Tbl_KPIMaster[Department],0))="Lower is Better",IF($G182=0,1,IF($F182=0,0,$F182/$G182)),IF($F182=0,1,$G182/$F182)),0)</f>
        <v/>
      </c>
      <c r="I182" s="12">
        <f>IF($H182&gt;=1,"Green",IF($H182&gt;=0.85,"Amber","Red"))</f>
        <v/>
      </c>
      <c r="J182" s="14" t="inlineStr">
        <is>
          <t>Within normal range</t>
        </is>
      </c>
    </row>
    <row r="183">
      <c r="A183" s="7" t="n">
        <v>46197</v>
      </c>
      <c r="B183" s="8">
        <f>IF($A183="","",TEXT($A183,"mmm-yyyy"))</f>
        <v/>
      </c>
      <c r="C183" s="8">
        <f>IF($A183="","","W"&amp;WEEKNUM($A183,2))</f>
        <v/>
      </c>
      <c r="D183" s="8" t="inlineStr">
        <is>
          <t>Utilities</t>
        </is>
      </c>
      <c r="E183" s="8">
        <f>IFERROR(INDEX(Tbl_KPIMaster[KPI Name],MATCH($D183,Tbl_KPIMaster[Department],0)),"")</f>
        <v/>
      </c>
      <c r="F183" s="8">
        <f>IFERROR(INDEX(Tbl_KPIMaster[Target],MATCH($D183,Tbl_KPIMaster[Department],0)),"")</f>
        <v/>
      </c>
      <c r="G183" s="8" t="n">
        <v>4954.62</v>
      </c>
      <c r="H183" s="9">
        <f>IFERROR(IF(INDEX(Tbl_KPIMaster[Direction],MATCH($D183,Tbl_KPIMaster[Department],0))="Lower is Better",IF($G183=0,1,IF($F183=0,0,$F183/$G183)),IF($F183=0,1,$G183/$F183)),0)</f>
        <v/>
      </c>
      <c r="I183" s="8">
        <f>IF($H183&gt;=1,"Green",IF($H183&gt;=0.85,"Amber","Red"))</f>
        <v/>
      </c>
      <c r="J183" s="10" t="inlineStr">
        <is>
          <t>Awaiting spares</t>
        </is>
      </c>
    </row>
    <row r="184">
      <c r="A184" s="11" t="n">
        <v>46197</v>
      </c>
      <c r="B184" s="12">
        <f>IF($A184="","",TEXT($A184,"mmm-yyyy"))</f>
        <v/>
      </c>
      <c r="C184" s="12">
        <f>IF($A184="","","W"&amp;WEEKNUM($A184,2))</f>
        <v/>
      </c>
      <c r="D184" s="12" t="inlineStr">
        <is>
          <t>Warehouse</t>
        </is>
      </c>
      <c r="E184" s="12">
        <f>IFERROR(INDEX(Tbl_KPIMaster[KPI Name],MATCH($D184,Tbl_KPIMaster[Department],0)),"")</f>
        <v/>
      </c>
      <c r="F184" s="12">
        <f>IFERROR(INDEX(Tbl_KPIMaster[Target],MATCH($D184,Tbl_KPIMaster[Department],0)),"")</f>
        <v/>
      </c>
      <c r="G184" s="12" t="n">
        <v>1.0512</v>
      </c>
      <c r="H184" s="13">
        <f>IFERROR(IF(INDEX(Tbl_KPIMaster[Direction],MATCH($D184,Tbl_KPIMaster[Department],0))="Lower is Better",IF($G184=0,1,IF($F184=0,0,$F184/$G184)),IF($F184=0,1,$G184/$F184)),0)</f>
        <v/>
      </c>
      <c r="I184" s="12">
        <f>IF($H184&gt;=1,"Green",IF($H184&gt;=0.85,"Amber","Red"))</f>
        <v/>
      </c>
      <c r="J184" s="14" t="inlineStr">
        <is>
          <t>Process improvement in progress</t>
        </is>
      </c>
    </row>
    <row r="185">
      <c r="A185" s="7" t="n">
        <v>46197</v>
      </c>
      <c r="B185" s="8">
        <f>IF($A185="","",TEXT($A185,"mmm-yyyy"))</f>
        <v/>
      </c>
      <c r="C185" s="8">
        <f>IF($A185="","","W"&amp;WEEKNUM($A185,2))</f>
        <v/>
      </c>
      <c r="D185" s="8" t="inlineStr">
        <is>
          <t>HR</t>
        </is>
      </c>
      <c r="E185" s="8">
        <f>IFERROR(INDEX(Tbl_KPIMaster[KPI Name],MATCH($D185,Tbl_KPIMaster[Department],0)),"")</f>
        <v/>
      </c>
      <c r="F185" s="8">
        <f>IFERROR(INDEX(Tbl_KPIMaster[Target],MATCH($D185,Tbl_KPIMaster[Department],0)),"")</f>
        <v/>
      </c>
      <c r="G185" s="8" t="n">
        <v>0.0315</v>
      </c>
      <c r="H185" s="9">
        <f>IFERROR(IF(INDEX(Tbl_KPIMaster[Direction],MATCH($D185,Tbl_KPIMaster[Department],0))="Lower is Better",IF($G185=0,1,IF($F185=0,0,$F185/$G185)),IF($F185=0,1,$G185/$F185)),0)</f>
        <v/>
      </c>
      <c r="I185" s="8">
        <f>IF($H185&gt;=1,"Green",IF($H185&gt;=0.85,"Amber","Red"))</f>
        <v/>
      </c>
      <c r="J185" s="10" t="inlineStr">
        <is>
          <t>Awaiting spares</t>
        </is>
      </c>
    </row>
    <row r="186">
      <c r="A186" s="11" t="n">
        <v>46197</v>
      </c>
      <c r="B186" s="12">
        <f>IF($A186="","",TEXT($A186,"mmm-yyyy"))</f>
        <v/>
      </c>
      <c r="C186" s="12">
        <f>IF($A186="","","W"&amp;WEEKNUM($A186,2))</f>
        <v/>
      </c>
      <c r="D186" s="12" t="inlineStr">
        <is>
          <t>Engineering</t>
        </is>
      </c>
      <c r="E186" s="12">
        <f>IFERROR(INDEX(Tbl_KPIMaster[KPI Name],MATCH($D186,Tbl_KPIMaster[Department],0)),"")</f>
        <v/>
      </c>
      <c r="F186" s="12">
        <f>IFERROR(INDEX(Tbl_KPIMaster[Target],MATCH($D186,Tbl_KPIMaster[Department],0)),"")</f>
        <v/>
      </c>
      <c r="G186" s="12" t="n">
        <v>0.9295</v>
      </c>
      <c r="H186" s="13">
        <f>IFERROR(IF(INDEX(Tbl_KPIMaster[Direction],MATCH($D186,Tbl_KPIMaster[Department],0))="Lower is Better",IF($G186=0,1,IF($F186=0,0,$F186/$G186)),IF($F186=0,1,$G186/$F186)),0)</f>
        <v/>
      </c>
      <c r="I186" s="12">
        <f>IF($H186&gt;=1,"Green",IF($H186&gt;=0.85,"Amber","Red"))</f>
        <v/>
      </c>
      <c r="J186" s="14" t="inlineStr">
        <is>
          <t>Vendor delay</t>
        </is>
      </c>
    </row>
    <row r="187">
      <c r="A187" s="7" t="n">
        <v>46198</v>
      </c>
      <c r="B187" s="8">
        <f>IF($A187="","",TEXT($A187,"mmm-yyyy"))</f>
        <v/>
      </c>
      <c r="C187" s="8">
        <f>IF($A187="","","W"&amp;WEEKNUM($A187,2))</f>
        <v/>
      </c>
      <c r="D187" s="8" t="inlineStr">
        <is>
          <t>Safety</t>
        </is>
      </c>
      <c r="E187" s="8">
        <f>IFERROR(INDEX(Tbl_KPIMaster[KPI Name],MATCH($D187,Tbl_KPIMaster[Department],0)),"")</f>
        <v/>
      </c>
      <c r="F187" s="8">
        <f>IFERROR(INDEX(Tbl_KPIMaster[Target],MATCH($D187,Tbl_KPIMaster[Department],0)),"")</f>
        <v/>
      </c>
      <c r="G187" s="8" t="n">
        <v>0</v>
      </c>
      <c r="H187" s="9">
        <f>IFERROR(IF(INDEX(Tbl_KPIMaster[Direction],MATCH($D187,Tbl_KPIMaster[Department],0))="Lower is Better",IF($G187=0,1,IF($F187=0,0,$F187/$G187)),IF($F187=0,1,$G187/$F187)),0)</f>
        <v/>
      </c>
      <c r="I187" s="8">
        <f>IF($H187&gt;=1,"Green",IF($H187&gt;=0.85,"Amber","Red"))</f>
        <v/>
      </c>
      <c r="J187" s="10" t="inlineStr">
        <is>
          <t>Preventive check done</t>
        </is>
      </c>
    </row>
    <row r="188">
      <c r="A188" s="11" t="n">
        <v>46198</v>
      </c>
      <c r="B188" s="12">
        <f>IF($A188="","",TEXT($A188,"mmm-yyyy"))</f>
        <v/>
      </c>
      <c r="C188" s="12">
        <f>IF($A188="","","W"&amp;WEEKNUM($A188,2))</f>
        <v/>
      </c>
      <c r="D188" s="12" t="inlineStr">
        <is>
          <t>Production</t>
        </is>
      </c>
      <c r="E188" s="12">
        <f>IFERROR(INDEX(Tbl_KPIMaster[KPI Name],MATCH($D188,Tbl_KPIMaster[Department],0)),"")</f>
        <v/>
      </c>
      <c r="F188" s="12">
        <f>IFERROR(INDEX(Tbl_KPIMaster[Target],MATCH($D188,Tbl_KPIMaster[Department],0)),"")</f>
        <v/>
      </c>
      <c r="G188" s="12" t="n">
        <v>1190.61</v>
      </c>
      <c r="H188" s="13">
        <f>IFERROR(IF(INDEX(Tbl_KPIMaster[Direction],MATCH($D188,Tbl_KPIMaster[Department],0))="Lower is Better",IF($G188=0,1,IF($F188=0,0,$F188/$G188)),IF($F188=0,1,$G188/$F188)),0)</f>
        <v/>
      </c>
      <c r="I188" s="12">
        <f>IF($H188&gt;=1,"Green",IF($H188&gt;=0.85,"Amber","Red"))</f>
        <v/>
      </c>
      <c r="J188" s="14" t="inlineStr">
        <is>
          <t>Line changeover impact</t>
        </is>
      </c>
    </row>
    <row r="189">
      <c r="A189" s="7" t="n">
        <v>46198</v>
      </c>
      <c r="B189" s="8">
        <f>IF($A189="","",TEXT($A189,"mmm-yyyy"))</f>
        <v/>
      </c>
      <c r="C189" s="8">
        <f>IF($A189="","","W"&amp;WEEKNUM($A189,2))</f>
        <v/>
      </c>
      <c r="D189" s="8" t="inlineStr">
        <is>
          <t>Quality</t>
        </is>
      </c>
      <c r="E189" s="8">
        <f>IFERROR(INDEX(Tbl_KPIMaster[KPI Name],MATCH($D189,Tbl_KPIMaster[Department],0)),"")</f>
        <v/>
      </c>
      <c r="F189" s="8">
        <f>IFERROR(INDEX(Tbl_KPIMaster[Target],MATCH($D189,Tbl_KPIMaster[Department],0)),"")</f>
        <v/>
      </c>
      <c r="G189" s="8" t="n">
        <v>0.021</v>
      </c>
      <c r="H189" s="9">
        <f>IFERROR(IF(INDEX(Tbl_KPIMaster[Direction],MATCH($D189,Tbl_KPIMaster[Department],0))="Lower is Better",IF($G189=0,1,IF($F189=0,0,$F189/$G189)),IF($F189=0,1,$G189/$F189)),0)</f>
        <v/>
      </c>
      <c r="I189" s="8">
        <f>IF($H189&gt;=1,"Green",IF($H189&gt;=0.85,"Amber","Red"))</f>
        <v/>
      </c>
      <c r="J189" s="10" t="inlineStr">
        <is>
          <t>Manpower shortage</t>
        </is>
      </c>
    </row>
    <row r="190">
      <c r="A190" s="11" t="n">
        <v>46198</v>
      </c>
      <c r="B190" s="12">
        <f>IF($A190="","",TEXT($A190,"mmm-yyyy"))</f>
        <v/>
      </c>
      <c r="C190" s="12">
        <f>IF($A190="","","W"&amp;WEEKNUM($A190,2))</f>
        <v/>
      </c>
      <c r="D190" s="12" t="inlineStr">
        <is>
          <t>Maintenance</t>
        </is>
      </c>
      <c r="E190" s="12">
        <f>IFERROR(INDEX(Tbl_KPIMaster[KPI Name],MATCH($D190,Tbl_KPIMaster[Department],0)),"")</f>
        <v/>
      </c>
      <c r="F190" s="12">
        <f>IFERROR(INDEX(Tbl_KPIMaster[Target],MATCH($D190,Tbl_KPIMaster[Department],0)),"")</f>
        <v/>
      </c>
      <c r="G190" s="12" t="n">
        <v>1.25</v>
      </c>
      <c r="H190" s="13">
        <f>IFERROR(IF(INDEX(Tbl_KPIMaster[Direction],MATCH($D190,Tbl_KPIMaster[Department],0))="Lower is Better",IF($G190=0,1,IF($F190=0,0,$F190/$G190)),IF($F190=0,1,$G190/$F190)),0)</f>
        <v/>
      </c>
      <c r="I190" s="12">
        <f>IF($H190&gt;=1,"Green",IF($H190&gt;=0.85,"Amber","Red"))</f>
        <v/>
      </c>
      <c r="J190" s="14" t="inlineStr">
        <is>
          <t>Within normal range</t>
        </is>
      </c>
    </row>
    <row r="191">
      <c r="A191" s="7" t="n">
        <v>46198</v>
      </c>
      <c r="B191" s="8">
        <f>IF($A191="","",TEXT($A191,"mmm-yyyy"))</f>
        <v/>
      </c>
      <c r="C191" s="8">
        <f>IF($A191="","","W"&amp;WEEKNUM($A191,2))</f>
        <v/>
      </c>
      <c r="D191" s="8" t="inlineStr">
        <is>
          <t>Utilities</t>
        </is>
      </c>
      <c r="E191" s="8">
        <f>IFERROR(INDEX(Tbl_KPIMaster[KPI Name],MATCH($D191,Tbl_KPIMaster[Department],0)),"")</f>
        <v/>
      </c>
      <c r="F191" s="8">
        <f>IFERROR(INDEX(Tbl_KPIMaster[Target],MATCH($D191,Tbl_KPIMaster[Department],0)),"")</f>
        <v/>
      </c>
      <c r="G191" s="8" t="n">
        <v>5373.59</v>
      </c>
      <c r="H191" s="9">
        <f>IFERROR(IF(INDEX(Tbl_KPIMaster[Direction],MATCH($D191,Tbl_KPIMaster[Department],0))="Lower is Better",IF($G191=0,1,IF($F191=0,0,$F191/$G191)),IF($F191=0,1,$G191/$F191)),0)</f>
        <v/>
      </c>
      <c r="I191" s="8">
        <f>IF($H191&gt;=1,"Green",IF($H191&gt;=0.85,"Amber","Red"))</f>
        <v/>
      </c>
      <c r="J191" s="10" t="inlineStr"/>
    </row>
    <row r="192">
      <c r="A192" s="11" t="n">
        <v>46198</v>
      </c>
      <c r="B192" s="12">
        <f>IF($A192="","",TEXT($A192,"mmm-yyyy"))</f>
        <v/>
      </c>
      <c r="C192" s="12">
        <f>IF($A192="","","W"&amp;WEEKNUM($A192,2))</f>
        <v/>
      </c>
      <c r="D192" s="12" t="inlineStr">
        <is>
          <t>Warehouse</t>
        </is>
      </c>
      <c r="E192" s="12">
        <f>IFERROR(INDEX(Tbl_KPIMaster[KPI Name],MATCH($D192,Tbl_KPIMaster[Department],0)),"")</f>
        <v/>
      </c>
      <c r="F192" s="12">
        <f>IFERROR(INDEX(Tbl_KPIMaster[Target],MATCH($D192,Tbl_KPIMaster[Department],0)),"")</f>
        <v/>
      </c>
      <c r="G192" s="12" t="n">
        <v>0.9678</v>
      </c>
      <c r="H192" s="13">
        <f>IFERROR(IF(INDEX(Tbl_KPIMaster[Direction],MATCH($D192,Tbl_KPIMaster[Department],0))="Lower is Better",IF($G192=0,1,IF($F192=0,0,$F192/$G192)),IF($F192=0,1,$G192/$F192)),0)</f>
        <v/>
      </c>
      <c r="I192" s="12">
        <f>IF($H192&gt;=1,"Green",IF($H192&gt;=0.85,"Amber","Red"))</f>
        <v/>
      </c>
      <c r="J192" s="14" t="inlineStr"/>
    </row>
    <row r="193">
      <c r="A193" s="7" t="n">
        <v>46198</v>
      </c>
      <c r="B193" s="8">
        <f>IF($A193="","",TEXT($A193,"mmm-yyyy"))</f>
        <v/>
      </c>
      <c r="C193" s="8">
        <f>IF($A193="","","W"&amp;WEEKNUM($A193,2))</f>
        <v/>
      </c>
      <c r="D193" s="8" t="inlineStr">
        <is>
          <t>HR</t>
        </is>
      </c>
      <c r="E193" s="8">
        <f>IFERROR(INDEX(Tbl_KPIMaster[KPI Name],MATCH($D193,Tbl_KPIMaster[Department],0)),"")</f>
        <v/>
      </c>
      <c r="F193" s="8">
        <f>IFERROR(INDEX(Tbl_KPIMaster[Target],MATCH($D193,Tbl_KPIMaster[Department],0)),"")</f>
        <v/>
      </c>
      <c r="G193" s="8" t="n">
        <v>0.0217</v>
      </c>
      <c r="H193" s="9">
        <f>IFERROR(IF(INDEX(Tbl_KPIMaster[Direction],MATCH($D193,Tbl_KPIMaster[Department],0))="Lower is Better",IF($G193=0,1,IF($F193=0,0,$F193/$G193)),IF($F193=0,1,$G193/$F193)),0)</f>
        <v/>
      </c>
      <c r="I193" s="8">
        <f>IF($H193&gt;=1,"Green",IF($H193&gt;=0.85,"Amber","Red"))</f>
        <v/>
      </c>
      <c r="J193" s="10" t="inlineStr">
        <is>
          <t>Line changeover impact</t>
        </is>
      </c>
    </row>
    <row r="194">
      <c r="A194" s="11" t="n">
        <v>46198</v>
      </c>
      <c r="B194" s="12">
        <f>IF($A194="","",TEXT($A194,"mmm-yyyy"))</f>
        <v/>
      </c>
      <c r="C194" s="12">
        <f>IF($A194="","","W"&amp;WEEKNUM($A194,2))</f>
        <v/>
      </c>
      <c r="D194" s="12" t="inlineStr">
        <is>
          <t>Engineering</t>
        </is>
      </c>
      <c r="E194" s="12">
        <f>IFERROR(INDEX(Tbl_KPIMaster[KPI Name],MATCH($D194,Tbl_KPIMaster[Department],0)),"")</f>
        <v/>
      </c>
      <c r="F194" s="12">
        <f>IFERROR(INDEX(Tbl_KPIMaster[Target],MATCH($D194,Tbl_KPIMaster[Department],0)),"")</f>
        <v/>
      </c>
      <c r="G194" s="12" t="n">
        <v>0.8602</v>
      </c>
      <c r="H194" s="13">
        <f>IFERROR(IF(INDEX(Tbl_KPIMaster[Direction],MATCH($D194,Tbl_KPIMaster[Department],0))="Lower is Better",IF($G194=0,1,IF($F194=0,0,$F194/$G194)),IF($F194=0,1,$G194/$F194)),0)</f>
        <v/>
      </c>
      <c r="I194" s="12">
        <f>IF($H194&gt;=1,"Green",IF($H194&gt;=0.85,"Amber","Red"))</f>
        <v/>
      </c>
      <c r="J194" s="14" t="inlineStr">
        <is>
          <t>Process improvement in progress</t>
        </is>
      </c>
    </row>
    <row r="195">
      <c r="A195" s="7" t="n">
        <v>46199</v>
      </c>
      <c r="B195" s="8">
        <f>IF($A195="","",TEXT($A195,"mmm-yyyy"))</f>
        <v/>
      </c>
      <c r="C195" s="8">
        <f>IF($A195="","","W"&amp;WEEKNUM($A195,2))</f>
        <v/>
      </c>
      <c r="D195" s="8" t="inlineStr">
        <is>
          <t>Safety</t>
        </is>
      </c>
      <c r="E195" s="8">
        <f>IFERROR(INDEX(Tbl_KPIMaster[KPI Name],MATCH($D195,Tbl_KPIMaster[Department],0)),"")</f>
        <v/>
      </c>
      <c r="F195" s="8">
        <f>IFERROR(INDEX(Tbl_KPIMaster[Target],MATCH($D195,Tbl_KPIMaster[Department],0)),"")</f>
        <v/>
      </c>
      <c r="G195" s="8" t="n">
        <v>0</v>
      </c>
      <c r="H195" s="9">
        <f>IFERROR(IF(INDEX(Tbl_KPIMaster[Direction],MATCH($D195,Tbl_KPIMaster[Department],0))="Lower is Better",IF($G195=0,1,IF($F195=0,0,$F195/$G195)),IF($F195=0,1,$G195/$F195)),0)</f>
        <v/>
      </c>
      <c r="I195" s="8">
        <f>IF($H195&gt;=1,"Green",IF($H195&gt;=0.85,"Amber","Red"))</f>
        <v/>
      </c>
      <c r="J195" s="10" t="inlineStr">
        <is>
          <t>Line changeover impact</t>
        </is>
      </c>
    </row>
    <row r="196">
      <c r="A196" s="11" t="n">
        <v>46199</v>
      </c>
      <c r="B196" s="12">
        <f>IF($A196="","",TEXT($A196,"mmm-yyyy"))</f>
        <v/>
      </c>
      <c r="C196" s="12">
        <f>IF($A196="","","W"&amp;WEEKNUM($A196,2))</f>
        <v/>
      </c>
      <c r="D196" s="12" t="inlineStr">
        <is>
          <t>Production</t>
        </is>
      </c>
      <c r="E196" s="12">
        <f>IFERROR(INDEX(Tbl_KPIMaster[KPI Name],MATCH($D196,Tbl_KPIMaster[Department],0)),"")</f>
        <v/>
      </c>
      <c r="F196" s="12">
        <f>IFERROR(INDEX(Tbl_KPIMaster[Target],MATCH($D196,Tbl_KPIMaster[Department],0)),"")</f>
        <v/>
      </c>
      <c r="G196" s="12" t="n">
        <v>1057.98</v>
      </c>
      <c r="H196" s="13">
        <f>IFERROR(IF(INDEX(Tbl_KPIMaster[Direction],MATCH($D196,Tbl_KPIMaster[Department],0))="Lower is Better",IF($G196=0,1,IF($F196=0,0,$F196/$G196)),IF($F196=0,1,$G196/$F196)),0)</f>
        <v/>
      </c>
      <c r="I196" s="12">
        <f>IF($H196&gt;=1,"Green",IF($H196&gt;=0.85,"Amber","Red"))</f>
        <v/>
      </c>
      <c r="J196" s="14" t="inlineStr">
        <is>
          <t>Process improvement in progress</t>
        </is>
      </c>
    </row>
    <row r="197">
      <c r="A197" s="7" t="n">
        <v>46199</v>
      </c>
      <c r="B197" s="8">
        <f>IF($A197="","",TEXT($A197,"mmm-yyyy"))</f>
        <v/>
      </c>
      <c r="C197" s="8">
        <f>IF($A197="","","W"&amp;WEEKNUM($A197,2))</f>
        <v/>
      </c>
      <c r="D197" s="8" t="inlineStr">
        <is>
          <t>Quality</t>
        </is>
      </c>
      <c r="E197" s="8">
        <f>IFERROR(INDEX(Tbl_KPIMaster[KPI Name],MATCH($D197,Tbl_KPIMaster[Department],0)),"")</f>
        <v/>
      </c>
      <c r="F197" s="8">
        <f>IFERROR(INDEX(Tbl_KPIMaster[Target],MATCH($D197,Tbl_KPIMaster[Department],0)),"")</f>
        <v/>
      </c>
      <c r="G197" s="8" t="n">
        <v>0.0163</v>
      </c>
      <c r="H197" s="9">
        <f>IFERROR(IF(INDEX(Tbl_KPIMaster[Direction],MATCH($D197,Tbl_KPIMaster[Department],0))="Lower is Better",IF($G197=0,1,IF($F197=0,0,$F197/$G197)),IF($F197=0,1,$G197/$F197)),0)</f>
        <v/>
      </c>
      <c r="I197" s="8">
        <f>IF($H197&gt;=1,"Green",IF($H197&gt;=0.85,"Amber","Red"))</f>
        <v/>
      </c>
      <c r="J197" s="10" t="inlineStr">
        <is>
          <t>Vendor delay</t>
        </is>
      </c>
    </row>
    <row r="198">
      <c r="A198" s="11" t="n">
        <v>46199</v>
      </c>
      <c r="B198" s="12">
        <f>IF($A198="","",TEXT($A198,"mmm-yyyy"))</f>
        <v/>
      </c>
      <c r="C198" s="12">
        <f>IF($A198="","","W"&amp;WEEKNUM($A198,2))</f>
        <v/>
      </c>
      <c r="D198" s="12" t="inlineStr">
        <is>
          <t>Maintenance</t>
        </is>
      </c>
      <c r="E198" s="12">
        <f>IFERROR(INDEX(Tbl_KPIMaster[KPI Name],MATCH($D198,Tbl_KPIMaster[Department],0)),"")</f>
        <v/>
      </c>
      <c r="F198" s="12">
        <f>IFERROR(INDEX(Tbl_KPIMaster[Target],MATCH($D198,Tbl_KPIMaster[Department],0)),"")</f>
        <v/>
      </c>
      <c r="G198" s="12" t="n">
        <v>0.99</v>
      </c>
      <c r="H198" s="13">
        <f>IFERROR(IF(INDEX(Tbl_KPIMaster[Direction],MATCH($D198,Tbl_KPIMaster[Department],0))="Lower is Better",IF($G198=0,1,IF($F198=0,0,$F198/$G198)),IF($F198=0,1,$G198/$F198)),0)</f>
        <v/>
      </c>
      <c r="I198" s="12">
        <f>IF($H198&gt;=1,"Green",IF($H198&gt;=0.85,"Amber","Red"))</f>
        <v/>
      </c>
      <c r="J198" s="14" t="inlineStr">
        <is>
          <t>Line changeover impact</t>
        </is>
      </c>
    </row>
    <row r="199">
      <c r="A199" s="7" t="n">
        <v>46199</v>
      </c>
      <c r="B199" s="8">
        <f>IF($A199="","",TEXT($A199,"mmm-yyyy"))</f>
        <v/>
      </c>
      <c r="C199" s="8">
        <f>IF($A199="","","W"&amp;WEEKNUM($A199,2))</f>
        <v/>
      </c>
      <c r="D199" s="8" t="inlineStr">
        <is>
          <t>Utilities</t>
        </is>
      </c>
      <c r="E199" s="8">
        <f>IFERROR(INDEX(Tbl_KPIMaster[KPI Name],MATCH($D199,Tbl_KPIMaster[Department],0)),"")</f>
        <v/>
      </c>
      <c r="F199" s="8">
        <f>IFERROR(INDEX(Tbl_KPIMaster[Target],MATCH($D199,Tbl_KPIMaster[Department],0)),"")</f>
        <v/>
      </c>
      <c r="G199" s="8" t="n">
        <v>4918.07</v>
      </c>
      <c r="H199" s="9">
        <f>IFERROR(IF(INDEX(Tbl_KPIMaster[Direction],MATCH($D199,Tbl_KPIMaster[Department],0))="Lower is Better",IF($G199=0,1,IF($F199=0,0,$F199/$G199)),IF($F199=0,1,$G199/$F199)),0)</f>
        <v/>
      </c>
      <c r="I199" s="8">
        <f>IF($H199&gt;=1,"Green",IF($H199&gt;=0.85,"Amber","Red"))</f>
        <v/>
      </c>
      <c r="J199" s="10" t="inlineStr">
        <is>
          <t>Vendor delay</t>
        </is>
      </c>
    </row>
    <row r="200">
      <c r="A200" s="11" t="n">
        <v>46199</v>
      </c>
      <c r="B200" s="12">
        <f>IF($A200="","",TEXT($A200,"mmm-yyyy"))</f>
        <v/>
      </c>
      <c r="C200" s="12">
        <f>IF($A200="","","W"&amp;WEEKNUM($A200,2))</f>
        <v/>
      </c>
      <c r="D200" s="12" t="inlineStr">
        <is>
          <t>Warehouse</t>
        </is>
      </c>
      <c r="E200" s="12">
        <f>IFERROR(INDEX(Tbl_KPIMaster[KPI Name],MATCH($D200,Tbl_KPIMaster[Department],0)),"")</f>
        <v/>
      </c>
      <c r="F200" s="12">
        <f>IFERROR(INDEX(Tbl_KPIMaster[Target],MATCH($D200,Tbl_KPIMaster[Department],0)),"")</f>
        <v/>
      </c>
      <c r="G200" s="12" t="n">
        <v>0.7948</v>
      </c>
      <c r="H200" s="13">
        <f>IFERROR(IF(INDEX(Tbl_KPIMaster[Direction],MATCH($D200,Tbl_KPIMaster[Department],0))="Lower is Better",IF($G200=0,1,IF($F200=0,0,$F200/$G200)),IF($F200=0,1,$G200/$F200)),0)</f>
        <v/>
      </c>
      <c r="I200" s="12">
        <f>IF($H200&gt;=1,"Green",IF($H200&gt;=0.85,"Amber","Red"))</f>
        <v/>
      </c>
      <c r="J200" s="14" t="inlineStr">
        <is>
          <t>Process improvement in progress</t>
        </is>
      </c>
    </row>
    <row r="201">
      <c r="A201" s="7" t="n">
        <v>46199</v>
      </c>
      <c r="B201" s="8">
        <f>IF($A201="","",TEXT($A201,"mmm-yyyy"))</f>
        <v/>
      </c>
      <c r="C201" s="8">
        <f>IF($A201="","","W"&amp;WEEKNUM($A201,2))</f>
        <v/>
      </c>
      <c r="D201" s="8" t="inlineStr">
        <is>
          <t>HR</t>
        </is>
      </c>
      <c r="E201" s="8">
        <f>IFERROR(INDEX(Tbl_KPIMaster[KPI Name],MATCH($D201,Tbl_KPIMaster[Department],0)),"")</f>
        <v/>
      </c>
      <c r="F201" s="8">
        <f>IFERROR(INDEX(Tbl_KPIMaster[Target],MATCH($D201,Tbl_KPIMaster[Department],0)),"")</f>
        <v/>
      </c>
      <c r="G201" s="8" t="n">
        <v>0.0293</v>
      </c>
      <c r="H201" s="9">
        <f>IFERROR(IF(INDEX(Tbl_KPIMaster[Direction],MATCH($D201,Tbl_KPIMaster[Department],0))="Lower is Better",IF($G201=0,1,IF($F201=0,0,$F201/$G201)),IF($F201=0,1,$G201/$F201)),0)</f>
        <v/>
      </c>
      <c r="I201" s="8">
        <f>IF($H201&gt;=1,"Green",IF($H201&gt;=0.85,"Amber","Red"))</f>
        <v/>
      </c>
      <c r="J201" s="10" t="inlineStr">
        <is>
          <t>Preventive check done</t>
        </is>
      </c>
    </row>
    <row r="202">
      <c r="A202" s="11" t="n">
        <v>46199</v>
      </c>
      <c r="B202" s="12">
        <f>IF($A202="","",TEXT($A202,"mmm-yyyy"))</f>
        <v/>
      </c>
      <c r="C202" s="12">
        <f>IF($A202="","","W"&amp;WEEKNUM($A202,2))</f>
        <v/>
      </c>
      <c r="D202" s="12" t="inlineStr">
        <is>
          <t>Engineering</t>
        </is>
      </c>
      <c r="E202" s="12">
        <f>IFERROR(INDEX(Tbl_KPIMaster[KPI Name],MATCH($D202,Tbl_KPIMaster[Department],0)),"")</f>
        <v/>
      </c>
      <c r="F202" s="12">
        <f>IFERROR(INDEX(Tbl_KPIMaster[Target],MATCH($D202,Tbl_KPIMaster[Department],0)),"")</f>
        <v/>
      </c>
      <c r="G202" s="12" t="n">
        <v>0.9295</v>
      </c>
      <c r="H202" s="13">
        <f>IFERROR(IF(INDEX(Tbl_KPIMaster[Direction],MATCH($D202,Tbl_KPIMaster[Department],0))="Lower is Better",IF($G202=0,1,IF($F202=0,0,$F202/$G202)),IF($F202=0,1,$G202/$F202)),0)</f>
        <v/>
      </c>
      <c r="I202" s="12">
        <f>IF($H202&gt;=1,"Green",IF($H202&gt;=0.85,"Amber","Red"))</f>
        <v/>
      </c>
      <c r="J202" s="14" t="inlineStr">
        <is>
          <t>Process improvement in progress</t>
        </is>
      </c>
    </row>
    <row r="203">
      <c r="A203" s="7" t="n">
        <v>46200</v>
      </c>
      <c r="B203" s="8">
        <f>IF($A203="","",TEXT($A203,"mmm-yyyy"))</f>
        <v/>
      </c>
      <c r="C203" s="8">
        <f>IF($A203="","","W"&amp;WEEKNUM($A203,2))</f>
        <v/>
      </c>
      <c r="D203" s="8" t="inlineStr">
        <is>
          <t>Safety</t>
        </is>
      </c>
      <c r="E203" s="8">
        <f>IFERROR(INDEX(Tbl_KPIMaster[KPI Name],MATCH($D203,Tbl_KPIMaster[Department],0)),"")</f>
        <v/>
      </c>
      <c r="F203" s="8">
        <f>IFERROR(INDEX(Tbl_KPIMaster[Target],MATCH($D203,Tbl_KPIMaster[Department],0)),"")</f>
        <v/>
      </c>
      <c r="G203" s="8" t="n">
        <v>0</v>
      </c>
      <c r="H203" s="9">
        <f>IFERROR(IF(INDEX(Tbl_KPIMaster[Direction],MATCH($D203,Tbl_KPIMaster[Department],0))="Lower is Better",IF($G203=0,1,IF($F203=0,0,$F203/$G203)),IF($F203=0,1,$G203/$F203)),0)</f>
        <v/>
      </c>
      <c r="I203" s="8">
        <f>IF($H203&gt;=1,"Green",IF($H203&gt;=0.85,"Amber","Red"))</f>
        <v/>
      </c>
      <c r="J203" s="10" t="inlineStr">
        <is>
          <t>Preventive check done</t>
        </is>
      </c>
    </row>
    <row r="204">
      <c r="A204" s="11" t="n">
        <v>46200</v>
      </c>
      <c r="B204" s="12">
        <f>IF($A204="","",TEXT($A204,"mmm-yyyy"))</f>
        <v/>
      </c>
      <c r="C204" s="12">
        <f>IF($A204="","","W"&amp;WEEKNUM($A204,2))</f>
        <v/>
      </c>
      <c r="D204" s="12" t="inlineStr">
        <is>
          <t>Production</t>
        </is>
      </c>
      <c r="E204" s="12">
        <f>IFERROR(INDEX(Tbl_KPIMaster[KPI Name],MATCH($D204,Tbl_KPIMaster[Department],0)),"")</f>
        <v/>
      </c>
      <c r="F204" s="12">
        <f>IFERROR(INDEX(Tbl_KPIMaster[Target],MATCH($D204,Tbl_KPIMaster[Department],0)),"")</f>
        <v/>
      </c>
      <c r="G204" s="12" t="n">
        <v>907.95</v>
      </c>
      <c r="H204" s="13">
        <f>IFERROR(IF(INDEX(Tbl_KPIMaster[Direction],MATCH($D204,Tbl_KPIMaster[Department],0))="Lower is Better",IF($G204=0,1,IF($F204=0,0,$F204/$G204)),IF($F204=0,1,$G204/$F204)),0)</f>
        <v/>
      </c>
      <c r="I204" s="12">
        <f>IF($H204&gt;=1,"Green",IF($H204&gt;=0.85,"Amber","Red"))</f>
        <v/>
      </c>
      <c r="J204" s="14" t="inlineStr">
        <is>
          <t>Preventive check done</t>
        </is>
      </c>
    </row>
    <row r="205">
      <c r="A205" s="7" t="n">
        <v>46200</v>
      </c>
      <c r="B205" s="8">
        <f>IF($A205="","",TEXT($A205,"mmm-yyyy"))</f>
        <v/>
      </c>
      <c r="C205" s="8">
        <f>IF($A205="","","W"&amp;WEEKNUM($A205,2))</f>
        <v/>
      </c>
      <c r="D205" s="8" t="inlineStr">
        <is>
          <t>Quality</t>
        </is>
      </c>
      <c r="E205" s="8">
        <f>IFERROR(INDEX(Tbl_KPIMaster[KPI Name],MATCH($D205,Tbl_KPIMaster[Department],0)),"")</f>
        <v/>
      </c>
      <c r="F205" s="8">
        <f>IFERROR(INDEX(Tbl_KPIMaster[Target],MATCH($D205,Tbl_KPIMaster[Department],0)),"")</f>
        <v/>
      </c>
      <c r="G205" s="8" t="n">
        <v>0.0266</v>
      </c>
      <c r="H205" s="9">
        <f>IFERROR(IF(INDEX(Tbl_KPIMaster[Direction],MATCH($D205,Tbl_KPIMaster[Department],0))="Lower is Better",IF($G205=0,1,IF($F205=0,0,$F205/$G205)),IF($F205=0,1,$G205/$F205)),0)</f>
        <v/>
      </c>
      <c r="I205" s="8">
        <f>IF($H205&gt;=1,"Green",IF($H205&gt;=0.85,"Amber","Red"))</f>
        <v/>
      </c>
      <c r="J205" s="10" t="inlineStr">
        <is>
          <t>Process improvement in progress</t>
        </is>
      </c>
    </row>
    <row r="206">
      <c r="A206" s="11" t="n">
        <v>46200</v>
      </c>
      <c r="B206" s="12">
        <f>IF($A206="","",TEXT($A206,"mmm-yyyy"))</f>
        <v/>
      </c>
      <c r="C206" s="12">
        <f>IF($A206="","","W"&amp;WEEKNUM($A206,2))</f>
        <v/>
      </c>
      <c r="D206" s="12" t="inlineStr">
        <is>
          <t>Maintenance</t>
        </is>
      </c>
      <c r="E206" s="12">
        <f>IFERROR(INDEX(Tbl_KPIMaster[KPI Name],MATCH($D206,Tbl_KPIMaster[Department],0)),"")</f>
        <v/>
      </c>
      <c r="F206" s="12">
        <f>IFERROR(INDEX(Tbl_KPIMaster[Target],MATCH($D206,Tbl_KPIMaster[Department],0)),"")</f>
        <v/>
      </c>
      <c r="G206" s="12" t="n">
        <v>0.8</v>
      </c>
      <c r="H206" s="13">
        <f>IFERROR(IF(INDEX(Tbl_KPIMaster[Direction],MATCH($D206,Tbl_KPIMaster[Department],0))="Lower is Better",IF($G206=0,1,IF($F206=0,0,$F206/$G206)),IF($F206=0,1,$G206/$F206)),0)</f>
        <v/>
      </c>
      <c r="I206" s="12">
        <f>IF($H206&gt;=1,"Green",IF($H206&gt;=0.85,"Amber","Red"))</f>
        <v/>
      </c>
      <c r="J206" s="14" t="inlineStr">
        <is>
          <t>Within normal range</t>
        </is>
      </c>
    </row>
    <row r="207">
      <c r="A207" s="7" t="n">
        <v>46200</v>
      </c>
      <c r="B207" s="8">
        <f>IF($A207="","",TEXT($A207,"mmm-yyyy"))</f>
        <v/>
      </c>
      <c r="C207" s="8">
        <f>IF($A207="","","W"&amp;WEEKNUM($A207,2))</f>
        <v/>
      </c>
      <c r="D207" s="8" t="inlineStr">
        <is>
          <t>Utilities</t>
        </is>
      </c>
      <c r="E207" s="8">
        <f>IFERROR(INDEX(Tbl_KPIMaster[KPI Name],MATCH($D207,Tbl_KPIMaster[Department],0)),"")</f>
        <v/>
      </c>
      <c r="F207" s="8">
        <f>IFERROR(INDEX(Tbl_KPIMaster[Target],MATCH($D207,Tbl_KPIMaster[Department],0)),"")</f>
        <v/>
      </c>
      <c r="G207" s="8" t="n">
        <v>4522</v>
      </c>
      <c r="H207" s="9">
        <f>IFERROR(IF(INDEX(Tbl_KPIMaster[Direction],MATCH($D207,Tbl_KPIMaster[Department],0))="Lower is Better",IF($G207=0,1,IF($F207=0,0,$F207/$G207)),IF($F207=0,1,$G207/$F207)),0)</f>
        <v/>
      </c>
      <c r="I207" s="8">
        <f>IF($H207&gt;=1,"Green",IF($H207&gt;=0.85,"Amber","Red"))</f>
        <v/>
      </c>
      <c r="J207" s="10" t="inlineStr">
        <is>
          <t>Preventive check done</t>
        </is>
      </c>
    </row>
    <row r="208">
      <c r="A208" s="11" t="n">
        <v>46200</v>
      </c>
      <c r="B208" s="12">
        <f>IF($A208="","",TEXT($A208,"mmm-yyyy"))</f>
        <v/>
      </c>
      <c r="C208" s="12">
        <f>IF($A208="","","W"&amp;WEEKNUM($A208,2))</f>
        <v/>
      </c>
      <c r="D208" s="12" t="inlineStr">
        <is>
          <t>Warehouse</t>
        </is>
      </c>
      <c r="E208" s="12">
        <f>IFERROR(INDEX(Tbl_KPIMaster[KPI Name],MATCH($D208,Tbl_KPIMaster[Department],0)),"")</f>
        <v/>
      </c>
      <c r="F208" s="12">
        <f>IFERROR(INDEX(Tbl_KPIMaster[Target],MATCH($D208,Tbl_KPIMaster[Department],0)),"")</f>
        <v/>
      </c>
      <c r="G208" s="12" t="n">
        <v>1.0448</v>
      </c>
      <c r="H208" s="13">
        <f>IFERROR(IF(INDEX(Tbl_KPIMaster[Direction],MATCH($D208,Tbl_KPIMaster[Department],0))="Lower is Better",IF($G208=0,1,IF($F208=0,0,$F208/$G208)),IF($F208=0,1,$G208/$F208)),0)</f>
        <v/>
      </c>
      <c r="I208" s="12">
        <f>IF($H208&gt;=1,"Green",IF($H208&gt;=0.85,"Amber","Red"))</f>
        <v/>
      </c>
      <c r="J208" s="14" t="inlineStr">
        <is>
          <t>Awaiting spares</t>
        </is>
      </c>
    </row>
    <row r="209">
      <c r="A209" s="7" t="n">
        <v>46200</v>
      </c>
      <c r="B209" s="8">
        <f>IF($A209="","",TEXT($A209,"mmm-yyyy"))</f>
        <v/>
      </c>
      <c r="C209" s="8">
        <f>IF($A209="","","W"&amp;WEEKNUM($A209,2))</f>
        <v/>
      </c>
      <c r="D209" s="8" t="inlineStr">
        <is>
          <t>HR</t>
        </is>
      </c>
      <c r="E209" s="8">
        <f>IFERROR(INDEX(Tbl_KPIMaster[KPI Name],MATCH($D209,Tbl_KPIMaster[Department],0)),"")</f>
        <v/>
      </c>
      <c r="F209" s="8">
        <f>IFERROR(INDEX(Tbl_KPIMaster[Target],MATCH($D209,Tbl_KPIMaster[Department],0)),"")</f>
        <v/>
      </c>
      <c r="G209" s="8" t="n">
        <v>0.0273</v>
      </c>
      <c r="H209" s="9">
        <f>IFERROR(IF(INDEX(Tbl_KPIMaster[Direction],MATCH($D209,Tbl_KPIMaster[Department],0))="Lower is Better",IF($G209=0,1,IF($F209=0,0,$F209/$G209)),IF($F209=0,1,$G209/$F209)),0)</f>
        <v/>
      </c>
      <c r="I209" s="8">
        <f>IF($H209&gt;=1,"Green",IF($H209&gt;=0.85,"Amber","Red"))</f>
        <v/>
      </c>
      <c r="J209" s="10" t="inlineStr">
        <is>
          <t>Process improvement in progress</t>
        </is>
      </c>
    </row>
    <row r="210">
      <c r="A210" s="11" t="n">
        <v>46200</v>
      </c>
      <c r="B210" s="12">
        <f>IF($A210="","",TEXT($A210,"mmm-yyyy"))</f>
        <v/>
      </c>
      <c r="C210" s="12">
        <f>IF($A210="","","W"&amp;WEEKNUM($A210,2))</f>
        <v/>
      </c>
      <c r="D210" s="12" t="inlineStr">
        <is>
          <t>Engineering</t>
        </is>
      </c>
      <c r="E210" s="12">
        <f>IFERROR(INDEX(Tbl_KPIMaster[KPI Name],MATCH($D210,Tbl_KPIMaster[Department],0)),"")</f>
        <v/>
      </c>
      <c r="F210" s="12">
        <f>IFERROR(INDEX(Tbl_KPIMaster[Target],MATCH($D210,Tbl_KPIMaster[Department],0)),"")</f>
        <v/>
      </c>
      <c r="G210" s="12" t="n">
        <v>0.9282</v>
      </c>
      <c r="H210" s="13">
        <f>IFERROR(IF(INDEX(Tbl_KPIMaster[Direction],MATCH($D210,Tbl_KPIMaster[Department],0))="Lower is Better",IF($G210=0,1,IF($F210=0,0,$F210/$G210)),IF($F210=0,1,$G210/$F210)),0)</f>
        <v/>
      </c>
      <c r="I210" s="12">
        <f>IF($H210&gt;=1,"Green",IF($H210&gt;=0.85,"Amber","Red"))</f>
        <v/>
      </c>
      <c r="J210" s="14" t="inlineStr">
        <is>
          <t>Process improvement in progress</t>
        </is>
      </c>
    </row>
    <row r="211">
      <c r="A211" s="7" t="n">
        <v>46201</v>
      </c>
      <c r="B211" s="8">
        <f>IF($A211="","",TEXT($A211,"mmm-yyyy"))</f>
        <v/>
      </c>
      <c r="C211" s="8">
        <f>IF($A211="","","W"&amp;WEEKNUM($A211,2))</f>
        <v/>
      </c>
      <c r="D211" s="8" t="inlineStr">
        <is>
          <t>Safety</t>
        </is>
      </c>
      <c r="E211" s="8">
        <f>IFERROR(INDEX(Tbl_KPIMaster[KPI Name],MATCH($D211,Tbl_KPIMaster[Department],0)),"")</f>
        <v/>
      </c>
      <c r="F211" s="8">
        <f>IFERROR(INDEX(Tbl_KPIMaster[Target],MATCH($D211,Tbl_KPIMaster[Department],0)),"")</f>
        <v/>
      </c>
      <c r="G211" s="8" t="n">
        <v>0</v>
      </c>
      <c r="H211" s="9">
        <f>IFERROR(IF(INDEX(Tbl_KPIMaster[Direction],MATCH($D211,Tbl_KPIMaster[Department],0))="Lower is Better",IF($G211=0,1,IF($F211=0,0,$F211/$G211)),IF($F211=0,1,$G211/$F211)),0)</f>
        <v/>
      </c>
      <c r="I211" s="8">
        <f>IF($H211&gt;=1,"Green",IF($H211&gt;=0.85,"Amber","Red"))</f>
        <v/>
      </c>
      <c r="J211" s="10" t="inlineStr">
        <is>
          <t>Within normal range</t>
        </is>
      </c>
    </row>
    <row r="212">
      <c r="A212" s="11" t="n">
        <v>46201</v>
      </c>
      <c r="B212" s="12">
        <f>IF($A212="","",TEXT($A212,"mmm-yyyy"))</f>
        <v/>
      </c>
      <c r="C212" s="12">
        <f>IF($A212="","","W"&amp;WEEKNUM($A212,2))</f>
        <v/>
      </c>
      <c r="D212" s="12" t="inlineStr">
        <is>
          <t>Production</t>
        </is>
      </c>
      <c r="E212" s="12">
        <f>IFERROR(INDEX(Tbl_KPIMaster[KPI Name],MATCH($D212,Tbl_KPIMaster[Department],0)),"")</f>
        <v/>
      </c>
      <c r="F212" s="12">
        <f>IFERROR(INDEX(Tbl_KPIMaster[Target],MATCH($D212,Tbl_KPIMaster[Department],0)),"")</f>
        <v/>
      </c>
      <c r="G212" s="12" t="n">
        <v>973.8099999999999</v>
      </c>
      <c r="H212" s="13">
        <f>IFERROR(IF(INDEX(Tbl_KPIMaster[Direction],MATCH($D212,Tbl_KPIMaster[Department],0))="Lower is Better",IF($G212=0,1,IF($F212=0,0,$F212/$G212)),IF($F212=0,1,$G212/$F212)),0)</f>
        <v/>
      </c>
      <c r="I212" s="12">
        <f>IF($H212&gt;=1,"Green",IF($H212&gt;=0.85,"Amber","Red"))</f>
        <v/>
      </c>
      <c r="J212" s="14" t="inlineStr">
        <is>
          <t>Awaiting spares</t>
        </is>
      </c>
    </row>
    <row r="213">
      <c r="A213" s="7" t="n">
        <v>46201</v>
      </c>
      <c r="B213" s="8">
        <f>IF($A213="","",TEXT($A213,"mmm-yyyy"))</f>
        <v/>
      </c>
      <c r="C213" s="8">
        <f>IF($A213="","","W"&amp;WEEKNUM($A213,2))</f>
        <v/>
      </c>
      <c r="D213" s="8" t="inlineStr">
        <is>
          <t>Quality</t>
        </is>
      </c>
      <c r="E213" s="8">
        <f>IFERROR(INDEX(Tbl_KPIMaster[KPI Name],MATCH($D213,Tbl_KPIMaster[Department],0)),"")</f>
        <v/>
      </c>
      <c r="F213" s="8">
        <f>IFERROR(INDEX(Tbl_KPIMaster[Target],MATCH($D213,Tbl_KPIMaster[Department],0)),"")</f>
        <v/>
      </c>
      <c r="G213" s="8" t="n">
        <v>0.0199</v>
      </c>
      <c r="H213" s="9">
        <f>IFERROR(IF(INDEX(Tbl_KPIMaster[Direction],MATCH($D213,Tbl_KPIMaster[Department],0))="Lower is Better",IF($G213=0,1,IF($F213=0,0,$F213/$G213)),IF($F213=0,1,$G213/$F213)),0)</f>
        <v/>
      </c>
      <c r="I213" s="8">
        <f>IF($H213&gt;=1,"Green",IF($H213&gt;=0.85,"Amber","Red"))</f>
        <v/>
      </c>
      <c r="J213" s="10" t="inlineStr">
        <is>
          <t>Manpower shortage</t>
        </is>
      </c>
    </row>
    <row r="214">
      <c r="A214" s="11" t="n">
        <v>46201</v>
      </c>
      <c r="B214" s="12">
        <f>IF($A214="","",TEXT($A214,"mmm-yyyy"))</f>
        <v/>
      </c>
      <c r="C214" s="12">
        <f>IF($A214="","","W"&amp;WEEKNUM($A214,2))</f>
        <v/>
      </c>
      <c r="D214" s="12" t="inlineStr">
        <is>
          <t>Maintenance</t>
        </is>
      </c>
      <c r="E214" s="12">
        <f>IFERROR(INDEX(Tbl_KPIMaster[KPI Name],MATCH($D214,Tbl_KPIMaster[Department],0)),"")</f>
        <v/>
      </c>
      <c r="F214" s="12">
        <f>IFERROR(INDEX(Tbl_KPIMaster[Target],MATCH($D214,Tbl_KPIMaster[Department],0)),"")</f>
        <v/>
      </c>
      <c r="G214" s="12" t="n">
        <v>1</v>
      </c>
      <c r="H214" s="13">
        <f>IFERROR(IF(INDEX(Tbl_KPIMaster[Direction],MATCH($D214,Tbl_KPIMaster[Department],0))="Lower is Better",IF($G214=0,1,IF($F214=0,0,$F214/$G214)),IF($F214=0,1,$G214/$F214)),0)</f>
        <v/>
      </c>
      <c r="I214" s="12">
        <f>IF($H214&gt;=1,"Green",IF($H214&gt;=0.85,"Amber","Red"))</f>
        <v/>
      </c>
      <c r="J214" s="14" t="inlineStr">
        <is>
          <t>Process improvement in progress</t>
        </is>
      </c>
    </row>
    <row r="215">
      <c r="A215" s="7" t="n">
        <v>46201</v>
      </c>
      <c r="B215" s="8">
        <f>IF($A215="","",TEXT($A215,"mmm-yyyy"))</f>
        <v/>
      </c>
      <c r="C215" s="8">
        <f>IF($A215="","","W"&amp;WEEKNUM($A215,2))</f>
        <v/>
      </c>
      <c r="D215" s="8" t="inlineStr">
        <is>
          <t>Utilities</t>
        </is>
      </c>
      <c r="E215" s="8">
        <f>IFERROR(INDEX(Tbl_KPIMaster[KPI Name],MATCH($D215,Tbl_KPIMaster[Department],0)),"")</f>
        <v/>
      </c>
      <c r="F215" s="8">
        <f>IFERROR(INDEX(Tbl_KPIMaster[Target],MATCH($D215,Tbl_KPIMaster[Department],0)),"")</f>
        <v/>
      </c>
      <c r="G215" s="8" t="n">
        <v>4138.32</v>
      </c>
      <c r="H215" s="9">
        <f>IFERROR(IF(INDEX(Tbl_KPIMaster[Direction],MATCH($D215,Tbl_KPIMaster[Department],0))="Lower is Better",IF($G215=0,1,IF($F215=0,0,$F215/$G215)),IF($F215=0,1,$G215/$F215)),0)</f>
        <v/>
      </c>
      <c r="I215" s="8">
        <f>IF($H215&gt;=1,"Green",IF($H215&gt;=0.85,"Amber","Red"))</f>
        <v/>
      </c>
      <c r="J215" s="10" t="inlineStr">
        <is>
          <t>Process improvement in progress</t>
        </is>
      </c>
    </row>
    <row r="216">
      <c r="A216" s="11" t="n">
        <v>46201</v>
      </c>
      <c r="B216" s="12">
        <f>IF($A216="","",TEXT($A216,"mmm-yyyy"))</f>
        <v/>
      </c>
      <c r="C216" s="12">
        <f>IF($A216="","","W"&amp;WEEKNUM($A216,2))</f>
        <v/>
      </c>
      <c r="D216" s="12" t="inlineStr">
        <is>
          <t>Warehouse</t>
        </is>
      </c>
      <c r="E216" s="12">
        <f>IFERROR(INDEX(Tbl_KPIMaster[KPI Name],MATCH($D216,Tbl_KPIMaster[Department],0)),"")</f>
        <v/>
      </c>
      <c r="F216" s="12">
        <f>IFERROR(INDEX(Tbl_KPIMaster[Target],MATCH($D216,Tbl_KPIMaster[Department],0)),"")</f>
        <v/>
      </c>
      <c r="G216" s="12" t="n">
        <v>0.9487</v>
      </c>
      <c r="H216" s="13">
        <f>IFERROR(IF(INDEX(Tbl_KPIMaster[Direction],MATCH($D216,Tbl_KPIMaster[Department],0))="Lower is Better",IF($G216=0,1,IF($F216=0,0,$F216/$G216)),IF($F216=0,1,$G216/$F216)),0)</f>
        <v/>
      </c>
      <c r="I216" s="12">
        <f>IF($H216&gt;=1,"Green",IF($H216&gt;=0.85,"Amber","Red"))</f>
        <v/>
      </c>
      <c r="J216" s="14" t="inlineStr">
        <is>
          <t>Manpower shortage</t>
        </is>
      </c>
    </row>
    <row r="217">
      <c r="A217" s="7" t="n">
        <v>46201</v>
      </c>
      <c r="B217" s="8">
        <f>IF($A217="","",TEXT($A217,"mmm-yyyy"))</f>
        <v/>
      </c>
      <c r="C217" s="8">
        <f>IF($A217="","","W"&amp;WEEKNUM($A217,2))</f>
        <v/>
      </c>
      <c r="D217" s="8" t="inlineStr">
        <is>
          <t>HR</t>
        </is>
      </c>
      <c r="E217" s="8">
        <f>IFERROR(INDEX(Tbl_KPIMaster[KPI Name],MATCH($D217,Tbl_KPIMaster[Department],0)),"")</f>
        <v/>
      </c>
      <c r="F217" s="8">
        <f>IFERROR(INDEX(Tbl_KPIMaster[Target],MATCH($D217,Tbl_KPIMaster[Department],0)),"")</f>
        <v/>
      </c>
      <c r="G217" s="8" t="n">
        <v>0.0303</v>
      </c>
      <c r="H217" s="9">
        <f>IFERROR(IF(INDEX(Tbl_KPIMaster[Direction],MATCH($D217,Tbl_KPIMaster[Department],0))="Lower is Better",IF($G217=0,1,IF($F217=0,0,$F217/$G217)),IF($F217=0,1,$G217/$F217)),0)</f>
        <v/>
      </c>
      <c r="I217" s="8">
        <f>IF($H217&gt;=1,"Green",IF($H217&gt;=0.85,"Amber","Red"))</f>
        <v/>
      </c>
      <c r="J217" s="10" t="inlineStr">
        <is>
          <t>Within normal range</t>
        </is>
      </c>
    </row>
    <row r="218">
      <c r="A218" s="11" t="n">
        <v>46201</v>
      </c>
      <c r="B218" s="12">
        <f>IF($A218="","",TEXT($A218,"mmm-yyyy"))</f>
        <v/>
      </c>
      <c r="C218" s="12">
        <f>IF($A218="","","W"&amp;WEEKNUM($A218,2))</f>
        <v/>
      </c>
      <c r="D218" s="12" t="inlineStr">
        <is>
          <t>Engineering</t>
        </is>
      </c>
      <c r="E218" s="12">
        <f>IFERROR(INDEX(Tbl_KPIMaster[KPI Name],MATCH($D218,Tbl_KPIMaster[Department],0)),"")</f>
        <v/>
      </c>
      <c r="F218" s="12">
        <f>IFERROR(INDEX(Tbl_KPIMaster[Target],MATCH($D218,Tbl_KPIMaster[Department],0)),"")</f>
        <v/>
      </c>
      <c r="G218" s="12" t="n">
        <v>0.9467</v>
      </c>
      <c r="H218" s="13">
        <f>IFERROR(IF(INDEX(Tbl_KPIMaster[Direction],MATCH($D218,Tbl_KPIMaster[Department],0))="Lower is Better",IF($G218=0,1,IF($F218=0,0,$F218/$G218)),IF($F218=0,1,$G218/$F218)),0)</f>
        <v/>
      </c>
      <c r="I218" s="12">
        <f>IF($H218&gt;=1,"Green",IF($H218&gt;=0.85,"Amber","Red"))</f>
        <v/>
      </c>
      <c r="J218" s="14" t="inlineStr">
        <is>
          <t>Process improvement in progress</t>
        </is>
      </c>
    </row>
    <row r="219">
      <c r="A219" s="7" t="n">
        <v>46202</v>
      </c>
      <c r="B219" s="8">
        <f>IF($A219="","",TEXT($A219,"mmm-yyyy"))</f>
        <v/>
      </c>
      <c r="C219" s="8">
        <f>IF($A219="","","W"&amp;WEEKNUM($A219,2))</f>
        <v/>
      </c>
      <c r="D219" s="8" t="inlineStr">
        <is>
          <t>Safety</t>
        </is>
      </c>
      <c r="E219" s="8">
        <f>IFERROR(INDEX(Tbl_KPIMaster[KPI Name],MATCH($D219,Tbl_KPIMaster[Department],0)),"")</f>
        <v/>
      </c>
      <c r="F219" s="8">
        <f>IFERROR(INDEX(Tbl_KPIMaster[Target],MATCH($D219,Tbl_KPIMaster[Department],0)),"")</f>
        <v/>
      </c>
      <c r="G219" s="8" t="n">
        <v>2</v>
      </c>
      <c r="H219" s="9">
        <f>IFERROR(IF(INDEX(Tbl_KPIMaster[Direction],MATCH($D219,Tbl_KPIMaster[Department],0))="Lower is Better",IF($G219=0,1,IF($F219=0,0,$F219/$G219)),IF($F219=0,1,$G219/$F219)),0)</f>
        <v/>
      </c>
      <c r="I219" s="8">
        <f>IF($H219&gt;=1,"Green",IF($H219&gt;=0.85,"Amber","Red"))</f>
        <v/>
      </c>
      <c r="J219" s="10" t="inlineStr">
        <is>
          <t>Vendor delay</t>
        </is>
      </c>
    </row>
    <row r="220">
      <c r="A220" s="11" t="n">
        <v>46202</v>
      </c>
      <c r="B220" s="12">
        <f>IF($A220="","",TEXT($A220,"mmm-yyyy"))</f>
        <v/>
      </c>
      <c r="C220" s="12">
        <f>IF($A220="","","W"&amp;WEEKNUM($A220,2))</f>
        <v/>
      </c>
      <c r="D220" s="12" t="inlineStr">
        <is>
          <t>Production</t>
        </is>
      </c>
      <c r="E220" s="12">
        <f>IFERROR(INDEX(Tbl_KPIMaster[KPI Name],MATCH($D220,Tbl_KPIMaster[Department],0)),"")</f>
        <v/>
      </c>
      <c r="F220" s="12">
        <f>IFERROR(INDEX(Tbl_KPIMaster[Target],MATCH($D220,Tbl_KPIMaster[Department],0)),"")</f>
        <v/>
      </c>
      <c r="G220" s="12" t="n">
        <v>1014.4</v>
      </c>
      <c r="H220" s="13">
        <f>IFERROR(IF(INDEX(Tbl_KPIMaster[Direction],MATCH($D220,Tbl_KPIMaster[Department],0))="Lower is Better",IF($G220=0,1,IF($F220=0,0,$F220/$G220)),IF($F220=0,1,$G220/$F220)),0)</f>
        <v/>
      </c>
      <c r="I220" s="12">
        <f>IF($H220&gt;=1,"Green",IF($H220&gt;=0.85,"Amber","Red"))</f>
        <v/>
      </c>
      <c r="J220" s="14" t="inlineStr">
        <is>
          <t>Process improvement in progress</t>
        </is>
      </c>
    </row>
    <row r="221">
      <c r="A221" s="7" t="n">
        <v>46202</v>
      </c>
      <c r="B221" s="8">
        <f>IF($A221="","",TEXT($A221,"mmm-yyyy"))</f>
        <v/>
      </c>
      <c r="C221" s="8">
        <f>IF($A221="","","W"&amp;WEEKNUM($A221,2))</f>
        <v/>
      </c>
      <c r="D221" s="8" t="inlineStr">
        <is>
          <t>Quality</t>
        </is>
      </c>
      <c r="E221" s="8">
        <f>IFERROR(INDEX(Tbl_KPIMaster[KPI Name],MATCH($D221,Tbl_KPIMaster[Department],0)),"")</f>
        <v/>
      </c>
      <c r="F221" s="8">
        <f>IFERROR(INDEX(Tbl_KPIMaster[Target],MATCH($D221,Tbl_KPIMaster[Department],0)),"")</f>
        <v/>
      </c>
      <c r="G221" s="8" t="n">
        <v>0.0161</v>
      </c>
      <c r="H221" s="9">
        <f>IFERROR(IF(INDEX(Tbl_KPIMaster[Direction],MATCH($D221,Tbl_KPIMaster[Department],0))="Lower is Better",IF($G221=0,1,IF($F221=0,0,$F221/$G221)),IF($F221=0,1,$G221/$F221)),0)</f>
        <v/>
      </c>
      <c r="I221" s="8">
        <f>IF($H221&gt;=1,"Green",IF($H221&gt;=0.85,"Amber","Red"))</f>
        <v/>
      </c>
      <c r="J221" s="10" t="inlineStr">
        <is>
          <t>Line changeover impact</t>
        </is>
      </c>
    </row>
    <row r="222">
      <c r="A222" s="11" t="n">
        <v>46202</v>
      </c>
      <c r="B222" s="12">
        <f>IF($A222="","",TEXT($A222,"mmm-yyyy"))</f>
        <v/>
      </c>
      <c r="C222" s="12">
        <f>IF($A222="","","W"&amp;WEEKNUM($A222,2))</f>
        <v/>
      </c>
      <c r="D222" s="12" t="inlineStr">
        <is>
          <t>Maintenance</t>
        </is>
      </c>
      <c r="E222" s="12">
        <f>IFERROR(INDEX(Tbl_KPIMaster[KPI Name],MATCH($D222,Tbl_KPIMaster[Department],0)),"")</f>
        <v/>
      </c>
      <c r="F222" s="12">
        <f>IFERROR(INDEX(Tbl_KPIMaster[Target],MATCH($D222,Tbl_KPIMaster[Department],0)),"")</f>
        <v/>
      </c>
      <c r="G222" s="12" t="n">
        <v>0.96</v>
      </c>
      <c r="H222" s="13">
        <f>IFERROR(IF(INDEX(Tbl_KPIMaster[Direction],MATCH($D222,Tbl_KPIMaster[Department],0))="Lower is Better",IF($G222=0,1,IF($F222=0,0,$F222/$G222)),IF($F222=0,1,$G222/$F222)),0)</f>
        <v/>
      </c>
      <c r="I222" s="12">
        <f>IF($H222&gt;=1,"Green",IF($H222&gt;=0.85,"Amber","Red"))</f>
        <v/>
      </c>
      <c r="J222" s="14" t="inlineStr">
        <is>
          <t>Line changeover impact</t>
        </is>
      </c>
    </row>
    <row r="223">
      <c r="A223" s="7" t="n">
        <v>46202</v>
      </c>
      <c r="B223" s="8">
        <f>IF($A223="","",TEXT($A223,"mmm-yyyy"))</f>
        <v/>
      </c>
      <c r="C223" s="8">
        <f>IF($A223="","","W"&amp;WEEKNUM($A223,2))</f>
        <v/>
      </c>
      <c r="D223" s="8" t="inlineStr">
        <is>
          <t>Utilities</t>
        </is>
      </c>
      <c r="E223" s="8">
        <f>IFERROR(INDEX(Tbl_KPIMaster[KPI Name],MATCH($D223,Tbl_KPIMaster[Department],0)),"")</f>
        <v/>
      </c>
      <c r="F223" s="8">
        <f>IFERROR(INDEX(Tbl_KPIMaster[Target],MATCH($D223,Tbl_KPIMaster[Department],0)),"")</f>
        <v/>
      </c>
      <c r="G223" s="8" t="n">
        <v>4888.97</v>
      </c>
      <c r="H223" s="9">
        <f>IFERROR(IF(INDEX(Tbl_KPIMaster[Direction],MATCH($D223,Tbl_KPIMaster[Department],0))="Lower is Better",IF($G223=0,1,IF($F223=0,0,$F223/$G223)),IF($F223=0,1,$G223/$F223)),0)</f>
        <v/>
      </c>
      <c r="I223" s="8">
        <f>IF($H223&gt;=1,"Green",IF($H223&gt;=0.85,"Amber","Red"))</f>
        <v/>
      </c>
      <c r="J223" s="10" t="inlineStr">
        <is>
          <t>Process improvement in progress</t>
        </is>
      </c>
    </row>
    <row r="224">
      <c r="A224" s="11" t="n">
        <v>46202</v>
      </c>
      <c r="B224" s="12">
        <f>IF($A224="","",TEXT($A224,"mmm-yyyy"))</f>
        <v/>
      </c>
      <c r="C224" s="12">
        <f>IF($A224="","","W"&amp;WEEKNUM($A224,2))</f>
        <v/>
      </c>
      <c r="D224" s="12" t="inlineStr">
        <is>
          <t>Warehouse</t>
        </is>
      </c>
      <c r="E224" s="12">
        <f>IFERROR(INDEX(Tbl_KPIMaster[KPI Name],MATCH($D224,Tbl_KPIMaster[Department],0)),"")</f>
        <v/>
      </c>
      <c r="F224" s="12">
        <f>IFERROR(INDEX(Tbl_KPIMaster[Target],MATCH($D224,Tbl_KPIMaster[Department],0)),"")</f>
        <v/>
      </c>
      <c r="G224" s="12" t="n">
        <v>0.872</v>
      </c>
      <c r="H224" s="13">
        <f>IFERROR(IF(INDEX(Tbl_KPIMaster[Direction],MATCH($D224,Tbl_KPIMaster[Department],0))="Lower is Better",IF($G224=0,1,IF($F224=0,0,$F224/$G224)),IF($F224=0,1,$G224/$F224)),0)</f>
        <v/>
      </c>
      <c r="I224" s="12">
        <f>IF($H224&gt;=1,"Green",IF($H224&gt;=0.85,"Amber","Red"))</f>
        <v/>
      </c>
      <c r="J224" s="14" t="inlineStr">
        <is>
          <t>Awaiting spares</t>
        </is>
      </c>
    </row>
    <row r="225">
      <c r="A225" s="7" t="n">
        <v>46202</v>
      </c>
      <c r="B225" s="8">
        <f>IF($A225="","",TEXT($A225,"mmm-yyyy"))</f>
        <v/>
      </c>
      <c r="C225" s="8">
        <f>IF($A225="","","W"&amp;WEEKNUM($A225,2))</f>
        <v/>
      </c>
      <c r="D225" s="8" t="inlineStr">
        <is>
          <t>HR</t>
        </is>
      </c>
      <c r="E225" s="8">
        <f>IFERROR(INDEX(Tbl_KPIMaster[KPI Name],MATCH($D225,Tbl_KPIMaster[Department],0)),"")</f>
        <v/>
      </c>
      <c r="F225" s="8">
        <f>IFERROR(INDEX(Tbl_KPIMaster[Target],MATCH($D225,Tbl_KPIMaster[Department],0)),"")</f>
        <v/>
      </c>
      <c r="G225" s="8" t="n">
        <v>0.0334</v>
      </c>
      <c r="H225" s="9">
        <f>IFERROR(IF(INDEX(Tbl_KPIMaster[Direction],MATCH($D225,Tbl_KPIMaster[Department],0))="Lower is Better",IF($G225=0,1,IF($F225=0,0,$F225/$G225)),IF($F225=0,1,$G225/$F225)),0)</f>
        <v/>
      </c>
      <c r="I225" s="8">
        <f>IF($H225&gt;=1,"Green",IF($H225&gt;=0.85,"Amber","Red"))</f>
        <v/>
      </c>
      <c r="J225" s="10" t="inlineStr"/>
    </row>
    <row r="226">
      <c r="A226" s="11" t="n">
        <v>46202</v>
      </c>
      <c r="B226" s="12">
        <f>IF($A226="","",TEXT($A226,"mmm-yyyy"))</f>
        <v/>
      </c>
      <c r="C226" s="12">
        <f>IF($A226="","","W"&amp;WEEKNUM($A226,2))</f>
        <v/>
      </c>
      <c r="D226" s="12" t="inlineStr">
        <is>
          <t>Engineering</t>
        </is>
      </c>
      <c r="E226" s="12">
        <f>IFERROR(INDEX(Tbl_KPIMaster[KPI Name],MATCH($D226,Tbl_KPIMaster[Department],0)),"")</f>
        <v/>
      </c>
      <c r="F226" s="12">
        <f>IFERROR(INDEX(Tbl_KPIMaster[Target],MATCH($D226,Tbl_KPIMaster[Department],0)),"")</f>
        <v/>
      </c>
      <c r="G226" s="12" t="n">
        <v>1.0399</v>
      </c>
      <c r="H226" s="13">
        <f>IFERROR(IF(INDEX(Tbl_KPIMaster[Direction],MATCH($D226,Tbl_KPIMaster[Department],0))="Lower is Better",IF($G226=0,1,IF($F226=0,0,$F226/$G226)),IF($F226=0,1,$G226/$F226)),0)</f>
        <v/>
      </c>
      <c r="I226" s="12">
        <f>IF($H226&gt;=1,"Green",IF($H226&gt;=0.85,"Amber","Red"))</f>
        <v/>
      </c>
      <c r="J226" s="14" t="inlineStr">
        <is>
          <t>Vendor delay</t>
        </is>
      </c>
    </row>
    <row r="227">
      <c r="A227" s="7" t="n">
        <v>46203</v>
      </c>
      <c r="B227" s="8">
        <f>IF($A227="","",TEXT($A227,"mmm-yyyy"))</f>
        <v/>
      </c>
      <c r="C227" s="8">
        <f>IF($A227="","","W"&amp;WEEKNUM($A227,2))</f>
        <v/>
      </c>
      <c r="D227" s="8" t="inlineStr">
        <is>
          <t>Safety</t>
        </is>
      </c>
      <c r="E227" s="8">
        <f>IFERROR(INDEX(Tbl_KPIMaster[KPI Name],MATCH($D227,Tbl_KPIMaster[Department],0)),"")</f>
        <v/>
      </c>
      <c r="F227" s="8">
        <f>IFERROR(INDEX(Tbl_KPIMaster[Target],MATCH($D227,Tbl_KPIMaster[Department],0)),"")</f>
        <v/>
      </c>
      <c r="G227" s="8" t="n">
        <v>3</v>
      </c>
      <c r="H227" s="9">
        <f>IFERROR(IF(INDEX(Tbl_KPIMaster[Direction],MATCH($D227,Tbl_KPIMaster[Department],0))="Lower is Better",IF($G227=0,1,IF($F227=0,0,$F227/$G227)),IF($F227=0,1,$G227/$F227)),0)</f>
        <v/>
      </c>
      <c r="I227" s="8">
        <f>IF($H227&gt;=1,"Green",IF($H227&gt;=0.85,"Amber","Red"))</f>
        <v/>
      </c>
      <c r="J227" s="10" t="inlineStr">
        <is>
          <t>Vendor delay</t>
        </is>
      </c>
    </row>
    <row r="228">
      <c r="A228" s="11" t="n">
        <v>46203</v>
      </c>
      <c r="B228" s="12">
        <f>IF($A228="","",TEXT($A228,"mmm-yyyy"))</f>
        <v/>
      </c>
      <c r="C228" s="12">
        <f>IF($A228="","","W"&amp;WEEKNUM($A228,2))</f>
        <v/>
      </c>
      <c r="D228" s="12" t="inlineStr">
        <is>
          <t>Production</t>
        </is>
      </c>
      <c r="E228" s="12">
        <f>IFERROR(INDEX(Tbl_KPIMaster[KPI Name],MATCH($D228,Tbl_KPIMaster[Department],0)),"")</f>
        <v/>
      </c>
      <c r="F228" s="12">
        <f>IFERROR(INDEX(Tbl_KPIMaster[Target],MATCH($D228,Tbl_KPIMaster[Department],0)),"")</f>
        <v/>
      </c>
      <c r="G228" s="12" t="n">
        <v>782.34</v>
      </c>
      <c r="H228" s="13">
        <f>IFERROR(IF(INDEX(Tbl_KPIMaster[Direction],MATCH($D228,Tbl_KPIMaster[Department],0))="Lower is Better",IF($G228=0,1,IF($F228=0,0,$F228/$G228)),IF($F228=0,1,$G228/$F228)),0)</f>
        <v/>
      </c>
      <c r="I228" s="12">
        <f>IF($H228&gt;=1,"Green",IF($H228&gt;=0.85,"Amber","Red"))</f>
        <v/>
      </c>
      <c r="J228" s="14" t="inlineStr">
        <is>
          <t>Within normal range</t>
        </is>
      </c>
    </row>
    <row r="229">
      <c r="A229" s="7" t="n">
        <v>46203</v>
      </c>
      <c r="B229" s="8">
        <f>IF($A229="","",TEXT($A229,"mmm-yyyy"))</f>
        <v/>
      </c>
      <c r="C229" s="8">
        <f>IF($A229="","","W"&amp;WEEKNUM($A229,2))</f>
        <v/>
      </c>
      <c r="D229" s="8" t="inlineStr">
        <is>
          <t>Quality</t>
        </is>
      </c>
      <c r="E229" s="8">
        <f>IFERROR(INDEX(Tbl_KPIMaster[KPI Name],MATCH($D229,Tbl_KPIMaster[Department],0)),"")</f>
        <v/>
      </c>
      <c r="F229" s="8">
        <f>IFERROR(INDEX(Tbl_KPIMaster[Target],MATCH($D229,Tbl_KPIMaster[Department],0)),"")</f>
        <v/>
      </c>
      <c r="G229" s="8" t="n">
        <v>0.0205</v>
      </c>
      <c r="H229" s="9">
        <f>IFERROR(IF(INDEX(Tbl_KPIMaster[Direction],MATCH($D229,Tbl_KPIMaster[Department],0))="Lower is Better",IF($G229=0,1,IF($F229=0,0,$F229/$G229)),IF($F229=0,1,$G229/$F229)),0)</f>
        <v/>
      </c>
      <c r="I229" s="8">
        <f>IF($H229&gt;=1,"Green",IF($H229&gt;=0.85,"Amber","Red"))</f>
        <v/>
      </c>
      <c r="J229" s="10" t="inlineStr">
        <is>
          <t>Within normal range</t>
        </is>
      </c>
    </row>
    <row r="230">
      <c r="A230" s="11" t="n">
        <v>46203</v>
      </c>
      <c r="B230" s="12">
        <f>IF($A230="","",TEXT($A230,"mmm-yyyy"))</f>
        <v/>
      </c>
      <c r="C230" s="12">
        <f>IF($A230="","","W"&amp;WEEKNUM($A230,2))</f>
        <v/>
      </c>
      <c r="D230" s="12" t="inlineStr">
        <is>
          <t>Maintenance</t>
        </is>
      </c>
      <c r="E230" s="12">
        <f>IFERROR(INDEX(Tbl_KPIMaster[KPI Name],MATCH($D230,Tbl_KPIMaster[Department],0)),"")</f>
        <v/>
      </c>
      <c r="F230" s="12">
        <f>IFERROR(INDEX(Tbl_KPIMaster[Target],MATCH($D230,Tbl_KPIMaster[Department],0)),"")</f>
        <v/>
      </c>
      <c r="G230" s="12" t="n">
        <v>0.9399999999999999</v>
      </c>
      <c r="H230" s="13">
        <f>IFERROR(IF(INDEX(Tbl_KPIMaster[Direction],MATCH($D230,Tbl_KPIMaster[Department],0))="Lower is Better",IF($G230=0,1,IF($F230=0,0,$F230/$G230)),IF($F230=0,1,$G230/$F230)),0)</f>
        <v/>
      </c>
      <c r="I230" s="12">
        <f>IF($H230&gt;=1,"Green",IF($H230&gt;=0.85,"Amber","Red"))</f>
        <v/>
      </c>
      <c r="J230" s="14" t="inlineStr">
        <is>
          <t>Vendor delay</t>
        </is>
      </c>
    </row>
    <row r="231">
      <c r="A231" s="7" t="n">
        <v>46203</v>
      </c>
      <c r="B231" s="8">
        <f>IF($A231="","",TEXT($A231,"mmm-yyyy"))</f>
        <v/>
      </c>
      <c r="C231" s="8">
        <f>IF($A231="","","W"&amp;WEEKNUM($A231,2))</f>
        <v/>
      </c>
      <c r="D231" s="8" t="inlineStr">
        <is>
          <t>Utilities</t>
        </is>
      </c>
      <c r="E231" s="8">
        <f>IFERROR(INDEX(Tbl_KPIMaster[KPI Name],MATCH($D231,Tbl_KPIMaster[Department],0)),"")</f>
        <v/>
      </c>
      <c r="F231" s="8">
        <f>IFERROR(INDEX(Tbl_KPIMaster[Target],MATCH($D231,Tbl_KPIMaster[Department],0)),"")</f>
        <v/>
      </c>
      <c r="G231" s="8" t="n">
        <v>4996.46</v>
      </c>
      <c r="H231" s="9">
        <f>IFERROR(IF(INDEX(Tbl_KPIMaster[Direction],MATCH($D231,Tbl_KPIMaster[Department],0))="Lower is Better",IF($G231=0,1,IF($F231=0,0,$F231/$G231)),IF($F231=0,1,$G231/$F231)),0)</f>
        <v/>
      </c>
      <c r="I231" s="8">
        <f>IF($H231&gt;=1,"Green",IF($H231&gt;=0.85,"Amber","Red"))</f>
        <v/>
      </c>
      <c r="J231" s="10" t="inlineStr">
        <is>
          <t>Process improvement in progress</t>
        </is>
      </c>
    </row>
    <row r="232">
      <c r="A232" s="11" t="n">
        <v>46203</v>
      </c>
      <c r="B232" s="12">
        <f>IF($A232="","",TEXT($A232,"mmm-yyyy"))</f>
        <v/>
      </c>
      <c r="C232" s="12">
        <f>IF($A232="","","W"&amp;WEEKNUM($A232,2))</f>
        <v/>
      </c>
      <c r="D232" s="12" t="inlineStr">
        <is>
          <t>Warehouse</t>
        </is>
      </c>
      <c r="E232" s="12">
        <f>IFERROR(INDEX(Tbl_KPIMaster[KPI Name],MATCH($D232,Tbl_KPIMaster[Department],0)),"")</f>
        <v/>
      </c>
      <c r="F232" s="12">
        <f>IFERROR(INDEX(Tbl_KPIMaster[Target],MATCH($D232,Tbl_KPIMaster[Department],0)),"")</f>
        <v/>
      </c>
      <c r="G232" s="12" t="n">
        <v>0.7726</v>
      </c>
      <c r="H232" s="13">
        <f>IFERROR(IF(INDEX(Tbl_KPIMaster[Direction],MATCH($D232,Tbl_KPIMaster[Department],0))="Lower is Better",IF($G232=0,1,IF($F232=0,0,$F232/$G232)),IF($F232=0,1,$G232/$F232)),0)</f>
        <v/>
      </c>
      <c r="I232" s="12">
        <f>IF($H232&gt;=1,"Green",IF($H232&gt;=0.85,"Amber","Red"))</f>
        <v/>
      </c>
      <c r="J232" s="14" t="inlineStr">
        <is>
          <t>Line changeover impact</t>
        </is>
      </c>
    </row>
    <row r="233">
      <c r="A233" s="7" t="n">
        <v>46203</v>
      </c>
      <c r="B233" s="8">
        <f>IF($A233="","",TEXT($A233,"mmm-yyyy"))</f>
        <v/>
      </c>
      <c r="C233" s="8">
        <f>IF($A233="","","W"&amp;WEEKNUM($A233,2))</f>
        <v/>
      </c>
      <c r="D233" s="8" t="inlineStr">
        <is>
          <t>HR</t>
        </is>
      </c>
      <c r="E233" s="8">
        <f>IFERROR(INDEX(Tbl_KPIMaster[KPI Name],MATCH($D233,Tbl_KPIMaster[Department],0)),"")</f>
        <v/>
      </c>
      <c r="F233" s="8">
        <f>IFERROR(INDEX(Tbl_KPIMaster[Target],MATCH($D233,Tbl_KPIMaster[Department],0)),"")</f>
        <v/>
      </c>
      <c r="G233" s="8" t="n">
        <v>0.0343</v>
      </c>
      <c r="H233" s="9">
        <f>IFERROR(IF(INDEX(Tbl_KPIMaster[Direction],MATCH($D233,Tbl_KPIMaster[Department],0))="Lower is Better",IF($G233=0,1,IF($F233=0,0,$F233/$G233)),IF($F233=0,1,$G233/$F233)),0)</f>
        <v/>
      </c>
      <c r="I233" s="8">
        <f>IF($H233&gt;=1,"Green",IF($H233&gt;=0.85,"Amber","Red"))</f>
        <v/>
      </c>
      <c r="J233" s="10" t="inlineStr">
        <is>
          <t>Awaiting spares</t>
        </is>
      </c>
    </row>
    <row r="234">
      <c r="A234" s="11" t="n">
        <v>46203</v>
      </c>
      <c r="B234" s="12">
        <f>IF($A234="","",TEXT($A234,"mmm-yyyy"))</f>
        <v/>
      </c>
      <c r="C234" s="12">
        <f>IF($A234="","","W"&amp;WEEKNUM($A234,2))</f>
        <v/>
      </c>
      <c r="D234" s="12" t="inlineStr">
        <is>
          <t>Engineering</t>
        </is>
      </c>
      <c r="E234" s="12">
        <f>IFERROR(INDEX(Tbl_KPIMaster[KPI Name],MATCH($D234,Tbl_KPIMaster[Department],0)),"")</f>
        <v/>
      </c>
      <c r="F234" s="12">
        <f>IFERROR(INDEX(Tbl_KPIMaster[Target],MATCH($D234,Tbl_KPIMaster[Department],0)),"")</f>
        <v/>
      </c>
      <c r="G234" s="12" t="n">
        <v>0.7979000000000001</v>
      </c>
      <c r="H234" s="13">
        <f>IFERROR(IF(INDEX(Tbl_KPIMaster[Direction],MATCH($D234,Tbl_KPIMaster[Department],0))="Lower is Better",IF($G234=0,1,IF($F234=0,0,$F234/$G234)),IF($F234=0,1,$G234/$F234)),0)</f>
        <v/>
      </c>
      <c r="I234" s="12">
        <f>IF($H234&gt;=1,"Green",IF($H234&gt;=0.85,"Amber","Red"))</f>
        <v/>
      </c>
      <c r="J234" s="14" t="inlineStr">
        <is>
          <t>Vendor delay</t>
        </is>
      </c>
    </row>
    <row r="235">
      <c r="A235" s="7" t="n">
        <v>46204</v>
      </c>
      <c r="B235" s="8">
        <f>IF($A235="","",TEXT($A235,"mmm-yyyy"))</f>
        <v/>
      </c>
      <c r="C235" s="8">
        <f>IF($A235="","","W"&amp;WEEKNUM($A235,2))</f>
        <v/>
      </c>
      <c r="D235" s="8" t="inlineStr">
        <is>
          <t>Safety</t>
        </is>
      </c>
      <c r="E235" s="8">
        <f>IFERROR(INDEX(Tbl_KPIMaster[KPI Name],MATCH($D235,Tbl_KPIMaster[Department],0)),"")</f>
        <v/>
      </c>
      <c r="F235" s="8">
        <f>IFERROR(INDEX(Tbl_KPIMaster[Target],MATCH($D235,Tbl_KPIMaster[Department],0)),"")</f>
        <v/>
      </c>
      <c r="G235" s="8" t="n">
        <v>1</v>
      </c>
      <c r="H235" s="9">
        <f>IFERROR(IF(INDEX(Tbl_KPIMaster[Direction],MATCH($D235,Tbl_KPIMaster[Department],0))="Lower is Better",IF($G235=0,1,IF($F235=0,0,$F235/$G235)),IF($F235=0,1,$G235/$F235)),0)</f>
        <v/>
      </c>
      <c r="I235" s="8">
        <f>IF($H235&gt;=1,"Green",IF($H235&gt;=0.85,"Amber","Red"))</f>
        <v/>
      </c>
      <c r="J235" s="10" t="inlineStr">
        <is>
          <t>Vendor delay</t>
        </is>
      </c>
    </row>
    <row r="236">
      <c r="A236" s="11" t="n">
        <v>46204</v>
      </c>
      <c r="B236" s="12">
        <f>IF($A236="","",TEXT($A236,"mmm-yyyy"))</f>
        <v/>
      </c>
      <c r="C236" s="12">
        <f>IF($A236="","","W"&amp;WEEKNUM($A236,2))</f>
        <v/>
      </c>
      <c r="D236" s="12" t="inlineStr">
        <is>
          <t>Production</t>
        </is>
      </c>
      <c r="E236" s="12">
        <f>IFERROR(INDEX(Tbl_KPIMaster[KPI Name],MATCH($D236,Tbl_KPIMaster[Department],0)),"")</f>
        <v/>
      </c>
      <c r="F236" s="12">
        <f>IFERROR(INDEX(Tbl_KPIMaster[Target],MATCH($D236,Tbl_KPIMaster[Department],0)),"")</f>
        <v/>
      </c>
      <c r="G236" s="12" t="n">
        <v>1012.48</v>
      </c>
      <c r="H236" s="13">
        <f>IFERROR(IF(INDEX(Tbl_KPIMaster[Direction],MATCH($D236,Tbl_KPIMaster[Department],0))="Lower is Better",IF($G236=0,1,IF($F236=0,0,$F236/$G236)),IF($F236=0,1,$G236/$F236)),0)</f>
        <v/>
      </c>
      <c r="I236" s="12">
        <f>IF($H236&gt;=1,"Green",IF($H236&gt;=0.85,"Amber","Red"))</f>
        <v/>
      </c>
      <c r="J236" s="14" t="inlineStr">
        <is>
          <t>Awaiting spares</t>
        </is>
      </c>
    </row>
    <row r="237">
      <c r="A237" s="7" t="n">
        <v>46204</v>
      </c>
      <c r="B237" s="8">
        <f>IF($A237="","",TEXT($A237,"mmm-yyyy"))</f>
        <v/>
      </c>
      <c r="C237" s="8">
        <f>IF($A237="","","W"&amp;WEEKNUM($A237,2))</f>
        <v/>
      </c>
      <c r="D237" s="8" t="inlineStr">
        <is>
          <t>Quality</t>
        </is>
      </c>
      <c r="E237" s="8">
        <f>IFERROR(INDEX(Tbl_KPIMaster[KPI Name],MATCH($D237,Tbl_KPIMaster[Department],0)),"")</f>
        <v/>
      </c>
      <c r="F237" s="8">
        <f>IFERROR(INDEX(Tbl_KPIMaster[Target],MATCH($D237,Tbl_KPIMaster[Department],0)),"")</f>
        <v/>
      </c>
      <c r="G237" s="8" t="n">
        <v>0.0239</v>
      </c>
      <c r="H237" s="9">
        <f>IFERROR(IF(INDEX(Tbl_KPIMaster[Direction],MATCH($D237,Tbl_KPIMaster[Department],0))="Lower is Better",IF($G237=0,1,IF($F237=0,0,$F237/$G237)),IF($F237=0,1,$G237/$F237)),0)</f>
        <v/>
      </c>
      <c r="I237" s="8">
        <f>IF($H237&gt;=1,"Green",IF($H237&gt;=0.85,"Amber","Red"))</f>
        <v/>
      </c>
      <c r="J237" s="10" t="inlineStr">
        <is>
          <t>Preventive check done</t>
        </is>
      </c>
    </row>
    <row r="238">
      <c r="A238" s="11" t="n">
        <v>46204</v>
      </c>
      <c r="B238" s="12">
        <f>IF($A238="","",TEXT($A238,"mmm-yyyy"))</f>
        <v/>
      </c>
      <c r="C238" s="12">
        <f>IF($A238="","","W"&amp;WEEKNUM($A238,2))</f>
        <v/>
      </c>
      <c r="D238" s="12" t="inlineStr">
        <is>
          <t>Maintenance</t>
        </is>
      </c>
      <c r="E238" s="12">
        <f>IFERROR(INDEX(Tbl_KPIMaster[KPI Name],MATCH($D238,Tbl_KPIMaster[Department],0)),"")</f>
        <v/>
      </c>
      <c r="F238" s="12">
        <f>IFERROR(INDEX(Tbl_KPIMaster[Target],MATCH($D238,Tbl_KPIMaster[Department],0)),"")</f>
        <v/>
      </c>
      <c r="G238" s="12" t="n">
        <v>0.87</v>
      </c>
      <c r="H238" s="13">
        <f>IFERROR(IF(INDEX(Tbl_KPIMaster[Direction],MATCH($D238,Tbl_KPIMaster[Department],0))="Lower is Better",IF($G238=0,1,IF($F238=0,0,$F238/$G238)),IF($F238=0,1,$G238/$F238)),0)</f>
        <v/>
      </c>
      <c r="I238" s="12">
        <f>IF($H238&gt;=1,"Green",IF($H238&gt;=0.85,"Amber","Red"))</f>
        <v/>
      </c>
      <c r="J238" s="14" t="inlineStr">
        <is>
          <t>Vendor delay</t>
        </is>
      </c>
    </row>
    <row r="239">
      <c r="A239" s="7" t="n">
        <v>46204</v>
      </c>
      <c r="B239" s="8">
        <f>IF($A239="","",TEXT($A239,"mmm-yyyy"))</f>
        <v/>
      </c>
      <c r="C239" s="8">
        <f>IF($A239="","","W"&amp;WEEKNUM($A239,2))</f>
        <v/>
      </c>
      <c r="D239" s="8" t="inlineStr">
        <is>
          <t>Utilities</t>
        </is>
      </c>
      <c r="E239" s="8">
        <f>IFERROR(INDEX(Tbl_KPIMaster[KPI Name],MATCH($D239,Tbl_KPIMaster[Department],0)),"")</f>
        <v/>
      </c>
      <c r="F239" s="8">
        <f>IFERROR(INDEX(Tbl_KPIMaster[Target],MATCH($D239,Tbl_KPIMaster[Department],0)),"")</f>
        <v/>
      </c>
      <c r="G239" s="8" t="n">
        <v>4235.82</v>
      </c>
      <c r="H239" s="9">
        <f>IFERROR(IF(INDEX(Tbl_KPIMaster[Direction],MATCH($D239,Tbl_KPIMaster[Department],0))="Lower is Better",IF($G239=0,1,IF($F239=0,0,$F239/$G239)),IF($F239=0,1,$G239/$F239)),0)</f>
        <v/>
      </c>
      <c r="I239" s="8">
        <f>IF($H239&gt;=1,"Green",IF($H239&gt;=0.85,"Amber","Red"))</f>
        <v/>
      </c>
      <c r="J239" s="10" t="inlineStr">
        <is>
          <t>Vendor delay</t>
        </is>
      </c>
    </row>
    <row r="240">
      <c r="A240" s="11" t="n">
        <v>46204</v>
      </c>
      <c r="B240" s="12">
        <f>IF($A240="","",TEXT($A240,"mmm-yyyy"))</f>
        <v/>
      </c>
      <c r="C240" s="12">
        <f>IF($A240="","","W"&amp;WEEKNUM($A240,2))</f>
        <v/>
      </c>
      <c r="D240" s="12" t="inlineStr">
        <is>
          <t>Warehouse</t>
        </is>
      </c>
      <c r="E240" s="12">
        <f>IFERROR(INDEX(Tbl_KPIMaster[KPI Name],MATCH($D240,Tbl_KPIMaster[Department],0)),"")</f>
        <v/>
      </c>
      <c r="F240" s="12">
        <f>IFERROR(INDEX(Tbl_KPIMaster[Target],MATCH($D240,Tbl_KPIMaster[Department],0)),"")</f>
        <v/>
      </c>
      <c r="G240" s="12" t="n">
        <v>0.8302</v>
      </c>
      <c r="H240" s="13">
        <f>IFERROR(IF(INDEX(Tbl_KPIMaster[Direction],MATCH($D240,Tbl_KPIMaster[Department],0))="Lower is Better",IF($G240=0,1,IF($F240=0,0,$F240/$G240)),IF($F240=0,1,$G240/$F240)),0)</f>
        <v/>
      </c>
      <c r="I240" s="12">
        <f>IF($H240&gt;=1,"Green",IF($H240&gt;=0.85,"Amber","Red"))</f>
        <v/>
      </c>
      <c r="J240" s="14" t="inlineStr">
        <is>
          <t>Line changeover impact</t>
        </is>
      </c>
    </row>
    <row r="241">
      <c r="A241" s="7" t="n">
        <v>46204</v>
      </c>
      <c r="B241" s="8">
        <f>IF($A241="","",TEXT($A241,"mmm-yyyy"))</f>
        <v/>
      </c>
      <c r="C241" s="8">
        <f>IF($A241="","","W"&amp;WEEKNUM($A241,2))</f>
        <v/>
      </c>
      <c r="D241" s="8" t="inlineStr">
        <is>
          <t>HR</t>
        </is>
      </c>
      <c r="E241" s="8">
        <f>IFERROR(INDEX(Tbl_KPIMaster[KPI Name],MATCH($D241,Tbl_KPIMaster[Department],0)),"")</f>
        <v/>
      </c>
      <c r="F241" s="8">
        <f>IFERROR(INDEX(Tbl_KPIMaster[Target],MATCH($D241,Tbl_KPIMaster[Department],0)),"")</f>
        <v/>
      </c>
      <c r="G241" s="8" t="n">
        <v>0.03</v>
      </c>
      <c r="H241" s="9">
        <f>IFERROR(IF(INDEX(Tbl_KPIMaster[Direction],MATCH($D241,Tbl_KPIMaster[Department],0))="Lower is Better",IF($G241=0,1,IF($F241=0,0,$F241/$G241)),IF($F241=0,1,$G241/$F241)),0)</f>
        <v/>
      </c>
      <c r="I241" s="8">
        <f>IF($H241&gt;=1,"Green",IF($H241&gt;=0.85,"Amber","Red"))</f>
        <v/>
      </c>
      <c r="J241" s="10" t="inlineStr">
        <is>
          <t>Line changeover impact</t>
        </is>
      </c>
    </row>
    <row r="242">
      <c r="A242" s="11" t="n">
        <v>46204</v>
      </c>
      <c r="B242" s="12">
        <f>IF($A242="","",TEXT($A242,"mmm-yyyy"))</f>
        <v/>
      </c>
      <c r="C242" s="12">
        <f>IF($A242="","","W"&amp;WEEKNUM($A242,2))</f>
        <v/>
      </c>
      <c r="D242" s="12" t="inlineStr">
        <is>
          <t>Engineering</t>
        </is>
      </c>
      <c r="E242" s="12">
        <f>IFERROR(INDEX(Tbl_KPIMaster[KPI Name],MATCH($D242,Tbl_KPIMaster[Department],0)),"")</f>
        <v/>
      </c>
      <c r="F242" s="12">
        <f>IFERROR(INDEX(Tbl_KPIMaster[Target],MATCH($D242,Tbl_KPIMaster[Department],0)),"")</f>
        <v/>
      </c>
      <c r="G242" s="12" t="n">
        <v>0.7723</v>
      </c>
      <c r="H242" s="13">
        <f>IFERROR(IF(INDEX(Tbl_KPIMaster[Direction],MATCH($D242,Tbl_KPIMaster[Department],0))="Lower is Better",IF($G242=0,1,IF($F242=0,0,$F242/$G242)),IF($F242=0,1,$G242/$F242)),0)</f>
        <v/>
      </c>
      <c r="I242" s="12">
        <f>IF($H242&gt;=1,"Green",IF($H242&gt;=0.85,"Amber","Red"))</f>
        <v/>
      </c>
      <c r="J242" s="14" t="inlineStr">
        <is>
          <t>Process improvement in progress</t>
        </is>
      </c>
    </row>
    <row r="243">
      <c r="A243" s="7" t="n">
        <v>46205</v>
      </c>
      <c r="B243" s="8">
        <f>IF($A243="","",TEXT($A243,"mmm-yyyy"))</f>
        <v/>
      </c>
      <c r="C243" s="8">
        <f>IF($A243="","","W"&amp;WEEKNUM($A243,2))</f>
        <v/>
      </c>
      <c r="D243" s="8" t="inlineStr">
        <is>
          <t>Safety</t>
        </is>
      </c>
      <c r="E243" s="8">
        <f>IFERROR(INDEX(Tbl_KPIMaster[KPI Name],MATCH($D243,Tbl_KPIMaster[Department],0)),"")</f>
        <v/>
      </c>
      <c r="F243" s="8">
        <f>IFERROR(INDEX(Tbl_KPIMaster[Target],MATCH($D243,Tbl_KPIMaster[Department],0)),"")</f>
        <v/>
      </c>
      <c r="G243" s="8" t="n">
        <v>1</v>
      </c>
      <c r="H243" s="9">
        <f>IFERROR(IF(INDEX(Tbl_KPIMaster[Direction],MATCH($D243,Tbl_KPIMaster[Department],0))="Lower is Better",IF($G243=0,1,IF($F243=0,0,$F243/$G243)),IF($F243=0,1,$G243/$F243)),0)</f>
        <v/>
      </c>
      <c r="I243" s="8">
        <f>IF($H243&gt;=1,"Green",IF($H243&gt;=0.85,"Amber","Red"))</f>
        <v/>
      </c>
      <c r="J243" s="10" t="inlineStr"/>
    </row>
    <row r="244">
      <c r="A244" s="11" t="n">
        <v>46205</v>
      </c>
      <c r="B244" s="12">
        <f>IF($A244="","",TEXT($A244,"mmm-yyyy"))</f>
        <v/>
      </c>
      <c r="C244" s="12">
        <f>IF($A244="","","W"&amp;WEEKNUM($A244,2))</f>
        <v/>
      </c>
      <c r="D244" s="12" t="inlineStr">
        <is>
          <t>Production</t>
        </is>
      </c>
      <c r="E244" s="12">
        <f>IFERROR(INDEX(Tbl_KPIMaster[KPI Name],MATCH($D244,Tbl_KPIMaster[Department],0)),"")</f>
        <v/>
      </c>
      <c r="F244" s="12">
        <f>IFERROR(INDEX(Tbl_KPIMaster[Target],MATCH($D244,Tbl_KPIMaster[Department],0)),"")</f>
        <v/>
      </c>
      <c r="G244" s="12" t="n">
        <v>1079.05</v>
      </c>
      <c r="H244" s="13">
        <f>IFERROR(IF(INDEX(Tbl_KPIMaster[Direction],MATCH($D244,Tbl_KPIMaster[Department],0))="Lower is Better",IF($G244=0,1,IF($F244=0,0,$F244/$G244)),IF($F244=0,1,$G244/$F244)),0)</f>
        <v/>
      </c>
      <c r="I244" s="12">
        <f>IF($H244&gt;=1,"Green",IF($H244&gt;=0.85,"Amber","Red"))</f>
        <v/>
      </c>
      <c r="J244" s="14" t="inlineStr">
        <is>
          <t>Manpower shortage</t>
        </is>
      </c>
    </row>
    <row r="245">
      <c r="A245" s="7" t="n">
        <v>46205</v>
      </c>
      <c r="B245" s="8">
        <f>IF($A245="","",TEXT($A245,"mmm-yyyy"))</f>
        <v/>
      </c>
      <c r="C245" s="8">
        <f>IF($A245="","","W"&amp;WEEKNUM($A245,2))</f>
        <v/>
      </c>
      <c r="D245" s="8" t="inlineStr">
        <is>
          <t>Quality</t>
        </is>
      </c>
      <c r="E245" s="8">
        <f>IFERROR(INDEX(Tbl_KPIMaster[KPI Name],MATCH($D245,Tbl_KPIMaster[Department],0)),"")</f>
        <v/>
      </c>
      <c r="F245" s="8">
        <f>IFERROR(INDEX(Tbl_KPIMaster[Target],MATCH($D245,Tbl_KPIMaster[Department],0)),"")</f>
        <v/>
      </c>
      <c r="G245" s="8" t="n">
        <v>0.0209</v>
      </c>
      <c r="H245" s="9">
        <f>IFERROR(IF(INDEX(Tbl_KPIMaster[Direction],MATCH($D245,Tbl_KPIMaster[Department],0))="Lower is Better",IF($G245=0,1,IF($F245=0,0,$F245/$G245)),IF($F245=0,1,$G245/$F245)),0)</f>
        <v/>
      </c>
      <c r="I245" s="8">
        <f>IF($H245&gt;=1,"Green",IF($H245&gt;=0.85,"Amber","Red"))</f>
        <v/>
      </c>
      <c r="J245" s="10" t="inlineStr">
        <is>
          <t>Preventive check done</t>
        </is>
      </c>
    </row>
    <row r="246">
      <c r="A246" s="11" t="n">
        <v>46205</v>
      </c>
      <c r="B246" s="12">
        <f>IF($A246="","",TEXT($A246,"mmm-yyyy"))</f>
        <v/>
      </c>
      <c r="C246" s="12">
        <f>IF($A246="","","W"&amp;WEEKNUM($A246,2))</f>
        <v/>
      </c>
      <c r="D246" s="12" t="inlineStr">
        <is>
          <t>Maintenance</t>
        </is>
      </c>
      <c r="E246" s="12">
        <f>IFERROR(INDEX(Tbl_KPIMaster[KPI Name],MATCH($D246,Tbl_KPIMaster[Department],0)),"")</f>
        <v/>
      </c>
      <c r="F246" s="12">
        <f>IFERROR(INDEX(Tbl_KPIMaster[Target],MATCH($D246,Tbl_KPIMaster[Department],0)),"")</f>
        <v/>
      </c>
      <c r="G246" s="12" t="n">
        <v>1.19</v>
      </c>
      <c r="H246" s="13">
        <f>IFERROR(IF(INDEX(Tbl_KPIMaster[Direction],MATCH($D246,Tbl_KPIMaster[Department],0))="Lower is Better",IF($G246=0,1,IF($F246=0,0,$F246/$G246)),IF($F246=0,1,$G246/$F246)),0)</f>
        <v/>
      </c>
      <c r="I246" s="12">
        <f>IF($H246&gt;=1,"Green",IF($H246&gt;=0.85,"Amber","Red"))</f>
        <v/>
      </c>
      <c r="J246" s="14" t="inlineStr">
        <is>
          <t>Vendor delay</t>
        </is>
      </c>
    </row>
    <row r="247">
      <c r="A247" s="7" t="n">
        <v>46205</v>
      </c>
      <c r="B247" s="8">
        <f>IF($A247="","",TEXT($A247,"mmm-yyyy"))</f>
        <v/>
      </c>
      <c r="C247" s="8">
        <f>IF($A247="","","W"&amp;WEEKNUM($A247,2))</f>
        <v/>
      </c>
      <c r="D247" s="8" t="inlineStr">
        <is>
          <t>Utilities</t>
        </is>
      </c>
      <c r="E247" s="8">
        <f>IFERROR(INDEX(Tbl_KPIMaster[KPI Name],MATCH($D247,Tbl_KPIMaster[Department],0)),"")</f>
        <v/>
      </c>
      <c r="F247" s="8">
        <f>IFERROR(INDEX(Tbl_KPIMaster[Target],MATCH($D247,Tbl_KPIMaster[Department],0)),"")</f>
        <v/>
      </c>
      <c r="G247" s="8" t="n">
        <v>5122.95</v>
      </c>
      <c r="H247" s="9">
        <f>IFERROR(IF(INDEX(Tbl_KPIMaster[Direction],MATCH($D247,Tbl_KPIMaster[Department],0))="Lower is Better",IF($G247=0,1,IF($F247=0,0,$F247/$G247)),IF($F247=0,1,$G247/$F247)),0)</f>
        <v/>
      </c>
      <c r="I247" s="8">
        <f>IF($H247&gt;=1,"Green",IF($H247&gt;=0.85,"Amber","Red"))</f>
        <v/>
      </c>
      <c r="J247" s="10" t="inlineStr">
        <is>
          <t>Within normal range</t>
        </is>
      </c>
    </row>
    <row r="248">
      <c r="A248" s="11" t="n">
        <v>46205</v>
      </c>
      <c r="B248" s="12">
        <f>IF($A248="","",TEXT($A248,"mmm-yyyy"))</f>
        <v/>
      </c>
      <c r="C248" s="12">
        <f>IF($A248="","","W"&amp;WEEKNUM($A248,2))</f>
        <v/>
      </c>
      <c r="D248" s="12" t="inlineStr">
        <is>
          <t>Warehouse</t>
        </is>
      </c>
      <c r="E248" s="12">
        <f>IFERROR(INDEX(Tbl_KPIMaster[KPI Name],MATCH($D248,Tbl_KPIMaster[Department],0)),"")</f>
        <v/>
      </c>
      <c r="F248" s="12">
        <f>IFERROR(INDEX(Tbl_KPIMaster[Target],MATCH($D248,Tbl_KPIMaster[Department],0)),"")</f>
        <v/>
      </c>
      <c r="G248" s="12" t="n">
        <v>0.9298</v>
      </c>
      <c r="H248" s="13">
        <f>IFERROR(IF(INDEX(Tbl_KPIMaster[Direction],MATCH($D248,Tbl_KPIMaster[Department],0))="Lower is Better",IF($G248=0,1,IF($F248=0,0,$F248/$G248)),IF($F248=0,1,$G248/$F248)),0)</f>
        <v/>
      </c>
      <c r="I248" s="12">
        <f>IF($H248&gt;=1,"Green",IF($H248&gt;=0.85,"Amber","Red"))</f>
        <v/>
      </c>
      <c r="J248" s="14" t="inlineStr"/>
    </row>
    <row r="249">
      <c r="A249" s="7" t="n">
        <v>46205</v>
      </c>
      <c r="B249" s="8">
        <f>IF($A249="","",TEXT($A249,"mmm-yyyy"))</f>
        <v/>
      </c>
      <c r="C249" s="8">
        <f>IF($A249="","","W"&amp;WEEKNUM($A249,2))</f>
        <v/>
      </c>
      <c r="D249" s="8" t="inlineStr">
        <is>
          <t>HR</t>
        </is>
      </c>
      <c r="E249" s="8">
        <f>IFERROR(INDEX(Tbl_KPIMaster[KPI Name],MATCH($D249,Tbl_KPIMaster[Department],0)),"")</f>
        <v/>
      </c>
      <c r="F249" s="8">
        <f>IFERROR(INDEX(Tbl_KPIMaster[Target],MATCH($D249,Tbl_KPIMaster[Department],0)),"")</f>
        <v/>
      </c>
      <c r="G249" s="8" t="n">
        <v>0.0275</v>
      </c>
      <c r="H249" s="9">
        <f>IFERROR(IF(INDEX(Tbl_KPIMaster[Direction],MATCH($D249,Tbl_KPIMaster[Department],0))="Lower is Better",IF($G249=0,1,IF($F249=0,0,$F249/$G249)),IF($F249=0,1,$G249/$F249)),0)</f>
        <v/>
      </c>
      <c r="I249" s="8">
        <f>IF($H249&gt;=1,"Green",IF($H249&gt;=0.85,"Amber","Red"))</f>
        <v/>
      </c>
      <c r="J249" s="10" t="inlineStr">
        <is>
          <t>Awaiting spares</t>
        </is>
      </c>
    </row>
    <row r="250">
      <c r="A250" s="11" t="n">
        <v>46205</v>
      </c>
      <c r="B250" s="12">
        <f>IF($A250="","",TEXT($A250,"mmm-yyyy"))</f>
        <v/>
      </c>
      <c r="C250" s="12">
        <f>IF($A250="","","W"&amp;WEEKNUM($A250,2))</f>
        <v/>
      </c>
      <c r="D250" s="12" t="inlineStr">
        <is>
          <t>Engineering</t>
        </is>
      </c>
      <c r="E250" s="12">
        <f>IFERROR(INDEX(Tbl_KPIMaster[KPI Name],MATCH($D250,Tbl_KPIMaster[Department],0)),"")</f>
        <v/>
      </c>
      <c r="F250" s="12">
        <f>IFERROR(INDEX(Tbl_KPIMaster[Target],MATCH($D250,Tbl_KPIMaster[Department],0)),"")</f>
        <v/>
      </c>
      <c r="G250" s="12" t="n">
        <v>0.7314000000000001</v>
      </c>
      <c r="H250" s="13">
        <f>IFERROR(IF(INDEX(Tbl_KPIMaster[Direction],MATCH($D250,Tbl_KPIMaster[Department],0))="Lower is Better",IF($G250=0,1,IF($F250=0,0,$F250/$G250)),IF($F250=0,1,$G250/$F250)),0)</f>
        <v/>
      </c>
      <c r="I250" s="12">
        <f>IF($H250&gt;=1,"Green",IF($H250&gt;=0.85,"Amber","Red"))</f>
        <v/>
      </c>
      <c r="J250" s="14" t="inlineStr">
        <is>
          <t>Within normal range</t>
        </is>
      </c>
    </row>
    <row r="251">
      <c r="A251" s="7" t="n">
        <v>46206</v>
      </c>
      <c r="B251" s="8">
        <f>IF($A251="","",TEXT($A251,"mmm-yyyy"))</f>
        <v/>
      </c>
      <c r="C251" s="8">
        <f>IF($A251="","","W"&amp;WEEKNUM($A251,2))</f>
        <v/>
      </c>
      <c r="D251" s="8" t="inlineStr">
        <is>
          <t>Safety</t>
        </is>
      </c>
      <c r="E251" s="8">
        <f>IFERROR(INDEX(Tbl_KPIMaster[KPI Name],MATCH($D251,Tbl_KPIMaster[Department],0)),"")</f>
        <v/>
      </c>
      <c r="F251" s="8">
        <f>IFERROR(INDEX(Tbl_KPIMaster[Target],MATCH($D251,Tbl_KPIMaster[Department],0)),"")</f>
        <v/>
      </c>
      <c r="G251" s="8" t="n">
        <v>0</v>
      </c>
      <c r="H251" s="9">
        <f>IFERROR(IF(INDEX(Tbl_KPIMaster[Direction],MATCH($D251,Tbl_KPIMaster[Department],0))="Lower is Better",IF($G251=0,1,IF($F251=0,0,$F251/$G251)),IF($F251=0,1,$G251/$F251)),0)</f>
        <v/>
      </c>
      <c r="I251" s="8">
        <f>IF($H251&gt;=1,"Green",IF($H251&gt;=0.85,"Amber","Red"))</f>
        <v/>
      </c>
      <c r="J251" s="10" t="inlineStr">
        <is>
          <t>Process improvement in progress</t>
        </is>
      </c>
    </row>
    <row r="252">
      <c r="A252" s="11" t="n">
        <v>46206</v>
      </c>
      <c r="B252" s="12">
        <f>IF($A252="","",TEXT($A252,"mmm-yyyy"))</f>
        <v/>
      </c>
      <c r="C252" s="12">
        <f>IF($A252="","","W"&amp;WEEKNUM($A252,2))</f>
        <v/>
      </c>
      <c r="D252" s="12" t="inlineStr">
        <is>
          <t>Production</t>
        </is>
      </c>
      <c r="E252" s="12">
        <f>IFERROR(INDEX(Tbl_KPIMaster[KPI Name],MATCH($D252,Tbl_KPIMaster[Department],0)),"")</f>
        <v/>
      </c>
      <c r="F252" s="12">
        <f>IFERROR(INDEX(Tbl_KPIMaster[Target],MATCH($D252,Tbl_KPIMaster[Department],0)),"")</f>
        <v/>
      </c>
      <c r="G252" s="12" t="n">
        <v>1031.7</v>
      </c>
      <c r="H252" s="13">
        <f>IFERROR(IF(INDEX(Tbl_KPIMaster[Direction],MATCH($D252,Tbl_KPIMaster[Department],0))="Lower is Better",IF($G252=0,1,IF($F252=0,0,$F252/$G252)),IF($F252=0,1,$G252/$F252)),0)</f>
        <v/>
      </c>
      <c r="I252" s="12">
        <f>IF($H252&gt;=1,"Green",IF($H252&gt;=0.85,"Amber","Red"))</f>
        <v/>
      </c>
      <c r="J252" s="14" t="inlineStr">
        <is>
          <t>Line changeover impact</t>
        </is>
      </c>
    </row>
    <row r="253">
      <c r="A253" s="7" t="n">
        <v>46206</v>
      </c>
      <c r="B253" s="8">
        <f>IF($A253="","",TEXT($A253,"mmm-yyyy"))</f>
        <v/>
      </c>
      <c r="C253" s="8">
        <f>IF($A253="","","W"&amp;WEEKNUM($A253,2))</f>
        <v/>
      </c>
      <c r="D253" s="8" t="inlineStr">
        <is>
          <t>Quality</t>
        </is>
      </c>
      <c r="E253" s="8">
        <f>IFERROR(INDEX(Tbl_KPIMaster[KPI Name],MATCH($D253,Tbl_KPIMaster[Department],0)),"")</f>
        <v/>
      </c>
      <c r="F253" s="8">
        <f>IFERROR(INDEX(Tbl_KPIMaster[Target],MATCH($D253,Tbl_KPIMaster[Department],0)),"")</f>
        <v/>
      </c>
      <c r="G253" s="8" t="n">
        <v>0.019</v>
      </c>
      <c r="H253" s="9">
        <f>IFERROR(IF(INDEX(Tbl_KPIMaster[Direction],MATCH($D253,Tbl_KPIMaster[Department],0))="Lower is Better",IF($G253=0,1,IF($F253=0,0,$F253/$G253)),IF($F253=0,1,$G253/$F253)),0)</f>
        <v/>
      </c>
      <c r="I253" s="8">
        <f>IF($H253&gt;=1,"Green",IF($H253&gt;=0.85,"Amber","Red"))</f>
        <v/>
      </c>
      <c r="J253" s="10" t="inlineStr">
        <is>
          <t>Vendor delay</t>
        </is>
      </c>
    </row>
    <row r="254">
      <c r="A254" s="11" t="n">
        <v>46206</v>
      </c>
      <c r="B254" s="12">
        <f>IF($A254="","",TEXT($A254,"mmm-yyyy"))</f>
        <v/>
      </c>
      <c r="C254" s="12">
        <f>IF($A254="","","W"&amp;WEEKNUM($A254,2))</f>
        <v/>
      </c>
      <c r="D254" s="12" t="inlineStr">
        <is>
          <t>Maintenance</t>
        </is>
      </c>
      <c r="E254" s="12">
        <f>IFERROR(INDEX(Tbl_KPIMaster[KPI Name],MATCH($D254,Tbl_KPIMaster[Department],0)),"")</f>
        <v/>
      </c>
      <c r="F254" s="12">
        <f>IFERROR(INDEX(Tbl_KPIMaster[Target],MATCH($D254,Tbl_KPIMaster[Department],0)),"")</f>
        <v/>
      </c>
      <c r="G254" s="12" t="n">
        <v>1.37</v>
      </c>
      <c r="H254" s="13">
        <f>IFERROR(IF(INDEX(Tbl_KPIMaster[Direction],MATCH($D254,Tbl_KPIMaster[Department],0))="Lower is Better",IF($G254=0,1,IF($F254=0,0,$F254/$G254)),IF($F254=0,1,$G254/$F254)),0)</f>
        <v/>
      </c>
      <c r="I254" s="12">
        <f>IF($H254&gt;=1,"Green",IF($H254&gt;=0.85,"Amber","Red"))</f>
        <v/>
      </c>
      <c r="J254" s="14" t="inlineStr">
        <is>
          <t>Manpower shortage</t>
        </is>
      </c>
    </row>
    <row r="255">
      <c r="A255" s="7" t="n">
        <v>46206</v>
      </c>
      <c r="B255" s="8">
        <f>IF($A255="","",TEXT($A255,"mmm-yyyy"))</f>
        <v/>
      </c>
      <c r="C255" s="8">
        <f>IF($A255="","","W"&amp;WEEKNUM($A255,2))</f>
        <v/>
      </c>
      <c r="D255" s="8" t="inlineStr">
        <is>
          <t>Utilities</t>
        </is>
      </c>
      <c r="E255" s="8">
        <f>IFERROR(INDEX(Tbl_KPIMaster[KPI Name],MATCH($D255,Tbl_KPIMaster[Department],0)),"")</f>
        <v/>
      </c>
      <c r="F255" s="8">
        <f>IFERROR(INDEX(Tbl_KPIMaster[Target],MATCH($D255,Tbl_KPIMaster[Department],0)),"")</f>
        <v/>
      </c>
      <c r="G255" s="8" t="n">
        <v>4737.21</v>
      </c>
      <c r="H255" s="9">
        <f>IFERROR(IF(INDEX(Tbl_KPIMaster[Direction],MATCH($D255,Tbl_KPIMaster[Department],0))="Lower is Better",IF($G255=0,1,IF($F255=0,0,$F255/$G255)),IF($F255=0,1,$G255/$F255)),0)</f>
        <v/>
      </c>
      <c r="I255" s="8">
        <f>IF($H255&gt;=1,"Green",IF($H255&gt;=0.85,"Amber","Red"))</f>
        <v/>
      </c>
      <c r="J255" s="10" t="inlineStr">
        <is>
          <t>Process improvement in progress</t>
        </is>
      </c>
    </row>
    <row r="256">
      <c r="A256" s="11" t="n">
        <v>46206</v>
      </c>
      <c r="B256" s="12">
        <f>IF($A256="","",TEXT($A256,"mmm-yyyy"))</f>
        <v/>
      </c>
      <c r="C256" s="12">
        <f>IF($A256="","","W"&amp;WEEKNUM($A256,2))</f>
        <v/>
      </c>
      <c r="D256" s="12" t="inlineStr">
        <is>
          <t>Warehouse</t>
        </is>
      </c>
      <c r="E256" s="12">
        <f>IFERROR(INDEX(Tbl_KPIMaster[KPI Name],MATCH($D256,Tbl_KPIMaster[Department],0)),"")</f>
        <v/>
      </c>
      <c r="F256" s="12">
        <f>IFERROR(INDEX(Tbl_KPIMaster[Target],MATCH($D256,Tbl_KPIMaster[Department],0)),"")</f>
        <v/>
      </c>
      <c r="G256" s="12" t="n">
        <v>1.119</v>
      </c>
      <c r="H256" s="13">
        <f>IFERROR(IF(INDEX(Tbl_KPIMaster[Direction],MATCH($D256,Tbl_KPIMaster[Department],0))="Lower is Better",IF($G256=0,1,IF($F256=0,0,$F256/$G256)),IF($F256=0,1,$G256/$F256)),0)</f>
        <v/>
      </c>
      <c r="I256" s="12">
        <f>IF($H256&gt;=1,"Green",IF($H256&gt;=0.85,"Amber","Red"))</f>
        <v/>
      </c>
      <c r="J256" s="14" t="inlineStr">
        <is>
          <t>Manpower shortage</t>
        </is>
      </c>
    </row>
    <row r="257">
      <c r="A257" s="7" t="n">
        <v>46206</v>
      </c>
      <c r="B257" s="8">
        <f>IF($A257="","",TEXT($A257,"mmm-yyyy"))</f>
        <v/>
      </c>
      <c r="C257" s="8">
        <f>IF($A257="","","W"&amp;WEEKNUM($A257,2))</f>
        <v/>
      </c>
      <c r="D257" s="8" t="inlineStr">
        <is>
          <t>HR</t>
        </is>
      </c>
      <c r="E257" s="8">
        <f>IFERROR(INDEX(Tbl_KPIMaster[KPI Name],MATCH($D257,Tbl_KPIMaster[Department],0)),"")</f>
        <v/>
      </c>
      <c r="F257" s="8">
        <f>IFERROR(INDEX(Tbl_KPIMaster[Target],MATCH($D257,Tbl_KPIMaster[Department],0)),"")</f>
        <v/>
      </c>
      <c r="G257" s="8" t="n">
        <v>0.0289</v>
      </c>
      <c r="H257" s="9">
        <f>IFERROR(IF(INDEX(Tbl_KPIMaster[Direction],MATCH($D257,Tbl_KPIMaster[Department],0))="Lower is Better",IF($G257=0,1,IF($F257=0,0,$F257/$G257)),IF($F257=0,1,$G257/$F257)),0)</f>
        <v/>
      </c>
      <c r="I257" s="8">
        <f>IF($H257&gt;=1,"Green",IF($H257&gt;=0.85,"Amber","Red"))</f>
        <v/>
      </c>
      <c r="J257" s="10" t="inlineStr"/>
    </row>
    <row r="258">
      <c r="A258" s="11" t="n">
        <v>46206</v>
      </c>
      <c r="B258" s="12">
        <f>IF($A258="","",TEXT($A258,"mmm-yyyy"))</f>
        <v/>
      </c>
      <c r="C258" s="12">
        <f>IF($A258="","","W"&amp;WEEKNUM($A258,2))</f>
        <v/>
      </c>
      <c r="D258" s="12" t="inlineStr">
        <is>
          <t>Engineering</t>
        </is>
      </c>
      <c r="E258" s="12">
        <f>IFERROR(INDEX(Tbl_KPIMaster[KPI Name],MATCH($D258,Tbl_KPIMaster[Department],0)),"")</f>
        <v/>
      </c>
      <c r="F258" s="12">
        <f>IFERROR(INDEX(Tbl_KPIMaster[Target],MATCH($D258,Tbl_KPIMaster[Department],0)),"")</f>
        <v/>
      </c>
      <c r="G258" s="12" t="n">
        <v>1.0259</v>
      </c>
      <c r="H258" s="13">
        <f>IFERROR(IF(INDEX(Tbl_KPIMaster[Direction],MATCH($D258,Tbl_KPIMaster[Department],0))="Lower is Better",IF($G258=0,1,IF($F258=0,0,$F258/$G258)),IF($F258=0,1,$G258/$F258)),0)</f>
        <v/>
      </c>
      <c r="I258" s="12">
        <f>IF($H258&gt;=1,"Green",IF($H258&gt;=0.85,"Amber","Red"))</f>
        <v/>
      </c>
      <c r="J258" s="14" t="inlineStr">
        <is>
          <t>Vendor delay</t>
        </is>
      </c>
    </row>
    <row r="259">
      <c r="A259" s="7" t="n">
        <v>46207</v>
      </c>
      <c r="B259" s="8">
        <f>IF($A259="","",TEXT($A259,"mmm-yyyy"))</f>
        <v/>
      </c>
      <c r="C259" s="8">
        <f>IF($A259="","","W"&amp;WEEKNUM($A259,2))</f>
        <v/>
      </c>
      <c r="D259" s="8" t="inlineStr">
        <is>
          <t>Safety</t>
        </is>
      </c>
      <c r="E259" s="8">
        <f>IFERROR(INDEX(Tbl_KPIMaster[KPI Name],MATCH($D259,Tbl_KPIMaster[Department],0)),"")</f>
        <v/>
      </c>
      <c r="F259" s="8">
        <f>IFERROR(INDEX(Tbl_KPIMaster[Target],MATCH($D259,Tbl_KPIMaster[Department],0)),"")</f>
        <v/>
      </c>
      <c r="G259" s="8" t="n">
        <v>2</v>
      </c>
      <c r="H259" s="9">
        <f>IFERROR(IF(INDEX(Tbl_KPIMaster[Direction],MATCH($D259,Tbl_KPIMaster[Department],0))="Lower is Better",IF($G259=0,1,IF($F259=0,0,$F259/$G259)),IF($F259=0,1,$G259/$F259)),0)</f>
        <v/>
      </c>
      <c r="I259" s="8">
        <f>IF($H259&gt;=1,"Green",IF($H259&gt;=0.85,"Amber","Red"))</f>
        <v/>
      </c>
      <c r="J259" s="10" t="inlineStr">
        <is>
          <t>Manpower shortage</t>
        </is>
      </c>
    </row>
    <row r="260">
      <c r="A260" s="11" t="n">
        <v>46207</v>
      </c>
      <c r="B260" s="12">
        <f>IF($A260="","",TEXT($A260,"mmm-yyyy"))</f>
        <v/>
      </c>
      <c r="C260" s="12">
        <f>IF($A260="","","W"&amp;WEEKNUM($A260,2))</f>
        <v/>
      </c>
      <c r="D260" s="12" t="inlineStr">
        <is>
          <t>Production</t>
        </is>
      </c>
      <c r="E260" s="12">
        <f>IFERROR(INDEX(Tbl_KPIMaster[KPI Name],MATCH($D260,Tbl_KPIMaster[Department],0)),"")</f>
        <v/>
      </c>
      <c r="F260" s="12">
        <f>IFERROR(INDEX(Tbl_KPIMaster[Target],MATCH($D260,Tbl_KPIMaster[Department],0)),"")</f>
        <v/>
      </c>
      <c r="G260" s="12" t="n">
        <v>1172.16</v>
      </c>
      <c r="H260" s="13">
        <f>IFERROR(IF(INDEX(Tbl_KPIMaster[Direction],MATCH($D260,Tbl_KPIMaster[Department],0))="Lower is Better",IF($G260=0,1,IF($F260=0,0,$F260/$G260)),IF($F260=0,1,$G260/$F260)),0)</f>
        <v/>
      </c>
      <c r="I260" s="12">
        <f>IF($H260&gt;=1,"Green",IF($H260&gt;=0.85,"Amber","Red"))</f>
        <v/>
      </c>
      <c r="J260" s="14" t="inlineStr">
        <is>
          <t>Within normal range</t>
        </is>
      </c>
    </row>
    <row r="261">
      <c r="A261" s="7" t="n">
        <v>46207</v>
      </c>
      <c r="B261" s="8">
        <f>IF($A261="","",TEXT($A261,"mmm-yyyy"))</f>
        <v/>
      </c>
      <c r="C261" s="8">
        <f>IF($A261="","","W"&amp;WEEKNUM($A261,2))</f>
        <v/>
      </c>
      <c r="D261" s="8" t="inlineStr">
        <is>
          <t>Quality</t>
        </is>
      </c>
      <c r="E261" s="8">
        <f>IFERROR(INDEX(Tbl_KPIMaster[KPI Name],MATCH($D261,Tbl_KPIMaster[Department],0)),"")</f>
        <v/>
      </c>
      <c r="F261" s="8">
        <f>IFERROR(INDEX(Tbl_KPIMaster[Target],MATCH($D261,Tbl_KPIMaster[Department],0)),"")</f>
        <v/>
      </c>
      <c r="G261" s="8" t="n">
        <v>0.0204</v>
      </c>
      <c r="H261" s="9">
        <f>IFERROR(IF(INDEX(Tbl_KPIMaster[Direction],MATCH($D261,Tbl_KPIMaster[Department],0))="Lower is Better",IF($G261=0,1,IF($F261=0,0,$F261/$G261)),IF($F261=0,1,$G261/$F261)),0)</f>
        <v/>
      </c>
      <c r="I261" s="8">
        <f>IF($H261&gt;=1,"Green",IF($H261&gt;=0.85,"Amber","Red"))</f>
        <v/>
      </c>
      <c r="J261" s="10" t="inlineStr">
        <is>
          <t>Process improvement in progress</t>
        </is>
      </c>
    </row>
    <row r="262">
      <c r="A262" s="11" t="n">
        <v>46207</v>
      </c>
      <c r="B262" s="12">
        <f>IF($A262="","",TEXT($A262,"mmm-yyyy"))</f>
        <v/>
      </c>
      <c r="C262" s="12">
        <f>IF($A262="","","W"&amp;WEEKNUM($A262,2))</f>
        <v/>
      </c>
      <c r="D262" s="12" t="inlineStr">
        <is>
          <t>Maintenance</t>
        </is>
      </c>
      <c r="E262" s="12">
        <f>IFERROR(INDEX(Tbl_KPIMaster[KPI Name],MATCH($D262,Tbl_KPIMaster[Department],0)),"")</f>
        <v/>
      </c>
      <c r="F262" s="12">
        <f>IFERROR(INDEX(Tbl_KPIMaster[Target],MATCH($D262,Tbl_KPIMaster[Department],0)),"")</f>
        <v/>
      </c>
      <c r="G262" s="12" t="n">
        <v>0.99</v>
      </c>
      <c r="H262" s="13">
        <f>IFERROR(IF(INDEX(Tbl_KPIMaster[Direction],MATCH($D262,Tbl_KPIMaster[Department],0))="Lower is Better",IF($G262=0,1,IF($F262=0,0,$F262/$G262)),IF($F262=0,1,$G262/$F262)),0)</f>
        <v/>
      </c>
      <c r="I262" s="12">
        <f>IF($H262&gt;=1,"Green",IF($H262&gt;=0.85,"Amber","Red"))</f>
        <v/>
      </c>
      <c r="J262" s="14" t="inlineStr">
        <is>
          <t>Vendor delay</t>
        </is>
      </c>
    </row>
    <row r="263">
      <c r="A263" s="7" t="n">
        <v>46207</v>
      </c>
      <c r="B263" s="8">
        <f>IF($A263="","",TEXT($A263,"mmm-yyyy"))</f>
        <v/>
      </c>
      <c r="C263" s="8">
        <f>IF($A263="","","W"&amp;WEEKNUM($A263,2))</f>
        <v/>
      </c>
      <c r="D263" s="8" t="inlineStr">
        <is>
          <t>Utilities</t>
        </is>
      </c>
      <c r="E263" s="8">
        <f>IFERROR(INDEX(Tbl_KPIMaster[KPI Name],MATCH($D263,Tbl_KPIMaster[Department],0)),"")</f>
        <v/>
      </c>
      <c r="F263" s="8">
        <f>IFERROR(INDEX(Tbl_KPIMaster[Target],MATCH($D263,Tbl_KPIMaster[Department],0)),"")</f>
        <v/>
      </c>
      <c r="G263" s="8" t="n">
        <v>5078.18</v>
      </c>
      <c r="H263" s="9">
        <f>IFERROR(IF(INDEX(Tbl_KPIMaster[Direction],MATCH($D263,Tbl_KPIMaster[Department],0))="Lower is Better",IF($G263=0,1,IF($F263=0,0,$F263/$G263)),IF($F263=0,1,$G263/$F263)),0)</f>
        <v/>
      </c>
      <c r="I263" s="8">
        <f>IF($H263&gt;=1,"Green",IF($H263&gt;=0.85,"Amber","Red"))</f>
        <v/>
      </c>
      <c r="J263" s="10" t="inlineStr">
        <is>
          <t>Process improvement in progress</t>
        </is>
      </c>
    </row>
    <row r="264">
      <c r="A264" s="11" t="n">
        <v>46207</v>
      </c>
      <c r="B264" s="12">
        <f>IF($A264="","",TEXT($A264,"mmm-yyyy"))</f>
        <v/>
      </c>
      <c r="C264" s="12">
        <f>IF($A264="","","W"&amp;WEEKNUM($A264,2))</f>
        <v/>
      </c>
      <c r="D264" s="12" t="inlineStr">
        <is>
          <t>Warehouse</t>
        </is>
      </c>
      <c r="E264" s="12">
        <f>IFERROR(INDEX(Tbl_KPIMaster[KPI Name],MATCH($D264,Tbl_KPIMaster[Department],0)),"")</f>
        <v/>
      </c>
      <c r="F264" s="12">
        <f>IFERROR(INDEX(Tbl_KPIMaster[Target],MATCH($D264,Tbl_KPIMaster[Department],0)),"")</f>
        <v/>
      </c>
      <c r="G264" s="12" t="n">
        <v>0.9252</v>
      </c>
      <c r="H264" s="13">
        <f>IFERROR(IF(INDEX(Tbl_KPIMaster[Direction],MATCH($D264,Tbl_KPIMaster[Department],0))="Lower is Better",IF($G264=0,1,IF($F264=0,0,$F264/$G264)),IF($F264=0,1,$G264/$F264)),0)</f>
        <v/>
      </c>
      <c r="I264" s="12">
        <f>IF($H264&gt;=1,"Green",IF($H264&gt;=0.85,"Amber","Red"))</f>
        <v/>
      </c>
      <c r="J264" s="14" t="inlineStr">
        <is>
          <t>Awaiting spares</t>
        </is>
      </c>
    </row>
    <row r="265">
      <c r="A265" s="7" t="n">
        <v>46207</v>
      </c>
      <c r="B265" s="8">
        <f>IF($A265="","",TEXT($A265,"mmm-yyyy"))</f>
        <v/>
      </c>
      <c r="C265" s="8">
        <f>IF($A265="","","W"&amp;WEEKNUM($A265,2))</f>
        <v/>
      </c>
      <c r="D265" s="8" t="inlineStr">
        <is>
          <t>HR</t>
        </is>
      </c>
      <c r="E265" s="8">
        <f>IFERROR(INDEX(Tbl_KPIMaster[KPI Name],MATCH($D265,Tbl_KPIMaster[Department],0)),"")</f>
        <v/>
      </c>
      <c r="F265" s="8">
        <f>IFERROR(INDEX(Tbl_KPIMaster[Target],MATCH($D265,Tbl_KPIMaster[Department],0)),"")</f>
        <v/>
      </c>
      <c r="G265" s="8" t="n">
        <v>0.0323</v>
      </c>
      <c r="H265" s="9">
        <f>IFERROR(IF(INDEX(Tbl_KPIMaster[Direction],MATCH($D265,Tbl_KPIMaster[Department],0))="Lower is Better",IF($G265=0,1,IF($F265=0,0,$F265/$G265)),IF($F265=0,1,$G265/$F265)),0)</f>
        <v/>
      </c>
      <c r="I265" s="8">
        <f>IF($H265&gt;=1,"Green",IF($H265&gt;=0.85,"Amber","Red"))</f>
        <v/>
      </c>
      <c r="J265" s="10" t="inlineStr">
        <is>
          <t>Line changeover impact</t>
        </is>
      </c>
    </row>
    <row r="266">
      <c r="A266" s="11" t="n">
        <v>46207</v>
      </c>
      <c r="B266" s="12">
        <f>IF($A266="","",TEXT($A266,"mmm-yyyy"))</f>
        <v/>
      </c>
      <c r="C266" s="12">
        <f>IF($A266="","","W"&amp;WEEKNUM($A266,2))</f>
        <v/>
      </c>
      <c r="D266" s="12" t="inlineStr">
        <is>
          <t>Engineering</t>
        </is>
      </c>
      <c r="E266" s="12">
        <f>IFERROR(INDEX(Tbl_KPIMaster[KPI Name],MATCH($D266,Tbl_KPIMaster[Department],0)),"")</f>
        <v/>
      </c>
      <c r="F266" s="12">
        <f>IFERROR(INDEX(Tbl_KPIMaster[Target],MATCH($D266,Tbl_KPIMaster[Department],0)),"")</f>
        <v/>
      </c>
      <c r="G266" s="12" t="n">
        <v>0.8751</v>
      </c>
      <c r="H266" s="13">
        <f>IFERROR(IF(INDEX(Tbl_KPIMaster[Direction],MATCH($D266,Tbl_KPIMaster[Department],0))="Lower is Better",IF($G266=0,1,IF($F266=0,0,$F266/$G266)),IF($F266=0,1,$G266/$F266)),0)</f>
        <v/>
      </c>
      <c r="I266" s="12">
        <f>IF($H266&gt;=1,"Green",IF($H266&gt;=0.85,"Amber","Red"))</f>
        <v/>
      </c>
      <c r="J266" s="14" t="inlineStr">
        <is>
          <t>Vendor delay</t>
        </is>
      </c>
    </row>
    <row r="267">
      <c r="A267" s="7" t="n">
        <v>46208</v>
      </c>
      <c r="B267" s="8">
        <f>IF($A267="","",TEXT($A267,"mmm-yyyy"))</f>
        <v/>
      </c>
      <c r="C267" s="8">
        <f>IF($A267="","","W"&amp;WEEKNUM($A267,2))</f>
        <v/>
      </c>
      <c r="D267" s="8" t="inlineStr">
        <is>
          <t>Safety</t>
        </is>
      </c>
      <c r="E267" s="8">
        <f>IFERROR(INDEX(Tbl_KPIMaster[KPI Name],MATCH($D267,Tbl_KPIMaster[Department],0)),"")</f>
        <v/>
      </c>
      <c r="F267" s="8">
        <f>IFERROR(INDEX(Tbl_KPIMaster[Target],MATCH($D267,Tbl_KPIMaster[Department],0)),"")</f>
        <v/>
      </c>
      <c r="G267" s="8" t="n">
        <v>0</v>
      </c>
      <c r="H267" s="9">
        <f>IFERROR(IF(INDEX(Tbl_KPIMaster[Direction],MATCH($D267,Tbl_KPIMaster[Department],0))="Lower is Better",IF($G267=0,1,IF($F267=0,0,$F267/$G267)),IF($F267=0,1,$G267/$F267)),0)</f>
        <v/>
      </c>
      <c r="I267" s="8">
        <f>IF($H267&gt;=1,"Green",IF($H267&gt;=0.85,"Amber","Red"))</f>
        <v/>
      </c>
      <c r="J267" s="10" t="inlineStr">
        <is>
          <t>Manpower shortage</t>
        </is>
      </c>
    </row>
    <row r="268">
      <c r="A268" s="11" t="n">
        <v>46208</v>
      </c>
      <c r="B268" s="12">
        <f>IF($A268="","",TEXT($A268,"mmm-yyyy"))</f>
        <v/>
      </c>
      <c r="C268" s="12">
        <f>IF($A268="","","W"&amp;WEEKNUM($A268,2))</f>
        <v/>
      </c>
      <c r="D268" s="12" t="inlineStr">
        <is>
          <t>Production</t>
        </is>
      </c>
      <c r="E268" s="12">
        <f>IFERROR(INDEX(Tbl_KPIMaster[KPI Name],MATCH($D268,Tbl_KPIMaster[Department],0)),"")</f>
        <v/>
      </c>
      <c r="F268" s="12">
        <f>IFERROR(INDEX(Tbl_KPIMaster[Target],MATCH($D268,Tbl_KPIMaster[Department],0)),"")</f>
        <v/>
      </c>
      <c r="G268" s="12" t="n">
        <v>955.34</v>
      </c>
      <c r="H268" s="13">
        <f>IFERROR(IF(INDEX(Tbl_KPIMaster[Direction],MATCH($D268,Tbl_KPIMaster[Department],0))="Lower is Better",IF($G268=0,1,IF($F268=0,0,$F268/$G268)),IF($F268=0,1,$G268/$F268)),0)</f>
        <v/>
      </c>
      <c r="I268" s="12">
        <f>IF($H268&gt;=1,"Green",IF($H268&gt;=0.85,"Amber","Red"))</f>
        <v/>
      </c>
      <c r="J268" s="14" t="inlineStr">
        <is>
          <t>Manpower shortage</t>
        </is>
      </c>
    </row>
    <row r="269">
      <c r="A269" s="7" t="n">
        <v>46208</v>
      </c>
      <c r="B269" s="8">
        <f>IF($A269="","",TEXT($A269,"mmm-yyyy"))</f>
        <v/>
      </c>
      <c r="C269" s="8">
        <f>IF($A269="","","W"&amp;WEEKNUM($A269,2))</f>
        <v/>
      </c>
      <c r="D269" s="8" t="inlineStr">
        <is>
          <t>Quality</t>
        </is>
      </c>
      <c r="E269" s="8">
        <f>IFERROR(INDEX(Tbl_KPIMaster[KPI Name],MATCH($D269,Tbl_KPIMaster[Department],0)),"")</f>
        <v/>
      </c>
      <c r="F269" s="8">
        <f>IFERROR(INDEX(Tbl_KPIMaster[Target],MATCH($D269,Tbl_KPIMaster[Department],0)),"")</f>
        <v/>
      </c>
      <c r="G269" s="8" t="n">
        <v>0.015</v>
      </c>
      <c r="H269" s="9">
        <f>IFERROR(IF(INDEX(Tbl_KPIMaster[Direction],MATCH($D269,Tbl_KPIMaster[Department],0))="Lower is Better",IF($G269=0,1,IF($F269=0,0,$F269/$G269)),IF($F269=0,1,$G269/$F269)),0)</f>
        <v/>
      </c>
      <c r="I269" s="8">
        <f>IF($H269&gt;=1,"Green",IF($H269&gt;=0.85,"Amber","Red"))</f>
        <v/>
      </c>
      <c r="J269" s="10" t="inlineStr">
        <is>
          <t>Within normal range</t>
        </is>
      </c>
    </row>
    <row r="270">
      <c r="A270" s="11" t="n">
        <v>46208</v>
      </c>
      <c r="B270" s="12">
        <f>IF($A270="","",TEXT($A270,"mmm-yyyy"))</f>
        <v/>
      </c>
      <c r="C270" s="12">
        <f>IF($A270="","","W"&amp;WEEKNUM($A270,2))</f>
        <v/>
      </c>
      <c r="D270" s="12" t="inlineStr">
        <is>
          <t>Maintenance</t>
        </is>
      </c>
      <c r="E270" s="12">
        <f>IFERROR(INDEX(Tbl_KPIMaster[KPI Name],MATCH($D270,Tbl_KPIMaster[Department],0)),"")</f>
        <v/>
      </c>
      <c r="F270" s="12">
        <f>IFERROR(INDEX(Tbl_KPIMaster[Target],MATCH($D270,Tbl_KPIMaster[Department],0)),"")</f>
        <v/>
      </c>
      <c r="G270" s="12" t="n">
        <v>0.99</v>
      </c>
      <c r="H270" s="13">
        <f>IFERROR(IF(INDEX(Tbl_KPIMaster[Direction],MATCH($D270,Tbl_KPIMaster[Department],0))="Lower is Better",IF($G270=0,1,IF($F270=0,0,$F270/$G270)),IF($F270=0,1,$G270/$F270)),0)</f>
        <v/>
      </c>
      <c r="I270" s="12">
        <f>IF($H270&gt;=1,"Green",IF($H270&gt;=0.85,"Amber","Red"))</f>
        <v/>
      </c>
      <c r="J270" s="14" t="inlineStr">
        <is>
          <t>Within normal range</t>
        </is>
      </c>
    </row>
    <row r="271">
      <c r="A271" s="7" t="n">
        <v>46208</v>
      </c>
      <c r="B271" s="8">
        <f>IF($A271="","",TEXT($A271,"mmm-yyyy"))</f>
        <v/>
      </c>
      <c r="C271" s="8">
        <f>IF($A271="","","W"&amp;WEEKNUM($A271,2))</f>
        <v/>
      </c>
      <c r="D271" s="8" t="inlineStr">
        <is>
          <t>Utilities</t>
        </is>
      </c>
      <c r="E271" s="8">
        <f>IFERROR(INDEX(Tbl_KPIMaster[KPI Name],MATCH($D271,Tbl_KPIMaster[Department],0)),"")</f>
        <v/>
      </c>
      <c r="F271" s="8">
        <f>IFERROR(INDEX(Tbl_KPIMaster[Target],MATCH($D271,Tbl_KPIMaster[Department],0)),"")</f>
        <v/>
      </c>
      <c r="G271" s="8" t="n">
        <v>4998.8</v>
      </c>
      <c r="H271" s="9">
        <f>IFERROR(IF(INDEX(Tbl_KPIMaster[Direction],MATCH($D271,Tbl_KPIMaster[Department],0))="Lower is Better",IF($G271=0,1,IF($F271=0,0,$F271/$G271)),IF($F271=0,1,$G271/$F271)),0)</f>
        <v/>
      </c>
      <c r="I271" s="8">
        <f>IF($H271&gt;=1,"Green",IF($H271&gt;=0.85,"Amber","Red"))</f>
        <v/>
      </c>
      <c r="J271" s="10" t="inlineStr">
        <is>
          <t>Awaiting spares</t>
        </is>
      </c>
    </row>
    <row r="272">
      <c r="A272" s="11" t="n">
        <v>46208</v>
      </c>
      <c r="B272" s="12">
        <f>IF($A272="","",TEXT($A272,"mmm-yyyy"))</f>
        <v/>
      </c>
      <c r="C272" s="12">
        <f>IF($A272="","","W"&amp;WEEKNUM($A272,2))</f>
        <v/>
      </c>
      <c r="D272" s="12" t="inlineStr">
        <is>
          <t>Warehouse</t>
        </is>
      </c>
      <c r="E272" s="12">
        <f>IFERROR(INDEX(Tbl_KPIMaster[KPI Name],MATCH($D272,Tbl_KPIMaster[Department],0)),"")</f>
        <v/>
      </c>
      <c r="F272" s="12">
        <f>IFERROR(INDEX(Tbl_KPIMaster[Target],MATCH($D272,Tbl_KPIMaster[Department],0)),"")</f>
        <v/>
      </c>
      <c r="G272" s="12" t="n">
        <v>0.8712</v>
      </c>
      <c r="H272" s="13">
        <f>IFERROR(IF(INDEX(Tbl_KPIMaster[Direction],MATCH($D272,Tbl_KPIMaster[Department],0))="Lower is Better",IF($G272=0,1,IF($F272=0,0,$F272/$G272)),IF($F272=0,1,$G272/$F272)),0)</f>
        <v/>
      </c>
      <c r="I272" s="12">
        <f>IF($H272&gt;=1,"Green",IF($H272&gt;=0.85,"Amber","Red"))</f>
        <v/>
      </c>
      <c r="J272" s="14" t="inlineStr">
        <is>
          <t>Line changeover impact</t>
        </is>
      </c>
    </row>
    <row r="273">
      <c r="A273" s="7" t="n">
        <v>46208</v>
      </c>
      <c r="B273" s="8">
        <f>IF($A273="","",TEXT($A273,"mmm-yyyy"))</f>
        <v/>
      </c>
      <c r="C273" s="8">
        <f>IF($A273="","","W"&amp;WEEKNUM($A273,2))</f>
        <v/>
      </c>
      <c r="D273" s="8" t="inlineStr">
        <is>
          <t>HR</t>
        </is>
      </c>
      <c r="E273" s="8">
        <f>IFERROR(INDEX(Tbl_KPIMaster[KPI Name],MATCH($D273,Tbl_KPIMaster[Department],0)),"")</f>
        <v/>
      </c>
      <c r="F273" s="8">
        <f>IFERROR(INDEX(Tbl_KPIMaster[Target],MATCH($D273,Tbl_KPIMaster[Department],0)),"")</f>
        <v/>
      </c>
      <c r="G273" s="8" t="n">
        <v>0.0398</v>
      </c>
      <c r="H273" s="9">
        <f>IFERROR(IF(INDEX(Tbl_KPIMaster[Direction],MATCH($D273,Tbl_KPIMaster[Department],0))="Lower is Better",IF($G273=0,1,IF($F273=0,0,$F273/$G273)),IF($F273=0,1,$G273/$F273)),0)</f>
        <v/>
      </c>
      <c r="I273" s="8">
        <f>IF($H273&gt;=1,"Green",IF($H273&gt;=0.85,"Amber","Red"))</f>
        <v/>
      </c>
      <c r="J273" s="10" t="inlineStr">
        <is>
          <t>Process improvement in progress</t>
        </is>
      </c>
    </row>
    <row r="274">
      <c r="A274" s="11" t="n">
        <v>46208</v>
      </c>
      <c r="B274" s="12">
        <f>IF($A274="","",TEXT($A274,"mmm-yyyy"))</f>
        <v/>
      </c>
      <c r="C274" s="12">
        <f>IF($A274="","","W"&amp;WEEKNUM($A274,2))</f>
        <v/>
      </c>
      <c r="D274" s="12" t="inlineStr">
        <is>
          <t>Engineering</t>
        </is>
      </c>
      <c r="E274" s="12">
        <f>IFERROR(INDEX(Tbl_KPIMaster[KPI Name],MATCH($D274,Tbl_KPIMaster[Department],0)),"")</f>
        <v/>
      </c>
      <c r="F274" s="12">
        <f>IFERROR(INDEX(Tbl_KPIMaster[Target],MATCH($D274,Tbl_KPIMaster[Department],0)),"")</f>
        <v/>
      </c>
      <c r="G274" s="12" t="n">
        <v>0.9062</v>
      </c>
      <c r="H274" s="13">
        <f>IFERROR(IF(INDEX(Tbl_KPIMaster[Direction],MATCH($D274,Tbl_KPIMaster[Department],0))="Lower is Better",IF($G274=0,1,IF($F274=0,0,$F274/$G274)),IF($F274=0,1,$G274/$F274)),0)</f>
        <v/>
      </c>
      <c r="I274" s="12">
        <f>IF($H274&gt;=1,"Green",IF($H274&gt;=0.85,"Amber","Red"))</f>
        <v/>
      </c>
      <c r="J274" s="14" t="inlineStr"/>
    </row>
    <row r="275">
      <c r="A275" s="7" t="n">
        <v>46209</v>
      </c>
      <c r="B275" s="8">
        <f>IF($A275="","",TEXT($A275,"mmm-yyyy"))</f>
        <v/>
      </c>
      <c r="C275" s="8">
        <f>IF($A275="","","W"&amp;WEEKNUM($A275,2))</f>
        <v/>
      </c>
      <c r="D275" s="8" t="inlineStr">
        <is>
          <t>Safety</t>
        </is>
      </c>
      <c r="E275" s="8">
        <f>IFERROR(INDEX(Tbl_KPIMaster[KPI Name],MATCH($D275,Tbl_KPIMaster[Department],0)),"")</f>
        <v/>
      </c>
      <c r="F275" s="8">
        <f>IFERROR(INDEX(Tbl_KPIMaster[Target],MATCH($D275,Tbl_KPIMaster[Department],0)),"")</f>
        <v/>
      </c>
      <c r="G275" s="8" t="n">
        <v>0</v>
      </c>
      <c r="H275" s="9">
        <f>IFERROR(IF(INDEX(Tbl_KPIMaster[Direction],MATCH($D275,Tbl_KPIMaster[Department],0))="Lower is Better",IF($G275=0,1,IF($F275=0,0,$F275/$G275)),IF($F275=0,1,$G275/$F275)),0)</f>
        <v/>
      </c>
      <c r="I275" s="8">
        <f>IF($H275&gt;=1,"Green",IF($H275&gt;=0.85,"Amber","Red"))</f>
        <v/>
      </c>
      <c r="J275" s="10" t="inlineStr">
        <is>
          <t>Preventive check done</t>
        </is>
      </c>
    </row>
    <row r="276">
      <c r="A276" s="11" t="n">
        <v>46209</v>
      </c>
      <c r="B276" s="12">
        <f>IF($A276="","",TEXT($A276,"mmm-yyyy"))</f>
        <v/>
      </c>
      <c r="C276" s="12">
        <f>IF($A276="","","W"&amp;WEEKNUM($A276,2))</f>
        <v/>
      </c>
      <c r="D276" s="12" t="inlineStr">
        <is>
          <t>Production</t>
        </is>
      </c>
      <c r="E276" s="12">
        <f>IFERROR(INDEX(Tbl_KPIMaster[KPI Name],MATCH($D276,Tbl_KPIMaster[Department],0)),"")</f>
        <v/>
      </c>
      <c r="F276" s="12">
        <f>IFERROR(INDEX(Tbl_KPIMaster[Target],MATCH($D276,Tbl_KPIMaster[Department],0)),"")</f>
        <v/>
      </c>
      <c r="G276" s="12" t="n">
        <v>1086.9</v>
      </c>
      <c r="H276" s="13">
        <f>IFERROR(IF(INDEX(Tbl_KPIMaster[Direction],MATCH($D276,Tbl_KPIMaster[Department],0))="Lower is Better",IF($G276=0,1,IF($F276=0,0,$F276/$G276)),IF($F276=0,1,$G276/$F276)),0)</f>
        <v/>
      </c>
      <c r="I276" s="12">
        <f>IF($H276&gt;=1,"Green",IF($H276&gt;=0.85,"Amber","Red"))</f>
        <v/>
      </c>
      <c r="J276" s="14" t="inlineStr">
        <is>
          <t>Process improvement in progress</t>
        </is>
      </c>
    </row>
    <row r="277">
      <c r="A277" s="7" t="n">
        <v>46209</v>
      </c>
      <c r="B277" s="8">
        <f>IF($A277="","",TEXT($A277,"mmm-yyyy"))</f>
        <v/>
      </c>
      <c r="C277" s="8">
        <f>IF($A277="","","W"&amp;WEEKNUM($A277,2))</f>
        <v/>
      </c>
      <c r="D277" s="8" t="inlineStr">
        <is>
          <t>Quality</t>
        </is>
      </c>
      <c r="E277" s="8">
        <f>IFERROR(INDEX(Tbl_KPIMaster[KPI Name],MATCH($D277,Tbl_KPIMaster[Department],0)),"")</f>
        <v/>
      </c>
      <c r="F277" s="8">
        <f>IFERROR(INDEX(Tbl_KPIMaster[Target],MATCH($D277,Tbl_KPIMaster[Department],0)),"")</f>
        <v/>
      </c>
      <c r="G277" s="8" t="n">
        <v>0.0201</v>
      </c>
      <c r="H277" s="9">
        <f>IFERROR(IF(INDEX(Tbl_KPIMaster[Direction],MATCH($D277,Tbl_KPIMaster[Department],0))="Lower is Better",IF($G277=0,1,IF($F277=0,0,$F277/$G277)),IF($F277=0,1,$G277/$F277)),0)</f>
        <v/>
      </c>
      <c r="I277" s="8">
        <f>IF($H277&gt;=1,"Green",IF($H277&gt;=0.85,"Amber","Red"))</f>
        <v/>
      </c>
      <c r="J277" s="10" t="inlineStr">
        <is>
          <t>Preventive check done</t>
        </is>
      </c>
    </row>
    <row r="278">
      <c r="A278" s="11" t="n">
        <v>46209</v>
      </c>
      <c r="B278" s="12">
        <f>IF($A278="","",TEXT($A278,"mmm-yyyy"))</f>
        <v/>
      </c>
      <c r="C278" s="12">
        <f>IF($A278="","","W"&amp;WEEKNUM($A278,2))</f>
        <v/>
      </c>
      <c r="D278" s="12" t="inlineStr">
        <is>
          <t>Maintenance</t>
        </is>
      </c>
      <c r="E278" s="12">
        <f>IFERROR(INDEX(Tbl_KPIMaster[KPI Name],MATCH($D278,Tbl_KPIMaster[Department],0)),"")</f>
        <v/>
      </c>
      <c r="F278" s="12">
        <f>IFERROR(INDEX(Tbl_KPIMaster[Target],MATCH($D278,Tbl_KPIMaster[Department],0)),"")</f>
        <v/>
      </c>
      <c r="G278" s="12" t="n">
        <v>0.77</v>
      </c>
      <c r="H278" s="13">
        <f>IFERROR(IF(INDEX(Tbl_KPIMaster[Direction],MATCH($D278,Tbl_KPIMaster[Department],0))="Lower is Better",IF($G278=0,1,IF($F278=0,0,$F278/$G278)),IF($F278=0,1,$G278/$F278)),0)</f>
        <v/>
      </c>
      <c r="I278" s="12">
        <f>IF($H278&gt;=1,"Green",IF($H278&gt;=0.85,"Amber","Red"))</f>
        <v/>
      </c>
      <c r="J278" s="14" t="inlineStr">
        <is>
          <t>Manpower shortage</t>
        </is>
      </c>
    </row>
    <row r="279">
      <c r="A279" s="7" t="n">
        <v>46209</v>
      </c>
      <c r="B279" s="8">
        <f>IF($A279="","",TEXT($A279,"mmm-yyyy"))</f>
        <v/>
      </c>
      <c r="C279" s="8">
        <f>IF($A279="","","W"&amp;WEEKNUM($A279,2))</f>
        <v/>
      </c>
      <c r="D279" s="8" t="inlineStr">
        <is>
          <t>Utilities</t>
        </is>
      </c>
      <c r="E279" s="8">
        <f>IFERROR(INDEX(Tbl_KPIMaster[KPI Name],MATCH($D279,Tbl_KPIMaster[Department],0)),"")</f>
        <v/>
      </c>
      <c r="F279" s="8">
        <f>IFERROR(INDEX(Tbl_KPIMaster[Target],MATCH($D279,Tbl_KPIMaster[Department],0)),"")</f>
        <v/>
      </c>
      <c r="G279" s="8" t="n">
        <v>4232.27</v>
      </c>
      <c r="H279" s="9">
        <f>IFERROR(IF(INDEX(Tbl_KPIMaster[Direction],MATCH($D279,Tbl_KPIMaster[Department],0))="Lower is Better",IF($G279=0,1,IF($F279=0,0,$F279/$G279)),IF($F279=0,1,$G279/$F279)),0)</f>
        <v/>
      </c>
      <c r="I279" s="8">
        <f>IF($H279&gt;=1,"Green",IF($H279&gt;=0.85,"Amber","Red"))</f>
        <v/>
      </c>
      <c r="J279" s="10" t="inlineStr">
        <is>
          <t>Process improvement in progress</t>
        </is>
      </c>
    </row>
    <row r="280">
      <c r="A280" s="11" t="n">
        <v>46209</v>
      </c>
      <c r="B280" s="12">
        <f>IF($A280="","",TEXT($A280,"mmm-yyyy"))</f>
        <v/>
      </c>
      <c r="C280" s="12">
        <f>IF($A280="","","W"&amp;WEEKNUM($A280,2))</f>
        <v/>
      </c>
      <c r="D280" s="12" t="inlineStr">
        <is>
          <t>Warehouse</t>
        </is>
      </c>
      <c r="E280" s="12">
        <f>IFERROR(INDEX(Tbl_KPIMaster[KPI Name],MATCH($D280,Tbl_KPIMaster[Department],0)),"")</f>
        <v/>
      </c>
      <c r="F280" s="12">
        <f>IFERROR(INDEX(Tbl_KPIMaster[Target],MATCH($D280,Tbl_KPIMaster[Department],0)),"")</f>
        <v/>
      </c>
      <c r="G280" s="12" t="n">
        <v>0.7111</v>
      </c>
      <c r="H280" s="13">
        <f>IFERROR(IF(INDEX(Tbl_KPIMaster[Direction],MATCH($D280,Tbl_KPIMaster[Department],0))="Lower is Better",IF($G280=0,1,IF($F280=0,0,$F280/$G280)),IF($F280=0,1,$G280/$F280)),0)</f>
        <v/>
      </c>
      <c r="I280" s="12">
        <f>IF($H280&gt;=1,"Green",IF($H280&gt;=0.85,"Amber","Red"))</f>
        <v/>
      </c>
      <c r="J280" s="14" t="inlineStr">
        <is>
          <t>Process improvement in progress</t>
        </is>
      </c>
    </row>
    <row r="281">
      <c r="A281" s="7" t="n">
        <v>46209</v>
      </c>
      <c r="B281" s="8">
        <f>IF($A281="","",TEXT($A281,"mmm-yyyy"))</f>
        <v/>
      </c>
      <c r="C281" s="8">
        <f>IF($A281="","","W"&amp;WEEKNUM($A281,2))</f>
        <v/>
      </c>
      <c r="D281" s="8" t="inlineStr">
        <is>
          <t>HR</t>
        </is>
      </c>
      <c r="E281" s="8">
        <f>IFERROR(INDEX(Tbl_KPIMaster[KPI Name],MATCH($D281,Tbl_KPIMaster[Department],0)),"")</f>
        <v/>
      </c>
      <c r="F281" s="8">
        <f>IFERROR(INDEX(Tbl_KPIMaster[Target],MATCH($D281,Tbl_KPIMaster[Department],0)),"")</f>
        <v/>
      </c>
      <c r="G281" s="8" t="n">
        <v>0.0197</v>
      </c>
      <c r="H281" s="9">
        <f>IFERROR(IF(INDEX(Tbl_KPIMaster[Direction],MATCH($D281,Tbl_KPIMaster[Department],0))="Lower is Better",IF($G281=0,1,IF($F281=0,0,$F281/$G281)),IF($F281=0,1,$G281/$F281)),0)</f>
        <v/>
      </c>
      <c r="I281" s="8">
        <f>IF($H281&gt;=1,"Green",IF($H281&gt;=0.85,"Amber","Red"))</f>
        <v/>
      </c>
      <c r="J281" s="10" t="inlineStr">
        <is>
          <t>Awaiting spares</t>
        </is>
      </c>
    </row>
    <row r="282">
      <c r="A282" s="11" t="n">
        <v>46209</v>
      </c>
      <c r="B282" s="12">
        <f>IF($A282="","",TEXT($A282,"mmm-yyyy"))</f>
        <v/>
      </c>
      <c r="C282" s="12">
        <f>IF($A282="","","W"&amp;WEEKNUM($A282,2))</f>
        <v/>
      </c>
      <c r="D282" s="12" t="inlineStr">
        <is>
          <t>Engineering</t>
        </is>
      </c>
      <c r="E282" s="12">
        <f>IFERROR(INDEX(Tbl_KPIMaster[KPI Name],MATCH($D282,Tbl_KPIMaster[Department],0)),"")</f>
        <v/>
      </c>
      <c r="F282" s="12">
        <f>IFERROR(INDEX(Tbl_KPIMaster[Target],MATCH($D282,Tbl_KPIMaster[Department],0)),"")</f>
        <v/>
      </c>
      <c r="G282" s="12" t="n">
        <v>1.1468</v>
      </c>
      <c r="H282" s="13">
        <f>IFERROR(IF(INDEX(Tbl_KPIMaster[Direction],MATCH($D282,Tbl_KPIMaster[Department],0))="Lower is Better",IF($G282=0,1,IF($F282=0,0,$F282/$G282)),IF($F282=0,1,$G282/$F282)),0)</f>
        <v/>
      </c>
      <c r="I282" s="12">
        <f>IF($H282&gt;=1,"Green",IF($H282&gt;=0.85,"Amber","Red"))</f>
        <v/>
      </c>
      <c r="J282" s="14" t="inlineStr"/>
    </row>
    <row r="283">
      <c r="A283" s="7" t="n">
        <v>46210</v>
      </c>
      <c r="B283" s="8">
        <f>IF($A283="","",TEXT($A283,"mmm-yyyy"))</f>
        <v/>
      </c>
      <c r="C283" s="8">
        <f>IF($A283="","","W"&amp;WEEKNUM($A283,2))</f>
        <v/>
      </c>
      <c r="D283" s="8" t="inlineStr">
        <is>
          <t>Safety</t>
        </is>
      </c>
      <c r="E283" s="8">
        <f>IFERROR(INDEX(Tbl_KPIMaster[KPI Name],MATCH($D283,Tbl_KPIMaster[Department],0)),"")</f>
        <v/>
      </c>
      <c r="F283" s="8">
        <f>IFERROR(INDEX(Tbl_KPIMaster[Target],MATCH($D283,Tbl_KPIMaster[Department],0)),"")</f>
        <v/>
      </c>
      <c r="G283" s="8" t="n">
        <v>0</v>
      </c>
      <c r="H283" s="9">
        <f>IFERROR(IF(INDEX(Tbl_KPIMaster[Direction],MATCH($D283,Tbl_KPIMaster[Department],0))="Lower is Better",IF($G283=0,1,IF($F283=0,0,$F283/$G283)),IF($F283=0,1,$G283/$F283)),0)</f>
        <v/>
      </c>
      <c r="I283" s="8">
        <f>IF($H283&gt;=1,"Green",IF($H283&gt;=0.85,"Amber","Red"))</f>
        <v/>
      </c>
      <c r="J283" s="10" t="inlineStr"/>
    </row>
    <row r="284">
      <c r="A284" s="11" t="n">
        <v>46210</v>
      </c>
      <c r="B284" s="12">
        <f>IF($A284="","",TEXT($A284,"mmm-yyyy"))</f>
        <v/>
      </c>
      <c r="C284" s="12">
        <f>IF($A284="","","W"&amp;WEEKNUM($A284,2))</f>
        <v/>
      </c>
      <c r="D284" s="12" t="inlineStr">
        <is>
          <t>Production</t>
        </is>
      </c>
      <c r="E284" s="12">
        <f>IFERROR(INDEX(Tbl_KPIMaster[KPI Name],MATCH($D284,Tbl_KPIMaster[Department],0)),"")</f>
        <v/>
      </c>
      <c r="F284" s="12">
        <f>IFERROR(INDEX(Tbl_KPIMaster[Target],MATCH($D284,Tbl_KPIMaster[Department],0)),"")</f>
        <v/>
      </c>
      <c r="G284" s="12" t="n">
        <v>957.95</v>
      </c>
      <c r="H284" s="13">
        <f>IFERROR(IF(INDEX(Tbl_KPIMaster[Direction],MATCH($D284,Tbl_KPIMaster[Department],0))="Lower is Better",IF($G284=0,1,IF($F284=0,0,$F284/$G284)),IF($F284=0,1,$G284/$F284)),0)</f>
        <v/>
      </c>
      <c r="I284" s="12">
        <f>IF($H284&gt;=1,"Green",IF($H284&gt;=0.85,"Amber","Red"))</f>
        <v/>
      </c>
      <c r="J284" s="14" t="inlineStr">
        <is>
          <t>Vendor delay</t>
        </is>
      </c>
    </row>
    <row r="285">
      <c r="A285" s="7" t="n">
        <v>46210</v>
      </c>
      <c r="B285" s="8">
        <f>IF($A285="","",TEXT($A285,"mmm-yyyy"))</f>
        <v/>
      </c>
      <c r="C285" s="8">
        <f>IF($A285="","","W"&amp;WEEKNUM($A285,2))</f>
        <v/>
      </c>
      <c r="D285" s="8" t="inlineStr">
        <is>
          <t>Quality</t>
        </is>
      </c>
      <c r="E285" s="8">
        <f>IFERROR(INDEX(Tbl_KPIMaster[KPI Name],MATCH($D285,Tbl_KPIMaster[Department],0)),"")</f>
        <v/>
      </c>
      <c r="F285" s="8">
        <f>IFERROR(INDEX(Tbl_KPIMaster[Target],MATCH($D285,Tbl_KPIMaster[Department],0)),"")</f>
        <v/>
      </c>
      <c r="G285" s="8" t="n">
        <v>0.0225</v>
      </c>
      <c r="H285" s="9">
        <f>IFERROR(IF(INDEX(Tbl_KPIMaster[Direction],MATCH($D285,Tbl_KPIMaster[Department],0))="Lower is Better",IF($G285=0,1,IF($F285=0,0,$F285/$G285)),IF($F285=0,1,$G285/$F285)),0)</f>
        <v/>
      </c>
      <c r="I285" s="8">
        <f>IF($H285&gt;=1,"Green",IF($H285&gt;=0.85,"Amber","Red"))</f>
        <v/>
      </c>
      <c r="J285" s="10" t="inlineStr">
        <is>
          <t>Within normal range</t>
        </is>
      </c>
    </row>
    <row r="286">
      <c r="A286" s="11" t="n">
        <v>46210</v>
      </c>
      <c r="B286" s="12">
        <f>IF($A286="","",TEXT($A286,"mmm-yyyy"))</f>
        <v/>
      </c>
      <c r="C286" s="12">
        <f>IF($A286="","","W"&amp;WEEKNUM($A286,2))</f>
        <v/>
      </c>
      <c r="D286" s="12" t="inlineStr">
        <is>
          <t>Maintenance</t>
        </is>
      </c>
      <c r="E286" s="12">
        <f>IFERROR(INDEX(Tbl_KPIMaster[KPI Name],MATCH($D286,Tbl_KPIMaster[Department],0)),"")</f>
        <v/>
      </c>
      <c r="F286" s="12">
        <f>IFERROR(INDEX(Tbl_KPIMaster[Target],MATCH($D286,Tbl_KPIMaster[Department],0)),"")</f>
        <v/>
      </c>
      <c r="G286" s="12" t="n">
        <v>0.92</v>
      </c>
      <c r="H286" s="13">
        <f>IFERROR(IF(INDEX(Tbl_KPIMaster[Direction],MATCH($D286,Tbl_KPIMaster[Department],0))="Lower is Better",IF($G286=0,1,IF($F286=0,0,$F286/$G286)),IF($F286=0,1,$G286/$F286)),0)</f>
        <v/>
      </c>
      <c r="I286" s="12">
        <f>IF($H286&gt;=1,"Green",IF($H286&gt;=0.85,"Amber","Red"))</f>
        <v/>
      </c>
      <c r="J286" s="14" t="inlineStr">
        <is>
          <t>Within normal range</t>
        </is>
      </c>
    </row>
    <row r="287">
      <c r="A287" s="7" t="n">
        <v>46210</v>
      </c>
      <c r="B287" s="8">
        <f>IF($A287="","",TEXT($A287,"mmm-yyyy"))</f>
        <v/>
      </c>
      <c r="C287" s="8">
        <f>IF($A287="","","W"&amp;WEEKNUM($A287,2))</f>
        <v/>
      </c>
      <c r="D287" s="8" t="inlineStr">
        <is>
          <t>Utilities</t>
        </is>
      </c>
      <c r="E287" s="8">
        <f>IFERROR(INDEX(Tbl_KPIMaster[KPI Name],MATCH($D287,Tbl_KPIMaster[Department],0)),"")</f>
        <v/>
      </c>
      <c r="F287" s="8">
        <f>IFERROR(INDEX(Tbl_KPIMaster[Target],MATCH($D287,Tbl_KPIMaster[Department],0)),"")</f>
        <v/>
      </c>
      <c r="G287" s="8" t="n">
        <v>4436.28</v>
      </c>
      <c r="H287" s="9">
        <f>IFERROR(IF(INDEX(Tbl_KPIMaster[Direction],MATCH($D287,Tbl_KPIMaster[Department],0))="Lower is Better",IF($G287=0,1,IF($F287=0,0,$F287/$G287)),IF($F287=0,1,$G287/$F287)),0)</f>
        <v/>
      </c>
      <c r="I287" s="8">
        <f>IF($H287&gt;=1,"Green",IF($H287&gt;=0.85,"Amber","Red"))</f>
        <v/>
      </c>
      <c r="J287" s="10" t="inlineStr"/>
    </row>
    <row r="288">
      <c r="A288" s="11" t="n">
        <v>46210</v>
      </c>
      <c r="B288" s="12">
        <f>IF($A288="","",TEXT($A288,"mmm-yyyy"))</f>
        <v/>
      </c>
      <c r="C288" s="12">
        <f>IF($A288="","","W"&amp;WEEKNUM($A288,2))</f>
        <v/>
      </c>
      <c r="D288" s="12" t="inlineStr">
        <is>
          <t>Warehouse</t>
        </is>
      </c>
      <c r="E288" s="12">
        <f>IFERROR(INDEX(Tbl_KPIMaster[KPI Name],MATCH($D288,Tbl_KPIMaster[Department],0)),"")</f>
        <v/>
      </c>
      <c r="F288" s="12">
        <f>IFERROR(INDEX(Tbl_KPIMaster[Target],MATCH($D288,Tbl_KPIMaster[Department],0)),"")</f>
        <v/>
      </c>
      <c r="G288" s="12" t="n">
        <v>1.0857</v>
      </c>
      <c r="H288" s="13">
        <f>IFERROR(IF(INDEX(Tbl_KPIMaster[Direction],MATCH($D288,Tbl_KPIMaster[Department],0))="Lower is Better",IF($G288=0,1,IF($F288=0,0,$F288/$G288)),IF($F288=0,1,$G288/$F288)),0)</f>
        <v/>
      </c>
      <c r="I288" s="12">
        <f>IF($H288&gt;=1,"Green",IF($H288&gt;=0.85,"Amber","Red"))</f>
        <v/>
      </c>
      <c r="J288" s="14" t="inlineStr"/>
    </row>
    <row r="289">
      <c r="A289" s="7" t="n">
        <v>46210</v>
      </c>
      <c r="B289" s="8">
        <f>IF($A289="","",TEXT($A289,"mmm-yyyy"))</f>
        <v/>
      </c>
      <c r="C289" s="8">
        <f>IF($A289="","","W"&amp;WEEKNUM($A289,2))</f>
        <v/>
      </c>
      <c r="D289" s="8" t="inlineStr">
        <is>
          <t>HR</t>
        </is>
      </c>
      <c r="E289" s="8">
        <f>IFERROR(INDEX(Tbl_KPIMaster[KPI Name],MATCH($D289,Tbl_KPIMaster[Department],0)),"")</f>
        <v/>
      </c>
      <c r="F289" s="8">
        <f>IFERROR(INDEX(Tbl_KPIMaster[Target],MATCH($D289,Tbl_KPIMaster[Department],0)),"")</f>
        <v/>
      </c>
      <c r="G289" s="8" t="n">
        <v>0.0372</v>
      </c>
      <c r="H289" s="9">
        <f>IFERROR(IF(INDEX(Tbl_KPIMaster[Direction],MATCH($D289,Tbl_KPIMaster[Department],0))="Lower is Better",IF($G289=0,1,IF($F289=0,0,$F289/$G289)),IF($F289=0,1,$G289/$F289)),0)</f>
        <v/>
      </c>
      <c r="I289" s="8">
        <f>IF($H289&gt;=1,"Green",IF($H289&gt;=0.85,"Amber","Red"))</f>
        <v/>
      </c>
      <c r="J289" s="10" t="inlineStr">
        <is>
          <t>Manpower shortage</t>
        </is>
      </c>
    </row>
    <row r="290">
      <c r="A290" s="11" t="n">
        <v>46210</v>
      </c>
      <c r="B290" s="12">
        <f>IF($A290="","",TEXT($A290,"mmm-yyyy"))</f>
        <v/>
      </c>
      <c r="C290" s="12">
        <f>IF($A290="","","W"&amp;WEEKNUM($A290,2))</f>
        <v/>
      </c>
      <c r="D290" s="12" t="inlineStr">
        <is>
          <t>Engineering</t>
        </is>
      </c>
      <c r="E290" s="12">
        <f>IFERROR(INDEX(Tbl_KPIMaster[KPI Name],MATCH($D290,Tbl_KPIMaster[Department],0)),"")</f>
        <v/>
      </c>
      <c r="F290" s="12">
        <f>IFERROR(INDEX(Tbl_KPIMaster[Target],MATCH($D290,Tbl_KPIMaster[Department],0)),"")</f>
        <v/>
      </c>
      <c r="G290" s="12" t="n">
        <v>0.839</v>
      </c>
      <c r="H290" s="13">
        <f>IFERROR(IF(INDEX(Tbl_KPIMaster[Direction],MATCH($D290,Tbl_KPIMaster[Department],0))="Lower is Better",IF($G290=0,1,IF($F290=0,0,$F290/$G290)),IF($F290=0,1,$G290/$F290)),0)</f>
        <v/>
      </c>
      <c r="I290" s="12">
        <f>IF($H290&gt;=1,"Green",IF($H290&gt;=0.85,"Amber","Red"))</f>
        <v/>
      </c>
      <c r="J290" s="14" t="inlineStr"/>
    </row>
    <row r="291">
      <c r="A291" s="7" t="n">
        <v>46211</v>
      </c>
      <c r="B291" s="8">
        <f>IF($A291="","",TEXT($A291,"mmm-yyyy"))</f>
        <v/>
      </c>
      <c r="C291" s="8">
        <f>IF($A291="","","W"&amp;WEEKNUM($A291,2))</f>
        <v/>
      </c>
      <c r="D291" s="8" t="inlineStr">
        <is>
          <t>Safety</t>
        </is>
      </c>
      <c r="E291" s="8">
        <f>IFERROR(INDEX(Tbl_KPIMaster[KPI Name],MATCH($D291,Tbl_KPIMaster[Department],0)),"")</f>
        <v/>
      </c>
      <c r="F291" s="8">
        <f>IFERROR(INDEX(Tbl_KPIMaster[Target],MATCH($D291,Tbl_KPIMaster[Department],0)),"")</f>
        <v/>
      </c>
      <c r="G291" s="8" t="n">
        <v>2</v>
      </c>
      <c r="H291" s="9">
        <f>IFERROR(IF(INDEX(Tbl_KPIMaster[Direction],MATCH($D291,Tbl_KPIMaster[Department],0))="Lower is Better",IF($G291=0,1,IF($F291=0,0,$F291/$G291)),IF($F291=0,1,$G291/$F291)),0)</f>
        <v/>
      </c>
      <c r="I291" s="8">
        <f>IF($H291&gt;=1,"Green",IF($H291&gt;=0.85,"Amber","Red"))</f>
        <v/>
      </c>
      <c r="J291" s="10" t="inlineStr"/>
    </row>
    <row r="292">
      <c r="A292" s="11" t="n">
        <v>46211</v>
      </c>
      <c r="B292" s="12">
        <f>IF($A292="","",TEXT($A292,"mmm-yyyy"))</f>
        <v/>
      </c>
      <c r="C292" s="12">
        <f>IF($A292="","","W"&amp;WEEKNUM($A292,2))</f>
        <v/>
      </c>
      <c r="D292" s="12" t="inlineStr">
        <is>
          <t>Production</t>
        </is>
      </c>
      <c r="E292" s="12">
        <f>IFERROR(INDEX(Tbl_KPIMaster[KPI Name],MATCH($D292,Tbl_KPIMaster[Department],0)),"")</f>
        <v/>
      </c>
      <c r="F292" s="12">
        <f>IFERROR(INDEX(Tbl_KPIMaster[Target],MATCH($D292,Tbl_KPIMaster[Department],0)),"")</f>
        <v/>
      </c>
      <c r="G292" s="12" t="n">
        <v>852.37</v>
      </c>
      <c r="H292" s="13">
        <f>IFERROR(IF(INDEX(Tbl_KPIMaster[Direction],MATCH($D292,Tbl_KPIMaster[Department],0))="Lower is Better",IF($G292=0,1,IF($F292=0,0,$F292/$G292)),IF($F292=0,1,$G292/$F292)),0)</f>
        <v/>
      </c>
      <c r="I292" s="12">
        <f>IF($H292&gt;=1,"Green",IF($H292&gt;=0.85,"Amber","Red"))</f>
        <v/>
      </c>
      <c r="J292" s="14" t="inlineStr">
        <is>
          <t>Vendor delay</t>
        </is>
      </c>
    </row>
    <row r="293">
      <c r="A293" s="7" t="n">
        <v>46211</v>
      </c>
      <c r="B293" s="8">
        <f>IF($A293="","",TEXT($A293,"mmm-yyyy"))</f>
        <v/>
      </c>
      <c r="C293" s="8">
        <f>IF($A293="","","W"&amp;WEEKNUM($A293,2))</f>
        <v/>
      </c>
      <c r="D293" s="8" t="inlineStr">
        <is>
          <t>Quality</t>
        </is>
      </c>
      <c r="E293" s="8">
        <f>IFERROR(INDEX(Tbl_KPIMaster[KPI Name],MATCH($D293,Tbl_KPIMaster[Department],0)),"")</f>
        <v/>
      </c>
      <c r="F293" s="8">
        <f>IFERROR(INDEX(Tbl_KPIMaster[Target],MATCH($D293,Tbl_KPIMaster[Department],0)),"")</f>
        <v/>
      </c>
      <c r="G293" s="8" t="n">
        <v>0.0237</v>
      </c>
      <c r="H293" s="9">
        <f>IFERROR(IF(INDEX(Tbl_KPIMaster[Direction],MATCH($D293,Tbl_KPIMaster[Department],0))="Lower is Better",IF($G293=0,1,IF($F293=0,0,$F293/$G293)),IF($F293=0,1,$G293/$F293)),0)</f>
        <v/>
      </c>
      <c r="I293" s="8">
        <f>IF($H293&gt;=1,"Green",IF($H293&gt;=0.85,"Amber","Red"))</f>
        <v/>
      </c>
      <c r="J293" s="10" t="inlineStr"/>
    </row>
    <row r="294">
      <c r="A294" s="11" t="n">
        <v>46211</v>
      </c>
      <c r="B294" s="12">
        <f>IF($A294="","",TEXT($A294,"mmm-yyyy"))</f>
        <v/>
      </c>
      <c r="C294" s="12">
        <f>IF($A294="","","W"&amp;WEEKNUM($A294,2))</f>
        <v/>
      </c>
      <c r="D294" s="12" t="inlineStr">
        <is>
          <t>Maintenance</t>
        </is>
      </c>
      <c r="E294" s="12">
        <f>IFERROR(INDEX(Tbl_KPIMaster[KPI Name],MATCH($D294,Tbl_KPIMaster[Department],0)),"")</f>
        <v/>
      </c>
      <c r="F294" s="12">
        <f>IFERROR(INDEX(Tbl_KPIMaster[Target],MATCH($D294,Tbl_KPIMaster[Department],0)),"")</f>
        <v/>
      </c>
      <c r="G294" s="12" t="n">
        <v>1.06</v>
      </c>
      <c r="H294" s="13">
        <f>IFERROR(IF(INDEX(Tbl_KPIMaster[Direction],MATCH($D294,Tbl_KPIMaster[Department],0))="Lower is Better",IF($G294=0,1,IF($F294=0,0,$F294/$G294)),IF($F294=0,1,$G294/$F294)),0)</f>
        <v/>
      </c>
      <c r="I294" s="12">
        <f>IF($H294&gt;=1,"Green",IF($H294&gt;=0.85,"Amber","Red"))</f>
        <v/>
      </c>
      <c r="J294" s="14" t="inlineStr">
        <is>
          <t>Process improvement in progress</t>
        </is>
      </c>
    </row>
    <row r="295">
      <c r="A295" s="7" t="n">
        <v>46211</v>
      </c>
      <c r="B295" s="8">
        <f>IF($A295="","",TEXT($A295,"mmm-yyyy"))</f>
        <v/>
      </c>
      <c r="C295" s="8">
        <f>IF($A295="","","W"&amp;WEEKNUM($A295,2))</f>
        <v/>
      </c>
      <c r="D295" s="8" t="inlineStr">
        <is>
          <t>Utilities</t>
        </is>
      </c>
      <c r="E295" s="8">
        <f>IFERROR(INDEX(Tbl_KPIMaster[KPI Name],MATCH($D295,Tbl_KPIMaster[Department],0)),"")</f>
        <v/>
      </c>
      <c r="F295" s="8">
        <f>IFERROR(INDEX(Tbl_KPIMaster[Target],MATCH($D295,Tbl_KPIMaster[Department],0)),"")</f>
        <v/>
      </c>
      <c r="G295" s="8" t="n">
        <v>4227.1</v>
      </c>
      <c r="H295" s="9">
        <f>IFERROR(IF(INDEX(Tbl_KPIMaster[Direction],MATCH($D295,Tbl_KPIMaster[Department],0))="Lower is Better",IF($G295=0,1,IF($F295=0,0,$F295/$G295)),IF($F295=0,1,$G295/$F295)),0)</f>
        <v/>
      </c>
      <c r="I295" s="8">
        <f>IF($H295&gt;=1,"Green",IF($H295&gt;=0.85,"Amber","Red"))</f>
        <v/>
      </c>
      <c r="J295" s="10" t="inlineStr">
        <is>
          <t>Line changeover impact</t>
        </is>
      </c>
    </row>
    <row r="296">
      <c r="A296" s="11" t="n">
        <v>46211</v>
      </c>
      <c r="B296" s="12">
        <f>IF($A296="","",TEXT($A296,"mmm-yyyy"))</f>
        <v/>
      </c>
      <c r="C296" s="12">
        <f>IF($A296="","","W"&amp;WEEKNUM($A296,2))</f>
        <v/>
      </c>
      <c r="D296" s="12" t="inlineStr">
        <is>
          <t>Warehouse</t>
        </is>
      </c>
      <c r="E296" s="12">
        <f>IFERROR(INDEX(Tbl_KPIMaster[KPI Name],MATCH($D296,Tbl_KPIMaster[Department],0)),"")</f>
        <v/>
      </c>
      <c r="F296" s="12">
        <f>IFERROR(INDEX(Tbl_KPIMaster[Target],MATCH($D296,Tbl_KPIMaster[Department],0)),"")</f>
        <v/>
      </c>
      <c r="G296" s="12" t="n">
        <v>0.8762</v>
      </c>
      <c r="H296" s="13">
        <f>IFERROR(IF(INDEX(Tbl_KPIMaster[Direction],MATCH($D296,Tbl_KPIMaster[Department],0))="Lower is Better",IF($G296=0,1,IF($F296=0,0,$F296/$G296)),IF($F296=0,1,$G296/$F296)),0)</f>
        <v/>
      </c>
      <c r="I296" s="12">
        <f>IF($H296&gt;=1,"Green",IF($H296&gt;=0.85,"Amber","Red"))</f>
        <v/>
      </c>
      <c r="J296" s="14" t="inlineStr">
        <is>
          <t>Line changeover impact</t>
        </is>
      </c>
    </row>
    <row r="297">
      <c r="A297" s="7" t="n">
        <v>46211</v>
      </c>
      <c r="B297" s="8">
        <f>IF($A297="","",TEXT($A297,"mmm-yyyy"))</f>
        <v/>
      </c>
      <c r="C297" s="8">
        <f>IF($A297="","","W"&amp;WEEKNUM($A297,2))</f>
        <v/>
      </c>
      <c r="D297" s="8" t="inlineStr">
        <is>
          <t>HR</t>
        </is>
      </c>
      <c r="E297" s="8">
        <f>IFERROR(INDEX(Tbl_KPIMaster[KPI Name],MATCH($D297,Tbl_KPIMaster[Department],0)),"")</f>
        <v/>
      </c>
      <c r="F297" s="8">
        <f>IFERROR(INDEX(Tbl_KPIMaster[Target],MATCH($D297,Tbl_KPIMaster[Department],0)),"")</f>
        <v/>
      </c>
      <c r="G297" s="8" t="n">
        <v>0.0328</v>
      </c>
      <c r="H297" s="9">
        <f>IFERROR(IF(INDEX(Tbl_KPIMaster[Direction],MATCH($D297,Tbl_KPIMaster[Department],0))="Lower is Better",IF($G297=0,1,IF($F297=0,0,$F297/$G297)),IF($F297=0,1,$G297/$F297)),0)</f>
        <v/>
      </c>
      <c r="I297" s="8">
        <f>IF($H297&gt;=1,"Green",IF($H297&gt;=0.85,"Amber","Red"))</f>
        <v/>
      </c>
      <c r="J297" s="10" t="inlineStr">
        <is>
          <t>Vendor delay</t>
        </is>
      </c>
    </row>
    <row r="298">
      <c r="A298" s="11" t="n">
        <v>46211</v>
      </c>
      <c r="B298" s="12">
        <f>IF($A298="","",TEXT($A298,"mmm-yyyy"))</f>
        <v/>
      </c>
      <c r="C298" s="12">
        <f>IF($A298="","","W"&amp;WEEKNUM($A298,2))</f>
        <v/>
      </c>
      <c r="D298" s="12" t="inlineStr">
        <is>
          <t>Engineering</t>
        </is>
      </c>
      <c r="E298" s="12">
        <f>IFERROR(INDEX(Tbl_KPIMaster[KPI Name],MATCH($D298,Tbl_KPIMaster[Department],0)),"")</f>
        <v/>
      </c>
      <c r="F298" s="12">
        <f>IFERROR(INDEX(Tbl_KPIMaster[Target],MATCH($D298,Tbl_KPIMaster[Department],0)),"")</f>
        <v/>
      </c>
      <c r="G298" s="12" t="n">
        <v>0.9876</v>
      </c>
      <c r="H298" s="13">
        <f>IFERROR(IF(INDEX(Tbl_KPIMaster[Direction],MATCH($D298,Tbl_KPIMaster[Department],0))="Lower is Better",IF($G298=0,1,IF($F298=0,0,$F298/$G298)),IF($F298=0,1,$G298/$F298)),0)</f>
        <v/>
      </c>
      <c r="I298" s="12">
        <f>IF($H298&gt;=1,"Green",IF($H298&gt;=0.85,"Amber","Red"))</f>
        <v/>
      </c>
      <c r="J298" s="14" t="inlineStr">
        <is>
          <t>Awaiting spares</t>
        </is>
      </c>
    </row>
    <row r="299">
      <c r="A299" s="7" t="n">
        <v>46212</v>
      </c>
      <c r="B299" s="8">
        <f>IF($A299="","",TEXT($A299,"mmm-yyyy"))</f>
        <v/>
      </c>
      <c r="C299" s="8">
        <f>IF($A299="","","W"&amp;WEEKNUM($A299,2))</f>
        <v/>
      </c>
      <c r="D299" s="8" t="inlineStr">
        <is>
          <t>Safety</t>
        </is>
      </c>
      <c r="E299" s="8">
        <f>IFERROR(INDEX(Tbl_KPIMaster[KPI Name],MATCH($D299,Tbl_KPIMaster[Department],0)),"")</f>
        <v/>
      </c>
      <c r="F299" s="8">
        <f>IFERROR(INDEX(Tbl_KPIMaster[Target],MATCH($D299,Tbl_KPIMaster[Department],0)),"")</f>
        <v/>
      </c>
      <c r="G299" s="8" t="n">
        <v>0</v>
      </c>
      <c r="H299" s="9">
        <f>IFERROR(IF(INDEX(Tbl_KPIMaster[Direction],MATCH($D299,Tbl_KPIMaster[Department],0))="Lower is Better",IF($G299=0,1,IF($F299=0,0,$F299/$G299)),IF($F299=0,1,$G299/$F299)),0)</f>
        <v/>
      </c>
      <c r="I299" s="8">
        <f>IF($H299&gt;=1,"Green",IF($H299&gt;=0.85,"Amber","Red"))</f>
        <v/>
      </c>
      <c r="J299" s="10" t="inlineStr">
        <is>
          <t>Process improvement in progress</t>
        </is>
      </c>
    </row>
    <row r="300">
      <c r="A300" s="11" t="n">
        <v>46212</v>
      </c>
      <c r="B300" s="12">
        <f>IF($A300="","",TEXT($A300,"mmm-yyyy"))</f>
        <v/>
      </c>
      <c r="C300" s="12">
        <f>IF($A300="","","W"&amp;WEEKNUM($A300,2))</f>
        <v/>
      </c>
      <c r="D300" s="12" t="inlineStr">
        <is>
          <t>Production</t>
        </is>
      </c>
      <c r="E300" s="12">
        <f>IFERROR(INDEX(Tbl_KPIMaster[KPI Name],MATCH($D300,Tbl_KPIMaster[Department],0)),"")</f>
        <v/>
      </c>
      <c r="F300" s="12">
        <f>IFERROR(INDEX(Tbl_KPIMaster[Target],MATCH($D300,Tbl_KPIMaster[Department],0)),"")</f>
        <v/>
      </c>
      <c r="G300" s="12" t="n">
        <v>672.49</v>
      </c>
      <c r="H300" s="13">
        <f>IFERROR(IF(INDEX(Tbl_KPIMaster[Direction],MATCH($D300,Tbl_KPIMaster[Department],0))="Lower is Better",IF($G300=0,1,IF($F300=0,0,$F300/$G300)),IF($F300=0,1,$G300/$F300)),0)</f>
        <v/>
      </c>
      <c r="I300" s="12">
        <f>IF($H300&gt;=1,"Green",IF($H300&gt;=0.85,"Amber","Red"))</f>
        <v/>
      </c>
      <c r="J300" s="14" t="inlineStr">
        <is>
          <t>Awaiting spares</t>
        </is>
      </c>
    </row>
    <row r="301">
      <c r="A301" s="7" t="n">
        <v>46212</v>
      </c>
      <c r="B301" s="8">
        <f>IF($A301="","",TEXT($A301,"mmm-yyyy"))</f>
        <v/>
      </c>
      <c r="C301" s="8">
        <f>IF($A301="","","W"&amp;WEEKNUM($A301,2))</f>
        <v/>
      </c>
      <c r="D301" s="8" t="inlineStr">
        <is>
          <t>Quality</t>
        </is>
      </c>
      <c r="E301" s="8">
        <f>IFERROR(INDEX(Tbl_KPIMaster[KPI Name],MATCH($D301,Tbl_KPIMaster[Department],0)),"")</f>
        <v/>
      </c>
      <c r="F301" s="8">
        <f>IFERROR(INDEX(Tbl_KPIMaster[Target],MATCH($D301,Tbl_KPIMaster[Department],0)),"")</f>
        <v/>
      </c>
      <c r="G301" s="8" t="n">
        <v>0.019</v>
      </c>
      <c r="H301" s="9">
        <f>IFERROR(IF(INDEX(Tbl_KPIMaster[Direction],MATCH($D301,Tbl_KPIMaster[Department],0))="Lower is Better",IF($G301=0,1,IF($F301=0,0,$F301/$G301)),IF($F301=0,1,$G301/$F301)),0)</f>
        <v/>
      </c>
      <c r="I301" s="8">
        <f>IF($H301&gt;=1,"Green",IF($H301&gt;=0.85,"Amber","Red"))</f>
        <v/>
      </c>
      <c r="J301" s="10" t="inlineStr">
        <is>
          <t>Line changeover impact</t>
        </is>
      </c>
    </row>
    <row r="302">
      <c r="A302" s="11" t="n">
        <v>46212</v>
      </c>
      <c r="B302" s="12">
        <f>IF($A302="","",TEXT($A302,"mmm-yyyy"))</f>
        <v/>
      </c>
      <c r="C302" s="12">
        <f>IF($A302="","","W"&amp;WEEKNUM($A302,2))</f>
        <v/>
      </c>
      <c r="D302" s="12" t="inlineStr">
        <is>
          <t>Maintenance</t>
        </is>
      </c>
      <c r="E302" s="12">
        <f>IFERROR(INDEX(Tbl_KPIMaster[KPI Name],MATCH($D302,Tbl_KPIMaster[Department],0)),"")</f>
        <v/>
      </c>
      <c r="F302" s="12">
        <f>IFERROR(INDEX(Tbl_KPIMaster[Target],MATCH($D302,Tbl_KPIMaster[Department],0)),"")</f>
        <v/>
      </c>
      <c r="G302" s="12" t="n">
        <v>1.15</v>
      </c>
      <c r="H302" s="13">
        <f>IFERROR(IF(INDEX(Tbl_KPIMaster[Direction],MATCH($D302,Tbl_KPIMaster[Department],0))="Lower is Better",IF($G302=0,1,IF($F302=0,0,$F302/$G302)),IF($F302=0,1,$G302/$F302)),0)</f>
        <v/>
      </c>
      <c r="I302" s="12">
        <f>IF($H302&gt;=1,"Green",IF($H302&gt;=0.85,"Amber","Red"))</f>
        <v/>
      </c>
      <c r="J302" s="14" t="inlineStr"/>
    </row>
    <row r="303">
      <c r="A303" s="7" t="n">
        <v>46212</v>
      </c>
      <c r="B303" s="8">
        <f>IF($A303="","",TEXT($A303,"mmm-yyyy"))</f>
        <v/>
      </c>
      <c r="C303" s="8">
        <f>IF($A303="","","W"&amp;WEEKNUM($A303,2))</f>
        <v/>
      </c>
      <c r="D303" s="8" t="inlineStr">
        <is>
          <t>Utilities</t>
        </is>
      </c>
      <c r="E303" s="8">
        <f>IFERROR(INDEX(Tbl_KPIMaster[KPI Name],MATCH($D303,Tbl_KPIMaster[Department],0)),"")</f>
        <v/>
      </c>
      <c r="F303" s="8">
        <f>IFERROR(INDEX(Tbl_KPIMaster[Target],MATCH($D303,Tbl_KPIMaster[Department],0)),"")</f>
        <v/>
      </c>
      <c r="G303" s="8" t="n">
        <v>4694.28</v>
      </c>
      <c r="H303" s="9">
        <f>IFERROR(IF(INDEX(Tbl_KPIMaster[Direction],MATCH($D303,Tbl_KPIMaster[Department],0))="Lower is Better",IF($G303=0,1,IF($F303=0,0,$F303/$G303)),IF($F303=0,1,$G303/$F303)),0)</f>
        <v/>
      </c>
      <c r="I303" s="8">
        <f>IF($H303&gt;=1,"Green",IF($H303&gt;=0.85,"Amber","Red"))</f>
        <v/>
      </c>
      <c r="J303" s="10" t="inlineStr">
        <is>
          <t>Within normal range</t>
        </is>
      </c>
    </row>
    <row r="304">
      <c r="A304" s="11" t="n">
        <v>46212</v>
      </c>
      <c r="B304" s="12">
        <f>IF($A304="","",TEXT($A304,"mmm-yyyy"))</f>
        <v/>
      </c>
      <c r="C304" s="12">
        <f>IF($A304="","","W"&amp;WEEKNUM($A304,2))</f>
        <v/>
      </c>
      <c r="D304" s="12" t="inlineStr">
        <is>
          <t>Warehouse</t>
        </is>
      </c>
      <c r="E304" s="12">
        <f>IFERROR(INDEX(Tbl_KPIMaster[KPI Name],MATCH($D304,Tbl_KPIMaster[Department],0)),"")</f>
        <v/>
      </c>
      <c r="F304" s="12">
        <f>IFERROR(INDEX(Tbl_KPIMaster[Target],MATCH($D304,Tbl_KPIMaster[Department],0)),"")</f>
        <v/>
      </c>
      <c r="G304" s="12" t="n">
        <v>1.0161</v>
      </c>
      <c r="H304" s="13">
        <f>IFERROR(IF(INDEX(Tbl_KPIMaster[Direction],MATCH($D304,Tbl_KPIMaster[Department],0))="Lower is Better",IF($G304=0,1,IF($F304=0,0,$F304/$G304)),IF($F304=0,1,$G304/$F304)),0)</f>
        <v/>
      </c>
      <c r="I304" s="12">
        <f>IF($H304&gt;=1,"Green",IF($H304&gt;=0.85,"Amber","Red"))</f>
        <v/>
      </c>
      <c r="J304" s="14" t="inlineStr">
        <is>
          <t>Within normal range</t>
        </is>
      </c>
    </row>
    <row r="305">
      <c r="A305" s="7" t="n">
        <v>46212</v>
      </c>
      <c r="B305" s="8">
        <f>IF($A305="","",TEXT($A305,"mmm-yyyy"))</f>
        <v/>
      </c>
      <c r="C305" s="8">
        <f>IF($A305="","","W"&amp;WEEKNUM($A305,2))</f>
        <v/>
      </c>
      <c r="D305" s="8" t="inlineStr">
        <is>
          <t>HR</t>
        </is>
      </c>
      <c r="E305" s="8">
        <f>IFERROR(INDEX(Tbl_KPIMaster[KPI Name],MATCH($D305,Tbl_KPIMaster[Department],0)),"")</f>
        <v/>
      </c>
      <c r="F305" s="8">
        <f>IFERROR(INDEX(Tbl_KPIMaster[Target],MATCH($D305,Tbl_KPIMaster[Department],0)),"")</f>
        <v/>
      </c>
      <c r="G305" s="8" t="n">
        <v>0.0315</v>
      </c>
      <c r="H305" s="9">
        <f>IFERROR(IF(INDEX(Tbl_KPIMaster[Direction],MATCH($D305,Tbl_KPIMaster[Department],0))="Lower is Better",IF($G305=0,1,IF($F305=0,0,$F305/$G305)),IF($F305=0,1,$G305/$F305)),0)</f>
        <v/>
      </c>
      <c r="I305" s="8">
        <f>IF($H305&gt;=1,"Green",IF($H305&gt;=0.85,"Amber","Red"))</f>
        <v/>
      </c>
      <c r="J305" s="10" t="inlineStr">
        <is>
          <t>Vendor delay</t>
        </is>
      </c>
    </row>
    <row r="306">
      <c r="A306" s="11" t="n">
        <v>46212</v>
      </c>
      <c r="B306" s="12">
        <f>IF($A306="","",TEXT($A306,"mmm-yyyy"))</f>
        <v/>
      </c>
      <c r="C306" s="12">
        <f>IF($A306="","","W"&amp;WEEKNUM($A306,2))</f>
        <v/>
      </c>
      <c r="D306" s="12" t="inlineStr">
        <is>
          <t>Engineering</t>
        </is>
      </c>
      <c r="E306" s="12">
        <f>IFERROR(INDEX(Tbl_KPIMaster[KPI Name],MATCH($D306,Tbl_KPIMaster[Department],0)),"")</f>
        <v/>
      </c>
      <c r="F306" s="12">
        <f>IFERROR(INDEX(Tbl_KPIMaster[Target],MATCH($D306,Tbl_KPIMaster[Department],0)),"")</f>
        <v/>
      </c>
      <c r="G306" s="12" t="n">
        <v>1.1308</v>
      </c>
      <c r="H306" s="13">
        <f>IFERROR(IF(INDEX(Tbl_KPIMaster[Direction],MATCH($D306,Tbl_KPIMaster[Department],0))="Lower is Better",IF($G306=0,1,IF($F306=0,0,$F306/$G306)),IF($F306=0,1,$G306/$F306)),0)</f>
        <v/>
      </c>
      <c r="I306" s="12">
        <f>IF($H306&gt;=1,"Green",IF($H306&gt;=0.85,"Amber","Red"))</f>
        <v/>
      </c>
      <c r="J306" s="14" t="inlineStr">
        <is>
          <t>Line changeover impact</t>
        </is>
      </c>
    </row>
    <row r="307">
      <c r="A307" s="7" t="n">
        <v>46213</v>
      </c>
      <c r="B307" s="8">
        <f>IF($A307="","",TEXT($A307,"mmm-yyyy"))</f>
        <v/>
      </c>
      <c r="C307" s="8">
        <f>IF($A307="","","W"&amp;WEEKNUM($A307,2))</f>
        <v/>
      </c>
      <c r="D307" s="8" t="inlineStr">
        <is>
          <t>Safety</t>
        </is>
      </c>
      <c r="E307" s="8">
        <f>IFERROR(INDEX(Tbl_KPIMaster[KPI Name],MATCH($D307,Tbl_KPIMaster[Department],0)),"")</f>
        <v/>
      </c>
      <c r="F307" s="8">
        <f>IFERROR(INDEX(Tbl_KPIMaster[Target],MATCH($D307,Tbl_KPIMaster[Department],0)),"")</f>
        <v/>
      </c>
      <c r="G307" s="8" t="n">
        <v>0</v>
      </c>
      <c r="H307" s="9">
        <f>IFERROR(IF(INDEX(Tbl_KPIMaster[Direction],MATCH($D307,Tbl_KPIMaster[Department],0))="Lower is Better",IF($G307=0,1,IF($F307=0,0,$F307/$G307)),IF($F307=0,1,$G307/$F307)),0)</f>
        <v/>
      </c>
      <c r="I307" s="8">
        <f>IF($H307&gt;=1,"Green",IF($H307&gt;=0.85,"Amber","Red"))</f>
        <v/>
      </c>
      <c r="J307" s="10" t="inlineStr">
        <is>
          <t>Awaiting spares</t>
        </is>
      </c>
    </row>
    <row r="308">
      <c r="A308" s="11" t="n">
        <v>46213</v>
      </c>
      <c r="B308" s="12">
        <f>IF($A308="","",TEXT($A308,"mmm-yyyy"))</f>
        <v/>
      </c>
      <c r="C308" s="12">
        <f>IF($A308="","","W"&amp;WEEKNUM($A308,2))</f>
        <v/>
      </c>
      <c r="D308" s="12" t="inlineStr">
        <is>
          <t>Production</t>
        </is>
      </c>
      <c r="E308" s="12">
        <f>IFERROR(INDEX(Tbl_KPIMaster[KPI Name],MATCH($D308,Tbl_KPIMaster[Department],0)),"")</f>
        <v/>
      </c>
      <c r="F308" s="12">
        <f>IFERROR(INDEX(Tbl_KPIMaster[Target],MATCH($D308,Tbl_KPIMaster[Department],0)),"")</f>
        <v/>
      </c>
      <c r="G308" s="12" t="n">
        <v>939.6799999999999</v>
      </c>
      <c r="H308" s="13">
        <f>IFERROR(IF(INDEX(Tbl_KPIMaster[Direction],MATCH($D308,Tbl_KPIMaster[Department],0))="Lower is Better",IF($G308=0,1,IF($F308=0,0,$F308/$G308)),IF($F308=0,1,$G308/$F308)),0)</f>
        <v/>
      </c>
      <c r="I308" s="12">
        <f>IF($H308&gt;=1,"Green",IF($H308&gt;=0.85,"Amber","Red"))</f>
        <v/>
      </c>
      <c r="J308" s="14" t="inlineStr">
        <is>
          <t>Line changeover impact</t>
        </is>
      </c>
    </row>
    <row r="309">
      <c r="A309" s="7" t="n">
        <v>46213</v>
      </c>
      <c r="B309" s="8">
        <f>IF($A309="","",TEXT($A309,"mmm-yyyy"))</f>
        <v/>
      </c>
      <c r="C309" s="8">
        <f>IF($A309="","","W"&amp;WEEKNUM($A309,2))</f>
        <v/>
      </c>
      <c r="D309" s="8" t="inlineStr">
        <is>
          <t>Quality</t>
        </is>
      </c>
      <c r="E309" s="8">
        <f>IFERROR(INDEX(Tbl_KPIMaster[KPI Name],MATCH($D309,Tbl_KPIMaster[Department],0)),"")</f>
        <v/>
      </c>
      <c r="F309" s="8">
        <f>IFERROR(INDEX(Tbl_KPIMaster[Target],MATCH($D309,Tbl_KPIMaster[Department],0)),"")</f>
        <v/>
      </c>
      <c r="G309" s="8" t="n">
        <v>0.0215</v>
      </c>
      <c r="H309" s="9">
        <f>IFERROR(IF(INDEX(Tbl_KPIMaster[Direction],MATCH($D309,Tbl_KPIMaster[Department],0))="Lower is Better",IF($G309=0,1,IF($F309=0,0,$F309/$G309)),IF($F309=0,1,$G309/$F309)),0)</f>
        <v/>
      </c>
      <c r="I309" s="8">
        <f>IF($H309&gt;=1,"Green",IF($H309&gt;=0.85,"Amber","Red"))</f>
        <v/>
      </c>
      <c r="J309" s="10" t="inlineStr">
        <is>
          <t>Within normal range</t>
        </is>
      </c>
    </row>
    <row r="310">
      <c r="A310" s="11" t="n">
        <v>46213</v>
      </c>
      <c r="B310" s="12">
        <f>IF($A310="","",TEXT($A310,"mmm-yyyy"))</f>
        <v/>
      </c>
      <c r="C310" s="12">
        <f>IF($A310="","","W"&amp;WEEKNUM($A310,2))</f>
        <v/>
      </c>
      <c r="D310" s="12" t="inlineStr">
        <is>
          <t>Maintenance</t>
        </is>
      </c>
      <c r="E310" s="12">
        <f>IFERROR(INDEX(Tbl_KPIMaster[KPI Name],MATCH($D310,Tbl_KPIMaster[Department],0)),"")</f>
        <v/>
      </c>
      <c r="F310" s="12">
        <f>IFERROR(INDEX(Tbl_KPIMaster[Target],MATCH($D310,Tbl_KPIMaster[Department],0)),"")</f>
        <v/>
      </c>
      <c r="G310" s="12" t="n">
        <v>1.05</v>
      </c>
      <c r="H310" s="13">
        <f>IFERROR(IF(INDEX(Tbl_KPIMaster[Direction],MATCH($D310,Tbl_KPIMaster[Department],0))="Lower is Better",IF($G310=0,1,IF($F310=0,0,$F310/$G310)),IF($F310=0,1,$G310/$F310)),0)</f>
        <v/>
      </c>
      <c r="I310" s="12">
        <f>IF($H310&gt;=1,"Green",IF($H310&gt;=0.85,"Amber","Red"))</f>
        <v/>
      </c>
      <c r="J310" s="14" t="inlineStr">
        <is>
          <t>Process improvement in progress</t>
        </is>
      </c>
    </row>
    <row r="311">
      <c r="A311" s="7" t="n">
        <v>46213</v>
      </c>
      <c r="B311" s="8">
        <f>IF($A311="","",TEXT($A311,"mmm-yyyy"))</f>
        <v/>
      </c>
      <c r="C311" s="8">
        <f>IF($A311="","","W"&amp;WEEKNUM($A311,2))</f>
        <v/>
      </c>
      <c r="D311" s="8" t="inlineStr">
        <is>
          <t>Utilities</t>
        </is>
      </c>
      <c r="E311" s="8">
        <f>IFERROR(INDEX(Tbl_KPIMaster[KPI Name],MATCH($D311,Tbl_KPIMaster[Department],0)),"")</f>
        <v/>
      </c>
      <c r="F311" s="8">
        <f>IFERROR(INDEX(Tbl_KPIMaster[Target],MATCH($D311,Tbl_KPIMaster[Department],0)),"")</f>
        <v/>
      </c>
      <c r="G311" s="8" t="n">
        <v>5182.48</v>
      </c>
      <c r="H311" s="9">
        <f>IFERROR(IF(INDEX(Tbl_KPIMaster[Direction],MATCH($D311,Tbl_KPIMaster[Department],0))="Lower is Better",IF($G311=0,1,IF($F311=0,0,$F311/$G311)),IF($F311=0,1,$G311/$F311)),0)</f>
        <v/>
      </c>
      <c r="I311" s="8">
        <f>IF($H311&gt;=1,"Green",IF($H311&gt;=0.85,"Amber","Red"))</f>
        <v/>
      </c>
      <c r="J311" s="10" t="inlineStr">
        <is>
          <t>Vendor delay</t>
        </is>
      </c>
    </row>
    <row r="312">
      <c r="A312" s="11" t="n">
        <v>46213</v>
      </c>
      <c r="B312" s="12">
        <f>IF($A312="","",TEXT($A312,"mmm-yyyy"))</f>
        <v/>
      </c>
      <c r="C312" s="12">
        <f>IF($A312="","","W"&amp;WEEKNUM($A312,2))</f>
        <v/>
      </c>
      <c r="D312" s="12" t="inlineStr">
        <is>
          <t>Warehouse</t>
        </is>
      </c>
      <c r="E312" s="12">
        <f>IFERROR(INDEX(Tbl_KPIMaster[KPI Name],MATCH($D312,Tbl_KPIMaster[Department],0)),"")</f>
        <v/>
      </c>
      <c r="F312" s="12">
        <f>IFERROR(INDEX(Tbl_KPIMaster[Target],MATCH($D312,Tbl_KPIMaster[Department],0)),"")</f>
        <v/>
      </c>
      <c r="G312" s="12" t="n">
        <v>0.8266</v>
      </c>
      <c r="H312" s="13">
        <f>IFERROR(IF(INDEX(Tbl_KPIMaster[Direction],MATCH($D312,Tbl_KPIMaster[Department],0))="Lower is Better",IF($G312=0,1,IF($F312=0,0,$F312/$G312)),IF($F312=0,1,$G312/$F312)),0)</f>
        <v/>
      </c>
      <c r="I312" s="12">
        <f>IF($H312&gt;=1,"Green",IF($H312&gt;=0.85,"Amber","Red"))</f>
        <v/>
      </c>
      <c r="J312" s="14" t="inlineStr">
        <is>
          <t>Within normal range</t>
        </is>
      </c>
    </row>
    <row r="313">
      <c r="A313" s="7" t="n">
        <v>46213</v>
      </c>
      <c r="B313" s="8">
        <f>IF($A313="","",TEXT($A313,"mmm-yyyy"))</f>
        <v/>
      </c>
      <c r="C313" s="8">
        <f>IF($A313="","","W"&amp;WEEKNUM($A313,2))</f>
        <v/>
      </c>
      <c r="D313" s="8" t="inlineStr">
        <is>
          <t>HR</t>
        </is>
      </c>
      <c r="E313" s="8">
        <f>IFERROR(INDEX(Tbl_KPIMaster[KPI Name],MATCH($D313,Tbl_KPIMaster[Department],0)),"")</f>
        <v/>
      </c>
      <c r="F313" s="8">
        <f>IFERROR(INDEX(Tbl_KPIMaster[Target],MATCH($D313,Tbl_KPIMaster[Department],0)),"")</f>
        <v/>
      </c>
      <c r="G313" s="8" t="n">
        <v>0.0265</v>
      </c>
      <c r="H313" s="9">
        <f>IFERROR(IF(INDEX(Tbl_KPIMaster[Direction],MATCH($D313,Tbl_KPIMaster[Department],0))="Lower is Better",IF($G313=0,1,IF($F313=0,0,$F313/$G313)),IF($F313=0,1,$G313/$F313)),0)</f>
        <v/>
      </c>
      <c r="I313" s="8">
        <f>IF($H313&gt;=1,"Green",IF($H313&gt;=0.85,"Amber","Red"))</f>
        <v/>
      </c>
      <c r="J313" s="10" t="inlineStr">
        <is>
          <t>Line changeover impact</t>
        </is>
      </c>
    </row>
    <row r="314">
      <c r="A314" s="11" t="n">
        <v>46213</v>
      </c>
      <c r="B314" s="12">
        <f>IF($A314="","",TEXT($A314,"mmm-yyyy"))</f>
        <v/>
      </c>
      <c r="C314" s="12">
        <f>IF($A314="","","W"&amp;WEEKNUM($A314,2))</f>
        <v/>
      </c>
      <c r="D314" s="12" t="inlineStr">
        <is>
          <t>Engineering</t>
        </is>
      </c>
      <c r="E314" s="12">
        <f>IFERROR(INDEX(Tbl_KPIMaster[KPI Name],MATCH($D314,Tbl_KPIMaster[Department],0)),"")</f>
        <v/>
      </c>
      <c r="F314" s="12">
        <f>IFERROR(INDEX(Tbl_KPIMaster[Target],MATCH($D314,Tbl_KPIMaster[Department],0)),"")</f>
        <v/>
      </c>
      <c r="G314" s="12" t="n">
        <v>0.8841</v>
      </c>
      <c r="H314" s="13">
        <f>IFERROR(IF(INDEX(Tbl_KPIMaster[Direction],MATCH($D314,Tbl_KPIMaster[Department],0))="Lower is Better",IF($G314=0,1,IF($F314=0,0,$F314/$G314)),IF($F314=0,1,$G314/$F314)),0)</f>
        <v/>
      </c>
      <c r="I314" s="12">
        <f>IF($H314&gt;=1,"Green",IF($H314&gt;=0.85,"Amber","Red"))</f>
        <v/>
      </c>
      <c r="J314" s="14" t="inlineStr">
        <is>
          <t>Line changeover impact</t>
        </is>
      </c>
    </row>
    <row r="315">
      <c r="A315" s="7" t="n">
        <v>46214</v>
      </c>
      <c r="B315" s="8">
        <f>IF($A315="","",TEXT($A315,"mmm-yyyy"))</f>
        <v/>
      </c>
      <c r="C315" s="8">
        <f>IF($A315="","","W"&amp;WEEKNUM($A315,2))</f>
        <v/>
      </c>
      <c r="D315" s="8" t="inlineStr">
        <is>
          <t>Safety</t>
        </is>
      </c>
      <c r="E315" s="8">
        <f>IFERROR(INDEX(Tbl_KPIMaster[KPI Name],MATCH($D315,Tbl_KPIMaster[Department],0)),"")</f>
        <v/>
      </c>
      <c r="F315" s="8">
        <f>IFERROR(INDEX(Tbl_KPIMaster[Target],MATCH($D315,Tbl_KPIMaster[Department],0)),"")</f>
        <v/>
      </c>
      <c r="G315" s="8" t="n">
        <v>1</v>
      </c>
      <c r="H315" s="9">
        <f>IFERROR(IF(INDEX(Tbl_KPIMaster[Direction],MATCH($D315,Tbl_KPIMaster[Department],0))="Lower is Better",IF($G315=0,1,IF($F315=0,0,$F315/$G315)),IF($F315=0,1,$G315/$F315)),0)</f>
        <v/>
      </c>
      <c r="I315" s="8">
        <f>IF($H315&gt;=1,"Green",IF($H315&gt;=0.85,"Amber","Red"))</f>
        <v/>
      </c>
      <c r="J315" s="10" t="inlineStr">
        <is>
          <t>Manpower shortage</t>
        </is>
      </c>
    </row>
    <row r="316">
      <c r="A316" s="11" t="n">
        <v>46214</v>
      </c>
      <c r="B316" s="12">
        <f>IF($A316="","",TEXT($A316,"mmm-yyyy"))</f>
        <v/>
      </c>
      <c r="C316" s="12">
        <f>IF($A316="","","W"&amp;WEEKNUM($A316,2))</f>
        <v/>
      </c>
      <c r="D316" s="12" t="inlineStr">
        <is>
          <t>Production</t>
        </is>
      </c>
      <c r="E316" s="12">
        <f>IFERROR(INDEX(Tbl_KPIMaster[KPI Name],MATCH($D316,Tbl_KPIMaster[Department],0)),"")</f>
        <v/>
      </c>
      <c r="F316" s="12">
        <f>IFERROR(INDEX(Tbl_KPIMaster[Target],MATCH($D316,Tbl_KPIMaster[Department],0)),"")</f>
        <v/>
      </c>
      <c r="G316" s="12" t="n">
        <v>1309.71</v>
      </c>
      <c r="H316" s="13">
        <f>IFERROR(IF(INDEX(Tbl_KPIMaster[Direction],MATCH($D316,Tbl_KPIMaster[Department],0))="Lower is Better",IF($G316=0,1,IF($F316=0,0,$F316/$G316)),IF($F316=0,1,$G316/$F316)),0)</f>
        <v/>
      </c>
      <c r="I316" s="12">
        <f>IF($H316&gt;=1,"Green",IF($H316&gt;=0.85,"Amber","Red"))</f>
        <v/>
      </c>
      <c r="J316" s="14" t="inlineStr">
        <is>
          <t>Vendor delay</t>
        </is>
      </c>
    </row>
    <row r="317">
      <c r="A317" s="7" t="n">
        <v>46214</v>
      </c>
      <c r="B317" s="8">
        <f>IF($A317="","",TEXT($A317,"mmm-yyyy"))</f>
        <v/>
      </c>
      <c r="C317" s="8">
        <f>IF($A317="","","W"&amp;WEEKNUM($A317,2))</f>
        <v/>
      </c>
      <c r="D317" s="8" t="inlineStr">
        <is>
          <t>Quality</t>
        </is>
      </c>
      <c r="E317" s="8">
        <f>IFERROR(INDEX(Tbl_KPIMaster[KPI Name],MATCH($D317,Tbl_KPIMaster[Department],0)),"")</f>
        <v/>
      </c>
      <c r="F317" s="8">
        <f>IFERROR(INDEX(Tbl_KPIMaster[Target],MATCH($D317,Tbl_KPIMaster[Department],0)),"")</f>
        <v/>
      </c>
      <c r="G317" s="8" t="n">
        <v>0.0167</v>
      </c>
      <c r="H317" s="9">
        <f>IFERROR(IF(INDEX(Tbl_KPIMaster[Direction],MATCH($D317,Tbl_KPIMaster[Department],0))="Lower is Better",IF($G317=0,1,IF($F317=0,0,$F317/$G317)),IF($F317=0,1,$G317/$F317)),0)</f>
        <v/>
      </c>
      <c r="I317" s="8">
        <f>IF($H317&gt;=1,"Green",IF($H317&gt;=0.85,"Amber","Red"))</f>
        <v/>
      </c>
      <c r="J317" s="10" t="inlineStr"/>
    </row>
    <row r="318">
      <c r="A318" s="11" t="n">
        <v>46214</v>
      </c>
      <c r="B318" s="12">
        <f>IF($A318="","",TEXT($A318,"mmm-yyyy"))</f>
        <v/>
      </c>
      <c r="C318" s="12">
        <f>IF($A318="","","W"&amp;WEEKNUM($A318,2))</f>
        <v/>
      </c>
      <c r="D318" s="12" t="inlineStr">
        <is>
          <t>Maintenance</t>
        </is>
      </c>
      <c r="E318" s="12">
        <f>IFERROR(INDEX(Tbl_KPIMaster[KPI Name],MATCH($D318,Tbl_KPIMaster[Department],0)),"")</f>
        <v/>
      </c>
      <c r="F318" s="12">
        <f>IFERROR(INDEX(Tbl_KPIMaster[Target],MATCH($D318,Tbl_KPIMaster[Department],0)),"")</f>
        <v/>
      </c>
      <c r="G318" s="12" t="n">
        <v>0.83</v>
      </c>
      <c r="H318" s="13">
        <f>IFERROR(IF(INDEX(Tbl_KPIMaster[Direction],MATCH($D318,Tbl_KPIMaster[Department],0))="Lower is Better",IF($G318=0,1,IF($F318=0,0,$F318/$G318)),IF($F318=0,1,$G318/$F318)),0)</f>
        <v/>
      </c>
      <c r="I318" s="12">
        <f>IF($H318&gt;=1,"Green",IF($H318&gt;=0.85,"Amber","Red"))</f>
        <v/>
      </c>
      <c r="J318" s="14" t="inlineStr">
        <is>
          <t>Preventive check done</t>
        </is>
      </c>
    </row>
    <row r="319">
      <c r="A319" s="7" t="n">
        <v>46214</v>
      </c>
      <c r="B319" s="8">
        <f>IF($A319="","",TEXT($A319,"mmm-yyyy"))</f>
        <v/>
      </c>
      <c r="C319" s="8">
        <f>IF($A319="","","W"&amp;WEEKNUM($A319,2))</f>
        <v/>
      </c>
      <c r="D319" s="8" t="inlineStr">
        <is>
          <t>Utilities</t>
        </is>
      </c>
      <c r="E319" s="8">
        <f>IFERROR(INDEX(Tbl_KPIMaster[KPI Name],MATCH($D319,Tbl_KPIMaster[Department],0)),"")</f>
        <v/>
      </c>
      <c r="F319" s="8">
        <f>IFERROR(INDEX(Tbl_KPIMaster[Target],MATCH($D319,Tbl_KPIMaster[Department],0)),"")</f>
        <v/>
      </c>
      <c r="G319" s="8" t="n">
        <v>4505.3</v>
      </c>
      <c r="H319" s="9">
        <f>IFERROR(IF(INDEX(Tbl_KPIMaster[Direction],MATCH($D319,Tbl_KPIMaster[Department],0))="Lower is Better",IF($G319=0,1,IF($F319=0,0,$F319/$G319)),IF($F319=0,1,$G319/$F319)),0)</f>
        <v/>
      </c>
      <c r="I319" s="8">
        <f>IF($H319&gt;=1,"Green",IF($H319&gt;=0.85,"Amber","Red"))</f>
        <v/>
      </c>
      <c r="J319" s="10" t="inlineStr">
        <is>
          <t>Vendor delay</t>
        </is>
      </c>
    </row>
    <row r="320">
      <c r="A320" s="11" t="n">
        <v>46214</v>
      </c>
      <c r="B320" s="12">
        <f>IF($A320="","",TEXT($A320,"mmm-yyyy"))</f>
        <v/>
      </c>
      <c r="C320" s="12">
        <f>IF($A320="","","W"&amp;WEEKNUM($A320,2))</f>
        <v/>
      </c>
      <c r="D320" s="12" t="inlineStr">
        <is>
          <t>Warehouse</t>
        </is>
      </c>
      <c r="E320" s="12">
        <f>IFERROR(INDEX(Tbl_KPIMaster[KPI Name],MATCH($D320,Tbl_KPIMaster[Department],0)),"")</f>
        <v/>
      </c>
      <c r="F320" s="12">
        <f>IFERROR(INDEX(Tbl_KPIMaster[Target],MATCH($D320,Tbl_KPIMaster[Department],0)),"")</f>
        <v/>
      </c>
      <c r="G320" s="12" t="n">
        <v>1.0652</v>
      </c>
      <c r="H320" s="13">
        <f>IFERROR(IF(INDEX(Tbl_KPIMaster[Direction],MATCH($D320,Tbl_KPIMaster[Department],0))="Lower is Better",IF($G320=0,1,IF($F320=0,0,$F320/$G320)),IF($F320=0,1,$G320/$F320)),0)</f>
        <v/>
      </c>
      <c r="I320" s="12">
        <f>IF($H320&gt;=1,"Green",IF($H320&gt;=0.85,"Amber","Red"))</f>
        <v/>
      </c>
      <c r="J320" s="14" t="inlineStr">
        <is>
          <t>Manpower shortage</t>
        </is>
      </c>
    </row>
    <row r="321">
      <c r="A321" s="7" t="n">
        <v>46214</v>
      </c>
      <c r="B321" s="8">
        <f>IF($A321="","",TEXT($A321,"mmm-yyyy"))</f>
        <v/>
      </c>
      <c r="C321" s="8">
        <f>IF($A321="","","W"&amp;WEEKNUM($A321,2))</f>
        <v/>
      </c>
      <c r="D321" s="8" t="inlineStr">
        <is>
          <t>HR</t>
        </is>
      </c>
      <c r="E321" s="8">
        <f>IFERROR(INDEX(Tbl_KPIMaster[KPI Name],MATCH($D321,Tbl_KPIMaster[Department],0)),"")</f>
        <v/>
      </c>
      <c r="F321" s="8">
        <f>IFERROR(INDEX(Tbl_KPIMaster[Target],MATCH($D321,Tbl_KPIMaster[Department],0)),"")</f>
        <v/>
      </c>
      <c r="G321" s="8" t="n">
        <v>0.0342</v>
      </c>
      <c r="H321" s="9">
        <f>IFERROR(IF(INDEX(Tbl_KPIMaster[Direction],MATCH($D321,Tbl_KPIMaster[Department],0))="Lower is Better",IF($G321=0,1,IF($F321=0,0,$F321/$G321)),IF($F321=0,1,$G321/$F321)),0)</f>
        <v/>
      </c>
      <c r="I321" s="8">
        <f>IF($H321&gt;=1,"Green",IF($H321&gt;=0.85,"Amber","Red"))</f>
        <v/>
      </c>
      <c r="J321" s="10" t="inlineStr">
        <is>
          <t>Line changeover impact</t>
        </is>
      </c>
    </row>
    <row r="322">
      <c r="A322" s="11" t="n">
        <v>46214</v>
      </c>
      <c r="B322" s="12">
        <f>IF($A322="","",TEXT($A322,"mmm-yyyy"))</f>
        <v/>
      </c>
      <c r="C322" s="12">
        <f>IF($A322="","","W"&amp;WEEKNUM($A322,2))</f>
        <v/>
      </c>
      <c r="D322" s="12" t="inlineStr">
        <is>
          <t>Engineering</t>
        </is>
      </c>
      <c r="E322" s="12">
        <f>IFERROR(INDEX(Tbl_KPIMaster[KPI Name],MATCH($D322,Tbl_KPIMaster[Department],0)),"")</f>
        <v/>
      </c>
      <c r="F322" s="12">
        <f>IFERROR(INDEX(Tbl_KPIMaster[Target],MATCH($D322,Tbl_KPIMaster[Department],0)),"")</f>
        <v/>
      </c>
      <c r="G322" s="12" t="n">
        <v>0.7215</v>
      </c>
      <c r="H322" s="13">
        <f>IFERROR(IF(INDEX(Tbl_KPIMaster[Direction],MATCH($D322,Tbl_KPIMaster[Department],0))="Lower is Better",IF($G322=0,1,IF($F322=0,0,$F322/$G322)),IF($F322=0,1,$G322/$F322)),0)</f>
        <v/>
      </c>
      <c r="I322" s="12">
        <f>IF($H322&gt;=1,"Green",IF($H322&gt;=0.85,"Amber","Red"))</f>
        <v/>
      </c>
      <c r="J322" s="14" t="inlineStr">
        <is>
          <t>Awaiting spares</t>
        </is>
      </c>
    </row>
    <row r="323">
      <c r="A323" s="7" t="n">
        <v>46215</v>
      </c>
      <c r="B323" s="8">
        <f>IF($A323="","",TEXT($A323,"mmm-yyyy"))</f>
        <v/>
      </c>
      <c r="C323" s="8">
        <f>IF($A323="","","W"&amp;WEEKNUM($A323,2))</f>
        <v/>
      </c>
      <c r="D323" s="8" t="inlineStr">
        <is>
          <t>Safety</t>
        </is>
      </c>
      <c r="E323" s="8">
        <f>IFERROR(INDEX(Tbl_KPIMaster[KPI Name],MATCH($D323,Tbl_KPIMaster[Department],0)),"")</f>
        <v/>
      </c>
      <c r="F323" s="8">
        <f>IFERROR(INDEX(Tbl_KPIMaster[Target],MATCH($D323,Tbl_KPIMaster[Department],0)),"")</f>
        <v/>
      </c>
      <c r="G323" s="8" t="n">
        <v>1</v>
      </c>
      <c r="H323" s="9">
        <f>IFERROR(IF(INDEX(Tbl_KPIMaster[Direction],MATCH($D323,Tbl_KPIMaster[Department],0))="Lower is Better",IF($G323=0,1,IF($F323=0,0,$F323/$G323)),IF($F323=0,1,$G323/$F323)),0)</f>
        <v/>
      </c>
      <c r="I323" s="8">
        <f>IF($H323&gt;=1,"Green",IF($H323&gt;=0.85,"Amber","Red"))</f>
        <v/>
      </c>
      <c r="J323" s="10" t="inlineStr">
        <is>
          <t>Preventive check done</t>
        </is>
      </c>
    </row>
    <row r="324">
      <c r="A324" s="11" t="n">
        <v>46215</v>
      </c>
      <c r="B324" s="12">
        <f>IF($A324="","",TEXT($A324,"mmm-yyyy"))</f>
        <v/>
      </c>
      <c r="C324" s="12">
        <f>IF($A324="","","W"&amp;WEEKNUM($A324,2))</f>
        <v/>
      </c>
      <c r="D324" s="12" t="inlineStr">
        <is>
          <t>Production</t>
        </is>
      </c>
      <c r="E324" s="12">
        <f>IFERROR(INDEX(Tbl_KPIMaster[KPI Name],MATCH($D324,Tbl_KPIMaster[Department],0)),"")</f>
        <v/>
      </c>
      <c r="F324" s="12">
        <f>IFERROR(INDEX(Tbl_KPIMaster[Target],MATCH($D324,Tbl_KPIMaster[Department],0)),"")</f>
        <v/>
      </c>
      <c r="G324" s="12" t="n">
        <v>753.0599999999999</v>
      </c>
      <c r="H324" s="13">
        <f>IFERROR(IF(INDEX(Tbl_KPIMaster[Direction],MATCH($D324,Tbl_KPIMaster[Department],0))="Lower is Better",IF($G324=0,1,IF($F324=0,0,$F324/$G324)),IF($F324=0,1,$G324/$F324)),0)</f>
        <v/>
      </c>
      <c r="I324" s="12">
        <f>IF($H324&gt;=1,"Green",IF($H324&gt;=0.85,"Amber","Red"))</f>
        <v/>
      </c>
      <c r="J324" s="14" t="inlineStr">
        <is>
          <t>Vendor delay</t>
        </is>
      </c>
    </row>
    <row r="325">
      <c r="A325" s="7" t="n">
        <v>46215</v>
      </c>
      <c r="B325" s="8">
        <f>IF($A325="","",TEXT($A325,"mmm-yyyy"))</f>
        <v/>
      </c>
      <c r="C325" s="8">
        <f>IF($A325="","","W"&amp;WEEKNUM($A325,2))</f>
        <v/>
      </c>
      <c r="D325" s="8" t="inlineStr">
        <is>
          <t>Quality</t>
        </is>
      </c>
      <c r="E325" s="8">
        <f>IFERROR(INDEX(Tbl_KPIMaster[KPI Name],MATCH($D325,Tbl_KPIMaster[Department],0)),"")</f>
        <v/>
      </c>
      <c r="F325" s="8">
        <f>IFERROR(INDEX(Tbl_KPIMaster[Target],MATCH($D325,Tbl_KPIMaster[Department],0)),"")</f>
        <v/>
      </c>
      <c r="G325" s="8" t="n">
        <v>0.0224</v>
      </c>
      <c r="H325" s="9">
        <f>IFERROR(IF(INDEX(Tbl_KPIMaster[Direction],MATCH($D325,Tbl_KPIMaster[Department],0))="Lower is Better",IF($G325=0,1,IF($F325=0,0,$F325/$G325)),IF($F325=0,1,$G325/$F325)),0)</f>
        <v/>
      </c>
      <c r="I325" s="8">
        <f>IF($H325&gt;=1,"Green",IF($H325&gt;=0.85,"Amber","Red"))</f>
        <v/>
      </c>
      <c r="J325" s="10" t="inlineStr">
        <is>
          <t>Awaiting spares</t>
        </is>
      </c>
    </row>
    <row r="326">
      <c r="A326" s="11" t="n">
        <v>46215</v>
      </c>
      <c r="B326" s="12">
        <f>IF($A326="","",TEXT($A326,"mmm-yyyy"))</f>
        <v/>
      </c>
      <c r="C326" s="12">
        <f>IF($A326="","","W"&amp;WEEKNUM($A326,2))</f>
        <v/>
      </c>
      <c r="D326" s="12" t="inlineStr">
        <is>
          <t>Maintenance</t>
        </is>
      </c>
      <c r="E326" s="12">
        <f>IFERROR(INDEX(Tbl_KPIMaster[KPI Name],MATCH($D326,Tbl_KPIMaster[Department],0)),"")</f>
        <v/>
      </c>
      <c r="F326" s="12">
        <f>IFERROR(INDEX(Tbl_KPIMaster[Target],MATCH($D326,Tbl_KPIMaster[Department],0)),"")</f>
        <v/>
      </c>
      <c r="G326" s="12" t="n">
        <v>1</v>
      </c>
      <c r="H326" s="13">
        <f>IFERROR(IF(INDEX(Tbl_KPIMaster[Direction],MATCH($D326,Tbl_KPIMaster[Department],0))="Lower is Better",IF($G326=0,1,IF($F326=0,0,$F326/$G326)),IF($F326=0,1,$G326/$F326)),0)</f>
        <v/>
      </c>
      <c r="I326" s="12">
        <f>IF($H326&gt;=1,"Green",IF($H326&gt;=0.85,"Amber","Red"))</f>
        <v/>
      </c>
      <c r="J326" s="14" t="inlineStr">
        <is>
          <t>Preventive check done</t>
        </is>
      </c>
    </row>
    <row r="327">
      <c r="A327" s="7" t="n">
        <v>46215</v>
      </c>
      <c r="B327" s="8">
        <f>IF($A327="","",TEXT($A327,"mmm-yyyy"))</f>
        <v/>
      </c>
      <c r="C327" s="8">
        <f>IF($A327="","","W"&amp;WEEKNUM($A327,2))</f>
        <v/>
      </c>
      <c r="D327" s="8" t="inlineStr">
        <is>
          <t>Utilities</t>
        </is>
      </c>
      <c r="E327" s="8">
        <f>IFERROR(INDEX(Tbl_KPIMaster[KPI Name],MATCH($D327,Tbl_KPIMaster[Department],0)),"")</f>
        <v/>
      </c>
      <c r="F327" s="8">
        <f>IFERROR(INDEX(Tbl_KPIMaster[Target],MATCH($D327,Tbl_KPIMaster[Department],0)),"")</f>
        <v/>
      </c>
      <c r="G327" s="8" t="n">
        <v>5389.45</v>
      </c>
      <c r="H327" s="9">
        <f>IFERROR(IF(INDEX(Tbl_KPIMaster[Direction],MATCH($D327,Tbl_KPIMaster[Department],0))="Lower is Better",IF($G327=0,1,IF($F327=0,0,$F327/$G327)),IF($F327=0,1,$G327/$F327)),0)</f>
        <v/>
      </c>
      <c r="I327" s="8">
        <f>IF($H327&gt;=1,"Green",IF($H327&gt;=0.85,"Amber","Red"))</f>
        <v/>
      </c>
      <c r="J327" s="10" t="inlineStr"/>
    </row>
    <row r="328">
      <c r="A328" s="11" t="n">
        <v>46215</v>
      </c>
      <c r="B328" s="12">
        <f>IF($A328="","",TEXT($A328,"mmm-yyyy"))</f>
        <v/>
      </c>
      <c r="C328" s="12">
        <f>IF($A328="","","W"&amp;WEEKNUM($A328,2))</f>
        <v/>
      </c>
      <c r="D328" s="12" t="inlineStr">
        <is>
          <t>Warehouse</t>
        </is>
      </c>
      <c r="E328" s="12">
        <f>IFERROR(INDEX(Tbl_KPIMaster[KPI Name],MATCH($D328,Tbl_KPIMaster[Department],0)),"")</f>
        <v/>
      </c>
      <c r="F328" s="12">
        <f>IFERROR(INDEX(Tbl_KPIMaster[Target],MATCH($D328,Tbl_KPIMaster[Department],0)),"")</f>
        <v/>
      </c>
      <c r="G328" s="12" t="n">
        <v>0.7094</v>
      </c>
      <c r="H328" s="13">
        <f>IFERROR(IF(INDEX(Tbl_KPIMaster[Direction],MATCH($D328,Tbl_KPIMaster[Department],0))="Lower is Better",IF($G328=0,1,IF($F328=0,0,$F328/$G328)),IF($F328=0,1,$G328/$F328)),0)</f>
        <v/>
      </c>
      <c r="I328" s="12">
        <f>IF($H328&gt;=1,"Green",IF($H328&gt;=0.85,"Amber","Red"))</f>
        <v/>
      </c>
      <c r="J328" s="14" t="inlineStr">
        <is>
          <t>Vendor delay</t>
        </is>
      </c>
    </row>
    <row r="329">
      <c r="A329" s="7" t="n">
        <v>46215</v>
      </c>
      <c r="B329" s="8">
        <f>IF($A329="","",TEXT($A329,"mmm-yyyy"))</f>
        <v/>
      </c>
      <c r="C329" s="8">
        <f>IF($A329="","","W"&amp;WEEKNUM($A329,2))</f>
        <v/>
      </c>
      <c r="D329" s="8" t="inlineStr">
        <is>
          <t>HR</t>
        </is>
      </c>
      <c r="E329" s="8">
        <f>IFERROR(INDEX(Tbl_KPIMaster[KPI Name],MATCH($D329,Tbl_KPIMaster[Department],0)),"")</f>
        <v/>
      </c>
      <c r="F329" s="8">
        <f>IFERROR(INDEX(Tbl_KPIMaster[Target],MATCH($D329,Tbl_KPIMaster[Department],0)),"")</f>
        <v/>
      </c>
      <c r="G329" s="8" t="n">
        <v>0.0362</v>
      </c>
      <c r="H329" s="9">
        <f>IFERROR(IF(INDEX(Tbl_KPIMaster[Direction],MATCH($D329,Tbl_KPIMaster[Department],0))="Lower is Better",IF($G329=0,1,IF($F329=0,0,$F329/$G329)),IF($F329=0,1,$G329/$F329)),0)</f>
        <v/>
      </c>
      <c r="I329" s="8">
        <f>IF($H329&gt;=1,"Green",IF($H329&gt;=0.85,"Amber","Red"))</f>
        <v/>
      </c>
      <c r="J329" s="10" t="inlineStr">
        <is>
          <t>Preventive check done</t>
        </is>
      </c>
    </row>
    <row r="330">
      <c r="A330" s="11" t="n">
        <v>46215</v>
      </c>
      <c r="B330" s="12">
        <f>IF($A330="","",TEXT($A330,"mmm-yyyy"))</f>
        <v/>
      </c>
      <c r="C330" s="12">
        <f>IF($A330="","","W"&amp;WEEKNUM($A330,2))</f>
        <v/>
      </c>
      <c r="D330" s="12" t="inlineStr">
        <is>
          <t>Engineering</t>
        </is>
      </c>
      <c r="E330" s="12">
        <f>IFERROR(INDEX(Tbl_KPIMaster[KPI Name],MATCH($D330,Tbl_KPIMaster[Department],0)),"")</f>
        <v/>
      </c>
      <c r="F330" s="12">
        <f>IFERROR(INDEX(Tbl_KPIMaster[Target],MATCH($D330,Tbl_KPIMaster[Department],0)),"")</f>
        <v/>
      </c>
      <c r="G330" s="12" t="n">
        <v>1.0083</v>
      </c>
      <c r="H330" s="13">
        <f>IFERROR(IF(INDEX(Tbl_KPIMaster[Direction],MATCH($D330,Tbl_KPIMaster[Department],0))="Lower is Better",IF($G330=0,1,IF($F330=0,0,$F330/$G330)),IF($F330=0,1,$G330/$F330)),0)</f>
        <v/>
      </c>
      <c r="I330" s="12">
        <f>IF($H330&gt;=1,"Green",IF($H330&gt;=0.85,"Amber","Red"))</f>
        <v/>
      </c>
      <c r="J330" s="14" t="inlineStr"/>
    </row>
    <row r="331">
      <c r="A331" s="7" t="n">
        <v>46216</v>
      </c>
      <c r="B331" s="8">
        <f>IF($A331="","",TEXT($A331,"mmm-yyyy"))</f>
        <v/>
      </c>
      <c r="C331" s="8">
        <f>IF($A331="","","W"&amp;WEEKNUM($A331,2))</f>
        <v/>
      </c>
      <c r="D331" s="8" t="inlineStr">
        <is>
          <t>Safety</t>
        </is>
      </c>
      <c r="E331" s="8">
        <f>IFERROR(INDEX(Tbl_KPIMaster[KPI Name],MATCH($D331,Tbl_KPIMaster[Department],0)),"")</f>
        <v/>
      </c>
      <c r="F331" s="8">
        <f>IFERROR(INDEX(Tbl_KPIMaster[Target],MATCH($D331,Tbl_KPIMaster[Department],0)),"")</f>
        <v/>
      </c>
      <c r="G331" s="8" t="n">
        <v>0</v>
      </c>
      <c r="H331" s="9">
        <f>IFERROR(IF(INDEX(Tbl_KPIMaster[Direction],MATCH($D331,Tbl_KPIMaster[Department],0))="Lower is Better",IF($G331=0,1,IF($F331=0,0,$F331/$G331)),IF($F331=0,1,$G331/$F331)),0)</f>
        <v/>
      </c>
      <c r="I331" s="8">
        <f>IF($H331&gt;=1,"Green",IF($H331&gt;=0.85,"Amber","Red"))</f>
        <v/>
      </c>
      <c r="J331" s="10" t="inlineStr">
        <is>
          <t>Manpower shortage</t>
        </is>
      </c>
    </row>
    <row r="332">
      <c r="A332" s="11" t="n">
        <v>46216</v>
      </c>
      <c r="B332" s="12">
        <f>IF($A332="","",TEXT($A332,"mmm-yyyy"))</f>
        <v/>
      </c>
      <c r="C332" s="12">
        <f>IF($A332="","","W"&amp;WEEKNUM($A332,2))</f>
        <v/>
      </c>
      <c r="D332" s="12" t="inlineStr">
        <is>
          <t>Production</t>
        </is>
      </c>
      <c r="E332" s="12">
        <f>IFERROR(INDEX(Tbl_KPIMaster[KPI Name],MATCH($D332,Tbl_KPIMaster[Department],0)),"")</f>
        <v/>
      </c>
      <c r="F332" s="12">
        <f>IFERROR(INDEX(Tbl_KPIMaster[Target],MATCH($D332,Tbl_KPIMaster[Department],0)),"")</f>
        <v/>
      </c>
      <c r="G332" s="12" t="n">
        <v>829.47</v>
      </c>
      <c r="H332" s="13">
        <f>IFERROR(IF(INDEX(Tbl_KPIMaster[Direction],MATCH($D332,Tbl_KPIMaster[Department],0))="Lower is Better",IF($G332=0,1,IF($F332=0,0,$F332/$G332)),IF($F332=0,1,$G332/$F332)),0)</f>
        <v/>
      </c>
      <c r="I332" s="12">
        <f>IF($H332&gt;=1,"Green",IF($H332&gt;=0.85,"Amber","Red"))</f>
        <v/>
      </c>
      <c r="J332" s="14" t="inlineStr">
        <is>
          <t>Preventive check done</t>
        </is>
      </c>
    </row>
    <row r="333">
      <c r="A333" s="7" t="n">
        <v>46216</v>
      </c>
      <c r="B333" s="8">
        <f>IF($A333="","",TEXT($A333,"mmm-yyyy"))</f>
        <v/>
      </c>
      <c r="C333" s="8">
        <f>IF($A333="","","W"&amp;WEEKNUM($A333,2))</f>
        <v/>
      </c>
      <c r="D333" s="8" t="inlineStr">
        <is>
          <t>Quality</t>
        </is>
      </c>
      <c r="E333" s="8">
        <f>IFERROR(INDEX(Tbl_KPIMaster[KPI Name],MATCH($D333,Tbl_KPIMaster[Department],0)),"")</f>
        <v/>
      </c>
      <c r="F333" s="8">
        <f>IFERROR(INDEX(Tbl_KPIMaster[Target],MATCH($D333,Tbl_KPIMaster[Department],0)),"")</f>
        <v/>
      </c>
      <c r="G333" s="8" t="n">
        <v>0.0194</v>
      </c>
      <c r="H333" s="9">
        <f>IFERROR(IF(INDEX(Tbl_KPIMaster[Direction],MATCH($D333,Tbl_KPIMaster[Department],0))="Lower is Better",IF($G333=0,1,IF($F333=0,0,$F333/$G333)),IF($F333=0,1,$G333/$F333)),0)</f>
        <v/>
      </c>
      <c r="I333" s="8">
        <f>IF($H333&gt;=1,"Green",IF($H333&gt;=0.85,"Amber","Red"))</f>
        <v/>
      </c>
      <c r="J333" s="10" t="inlineStr">
        <is>
          <t>Manpower shortage</t>
        </is>
      </c>
    </row>
    <row r="334">
      <c r="A334" s="11" t="n">
        <v>46216</v>
      </c>
      <c r="B334" s="12">
        <f>IF($A334="","",TEXT($A334,"mmm-yyyy"))</f>
        <v/>
      </c>
      <c r="C334" s="12">
        <f>IF($A334="","","W"&amp;WEEKNUM($A334,2))</f>
        <v/>
      </c>
      <c r="D334" s="12" t="inlineStr">
        <is>
          <t>Maintenance</t>
        </is>
      </c>
      <c r="E334" s="12">
        <f>IFERROR(INDEX(Tbl_KPIMaster[KPI Name],MATCH($D334,Tbl_KPIMaster[Department],0)),"")</f>
        <v/>
      </c>
      <c r="F334" s="12">
        <f>IFERROR(INDEX(Tbl_KPIMaster[Target],MATCH($D334,Tbl_KPIMaster[Department],0)),"")</f>
        <v/>
      </c>
      <c r="G334" s="12" t="n">
        <v>0.99</v>
      </c>
      <c r="H334" s="13">
        <f>IFERROR(IF(INDEX(Tbl_KPIMaster[Direction],MATCH($D334,Tbl_KPIMaster[Department],0))="Lower is Better",IF($G334=0,1,IF($F334=0,0,$F334/$G334)),IF($F334=0,1,$G334/$F334)),0)</f>
        <v/>
      </c>
      <c r="I334" s="12">
        <f>IF($H334&gt;=1,"Green",IF($H334&gt;=0.85,"Amber","Red"))</f>
        <v/>
      </c>
      <c r="J334" s="14" t="inlineStr">
        <is>
          <t>Awaiting spares</t>
        </is>
      </c>
    </row>
    <row r="335">
      <c r="A335" s="7" t="n">
        <v>46216</v>
      </c>
      <c r="B335" s="8">
        <f>IF($A335="","",TEXT($A335,"mmm-yyyy"))</f>
        <v/>
      </c>
      <c r="C335" s="8">
        <f>IF($A335="","","W"&amp;WEEKNUM($A335,2))</f>
        <v/>
      </c>
      <c r="D335" s="8" t="inlineStr">
        <is>
          <t>Utilities</t>
        </is>
      </c>
      <c r="E335" s="8">
        <f>IFERROR(INDEX(Tbl_KPIMaster[KPI Name],MATCH($D335,Tbl_KPIMaster[Department],0)),"")</f>
        <v/>
      </c>
      <c r="F335" s="8">
        <f>IFERROR(INDEX(Tbl_KPIMaster[Target],MATCH($D335,Tbl_KPIMaster[Department],0)),"")</f>
        <v/>
      </c>
      <c r="G335" s="8" t="n">
        <v>5181.31</v>
      </c>
      <c r="H335" s="9">
        <f>IFERROR(IF(INDEX(Tbl_KPIMaster[Direction],MATCH($D335,Tbl_KPIMaster[Department],0))="Lower is Better",IF($G335=0,1,IF($F335=0,0,$F335/$G335)),IF($F335=0,1,$G335/$F335)),0)</f>
        <v/>
      </c>
      <c r="I335" s="8">
        <f>IF($H335&gt;=1,"Green",IF($H335&gt;=0.85,"Amber","Red"))</f>
        <v/>
      </c>
      <c r="J335" s="10" t="inlineStr">
        <is>
          <t>Awaiting spares</t>
        </is>
      </c>
    </row>
    <row r="336">
      <c r="A336" s="11" t="n">
        <v>46216</v>
      </c>
      <c r="B336" s="12">
        <f>IF($A336="","",TEXT($A336,"mmm-yyyy"))</f>
        <v/>
      </c>
      <c r="C336" s="12">
        <f>IF($A336="","","W"&amp;WEEKNUM($A336,2))</f>
        <v/>
      </c>
      <c r="D336" s="12" t="inlineStr">
        <is>
          <t>Warehouse</t>
        </is>
      </c>
      <c r="E336" s="12">
        <f>IFERROR(INDEX(Tbl_KPIMaster[KPI Name],MATCH($D336,Tbl_KPIMaster[Department],0)),"")</f>
        <v/>
      </c>
      <c r="F336" s="12">
        <f>IFERROR(INDEX(Tbl_KPIMaster[Target],MATCH($D336,Tbl_KPIMaster[Department],0)),"")</f>
        <v/>
      </c>
      <c r="G336" s="12" t="n">
        <v>0.8708</v>
      </c>
      <c r="H336" s="13">
        <f>IFERROR(IF(INDEX(Tbl_KPIMaster[Direction],MATCH($D336,Tbl_KPIMaster[Department],0))="Lower is Better",IF($G336=0,1,IF($F336=0,0,$F336/$G336)),IF($F336=0,1,$G336/$F336)),0)</f>
        <v/>
      </c>
      <c r="I336" s="12">
        <f>IF($H336&gt;=1,"Green",IF($H336&gt;=0.85,"Amber","Red"))</f>
        <v/>
      </c>
      <c r="J336" s="14" t="inlineStr">
        <is>
          <t>Within normal range</t>
        </is>
      </c>
    </row>
    <row r="337">
      <c r="A337" s="7" t="n">
        <v>46216</v>
      </c>
      <c r="B337" s="8">
        <f>IF($A337="","",TEXT($A337,"mmm-yyyy"))</f>
        <v/>
      </c>
      <c r="C337" s="8">
        <f>IF($A337="","","W"&amp;WEEKNUM($A337,2))</f>
        <v/>
      </c>
      <c r="D337" s="8" t="inlineStr">
        <is>
          <t>HR</t>
        </is>
      </c>
      <c r="E337" s="8">
        <f>IFERROR(INDEX(Tbl_KPIMaster[KPI Name],MATCH($D337,Tbl_KPIMaster[Department],0)),"")</f>
        <v/>
      </c>
      <c r="F337" s="8">
        <f>IFERROR(INDEX(Tbl_KPIMaster[Target],MATCH($D337,Tbl_KPIMaster[Department],0)),"")</f>
        <v/>
      </c>
      <c r="G337" s="8" t="n">
        <v>0.0299</v>
      </c>
      <c r="H337" s="9">
        <f>IFERROR(IF(INDEX(Tbl_KPIMaster[Direction],MATCH($D337,Tbl_KPIMaster[Department],0))="Lower is Better",IF($G337=0,1,IF($F337=0,0,$F337/$G337)),IF($F337=0,1,$G337/$F337)),0)</f>
        <v/>
      </c>
      <c r="I337" s="8">
        <f>IF($H337&gt;=1,"Green",IF($H337&gt;=0.85,"Amber","Red"))</f>
        <v/>
      </c>
      <c r="J337" s="10" t="inlineStr">
        <is>
          <t>Manpower shortage</t>
        </is>
      </c>
    </row>
    <row r="338">
      <c r="A338" s="11" t="n">
        <v>46216</v>
      </c>
      <c r="B338" s="12">
        <f>IF($A338="","",TEXT($A338,"mmm-yyyy"))</f>
        <v/>
      </c>
      <c r="C338" s="12">
        <f>IF($A338="","","W"&amp;WEEKNUM($A338,2))</f>
        <v/>
      </c>
      <c r="D338" s="12" t="inlineStr">
        <is>
          <t>Engineering</t>
        </is>
      </c>
      <c r="E338" s="12">
        <f>IFERROR(INDEX(Tbl_KPIMaster[KPI Name],MATCH($D338,Tbl_KPIMaster[Department],0)),"")</f>
        <v/>
      </c>
      <c r="F338" s="12">
        <f>IFERROR(INDEX(Tbl_KPIMaster[Target],MATCH($D338,Tbl_KPIMaster[Department],0)),"")</f>
        <v/>
      </c>
      <c r="G338" s="12" t="n">
        <v>1.0536</v>
      </c>
      <c r="H338" s="13">
        <f>IFERROR(IF(INDEX(Tbl_KPIMaster[Direction],MATCH($D338,Tbl_KPIMaster[Department],0))="Lower is Better",IF($G338=0,1,IF($F338=0,0,$F338/$G338)),IF($F338=0,1,$G338/$F338)),0)</f>
        <v/>
      </c>
      <c r="I338" s="12">
        <f>IF($H338&gt;=1,"Green",IF($H338&gt;=0.85,"Amber","Red"))</f>
        <v/>
      </c>
      <c r="J338" s="14" t="inlineStr">
        <is>
          <t>Vendor delay</t>
        </is>
      </c>
    </row>
    <row r="339">
      <c r="A339" s="7" t="n">
        <v>46217</v>
      </c>
      <c r="B339" s="8">
        <f>IF($A339="","",TEXT($A339,"mmm-yyyy"))</f>
        <v/>
      </c>
      <c r="C339" s="8">
        <f>IF($A339="","","W"&amp;WEEKNUM($A339,2))</f>
        <v/>
      </c>
      <c r="D339" s="8" t="inlineStr">
        <is>
          <t>Safety</t>
        </is>
      </c>
      <c r="E339" s="8">
        <f>IFERROR(INDEX(Tbl_KPIMaster[KPI Name],MATCH($D339,Tbl_KPIMaster[Department],0)),"")</f>
        <v/>
      </c>
      <c r="F339" s="8">
        <f>IFERROR(INDEX(Tbl_KPIMaster[Target],MATCH($D339,Tbl_KPIMaster[Department],0)),"")</f>
        <v/>
      </c>
      <c r="G339" s="8" t="n">
        <v>3</v>
      </c>
      <c r="H339" s="9">
        <f>IFERROR(IF(INDEX(Tbl_KPIMaster[Direction],MATCH($D339,Tbl_KPIMaster[Department],0))="Lower is Better",IF($G339=0,1,IF($F339=0,0,$F339/$G339)),IF($F339=0,1,$G339/$F339)),0)</f>
        <v/>
      </c>
      <c r="I339" s="8">
        <f>IF($H339&gt;=1,"Green",IF($H339&gt;=0.85,"Amber","Red"))</f>
        <v/>
      </c>
      <c r="J339" s="10" t="inlineStr">
        <is>
          <t>Process improvement in progress</t>
        </is>
      </c>
    </row>
    <row r="340">
      <c r="A340" s="11" t="n">
        <v>46217</v>
      </c>
      <c r="B340" s="12">
        <f>IF($A340="","",TEXT($A340,"mmm-yyyy"))</f>
        <v/>
      </c>
      <c r="C340" s="12">
        <f>IF($A340="","","W"&amp;WEEKNUM($A340,2))</f>
        <v/>
      </c>
      <c r="D340" s="12" t="inlineStr">
        <is>
          <t>Production</t>
        </is>
      </c>
      <c r="E340" s="12">
        <f>IFERROR(INDEX(Tbl_KPIMaster[KPI Name],MATCH($D340,Tbl_KPIMaster[Department],0)),"")</f>
        <v/>
      </c>
      <c r="F340" s="12">
        <f>IFERROR(INDEX(Tbl_KPIMaster[Target],MATCH($D340,Tbl_KPIMaster[Department],0)),"")</f>
        <v/>
      </c>
      <c r="G340" s="12" t="n">
        <v>1062.59</v>
      </c>
      <c r="H340" s="13">
        <f>IFERROR(IF(INDEX(Tbl_KPIMaster[Direction],MATCH($D340,Tbl_KPIMaster[Department],0))="Lower is Better",IF($G340=0,1,IF($F340=0,0,$F340/$G340)),IF($F340=0,1,$G340/$F340)),0)</f>
        <v/>
      </c>
      <c r="I340" s="12">
        <f>IF($H340&gt;=1,"Green",IF($H340&gt;=0.85,"Amber","Red"))</f>
        <v/>
      </c>
      <c r="J340" s="14" t="inlineStr">
        <is>
          <t>Vendor delay</t>
        </is>
      </c>
    </row>
    <row r="341">
      <c r="A341" s="7" t="n">
        <v>46217</v>
      </c>
      <c r="B341" s="8">
        <f>IF($A341="","",TEXT($A341,"mmm-yyyy"))</f>
        <v/>
      </c>
      <c r="C341" s="8">
        <f>IF($A341="","","W"&amp;WEEKNUM($A341,2))</f>
        <v/>
      </c>
      <c r="D341" s="8" t="inlineStr">
        <is>
          <t>Quality</t>
        </is>
      </c>
      <c r="E341" s="8">
        <f>IFERROR(INDEX(Tbl_KPIMaster[KPI Name],MATCH($D341,Tbl_KPIMaster[Department],0)),"")</f>
        <v/>
      </c>
      <c r="F341" s="8">
        <f>IFERROR(INDEX(Tbl_KPIMaster[Target],MATCH($D341,Tbl_KPIMaster[Department],0)),"")</f>
        <v/>
      </c>
      <c r="G341" s="8" t="n">
        <v>0.0205</v>
      </c>
      <c r="H341" s="9">
        <f>IFERROR(IF(INDEX(Tbl_KPIMaster[Direction],MATCH($D341,Tbl_KPIMaster[Department],0))="Lower is Better",IF($G341=0,1,IF($F341=0,0,$F341/$G341)),IF($F341=0,1,$G341/$F341)),0)</f>
        <v/>
      </c>
      <c r="I341" s="8">
        <f>IF($H341&gt;=1,"Green",IF($H341&gt;=0.85,"Amber","Red"))</f>
        <v/>
      </c>
      <c r="J341" s="10" t="inlineStr">
        <is>
          <t>Preventive check done</t>
        </is>
      </c>
    </row>
    <row r="342">
      <c r="A342" s="11" t="n">
        <v>46217</v>
      </c>
      <c r="B342" s="12">
        <f>IF($A342="","",TEXT($A342,"mmm-yyyy"))</f>
        <v/>
      </c>
      <c r="C342" s="12">
        <f>IF($A342="","","W"&amp;WEEKNUM($A342,2))</f>
        <v/>
      </c>
      <c r="D342" s="12" t="inlineStr">
        <is>
          <t>Maintenance</t>
        </is>
      </c>
      <c r="E342" s="12">
        <f>IFERROR(INDEX(Tbl_KPIMaster[KPI Name],MATCH($D342,Tbl_KPIMaster[Department],0)),"")</f>
        <v/>
      </c>
      <c r="F342" s="12">
        <f>IFERROR(INDEX(Tbl_KPIMaster[Target],MATCH($D342,Tbl_KPIMaster[Department],0)),"")</f>
        <v/>
      </c>
      <c r="G342" s="12" t="n">
        <v>1.4</v>
      </c>
      <c r="H342" s="13">
        <f>IFERROR(IF(INDEX(Tbl_KPIMaster[Direction],MATCH($D342,Tbl_KPIMaster[Department],0))="Lower is Better",IF($G342=0,1,IF($F342=0,0,$F342/$G342)),IF($F342=0,1,$G342/$F342)),0)</f>
        <v/>
      </c>
      <c r="I342" s="12">
        <f>IF($H342&gt;=1,"Green",IF($H342&gt;=0.85,"Amber","Red"))</f>
        <v/>
      </c>
      <c r="J342" s="14" t="inlineStr">
        <is>
          <t>Awaiting spares</t>
        </is>
      </c>
    </row>
    <row r="343">
      <c r="A343" s="7" t="n">
        <v>46217</v>
      </c>
      <c r="B343" s="8">
        <f>IF($A343="","",TEXT($A343,"mmm-yyyy"))</f>
        <v/>
      </c>
      <c r="C343" s="8">
        <f>IF($A343="","","W"&amp;WEEKNUM($A343,2))</f>
        <v/>
      </c>
      <c r="D343" s="8" t="inlineStr">
        <is>
          <t>Utilities</t>
        </is>
      </c>
      <c r="E343" s="8">
        <f>IFERROR(INDEX(Tbl_KPIMaster[KPI Name],MATCH($D343,Tbl_KPIMaster[Department],0)),"")</f>
        <v/>
      </c>
      <c r="F343" s="8">
        <f>IFERROR(INDEX(Tbl_KPIMaster[Target],MATCH($D343,Tbl_KPIMaster[Department],0)),"")</f>
        <v/>
      </c>
      <c r="G343" s="8" t="n">
        <v>3176.86</v>
      </c>
      <c r="H343" s="9">
        <f>IFERROR(IF(INDEX(Tbl_KPIMaster[Direction],MATCH($D343,Tbl_KPIMaster[Department],0))="Lower is Better",IF($G343=0,1,IF($F343=0,0,$F343/$G343)),IF($F343=0,1,$G343/$F343)),0)</f>
        <v/>
      </c>
      <c r="I343" s="8">
        <f>IF($H343&gt;=1,"Green",IF($H343&gt;=0.85,"Amber","Red"))</f>
        <v/>
      </c>
      <c r="J343" s="10" t="inlineStr">
        <is>
          <t>Process improvement in progress</t>
        </is>
      </c>
    </row>
    <row r="344">
      <c r="A344" s="11" t="n">
        <v>46217</v>
      </c>
      <c r="B344" s="12">
        <f>IF($A344="","",TEXT($A344,"mmm-yyyy"))</f>
        <v/>
      </c>
      <c r="C344" s="12">
        <f>IF($A344="","","W"&amp;WEEKNUM($A344,2))</f>
        <v/>
      </c>
      <c r="D344" s="12" t="inlineStr">
        <is>
          <t>Warehouse</t>
        </is>
      </c>
      <c r="E344" s="12">
        <f>IFERROR(INDEX(Tbl_KPIMaster[KPI Name],MATCH($D344,Tbl_KPIMaster[Department],0)),"")</f>
        <v/>
      </c>
      <c r="F344" s="12">
        <f>IFERROR(INDEX(Tbl_KPIMaster[Target],MATCH($D344,Tbl_KPIMaster[Department],0)),"")</f>
        <v/>
      </c>
      <c r="G344" s="12" t="n">
        <v>1.0204</v>
      </c>
      <c r="H344" s="13">
        <f>IFERROR(IF(INDEX(Tbl_KPIMaster[Direction],MATCH($D344,Tbl_KPIMaster[Department],0))="Lower is Better",IF($G344=0,1,IF($F344=0,0,$F344/$G344)),IF($F344=0,1,$G344/$F344)),0)</f>
        <v/>
      </c>
      <c r="I344" s="12">
        <f>IF($H344&gt;=1,"Green",IF($H344&gt;=0.85,"Amber","Red"))</f>
        <v/>
      </c>
      <c r="J344" s="14" t="inlineStr">
        <is>
          <t>Vendor delay</t>
        </is>
      </c>
    </row>
    <row r="345">
      <c r="A345" s="7" t="n">
        <v>46217</v>
      </c>
      <c r="B345" s="8">
        <f>IF($A345="","",TEXT($A345,"mmm-yyyy"))</f>
        <v/>
      </c>
      <c r="C345" s="8">
        <f>IF($A345="","","W"&amp;WEEKNUM($A345,2))</f>
        <v/>
      </c>
      <c r="D345" s="8" t="inlineStr">
        <is>
          <t>HR</t>
        </is>
      </c>
      <c r="E345" s="8">
        <f>IFERROR(INDEX(Tbl_KPIMaster[KPI Name],MATCH($D345,Tbl_KPIMaster[Department],0)),"")</f>
        <v/>
      </c>
      <c r="F345" s="8">
        <f>IFERROR(INDEX(Tbl_KPIMaster[Target],MATCH($D345,Tbl_KPIMaster[Department],0)),"")</f>
        <v/>
      </c>
      <c r="G345" s="8" t="n">
        <v>0.0274</v>
      </c>
      <c r="H345" s="9">
        <f>IFERROR(IF(INDEX(Tbl_KPIMaster[Direction],MATCH($D345,Tbl_KPIMaster[Department],0))="Lower is Better",IF($G345=0,1,IF($F345=0,0,$F345/$G345)),IF($F345=0,1,$G345/$F345)),0)</f>
        <v/>
      </c>
      <c r="I345" s="8">
        <f>IF($H345&gt;=1,"Green",IF($H345&gt;=0.85,"Amber","Red"))</f>
        <v/>
      </c>
      <c r="J345" s="10" t="inlineStr">
        <is>
          <t>Preventive check done</t>
        </is>
      </c>
    </row>
    <row r="346">
      <c r="A346" s="11" t="n">
        <v>46217</v>
      </c>
      <c r="B346" s="12">
        <f>IF($A346="","",TEXT($A346,"mmm-yyyy"))</f>
        <v/>
      </c>
      <c r="C346" s="12">
        <f>IF($A346="","","W"&amp;WEEKNUM($A346,2))</f>
        <v/>
      </c>
      <c r="D346" s="12" t="inlineStr">
        <is>
          <t>Engineering</t>
        </is>
      </c>
      <c r="E346" s="12">
        <f>IFERROR(INDEX(Tbl_KPIMaster[KPI Name],MATCH($D346,Tbl_KPIMaster[Department],0)),"")</f>
        <v/>
      </c>
      <c r="F346" s="12">
        <f>IFERROR(INDEX(Tbl_KPIMaster[Target],MATCH($D346,Tbl_KPIMaster[Department],0)),"")</f>
        <v/>
      </c>
      <c r="G346" s="12" t="n">
        <v>0.9122</v>
      </c>
      <c r="H346" s="13">
        <f>IFERROR(IF(INDEX(Tbl_KPIMaster[Direction],MATCH($D346,Tbl_KPIMaster[Department],0))="Lower is Better",IF($G346=0,1,IF($F346=0,0,$F346/$G346)),IF($F346=0,1,$G346/$F346)),0)</f>
        <v/>
      </c>
      <c r="I346" s="12">
        <f>IF($H346&gt;=1,"Green",IF($H346&gt;=0.85,"Amber","Red"))</f>
        <v/>
      </c>
      <c r="J346" s="14" t="inlineStr">
        <is>
          <t>Line changeover impact</t>
        </is>
      </c>
    </row>
    <row r="347">
      <c r="A347" s="7" t="n">
        <v>46218</v>
      </c>
      <c r="B347" s="8">
        <f>IF($A347="","",TEXT($A347,"mmm-yyyy"))</f>
        <v/>
      </c>
      <c r="C347" s="8">
        <f>IF($A347="","","W"&amp;WEEKNUM($A347,2))</f>
        <v/>
      </c>
      <c r="D347" s="8" t="inlineStr">
        <is>
          <t>Safety</t>
        </is>
      </c>
      <c r="E347" s="8">
        <f>IFERROR(INDEX(Tbl_KPIMaster[KPI Name],MATCH($D347,Tbl_KPIMaster[Department],0)),"")</f>
        <v/>
      </c>
      <c r="F347" s="8">
        <f>IFERROR(INDEX(Tbl_KPIMaster[Target],MATCH($D347,Tbl_KPIMaster[Department],0)),"")</f>
        <v/>
      </c>
      <c r="G347" s="8" t="n">
        <v>0</v>
      </c>
      <c r="H347" s="9">
        <f>IFERROR(IF(INDEX(Tbl_KPIMaster[Direction],MATCH($D347,Tbl_KPIMaster[Department],0))="Lower is Better",IF($G347=0,1,IF($F347=0,0,$F347/$G347)),IF($F347=0,1,$G347/$F347)),0)</f>
        <v/>
      </c>
      <c r="I347" s="8">
        <f>IF($H347&gt;=1,"Green",IF($H347&gt;=0.85,"Amber","Red"))</f>
        <v/>
      </c>
      <c r="J347" s="10" t="inlineStr">
        <is>
          <t>Within normal range</t>
        </is>
      </c>
    </row>
    <row r="348">
      <c r="A348" s="11" t="n">
        <v>46218</v>
      </c>
      <c r="B348" s="12">
        <f>IF($A348="","",TEXT($A348,"mmm-yyyy"))</f>
        <v/>
      </c>
      <c r="C348" s="12">
        <f>IF($A348="","","W"&amp;WEEKNUM($A348,2))</f>
        <v/>
      </c>
      <c r="D348" s="12" t="inlineStr">
        <is>
          <t>Production</t>
        </is>
      </c>
      <c r="E348" s="12">
        <f>IFERROR(INDEX(Tbl_KPIMaster[KPI Name],MATCH($D348,Tbl_KPIMaster[Department],0)),"")</f>
        <v/>
      </c>
      <c r="F348" s="12">
        <f>IFERROR(INDEX(Tbl_KPIMaster[Target],MATCH($D348,Tbl_KPIMaster[Department],0)),"")</f>
        <v/>
      </c>
      <c r="G348" s="12" t="n">
        <v>901.3</v>
      </c>
      <c r="H348" s="13">
        <f>IFERROR(IF(INDEX(Tbl_KPIMaster[Direction],MATCH($D348,Tbl_KPIMaster[Department],0))="Lower is Better",IF($G348=0,1,IF($F348=0,0,$F348/$G348)),IF($F348=0,1,$G348/$F348)),0)</f>
        <v/>
      </c>
      <c r="I348" s="12">
        <f>IF($H348&gt;=1,"Green",IF($H348&gt;=0.85,"Amber","Red"))</f>
        <v/>
      </c>
      <c r="J348" s="14" t="inlineStr">
        <is>
          <t>Awaiting spares</t>
        </is>
      </c>
    </row>
    <row r="349">
      <c r="A349" s="7" t="n">
        <v>46218</v>
      </c>
      <c r="B349" s="8">
        <f>IF($A349="","",TEXT($A349,"mmm-yyyy"))</f>
        <v/>
      </c>
      <c r="C349" s="8">
        <f>IF($A349="","","W"&amp;WEEKNUM($A349,2))</f>
        <v/>
      </c>
      <c r="D349" s="8" t="inlineStr">
        <is>
          <t>Quality</t>
        </is>
      </c>
      <c r="E349" s="8">
        <f>IFERROR(INDEX(Tbl_KPIMaster[KPI Name],MATCH($D349,Tbl_KPIMaster[Department],0)),"")</f>
        <v/>
      </c>
      <c r="F349" s="8">
        <f>IFERROR(INDEX(Tbl_KPIMaster[Target],MATCH($D349,Tbl_KPIMaster[Department],0)),"")</f>
        <v/>
      </c>
      <c r="G349" s="8" t="n">
        <v>0.0189</v>
      </c>
      <c r="H349" s="9">
        <f>IFERROR(IF(INDEX(Tbl_KPIMaster[Direction],MATCH($D349,Tbl_KPIMaster[Department],0))="Lower is Better",IF($G349=0,1,IF($F349=0,0,$F349/$G349)),IF($F349=0,1,$G349/$F349)),0)</f>
        <v/>
      </c>
      <c r="I349" s="8">
        <f>IF($H349&gt;=1,"Green",IF($H349&gt;=0.85,"Amber","Red"))</f>
        <v/>
      </c>
      <c r="J349" s="10" t="inlineStr"/>
    </row>
    <row r="350">
      <c r="A350" s="11" t="n">
        <v>46218</v>
      </c>
      <c r="B350" s="12">
        <f>IF($A350="","",TEXT($A350,"mmm-yyyy"))</f>
        <v/>
      </c>
      <c r="C350" s="12">
        <f>IF($A350="","","W"&amp;WEEKNUM($A350,2))</f>
        <v/>
      </c>
      <c r="D350" s="12" t="inlineStr">
        <is>
          <t>Maintenance</t>
        </is>
      </c>
      <c r="E350" s="12">
        <f>IFERROR(INDEX(Tbl_KPIMaster[KPI Name],MATCH($D350,Tbl_KPIMaster[Department],0)),"")</f>
        <v/>
      </c>
      <c r="F350" s="12">
        <f>IFERROR(INDEX(Tbl_KPIMaster[Target],MATCH($D350,Tbl_KPIMaster[Department],0)),"")</f>
        <v/>
      </c>
      <c r="G350" s="12" t="n">
        <v>0.89</v>
      </c>
      <c r="H350" s="13">
        <f>IFERROR(IF(INDEX(Tbl_KPIMaster[Direction],MATCH($D350,Tbl_KPIMaster[Department],0))="Lower is Better",IF($G350=0,1,IF($F350=0,0,$F350/$G350)),IF($F350=0,1,$G350/$F350)),0)</f>
        <v/>
      </c>
      <c r="I350" s="12">
        <f>IF($H350&gt;=1,"Green",IF($H350&gt;=0.85,"Amber","Red"))</f>
        <v/>
      </c>
      <c r="J350" s="14" t="inlineStr">
        <is>
          <t>Line changeover impact</t>
        </is>
      </c>
    </row>
    <row r="351">
      <c r="A351" s="7" t="n">
        <v>46218</v>
      </c>
      <c r="B351" s="8">
        <f>IF($A351="","",TEXT($A351,"mmm-yyyy"))</f>
        <v/>
      </c>
      <c r="C351" s="8">
        <f>IF($A351="","","W"&amp;WEEKNUM($A351,2))</f>
        <v/>
      </c>
      <c r="D351" s="8" t="inlineStr">
        <is>
          <t>Utilities</t>
        </is>
      </c>
      <c r="E351" s="8">
        <f>IFERROR(INDEX(Tbl_KPIMaster[KPI Name],MATCH($D351,Tbl_KPIMaster[Department],0)),"")</f>
        <v/>
      </c>
      <c r="F351" s="8">
        <f>IFERROR(INDEX(Tbl_KPIMaster[Target],MATCH($D351,Tbl_KPIMaster[Department],0)),"")</f>
        <v/>
      </c>
      <c r="G351" s="8" t="n">
        <v>4845.26</v>
      </c>
      <c r="H351" s="9">
        <f>IFERROR(IF(INDEX(Tbl_KPIMaster[Direction],MATCH($D351,Tbl_KPIMaster[Department],0))="Lower is Better",IF($G351=0,1,IF($F351=0,0,$F351/$G351)),IF($F351=0,1,$G351/$F351)),0)</f>
        <v/>
      </c>
      <c r="I351" s="8">
        <f>IF($H351&gt;=1,"Green",IF($H351&gt;=0.85,"Amber","Red"))</f>
        <v/>
      </c>
      <c r="J351" s="10" t="inlineStr">
        <is>
          <t>Preventive check done</t>
        </is>
      </c>
    </row>
    <row r="352">
      <c r="A352" s="11" t="n">
        <v>46218</v>
      </c>
      <c r="B352" s="12">
        <f>IF($A352="","",TEXT($A352,"mmm-yyyy"))</f>
        <v/>
      </c>
      <c r="C352" s="12">
        <f>IF($A352="","","W"&amp;WEEKNUM($A352,2))</f>
        <v/>
      </c>
      <c r="D352" s="12" t="inlineStr">
        <is>
          <t>Warehouse</t>
        </is>
      </c>
      <c r="E352" s="12">
        <f>IFERROR(INDEX(Tbl_KPIMaster[KPI Name],MATCH($D352,Tbl_KPIMaster[Department],0)),"")</f>
        <v/>
      </c>
      <c r="F352" s="12">
        <f>IFERROR(INDEX(Tbl_KPIMaster[Target],MATCH($D352,Tbl_KPIMaster[Department],0)),"")</f>
        <v/>
      </c>
      <c r="G352" s="12" t="n">
        <v>0.913</v>
      </c>
      <c r="H352" s="13">
        <f>IFERROR(IF(INDEX(Tbl_KPIMaster[Direction],MATCH($D352,Tbl_KPIMaster[Department],0))="Lower is Better",IF($G352=0,1,IF($F352=0,0,$F352/$G352)),IF($F352=0,1,$G352/$F352)),0)</f>
        <v/>
      </c>
      <c r="I352" s="12">
        <f>IF($H352&gt;=1,"Green",IF($H352&gt;=0.85,"Amber","Red"))</f>
        <v/>
      </c>
      <c r="J352" s="14" t="inlineStr">
        <is>
          <t>Process improvement in progress</t>
        </is>
      </c>
    </row>
    <row r="353">
      <c r="A353" s="7" t="n">
        <v>46218</v>
      </c>
      <c r="B353" s="8">
        <f>IF($A353="","",TEXT($A353,"mmm-yyyy"))</f>
        <v/>
      </c>
      <c r="C353" s="8">
        <f>IF($A353="","","W"&amp;WEEKNUM($A353,2))</f>
        <v/>
      </c>
      <c r="D353" s="8" t="inlineStr">
        <is>
          <t>HR</t>
        </is>
      </c>
      <c r="E353" s="8">
        <f>IFERROR(INDEX(Tbl_KPIMaster[KPI Name],MATCH($D353,Tbl_KPIMaster[Department],0)),"")</f>
        <v/>
      </c>
      <c r="F353" s="8">
        <f>IFERROR(INDEX(Tbl_KPIMaster[Target],MATCH($D353,Tbl_KPIMaster[Department],0)),"")</f>
        <v/>
      </c>
      <c r="G353" s="8" t="n">
        <v>0.0252</v>
      </c>
      <c r="H353" s="9">
        <f>IFERROR(IF(INDEX(Tbl_KPIMaster[Direction],MATCH($D353,Tbl_KPIMaster[Department],0))="Lower is Better",IF($G353=0,1,IF($F353=0,0,$F353/$G353)),IF($F353=0,1,$G353/$F353)),0)</f>
        <v/>
      </c>
      <c r="I353" s="8">
        <f>IF($H353&gt;=1,"Green",IF($H353&gt;=0.85,"Amber","Red"))</f>
        <v/>
      </c>
      <c r="J353" s="10" t="inlineStr">
        <is>
          <t>Awaiting spares</t>
        </is>
      </c>
    </row>
    <row r="354">
      <c r="A354" s="11" t="n">
        <v>46218</v>
      </c>
      <c r="B354" s="12">
        <f>IF($A354="","",TEXT($A354,"mmm-yyyy"))</f>
        <v/>
      </c>
      <c r="C354" s="12">
        <f>IF($A354="","","W"&amp;WEEKNUM($A354,2))</f>
        <v/>
      </c>
      <c r="D354" s="12" t="inlineStr">
        <is>
          <t>Engineering</t>
        </is>
      </c>
      <c r="E354" s="12">
        <f>IFERROR(INDEX(Tbl_KPIMaster[KPI Name],MATCH($D354,Tbl_KPIMaster[Department],0)),"")</f>
        <v/>
      </c>
      <c r="F354" s="12">
        <f>IFERROR(INDEX(Tbl_KPIMaster[Target],MATCH($D354,Tbl_KPIMaster[Department],0)),"")</f>
        <v/>
      </c>
      <c r="G354" s="12" t="n">
        <v>0.9782999999999999</v>
      </c>
      <c r="H354" s="13">
        <f>IFERROR(IF(INDEX(Tbl_KPIMaster[Direction],MATCH($D354,Tbl_KPIMaster[Department],0))="Lower is Better",IF($G354=0,1,IF($F354=0,0,$F354/$G354)),IF($F354=0,1,$G354/$F354)),0)</f>
        <v/>
      </c>
      <c r="I354" s="12">
        <f>IF($H354&gt;=1,"Green",IF($H354&gt;=0.85,"Amber","Red"))</f>
        <v/>
      </c>
      <c r="J354" s="14" t="inlineStr">
        <is>
          <t>Preventive check done</t>
        </is>
      </c>
    </row>
    <row r="355">
      <c r="A355" s="7" t="n">
        <v>46219</v>
      </c>
      <c r="B355" s="8">
        <f>IF($A355="","",TEXT($A355,"mmm-yyyy"))</f>
        <v/>
      </c>
      <c r="C355" s="8">
        <f>IF($A355="","","W"&amp;WEEKNUM($A355,2))</f>
        <v/>
      </c>
      <c r="D355" s="8" t="inlineStr">
        <is>
          <t>Safety</t>
        </is>
      </c>
      <c r="E355" s="8">
        <f>IFERROR(INDEX(Tbl_KPIMaster[KPI Name],MATCH($D355,Tbl_KPIMaster[Department],0)),"")</f>
        <v/>
      </c>
      <c r="F355" s="8">
        <f>IFERROR(INDEX(Tbl_KPIMaster[Target],MATCH($D355,Tbl_KPIMaster[Department],0)),"")</f>
        <v/>
      </c>
      <c r="G355" s="8" t="n">
        <v>0</v>
      </c>
      <c r="H355" s="9">
        <f>IFERROR(IF(INDEX(Tbl_KPIMaster[Direction],MATCH($D355,Tbl_KPIMaster[Department],0))="Lower is Better",IF($G355=0,1,IF($F355=0,0,$F355/$G355)),IF($F355=0,1,$G355/$F355)),0)</f>
        <v/>
      </c>
      <c r="I355" s="8">
        <f>IF($H355&gt;=1,"Green",IF($H355&gt;=0.85,"Amber","Red"))</f>
        <v/>
      </c>
      <c r="J355" s="10" t="inlineStr">
        <is>
          <t>Process improvement in progress</t>
        </is>
      </c>
    </row>
    <row r="356">
      <c r="A356" s="11" t="n">
        <v>46219</v>
      </c>
      <c r="B356" s="12">
        <f>IF($A356="","",TEXT($A356,"mmm-yyyy"))</f>
        <v/>
      </c>
      <c r="C356" s="12">
        <f>IF($A356="","","W"&amp;WEEKNUM($A356,2))</f>
        <v/>
      </c>
      <c r="D356" s="12" t="inlineStr">
        <is>
          <t>Production</t>
        </is>
      </c>
      <c r="E356" s="12">
        <f>IFERROR(INDEX(Tbl_KPIMaster[KPI Name],MATCH($D356,Tbl_KPIMaster[Department],0)),"")</f>
        <v/>
      </c>
      <c r="F356" s="12">
        <f>IFERROR(INDEX(Tbl_KPIMaster[Target],MATCH($D356,Tbl_KPIMaster[Department],0)),"")</f>
        <v/>
      </c>
      <c r="G356" s="12" t="n">
        <v>858.05</v>
      </c>
      <c r="H356" s="13">
        <f>IFERROR(IF(INDEX(Tbl_KPIMaster[Direction],MATCH($D356,Tbl_KPIMaster[Department],0))="Lower is Better",IF($G356=0,1,IF($F356=0,0,$F356/$G356)),IF($F356=0,1,$G356/$F356)),0)</f>
        <v/>
      </c>
      <c r="I356" s="12">
        <f>IF($H356&gt;=1,"Green",IF($H356&gt;=0.85,"Amber","Red"))</f>
        <v/>
      </c>
      <c r="J356" s="14" t="inlineStr">
        <is>
          <t>Awaiting spares</t>
        </is>
      </c>
    </row>
    <row r="357">
      <c r="A357" s="7" t="n">
        <v>46219</v>
      </c>
      <c r="B357" s="8">
        <f>IF($A357="","",TEXT($A357,"mmm-yyyy"))</f>
        <v/>
      </c>
      <c r="C357" s="8">
        <f>IF($A357="","","W"&amp;WEEKNUM($A357,2))</f>
        <v/>
      </c>
      <c r="D357" s="8" t="inlineStr">
        <is>
          <t>Quality</t>
        </is>
      </c>
      <c r="E357" s="8">
        <f>IFERROR(INDEX(Tbl_KPIMaster[KPI Name],MATCH($D357,Tbl_KPIMaster[Department],0)),"")</f>
        <v/>
      </c>
      <c r="F357" s="8">
        <f>IFERROR(INDEX(Tbl_KPIMaster[Target],MATCH($D357,Tbl_KPIMaster[Department],0)),"")</f>
        <v/>
      </c>
      <c r="G357" s="8" t="n">
        <v>0.0183</v>
      </c>
      <c r="H357" s="9">
        <f>IFERROR(IF(INDEX(Tbl_KPIMaster[Direction],MATCH($D357,Tbl_KPIMaster[Department],0))="Lower is Better",IF($G357=0,1,IF($F357=0,0,$F357/$G357)),IF($F357=0,1,$G357/$F357)),0)</f>
        <v/>
      </c>
      <c r="I357" s="8">
        <f>IF($H357&gt;=1,"Green",IF($H357&gt;=0.85,"Amber","Red"))</f>
        <v/>
      </c>
      <c r="J357" s="10" t="inlineStr">
        <is>
          <t>Vendor delay</t>
        </is>
      </c>
    </row>
    <row r="358">
      <c r="A358" s="11" t="n">
        <v>46219</v>
      </c>
      <c r="B358" s="12">
        <f>IF($A358="","",TEXT($A358,"mmm-yyyy"))</f>
        <v/>
      </c>
      <c r="C358" s="12">
        <f>IF($A358="","","W"&amp;WEEKNUM($A358,2))</f>
        <v/>
      </c>
      <c r="D358" s="12" t="inlineStr">
        <is>
          <t>Maintenance</t>
        </is>
      </c>
      <c r="E358" s="12">
        <f>IFERROR(INDEX(Tbl_KPIMaster[KPI Name],MATCH($D358,Tbl_KPIMaster[Department],0)),"")</f>
        <v/>
      </c>
      <c r="F358" s="12">
        <f>IFERROR(INDEX(Tbl_KPIMaster[Target],MATCH($D358,Tbl_KPIMaster[Department],0)),"")</f>
        <v/>
      </c>
      <c r="G358" s="12" t="n">
        <v>1.21</v>
      </c>
      <c r="H358" s="13">
        <f>IFERROR(IF(INDEX(Tbl_KPIMaster[Direction],MATCH($D358,Tbl_KPIMaster[Department],0))="Lower is Better",IF($G358=0,1,IF($F358=0,0,$F358/$G358)),IF($F358=0,1,$G358/$F358)),0)</f>
        <v/>
      </c>
      <c r="I358" s="12">
        <f>IF($H358&gt;=1,"Green",IF($H358&gt;=0.85,"Amber","Red"))</f>
        <v/>
      </c>
      <c r="J358" s="14" t="inlineStr">
        <is>
          <t>Awaiting spares</t>
        </is>
      </c>
    </row>
    <row r="359">
      <c r="A359" s="7" t="n">
        <v>46219</v>
      </c>
      <c r="B359" s="8">
        <f>IF($A359="","",TEXT($A359,"mmm-yyyy"))</f>
        <v/>
      </c>
      <c r="C359" s="8">
        <f>IF($A359="","","W"&amp;WEEKNUM($A359,2))</f>
        <v/>
      </c>
      <c r="D359" s="8" t="inlineStr">
        <is>
          <t>Utilities</t>
        </is>
      </c>
      <c r="E359" s="8">
        <f>IFERROR(INDEX(Tbl_KPIMaster[KPI Name],MATCH($D359,Tbl_KPIMaster[Department],0)),"")</f>
        <v/>
      </c>
      <c r="F359" s="8">
        <f>IFERROR(INDEX(Tbl_KPIMaster[Target],MATCH($D359,Tbl_KPIMaster[Department],0)),"")</f>
        <v/>
      </c>
      <c r="G359" s="8" t="n">
        <v>4529.68</v>
      </c>
      <c r="H359" s="9">
        <f>IFERROR(IF(INDEX(Tbl_KPIMaster[Direction],MATCH($D359,Tbl_KPIMaster[Department],0))="Lower is Better",IF($G359=0,1,IF($F359=0,0,$F359/$G359)),IF($F359=0,1,$G359/$F359)),0)</f>
        <v/>
      </c>
      <c r="I359" s="8">
        <f>IF($H359&gt;=1,"Green",IF($H359&gt;=0.85,"Amber","Red"))</f>
        <v/>
      </c>
      <c r="J359" s="10" t="inlineStr">
        <is>
          <t>Awaiting spares</t>
        </is>
      </c>
    </row>
    <row r="360">
      <c r="A360" s="11" t="n">
        <v>46219</v>
      </c>
      <c r="B360" s="12">
        <f>IF($A360="","",TEXT($A360,"mmm-yyyy"))</f>
        <v/>
      </c>
      <c r="C360" s="12">
        <f>IF($A360="","","W"&amp;WEEKNUM($A360,2))</f>
        <v/>
      </c>
      <c r="D360" s="12" t="inlineStr">
        <is>
          <t>Warehouse</t>
        </is>
      </c>
      <c r="E360" s="12">
        <f>IFERROR(INDEX(Tbl_KPIMaster[KPI Name],MATCH($D360,Tbl_KPIMaster[Department],0)),"")</f>
        <v/>
      </c>
      <c r="F360" s="12">
        <f>IFERROR(INDEX(Tbl_KPIMaster[Target],MATCH($D360,Tbl_KPIMaster[Department],0)),"")</f>
        <v/>
      </c>
      <c r="G360" s="12" t="n">
        <v>0.8549</v>
      </c>
      <c r="H360" s="13">
        <f>IFERROR(IF(INDEX(Tbl_KPIMaster[Direction],MATCH($D360,Tbl_KPIMaster[Department],0))="Lower is Better",IF($G360=0,1,IF($F360=0,0,$F360/$G360)),IF($F360=0,1,$G360/$F360)),0)</f>
        <v/>
      </c>
      <c r="I360" s="12">
        <f>IF($H360&gt;=1,"Green",IF($H360&gt;=0.85,"Amber","Red"))</f>
        <v/>
      </c>
      <c r="J360" s="14" t="inlineStr">
        <is>
          <t>Line changeover impact</t>
        </is>
      </c>
    </row>
    <row r="361">
      <c r="A361" s="7" t="n">
        <v>46219</v>
      </c>
      <c r="B361" s="8">
        <f>IF($A361="","",TEXT($A361,"mmm-yyyy"))</f>
        <v/>
      </c>
      <c r="C361" s="8">
        <f>IF($A361="","","W"&amp;WEEKNUM($A361,2))</f>
        <v/>
      </c>
      <c r="D361" s="8" t="inlineStr">
        <is>
          <t>HR</t>
        </is>
      </c>
      <c r="E361" s="8">
        <f>IFERROR(INDEX(Tbl_KPIMaster[KPI Name],MATCH($D361,Tbl_KPIMaster[Department],0)),"")</f>
        <v/>
      </c>
      <c r="F361" s="8">
        <f>IFERROR(INDEX(Tbl_KPIMaster[Target],MATCH($D361,Tbl_KPIMaster[Department],0)),"")</f>
        <v/>
      </c>
      <c r="G361" s="8" t="n">
        <v>0.031</v>
      </c>
      <c r="H361" s="9">
        <f>IFERROR(IF(INDEX(Tbl_KPIMaster[Direction],MATCH($D361,Tbl_KPIMaster[Department],0))="Lower is Better",IF($G361=0,1,IF($F361=0,0,$F361/$G361)),IF($F361=0,1,$G361/$F361)),0)</f>
        <v/>
      </c>
      <c r="I361" s="8">
        <f>IF($H361&gt;=1,"Green",IF($H361&gt;=0.85,"Amber","Red"))</f>
        <v/>
      </c>
      <c r="J361" s="10" t="inlineStr"/>
    </row>
    <row r="362">
      <c r="A362" s="11" t="n">
        <v>46219</v>
      </c>
      <c r="B362" s="12">
        <f>IF($A362="","",TEXT($A362,"mmm-yyyy"))</f>
        <v/>
      </c>
      <c r="C362" s="12">
        <f>IF($A362="","","W"&amp;WEEKNUM($A362,2))</f>
        <v/>
      </c>
      <c r="D362" s="12" t="inlineStr">
        <is>
          <t>Engineering</t>
        </is>
      </c>
      <c r="E362" s="12">
        <f>IFERROR(INDEX(Tbl_KPIMaster[KPI Name],MATCH($D362,Tbl_KPIMaster[Department],0)),"")</f>
        <v/>
      </c>
      <c r="F362" s="12">
        <f>IFERROR(INDEX(Tbl_KPIMaster[Target],MATCH($D362,Tbl_KPIMaster[Department],0)),"")</f>
        <v/>
      </c>
      <c r="G362" s="12" t="n">
        <v>0.9709</v>
      </c>
      <c r="H362" s="13">
        <f>IFERROR(IF(INDEX(Tbl_KPIMaster[Direction],MATCH($D362,Tbl_KPIMaster[Department],0))="Lower is Better",IF($G362=0,1,IF($F362=0,0,$F362/$G362)),IF($F362=0,1,$G362/$F362)),0)</f>
        <v/>
      </c>
      <c r="I362" s="12">
        <f>IF($H362&gt;=1,"Green",IF($H362&gt;=0.85,"Amber","Red"))</f>
        <v/>
      </c>
      <c r="J362" s="14" t="inlineStr">
        <is>
          <t>Manpower shortage</t>
        </is>
      </c>
    </row>
    <row r="363">
      <c r="A363" s="8" t="n"/>
      <c r="B363" s="8">
        <f>IF($A363="","",TEXT($A363,"mmm-yyyy"))</f>
        <v/>
      </c>
      <c r="C363" s="8">
        <f>IF($A363="","","W"&amp;WEEKNUM($A363,2))</f>
        <v/>
      </c>
      <c r="D363" s="8" t="n"/>
      <c r="E363" s="8">
        <f>IFERROR(INDEX(Tbl_KPIMaster[KPI Name],MATCH($D363,Tbl_KPIMaster[Department],0)),"")</f>
        <v/>
      </c>
      <c r="F363" s="8">
        <f>IFERROR(INDEX(Tbl_KPIMaster[Target],MATCH($D363,Tbl_KPIMaster[Department],0)),"")</f>
        <v/>
      </c>
      <c r="G363" s="8" t="n"/>
      <c r="H363" s="9">
        <f>IFERROR(IF(INDEX(Tbl_KPIMaster[Direction],MATCH($D363,Tbl_KPIMaster[Department],0))="Lower is Better",IF($G363=0,1,IF($F363=0,0,$F363/$G363)),IF($F363=0,1,$G363/$F363)),0)</f>
        <v/>
      </c>
      <c r="I363" s="8">
        <f>IF($H363&gt;=1,"Green",IF($H363&gt;=0.85,"Amber","Red"))</f>
        <v/>
      </c>
      <c r="J363" s="10" t="n"/>
    </row>
    <row r="364">
      <c r="A364" s="12" t="n"/>
      <c r="B364" s="12">
        <f>IF($A364="","",TEXT($A364,"mmm-yyyy"))</f>
        <v/>
      </c>
      <c r="C364" s="12">
        <f>IF($A364="","","W"&amp;WEEKNUM($A364,2))</f>
        <v/>
      </c>
      <c r="D364" s="12" t="n"/>
      <c r="E364" s="12">
        <f>IFERROR(INDEX(Tbl_KPIMaster[KPI Name],MATCH($D364,Tbl_KPIMaster[Department],0)),"")</f>
        <v/>
      </c>
      <c r="F364" s="12">
        <f>IFERROR(INDEX(Tbl_KPIMaster[Target],MATCH($D364,Tbl_KPIMaster[Department],0)),"")</f>
        <v/>
      </c>
      <c r="G364" s="12" t="n"/>
      <c r="H364" s="13">
        <f>IFERROR(IF(INDEX(Tbl_KPIMaster[Direction],MATCH($D364,Tbl_KPIMaster[Department],0))="Lower is Better",IF($G364=0,1,IF($F364=0,0,$F364/$G364)),IF($F364=0,1,$G364/$F364)),0)</f>
        <v/>
      </c>
      <c r="I364" s="12">
        <f>IF($H364&gt;=1,"Green",IF($H364&gt;=0.85,"Amber","Red"))</f>
        <v/>
      </c>
      <c r="J364" s="14" t="n"/>
    </row>
    <row r="365">
      <c r="A365" s="8" t="n"/>
      <c r="B365" s="8">
        <f>IF($A365="","",TEXT($A365,"mmm-yyyy"))</f>
        <v/>
      </c>
      <c r="C365" s="8">
        <f>IF($A365="","","W"&amp;WEEKNUM($A365,2))</f>
        <v/>
      </c>
      <c r="D365" s="8" t="n"/>
      <c r="E365" s="8">
        <f>IFERROR(INDEX(Tbl_KPIMaster[KPI Name],MATCH($D365,Tbl_KPIMaster[Department],0)),"")</f>
        <v/>
      </c>
      <c r="F365" s="8">
        <f>IFERROR(INDEX(Tbl_KPIMaster[Target],MATCH($D365,Tbl_KPIMaster[Department],0)),"")</f>
        <v/>
      </c>
      <c r="G365" s="8" t="n"/>
      <c r="H365" s="9">
        <f>IFERROR(IF(INDEX(Tbl_KPIMaster[Direction],MATCH($D365,Tbl_KPIMaster[Department],0))="Lower is Better",IF($G365=0,1,IF($F365=0,0,$F365/$G365)),IF($F365=0,1,$G365/$F365)),0)</f>
        <v/>
      </c>
      <c r="I365" s="8">
        <f>IF($H365&gt;=1,"Green",IF($H365&gt;=0.85,"Amber","Red"))</f>
        <v/>
      </c>
      <c r="J365" s="10" t="n"/>
    </row>
    <row r="366">
      <c r="A366" s="12" t="n"/>
      <c r="B366" s="12">
        <f>IF($A366="","",TEXT($A366,"mmm-yyyy"))</f>
        <v/>
      </c>
      <c r="C366" s="12">
        <f>IF($A366="","","W"&amp;WEEKNUM($A366,2))</f>
        <v/>
      </c>
      <c r="D366" s="12" t="n"/>
      <c r="E366" s="12">
        <f>IFERROR(INDEX(Tbl_KPIMaster[KPI Name],MATCH($D366,Tbl_KPIMaster[Department],0)),"")</f>
        <v/>
      </c>
      <c r="F366" s="12">
        <f>IFERROR(INDEX(Tbl_KPIMaster[Target],MATCH($D366,Tbl_KPIMaster[Department],0)),"")</f>
        <v/>
      </c>
      <c r="G366" s="12" t="n"/>
      <c r="H366" s="13">
        <f>IFERROR(IF(INDEX(Tbl_KPIMaster[Direction],MATCH($D366,Tbl_KPIMaster[Department],0))="Lower is Better",IF($G366=0,1,IF($F366=0,0,$F366/$G366)),IF($F366=0,1,$G366/$F366)),0)</f>
        <v/>
      </c>
      <c r="I366" s="12">
        <f>IF($H366&gt;=1,"Green",IF($H366&gt;=0.85,"Amber","Red"))</f>
        <v/>
      </c>
      <c r="J366" s="14" t="n"/>
    </row>
    <row r="367">
      <c r="A367" s="8" t="n"/>
      <c r="B367" s="8">
        <f>IF($A367="","",TEXT($A367,"mmm-yyyy"))</f>
        <v/>
      </c>
      <c r="C367" s="8">
        <f>IF($A367="","","W"&amp;WEEKNUM($A367,2))</f>
        <v/>
      </c>
      <c r="D367" s="8" t="n"/>
      <c r="E367" s="8">
        <f>IFERROR(INDEX(Tbl_KPIMaster[KPI Name],MATCH($D367,Tbl_KPIMaster[Department],0)),"")</f>
        <v/>
      </c>
      <c r="F367" s="8">
        <f>IFERROR(INDEX(Tbl_KPIMaster[Target],MATCH($D367,Tbl_KPIMaster[Department],0)),"")</f>
        <v/>
      </c>
      <c r="G367" s="8" t="n"/>
      <c r="H367" s="9">
        <f>IFERROR(IF(INDEX(Tbl_KPIMaster[Direction],MATCH($D367,Tbl_KPIMaster[Department],0))="Lower is Better",IF($G367=0,1,IF($F367=0,0,$F367/$G367)),IF($F367=0,1,$G367/$F367)),0)</f>
        <v/>
      </c>
      <c r="I367" s="8">
        <f>IF($H367&gt;=1,"Green",IF($H367&gt;=0.85,"Amber","Red"))</f>
        <v/>
      </c>
      <c r="J367" s="10" t="n"/>
    </row>
    <row r="368">
      <c r="A368" s="12" t="n"/>
      <c r="B368" s="12">
        <f>IF($A368="","",TEXT($A368,"mmm-yyyy"))</f>
        <v/>
      </c>
      <c r="C368" s="12">
        <f>IF($A368="","","W"&amp;WEEKNUM($A368,2))</f>
        <v/>
      </c>
      <c r="D368" s="12" t="n"/>
      <c r="E368" s="12">
        <f>IFERROR(INDEX(Tbl_KPIMaster[KPI Name],MATCH($D368,Tbl_KPIMaster[Department],0)),"")</f>
        <v/>
      </c>
      <c r="F368" s="12">
        <f>IFERROR(INDEX(Tbl_KPIMaster[Target],MATCH($D368,Tbl_KPIMaster[Department],0)),"")</f>
        <v/>
      </c>
      <c r="G368" s="12" t="n"/>
      <c r="H368" s="13">
        <f>IFERROR(IF(INDEX(Tbl_KPIMaster[Direction],MATCH($D368,Tbl_KPIMaster[Department],0))="Lower is Better",IF($G368=0,1,IF($F368=0,0,$F368/$G368)),IF($F368=0,1,$G368/$F368)),0)</f>
        <v/>
      </c>
      <c r="I368" s="12">
        <f>IF($H368&gt;=1,"Green",IF($H368&gt;=0.85,"Amber","Red"))</f>
        <v/>
      </c>
      <c r="J368" s="14" t="n"/>
    </row>
    <row r="369">
      <c r="A369" s="8" t="n"/>
      <c r="B369" s="8">
        <f>IF($A369="","",TEXT($A369,"mmm-yyyy"))</f>
        <v/>
      </c>
      <c r="C369" s="8">
        <f>IF($A369="","","W"&amp;WEEKNUM($A369,2))</f>
        <v/>
      </c>
      <c r="D369" s="8" t="n"/>
      <c r="E369" s="8">
        <f>IFERROR(INDEX(Tbl_KPIMaster[KPI Name],MATCH($D369,Tbl_KPIMaster[Department],0)),"")</f>
        <v/>
      </c>
      <c r="F369" s="8">
        <f>IFERROR(INDEX(Tbl_KPIMaster[Target],MATCH($D369,Tbl_KPIMaster[Department],0)),"")</f>
        <v/>
      </c>
      <c r="G369" s="8" t="n"/>
      <c r="H369" s="9">
        <f>IFERROR(IF(INDEX(Tbl_KPIMaster[Direction],MATCH($D369,Tbl_KPIMaster[Department],0))="Lower is Better",IF($G369=0,1,IF($F369=0,0,$F369/$G369)),IF($F369=0,1,$G369/$F369)),0)</f>
        <v/>
      </c>
      <c r="I369" s="8">
        <f>IF($H369&gt;=1,"Green",IF($H369&gt;=0.85,"Amber","Red"))</f>
        <v/>
      </c>
      <c r="J369" s="10" t="n"/>
    </row>
    <row r="370">
      <c r="A370" s="12" t="n"/>
      <c r="B370" s="12">
        <f>IF($A370="","",TEXT($A370,"mmm-yyyy"))</f>
        <v/>
      </c>
      <c r="C370" s="12">
        <f>IF($A370="","","W"&amp;WEEKNUM($A370,2))</f>
        <v/>
      </c>
      <c r="D370" s="12" t="n"/>
      <c r="E370" s="12">
        <f>IFERROR(INDEX(Tbl_KPIMaster[KPI Name],MATCH($D370,Tbl_KPIMaster[Department],0)),"")</f>
        <v/>
      </c>
      <c r="F370" s="12">
        <f>IFERROR(INDEX(Tbl_KPIMaster[Target],MATCH($D370,Tbl_KPIMaster[Department],0)),"")</f>
        <v/>
      </c>
      <c r="G370" s="12" t="n"/>
      <c r="H370" s="13">
        <f>IFERROR(IF(INDEX(Tbl_KPIMaster[Direction],MATCH($D370,Tbl_KPIMaster[Department],0))="Lower is Better",IF($G370=0,1,IF($F370=0,0,$F370/$G370)),IF($F370=0,1,$G370/$F370)),0)</f>
        <v/>
      </c>
      <c r="I370" s="12">
        <f>IF($H370&gt;=1,"Green",IF($H370&gt;=0.85,"Amber","Red"))</f>
        <v/>
      </c>
      <c r="J370" s="14" t="n"/>
    </row>
    <row r="371">
      <c r="A371" s="8" t="n"/>
      <c r="B371" s="8">
        <f>IF($A371="","",TEXT($A371,"mmm-yyyy"))</f>
        <v/>
      </c>
      <c r="C371" s="8">
        <f>IF($A371="","","W"&amp;WEEKNUM($A371,2))</f>
        <v/>
      </c>
      <c r="D371" s="8" t="n"/>
      <c r="E371" s="8">
        <f>IFERROR(INDEX(Tbl_KPIMaster[KPI Name],MATCH($D371,Tbl_KPIMaster[Department],0)),"")</f>
        <v/>
      </c>
      <c r="F371" s="8">
        <f>IFERROR(INDEX(Tbl_KPIMaster[Target],MATCH($D371,Tbl_KPIMaster[Department],0)),"")</f>
        <v/>
      </c>
      <c r="G371" s="8" t="n"/>
      <c r="H371" s="9">
        <f>IFERROR(IF(INDEX(Tbl_KPIMaster[Direction],MATCH($D371,Tbl_KPIMaster[Department],0))="Lower is Better",IF($G371=0,1,IF($F371=0,0,$F371/$G371)),IF($F371=0,1,$G371/$F371)),0)</f>
        <v/>
      </c>
      <c r="I371" s="8">
        <f>IF($H371&gt;=1,"Green",IF($H371&gt;=0.85,"Amber","Red"))</f>
        <v/>
      </c>
      <c r="J371" s="10" t="n"/>
    </row>
    <row r="372">
      <c r="A372" s="12" t="n"/>
      <c r="B372" s="12">
        <f>IF($A372="","",TEXT($A372,"mmm-yyyy"))</f>
        <v/>
      </c>
      <c r="C372" s="12">
        <f>IF($A372="","","W"&amp;WEEKNUM($A372,2))</f>
        <v/>
      </c>
      <c r="D372" s="12" t="n"/>
      <c r="E372" s="12">
        <f>IFERROR(INDEX(Tbl_KPIMaster[KPI Name],MATCH($D372,Tbl_KPIMaster[Department],0)),"")</f>
        <v/>
      </c>
      <c r="F372" s="12">
        <f>IFERROR(INDEX(Tbl_KPIMaster[Target],MATCH($D372,Tbl_KPIMaster[Department],0)),"")</f>
        <v/>
      </c>
      <c r="G372" s="12" t="n"/>
      <c r="H372" s="13">
        <f>IFERROR(IF(INDEX(Tbl_KPIMaster[Direction],MATCH($D372,Tbl_KPIMaster[Department],0))="Lower is Better",IF($G372=0,1,IF($F372=0,0,$F372/$G372)),IF($F372=0,1,$G372/$F372)),0)</f>
        <v/>
      </c>
      <c r="I372" s="12">
        <f>IF($H372&gt;=1,"Green",IF($H372&gt;=0.85,"Amber","Red"))</f>
        <v/>
      </c>
      <c r="J372" s="14" t="n"/>
    </row>
    <row r="373">
      <c r="A373" s="8" t="n"/>
      <c r="B373" s="8">
        <f>IF($A373="","",TEXT($A373,"mmm-yyyy"))</f>
        <v/>
      </c>
      <c r="C373" s="8">
        <f>IF($A373="","","W"&amp;WEEKNUM($A373,2))</f>
        <v/>
      </c>
      <c r="D373" s="8" t="n"/>
      <c r="E373" s="8">
        <f>IFERROR(INDEX(Tbl_KPIMaster[KPI Name],MATCH($D373,Tbl_KPIMaster[Department],0)),"")</f>
        <v/>
      </c>
      <c r="F373" s="8">
        <f>IFERROR(INDEX(Tbl_KPIMaster[Target],MATCH($D373,Tbl_KPIMaster[Department],0)),"")</f>
        <v/>
      </c>
      <c r="G373" s="8" t="n"/>
      <c r="H373" s="9">
        <f>IFERROR(IF(INDEX(Tbl_KPIMaster[Direction],MATCH($D373,Tbl_KPIMaster[Department],0))="Lower is Better",IF($G373=0,1,IF($F373=0,0,$F373/$G373)),IF($F373=0,1,$G373/$F373)),0)</f>
        <v/>
      </c>
      <c r="I373" s="8">
        <f>IF($H373&gt;=1,"Green",IF($H373&gt;=0.85,"Amber","Red"))</f>
        <v/>
      </c>
      <c r="J373" s="10" t="n"/>
    </row>
    <row r="374">
      <c r="A374" s="12" t="n"/>
      <c r="B374" s="12">
        <f>IF($A374="","",TEXT($A374,"mmm-yyyy"))</f>
        <v/>
      </c>
      <c r="C374" s="12">
        <f>IF($A374="","","W"&amp;WEEKNUM($A374,2))</f>
        <v/>
      </c>
      <c r="D374" s="12" t="n"/>
      <c r="E374" s="12">
        <f>IFERROR(INDEX(Tbl_KPIMaster[KPI Name],MATCH($D374,Tbl_KPIMaster[Department],0)),"")</f>
        <v/>
      </c>
      <c r="F374" s="12">
        <f>IFERROR(INDEX(Tbl_KPIMaster[Target],MATCH($D374,Tbl_KPIMaster[Department],0)),"")</f>
        <v/>
      </c>
      <c r="G374" s="12" t="n"/>
      <c r="H374" s="13">
        <f>IFERROR(IF(INDEX(Tbl_KPIMaster[Direction],MATCH($D374,Tbl_KPIMaster[Department],0))="Lower is Better",IF($G374=0,1,IF($F374=0,0,$F374/$G374)),IF($F374=0,1,$G374/$F374)),0)</f>
        <v/>
      </c>
      <c r="I374" s="12">
        <f>IF($H374&gt;=1,"Green",IF($H374&gt;=0.85,"Amber","Red"))</f>
        <v/>
      </c>
      <c r="J374" s="14" t="n"/>
    </row>
    <row r="375">
      <c r="A375" s="8" t="n"/>
      <c r="B375" s="8">
        <f>IF($A375="","",TEXT($A375,"mmm-yyyy"))</f>
        <v/>
      </c>
      <c r="C375" s="8">
        <f>IF($A375="","","W"&amp;WEEKNUM($A375,2))</f>
        <v/>
      </c>
      <c r="D375" s="8" t="n"/>
      <c r="E375" s="8">
        <f>IFERROR(INDEX(Tbl_KPIMaster[KPI Name],MATCH($D375,Tbl_KPIMaster[Department],0)),"")</f>
        <v/>
      </c>
      <c r="F375" s="8">
        <f>IFERROR(INDEX(Tbl_KPIMaster[Target],MATCH($D375,Tbl_KPIMaster[Department],0)),"")</f>
        <v/>
      </c>
      <c r="G375" s="8" t="n"/>
      <c r="H375" s="9">
        <f>IFERROR(IF(INDEX(Tbl_KPIMaster[Direction],MATCH($D375,Tbl_KPIMaster[Department],0))="Lower is Better",IF($G375=0,1,IF($F375=0,0,$F375/$G375)),IF($F375=0,1,$G375/$F375)),0)</f>
        <v/>
      </c>
      <c r="I375" s="8">
        <f>IF($H375&gt;=1,"Green",IF($H375&gt;=0.85,"Amber","Red"))</f>
        <v/>
      </c>
      <c r="J375" s="10" t="n"/>
    </row>
    <row r="376">
      <c r="A376" s="12" t="n"/>
      <c r="B376" s="12">
        <f>IF($A376="","",TEXT($A376,"mmm-yyyy"))</f>
        <v/>
      </c>
      <c r="C376" s="12">
        <f>IF($A376="","","W"&amp;WEEKNUM($A376,2))</f>
        <v/>
      </c>
      <c r="D376" s="12" t="n"/>
      <c r="E376" s="12">
        <f>IFERROR(INDEX(Tbl_KPIMaster[KPI Name],MATCH($D376,Tbl_KPIMaster[Department],0)),"")</f>
        <v/>
      </c>
      <c r="F376" s="12">
        <f>IFERROR(INDEX(Tbl_KPIMaster[Target],MATCH($D376,Tbl_KPIMaster[Department],0)),"")</f>
        <v/>
      </c>
      <c r="G376" s="12" t="n"/>
      <c r="H376" s="13">
        <f>IFERROR(IF(INDEX(Tbl_KPIMaster[Direction],MATCH($D376,Tbl_KPIMaster[Department],0))="Lower is Better",IF($G376=0,1,IF($F376=0,0,$F376/$G376)),IF($F376=0,1,$G376/$F376)),0)</f>
        <v/>
      </c>
      <c r="I376" s="12">
        <f>IF($H376&gt;=1,"Green",IF($H376&gt;=0.85,"Amber","Red"))</f>
        <v/>
      </c>
      <c r="J376" s="14" t="n"/>
    </row>
    <row r="377">
      <c r="A377" s="8" t="n"/>
      <c r="B377" s="8">
        <f>IF($A377="","",TEXT($A377,"mmm-yyyy"))</f>
        <v/>
      </c>
      <c r="C377" s="8">
        <f>IF($A377="","","W"&amp;WEEKNUM($A377,2))</f>
        <v/>
      </c>
      <c r="D377" s="8" t="n"/>
      <c r="E377" s="8">
        <f>IFERROR(INDEX(Tbl_KPIMaster[KPI Name],MATCH($D377,Tbl_KPIMaster[Department],0)),"")</f>
        <v/>
      </c>
      <c r="F377" s="8">
        <f>IFERROR(INDEX(Tbl_KPIMaster[Target],MATCH($D377,Tbl_KPIMaster[Department],0)),"")</f>
        <v/>
      </c>
      <c r="G377" s="8" t="n"/>
      <c r="H377" s="9">
        <f>IFERROR(IF(INDEX(Tbl_KPIMaster[Direction],MATCH($D377,Tbl_KPIMaster[Department],0))="Lower is Better",IF($G377=0,1,IF($F377=0,0,$F377/$G377)),IF($F377=0,1,$G377/$F377)),0)</f>
        <v/>
      </c>
      <c r="I377" s="8">
        <f>IF($H377&gt;=1,"Green",IF($H377&gt;=0.85,"Amber","Red"))</f>
        <v/>
      </c>
      <c r="J377" s="10" t="n"/>
    </row>
    <row r="378">
      <c r="A378" s="12" t="n"/>
      <c r="B378" s="12">
        <f>IF($A378="","",TEXT($A378,"mmm-yyyy"))</f>
        <v/>
      </c>
      <c r="C378" s="12">
        <f>IF($A378="","","W"&amp;WEEKNUM($A378,2))</f>
        <v/>
      </c>
      <c r="D378" s="12" t="n"/>
      <c r="E378" s="12">
        <f>IFERROR(INDEX(Tbl_KPIMaster[KPI Name],MATCH($D378,Tbl_KPIMaster[Department],0)),"")</f>
        <v/>
      </c>
      <c r="F378" s="12">
        <f>IFERROR(INDEX(Tbl_KPIMaster[Target],MATCH($D378,Tbl_KPIMaster[Department],0)),"")</f>
        <v/>
      </c>
      <c r="G378" s="12" t="n"/>
      <c r="H378" s="13">
        <f>IFERROR(IF(INDEX(Tbl_KPIMaster[Direction],MATCH($D378,Tbl_KPIMaster[Department],0))="Lower is Better",IF($G378=0,1,IF($F378=0,0,$F378/$G378)),IF($F378=0,1,$G378/$F378)),0)</f>
        <v/>
      </c>
      <c r="I378" s="12">
        <f>IF($H378&gt;=1,"Green",IF($H378&gt;=0.85,"Amber","Red"))</f>
        <v/>
      </c>
      <c r="J378" s="14" t="n"/>
    </row>
    <row r="379">
      <c r="A379" s="8" t="n"/>
      <c r="B379" s="8">
        <f>IF($A379="","",TEXT($A379,"mmm-yyyy"))</f>
        <v/>
      </c>
      <c r="C379" s="8">
        <f>IF($A379="","","W"&amp;WEEKNUM($A379,2))</f>
        <v/>
      </c>
      <c r="D379" s="8" t="n"/>
      <c r="E379" s="8">
        <f>IFERROR(INDEX(Tbl_KPIMaster[KPI Name],MATCH($D379,Tbl_KPIMaster[Department],0)),"")</f>
        <v/>
      </c>
      <c r="F379" s="8">
        <f>IFERROR(INDEX(Tbl_KPIMaster[Target],MATCH($D379,Tbl_KPIMaster[Department],0)),"")</f>
        <v/>
      </c>
      <c r="G379" s="8" t="n"/>
      <c r="H379" s="9">
        <f>IFERROR(IF(INDEX(Tbl_KPIMaster[Direction],MATCH($D379,Tbl_KPIMaster[Department],0))="Lower is Better",IF($G379=0,1,IF($F379=0,0,$F379/$G379)),IF($F379=0,1,$G379/$F379)),0)</f>
        <v/>
      </c>
      <c r="I379" s="8">
        <f>IF($H379&gt;=1,"Green",IF($H379&gt;=0.85,"Amber","Red"))</f>
        <v/>
      </c>
      <c r="J379" s="10" t="n"/>
    </row>
    <row r="380">
      <c r="A380" s="12" t="n"/>
      <c r="B380" s="12">
        <f>IF($A380="","",TEXT($A380,"mmm-yyyy"))</f>
        <v/>
      </c>
      <c r="C380" s="12">
        <f>IF($A380="","","W"&amp;WEEKNUM($A380,2))</f>
        <v/>
      </c>
      <c r="D380" s="12" t="n"/>
      <c r="E380" s="12">
        <f>IFERROR(INDEX(Tbl_KPIMaster[KPI Name],MATCH($D380,Tbl_KPIMaster[Department],0)),"")</f>
        <v/>
      </c>
      <c r="F380" s="12">
        <f>IFERROR(INDEX(Tbl_KPIMaster[Target],MATCH($D380,Tbl_KPIMaster[Department],0)),"")</f>
        <v/>
      </c>
      <c r="G380" s="12" t="n"/>
      <c r="H380" s="13">
        <f>IFERROR(IF(INDEX(Tbl_KPIMaster[Direction],MATCH($D380,Tbl_KPIMaster[Department],0))="Lower is Better",IF($G380=0,1,IF($F380=0,0,$F380/$G380)),IF($F380=0,1,$G380/$F380)),0)</f>
        <v/>
      </c>
      <c r="I380" s="12">
        <f>IF($H380&gt;=1,"Green",IF($H380&gt;=0.85,"Amber","Red"))</f>
        <v/>
      </c>
      <c r="J380" s="14" t="n"/>
    </row>
    <row r="381">
      <c r="A381" s="8" t="n"/>
      <c r="B381" s="8">
        <f>IF($A381="","",TEXT($A381,"mmm-yyyy"))</f>
        <v/>
      </c>
      <c r="C381" s="8">
        <f>IF($A381="","","W"&amp;WEEKNUM($A381,2))</f>
        <v/>
      </c>
      <c r="D381" s="8" t="n"/>
      <c r="E381" s="8">
        <f>IFERROR(INDEX(Tbl_KPIMaster[KPI Name],MATCH($D381,Tbl_KPIMaster[Department],0)),"")</f>
        <v/>
      </c>
      <c r="F381" s="8">
        <f>IFERROR(INDEX(Tbl_KPIMaster[Target],MATCH($D381,Tbl_KPIMaster[Department],0)),"")</f>
        <v/>
      </c>
      <c r="G381" s="8" t="n"/>
      <c r="H381" s="9">
        <f>IFERROR(IF(INDEX(Tbl_KPIMaster[Direction],MATCH($D381,Tbl_KPIMaster[Department],0))="Lower is Better",IF($G381=0,1,IF($F381=0,0,$F381/$G381)),IF($F381=0,1,$G381/$F381)),0)</f>
        <v/>
      </c>
      <c r="I381" s="8">
        <f>IF($H381&gt;=1,"Green",IF($H381&gt;=0.85,"Amber","Red"))</f>
        <v/>
      </c>
      <c r="J381" s="10" t="n"/>
    </row>
    <row r="382">
      <c r="A382" s="12" t="n"/>
      <c r="B382" s="12">
        <f>IF($A382="","",TEXT($A382,"mmm-yyyy"))</f>
        <v/>
      </c>
      <c r="C382" s="12">
        <f>IF($A382="","","W"&amp;WEEKNUM($A382,2))</f>
        <v/>
      </c>
      <c r="D382" s="12" t="n"/>
      <c r="E382" s="12">
        <f>IFERROR(INDEX(Tbl_KPIMaster[KPI Name],MATCH($D382,Tbl_KPIMaster[Department],0)),"")</f>
        <v/>
      </c>
      <c r="F382" s="12">
        <f>IFERROR(INDEX(Tbl_KPIMaster[Target],MATCH($D382,Tbl_KPIMaster[Department],0)),"")</f>
        <v/>
      </c>
      <c r="G382" s="12" t="n"/>
      <c r="H382" s="13">
        <f>IFERROR(IF(INDEX(Tbl_KPIMaster[Direction],MATCH($D382,Tbl_KPIMaster[Department],0))="Lower is Better",IF($G382=0,1,IF($F382=0,0,$F382/$G382)),IF($F382=0,1,$G382/$F382)),0)</f>
        <v/>
      </c>
      <c r="I382" s="12">
        <f>IF($H382&gt;=1,"Green",IF($H382&gt;=0.85,"Amber","Red"))</f>
        <v/>
      </c>
      <c r="J382" s="14" t="n"/>
    </row>
    <row r="383">
      <c r="A383" s="8" t="n"/>
      <c r="B383" s="8">
        <f>IF($A383="","",TEXT($A383,"mmm-yyyy"))</f>
        <v/>
      </c>
      <c r="C383" s="8">
        <f>IF($A383="","","W"&amp;WEEKNUM($A383,2))</f>
        <v/>
      </c>
      <c r="D383" s="8" t="n"/>
      <c r="E383" s="8">
        <f>IFERROR(INDEX(Tbl_KPIMaster[KPI Name],MATCH($D383,Tbl_KPIMaster[Department],0)),"")</f>
        <v/>
      </c>
      <c r="F383" s="8">
        <f>IFERROR(INDEX(Tbl_KPIMaster[Target],MATCH($D383,Tbl_KPIMaster[Department],0)),"")</f>
        <v/>
      </c>
      <c r="G383" s="8" t="n"/>
      <c r="H383" s="9">
        <f>IFERROR(IF(INDEX(Tbl_KPIMaster[Direction],MATCH($D383,Tbl_KPIMaster[Department],0))="Lower is Better",IF($G383=0,1,IF($F383=0,0,$F383/$G383)),IF($F383=0,1,$G383/$F383)),0)</f>
        <v/>
      </c>
      <c r="I383" s="8">
        <f>IF($H383&gt;=1,"Green",IF($H383&gt;=0.85,"Amber","Red"))</f>
        <v/>
      </c>
      <c r="J383" s="10" t="n"/>
    </row>
    <row r="384">
      <c r="A384" s="12" t="n"/>
      <c r="B384" s="12">
        <f>IF($A384="","",TEXT($A384,"mmm-yyyy"))</f>
        <v/>
      </c>
      <c r="C384" s="12">
        <f>IF($A384="","","W"&amp;WEEKNUM($A384,2))</f>
        <v/>
      </c>
      <c r="D384" s="12" t="n"/>
      <c r="E384" s="12">
        <f>IFERROR(INDEX(Tbl_KPIMaster[KPI Name],MATCH($D384,Tbl_KPIMaster[Department],0)),"")</f>
        <v/>
      </c>
      <c r="F384" s="12">
        <f>IFERROR(INDEX(Tbl_KPIMaster[Target],MATCH($D384,Tbl_KPIMaster[Department],0)),"")</f>
        <v/>
      </c>
      <c r="G384" s="12" t="n"/>
      <c r="H384" s="13">
        <f>IFERROR(IF(INDEX(Tbl_KPIMaster[Direction],MATCH($D384,Tbl_KPIMaster[Department],0))="Lower is Better",IF($G384=0,1,IF($F384=0,0,$F384/$G384)),IF($F384=0,1,$G384/$F384)),0)</f>
        <v/>
      </c>
      <c r="I384" s="12">
        <f>IF($H384&gt;=1,"Green",IF($H384&gt;=0.85,"Amber","Red"))</f>
        <v/>
      </c>
      <c r="J384" s="14" t="n"/>
    </row>
    <row r="385">
      <c r="A385" s="8" t="n"/>
      <c r="B385" s="8">
        <f>IF($A385="","",TEXT($A385,"mmm-yyyy"))</f>
        <v/>
      </c>
      <c r="C385" s="8">
        <f>IF($A385="","","W"&amp;WEEKNUM($A385,2))</f>
        <v/>
      </c>
      <c r="D385" s="8" t="n"/>
      <c r="E385" s="8">
        <f>IFERROR(INDEX(Tbl_KPIMaster[KPI Name],MATCH($D385,Tbl_KPIMaster[Department],0)),"")</f>
        <v/>
      </c>
      <c r="F385" s="8">
        <f>IFERROR(INDEX(Tbl_KPIMaster[Target],MATCH($D385,Tbl_KPIMaster[Department],0)),"")</f>
        <v/>
      </c>
      <c r="G385" s="8" t="n"/>
      <c r="H385" s="9">
        <f>IFERROR(IF(INDEX(Tbl_KPIMaster[Direction],MATCH($D385,Tbl_KPIMaster[Department],0))="Lower is Better",IF($G385=0,1,IF($F385=0,0,$F385/$G385)),IF($F385=0,1,$G385/$F385)),0)</f>
        <v/>
      </c>
      <c r="I385" s="8">
        <f>IF($H385&gt;=1,"Green",IF($H385&gt;=0.85,"Amber","Red"))</f>
        <v/>
      </c>
      <c r="J385" s="10" t="n"/>
    </row>
    <row r="386">
      <c r="A386" s="12" t="n"/>
      <c r="B386" s="12">
        <f>IF($A386="","",TEXT($A386,"mmm-yyyy"))</f>
        <v/>
      </c>
      <c r="C386" s="12">
        <f>IF($A386="","","W"&amp;WEEKNUM($A386,2))</f>
        <v/>
      </c>
      <c r="D386" s="12" t="n"/>
      <c r="E386" s="12">
        <f>IFERROR(INDEX(Tbl_KPIMaster[KPI Name],MATCH($D386,Tbl_KPIMaster[Department],0)),"")</f>
        <v/>
      </c>
      <c r="F386" s="12">
        <f>IFERROR(INDEX(Tbl_KPIMaster[Target],MATCH($D386,Tbl_KPIMaster[Department],0)),"")</f>
        <v/>
      </c>
      <c r="G386" s="12" t="n"/>
      <c r="H386" s="13">
        <f>IFERROR(IF(INDEX(Tbl_KPIMaster[Direction],MATCH($D386,Tbl_KPIMaster[Department],0))="Lower is Better",IF($G386=0,1,IF($F386=0,0,$F386/$G386)),IF($F386=0,1,$G386/$F386)),0)</f>
        <v/>
      </c>
      <c r="I386" s="12">
        <f>IF($H386&gt;=1,"Green",IF($H386&gt;=0.85,"Amber","Red"))</f>
        <v/>
      </c>
      <c r="J386" s="14" t="n"/>
    </row>
    <row r="387">
      <c r="A387" s="8" t="n"/>
      <c r="B387" s="8">
        <f>IF($A387="","",TEXT($A387,"mmm-yyyy"))</f>
        <v/>
      </c>
      <c r="C387" s="8">
        <f>IF($A387="","","W"&amp;WEEKNUM($A387,2))</f>
        <v/>
      </c>
      <c r="D387" s="8" t="n"/>
      <c r="E387" s="8">
        <f>IFERROR(INDEX(Tbl_KPIMaster[KPI Name],MATCH($D387,Tbl_KPIMaster[Department],0)),"")</f>
        <v/>
      </c>
      <c r="F387" s="8">
        <f>IFERROR(INDEX(Tbl_KPIMaster[Target],MATCH($D387,Tbl_KPIMaster[Department],0)),"")</f>
        <v/>
      </c>
      <c r="G387" s="8" t="n"/>
      <c r="H387" s="9">
        <f>IFERROR(IF(INDEX(Tbl_KPIMaster[Direction],MATCH($D387,Tbl_KPIMaster[Department],0))="Lower is Better",IF($G387=0,1,IF($F387=0,0,$F387/$G387)),IF($F387=0,1,$G387/$F387)),0)</f>
        <v/>
      </c>
      <c r="I387" s="8">
        <f>IF($H387&gt;=1,"Green",IF($H387&gt;=0.85,"Amber","Red"))</f>
        <v/>
      </c>
      <c r="J387" s="10" t="n"/>
    </row>
    <row r="388">
      <c r="A388" s="12" t="n"/>
      <c r="B388" s="12">
        <f>IF($A388="","",TEXT($A388,"mmm-yyyy"))</f>
        <v/>
      </c>
      <c r="C388" s="12">
        <f>IF($A388="","","W"&amp;WEEKNUM($A388,2))</f>
        <v/>
      </c>
      <c r="D388" s="12" t="n"/>
      <c r="E388" s="12">
        <f>IFERROR(INDEX(Tbl_KPIMaster[KPI Name],MATCH($D388,Tbl_KPIMaster[Department],0)),"")</f>
        <v/>
      </c>
      <c r="F388" s="12">
        <f>IFERROR(INDEX(Tbl_KPIMaster[Target],MATCH($D388,Tbl_KPIMaster[Department],0)),"")</f>
        <v/>
      </c>
      <c r="G388" s="12" t="n"/>
      <c r="H388" s="13">
        <f>IFERROR(IF(INDEX(Tbl_KPIMaster[Direction],MATCH($D388,Tbl_KPIMaster[Department],0))="Lower is Better",IF($G388=0,1,IF($F388=0,0,$F388/$G388)),IF($F388=0,1,$G388/$F388)),0)</f>
        <v/>
      </c>
      <c r="I388" s="12">
        <f>IF($H388&gt;=1,"Green",IF($H388&gt;=0.85,"Amber","Red"))</f>
        <v/>
      </c>
      <c r="J388" s="14" t="n"/>
    </row>
    <row r="389">
      <c r="A389" s="8" t="n"/>
      <c r="B389" s="8">
        <f>IF($A389="","",TEXT($A389,"mmm-yyyy"))</f>
        <v/>
      </c>
      <c r="C389" s="8">
        <f>IF($A389="","","W"&amp;WEEKNUM($A389,2))</f>
        <v/>
      </c>
      <c r="D389" s="8" t="n"/>
      <c r="E389" s="8">
        <f>IFERROR(INDEX(Tbl_KPIMaster[KPI Name],MATCH($D389,Tbl_KPIMaster[Department],0)),"")</f>
        <v/>
      </c>
      <c r="F389" s="8">
        <f>IFERROR(INDEX(Tbl_KPIMaster[Target],MATCH($D389,Tbl_KPIMaster[Department],0)),"")</f>
        <v/>
      </c>
      <c r="G389" s="8" t="n"/>
      <c r="H389" s="9">
        <f>IFERROR(IF(INDEX(Tbl_KPIMaster[Direction],MATCH($D389,Tbl_KPIMaster[Department],0))="Lower is Better",IF($G389=0,1,IF($F389=0,0,$F389/$G389)),IF($F389=0,1,$G389/$F389)),0)</f>
        <v/>
      </c>
      <c r="I389" s="8">
        <f>IF($H389&gt;=1,"Green",IF($H389&gt;=0.85,"Amber","Red"))</f>
        <v/>
      </c>
      <c r="J389" s="10" t="n"/>
    </row>
    <row r="390">
      <c r="A390" s="12" t="n"/>
      <c r="B390" s="12">
        <f>IF($A390="","",TEXT($A390,"mmm-yyyy"))</f>
        <v/>
      </c>
      <c r="C390" s="12">
        <f>IF($A390="","","W"&amp;WEEKNUM($A390,2))</f>
        <v/>
      </c>
      <c r="D390" s="12" t="n"/>
      <c r="E390" s="12">
        <f>IFERROR(INDEX(Tbl_KPIMaster[KPI Name],MATCH($D390,Tbl_KPIMaster[Department],0)),"")</f>
        <v/>
      </c>
      <c r="F390" s="12">
        <f>IFERROR(INDEX(Tbl_KPIMaster[Target],MATCH($D390,Tbl_KPIMaster[Department],0)),"")</f>
        <v/>
      </c>
      <c r="G390" s="12" t="n"/>
      <c r="H390" s="13">
        <f>IFERROR(IF(INDEX(Tbl_KPIMaster[Direction],MATCH($D390,Tbl_KPIMaster[Department],0))="Lower is Better",IF($G390=0,1,IF($F390=0,0,$F390/$G390)),IF($F390=0,1,$G390/$F390)),0)</f>
        <v/>
      </c>
      <c r="I390" s="12">
        <f>IF($H390&gt;=1,"Green",IF($H390&gt;=0.85,"Amber","Red"))</f>
        <v/>
      </c>
      <c r="J390" s="14" t="n"/>
    </row>
    <row r="391">
      <c r="A391" s="8" t="n"/>
      <c r="B391" s="8">
        <f>IF($A391="","",TEXT($A391,"mmm-yyyy"))</f>
        <v/>
      </c>
      <c r="C391" s="8">
        <f>IF($A391="","","W"&amp;WEEKNUM($A391,2))</f>
        <v/>
      </c>
      <c r="D391" s="8" t="n"/>
      <c r="E391" s="8">
        <f>IFERROR(INDEX(Tbl_KPIMaster[KPI Name],MATCH($D391,Tbl_KPIMaster[Department],0)),"")</f>
        <v/>
      </c>
      <c r="F391" s="8">
        <f>IFERROR(INDEX(Tbl_KPIMaster[Target],MATCH($D391,Tbl_KPIMaster[Department],0)),"")</f>
        <v/>
      </c>
      <c r="G391" s="8" t="n"/>
      <c r="H391" s="9">
        <f>IFERROR(IF(INDEX(Tbl_KPIMaster[Direction],MATCH($D391,Tbl_KPIMaster[Department],0))="Lower is Better",IF($G391=0,1,IF($F391=0,0,$F391/$G391)),IF($F391=0,1,$G391/$F391)),0)</f>
        <v/>
      </c>
      <c r="I391" s="8">
        <f>IF($H391&gt;=1,"Green",IF($H391&gt;=0.85,"Amber","Red"))</f>
        <v/>
      </c>
      <c r="J391" s="10" t="n"/>
    </row>
    <row r="392">
      <c r="A392" s="12" t="n"/>
      <c r="B392" s="12">
        <f>IF($A392="","",TEXT($A392,"mmm-yyyy"))</f>
        <v/>
      </c>
      <c r="C392" s="12">
        <f>IF($A392="","","W"&amp;WEEKNUM($A392,2))</f>
        <v/>
      </c>
      <c r="D392" s="12" t="n"/>
      <c r="E392" s="12">
        <f>IFERROR(INDEX(Tbl_KPIMaster[KPI Name],MATCH($D392,Tbl_KPIMaster[Department],0)),"")</f>
        <v/>
      </c>
      <c r="F392" s="12">
        <f>IFERROR(INDEX(Tbl_KPIMaster[Target],MATCH($D392,Tbl_KPIMaster[Department],0)),"")</f>
        <v/>
      </c>
      <c r="G392" s="12" t="n"/>
      <c r="H392" s="13">
        <f>IFERROR(IF(INDEX(Tbl_KPIMaster[Direction],MATCH($D392,Tbl_KPIMaster[Department],0))="Lower is Better",IF($G392=0,1,IF($F392=0,0,$F392/$G392)),IF($F392=0,1,$G392/$F392)),0)</f>
        <v/>
      </c>
      <c r="I392" s="12">
        <f>IF($H392&gt;=1,"Green",IF($H392&gt;=0.85,"Amber","Red"))</f>
        <v/>
      </c>
      <c r="J392" s="14" t="n"/>
    </row>
    <row r="393">
      <c r="A393" s="8" t="n"/>
      <c r="B393" s="8">
        <f>IF($A393="","",TEXT($A393,"mmm-yyyy"))</f>
        <v/>
      </c>
      <c r="C393" s="8">
        <f>IF($A393="","","W"&amp;WEEKNUM($A393,2))</f>
        <v/>
      </c>
      <c r="D393" s="8" t="n"/>
      <c r="E393" s="8">
        <f>IFERROR(INDEX(Tbl_KPIMaster[KPI Name],MATCH($D393,Tbl_KPIMaster[Department],0)),"")</f>
        <v/>
      </c>
      <c r="F393" s="8">
        <f>IFERROR(INDEX(Tbl_KPIMaster[Target],MATCH($D393,Tbl_KPIMaster[Department],0)),"")</f>
        <v/>
      </c>
      <c r="G393" s="8" t="n"/>
      <c r="H393" s="9">
        <f>IFERROR(IF(INDEX(Tbl_KPIMaster[Direction],MATCH($D393,Tbl_KPIMaster[Department],0))="Lower is Better",IF($G393=0,1,IF($F393=0,0,$F393/$G393)),IF($F393=0,1,$G393/$F393)),0)</f>
        <v/>
      </c>
      <c r="I393" s="8">
        <f>IF($H393&gt;=1,"Green",IF($H393&gt;=0.85,"Amber","Red"))</f>
        <v/>
      </c>
      <c r="J393" s="10" t="n"/>
    </row>
    <row r="394">
      <c r="A394" s="12" t="n"/>
      <c r="B394" s="12">
        <f>IF($A394="","",TEXT($A394,"mmm-yyyy"))</f>
        <v/>
      </c>
      <c r="C394" s="12">
        <f>IF($A394="","","W"&amp;WEEKNUM($A394,2))</f>
        <v/>
      </c>
      <c r="D394" s="12" t="n"/>
      <c r="E394" s="12">
        <f>IFERROR(INDEX(Tbl_KPIMaster[KPI Name],MATCH($D394,Tbl_KPIMaster[Department],0)),"")</f>
        <v/>
      </c>
      <c r="F394" s="12">
        <f>IFERROR(INDEX(Tbl_KPIMaster[Target],MATCH($D394,Tbl_KPIMaster[Department],0)),"")</f>
        <v/>
      </c>
      <c r="G394" s="12" t="n"/>
      <c r="H394" s="13">
        <f>IFERROR(IF(INDEX(Tbl_KPIMaster[Direction],MATCH($D394,Tbl_KPIMaster[Department],0))="Lower is Better",IF($G394=0,1,IF($F394=0,0,$F394/$G394)),IF($F394=0,1,$G394/$F394)),0)</f>
        <v/>
      </c>
      <c r="I394" s="12">
        <f>IF($H394&gt;=1,"Green",IF($H394&gt;=0.85,"Amber","Red"))</f>
        <v/>
      </c>
      <c r="J394" s="14" t="n"/>
    </row>
    <row r="395">
      <c r="A395" s="8" t="n"/>
      <c r="B395" s="8">
        <f>IF($A395="","",TEXT($A395,"mmm-yyyy"))</f>
        <v/>
      </c>
      <c r="C395" s="8">
        <f>IF($A395="","","W"&amp;WEEKNUM($A395,2))</f>
        <v/>
      </c>
      <c r="D395" s="8" t="n"/>
      <c r="E395" s="8">
        <f>IFERROR(INDEX(Tbl_KPIMaster[KPI Name],MATCH($D395,Tbl_KPIMaster[Department],0)),"")</f>
        <v/>
      </c>
      <c r="F395" s="8">
        <f>IFERROR(INDEX(Tbl_KPIMaster[Target],MATCH($D395,Tbl_KPIMaster[Department],0)),"")</f>
        <v/>
      </c>
      <c r="G395" s="8" t="n"/>
      <c r="H395" s="9">
        <f>IFERROR(IF(INDEX(Tbl_KPIMaster[Direction],MATCH($D395,Tbl_KPIMaster[Department],0))="Lower is Better",IF($G395=0,1,IF($F395=0,0,$F395/$G395)),IF($F395=0,1,$G395/$F395)),0)</f>
        <v/>
      </c>
      <c r="I395" s="8">
        <f>IF($H395&gt;=1,"Green",IF($H395&gt;=0.85,"Amber","Red"))</f>
        <v/>
      </c>
      <c r="J395" s="10" t="n"/>
    </row>
    <row r="396">
      <c r="A396" s="12" t="n"/>
      <c r="B396" s="12">
        <f>IF($A396="","",TEXT($A396,"mmm-yyyy"))</f>
        <v/>
      </c>
      <c r="C396" s="12">
        <f>IF($A396="","","W"&amp;WEEKNUM($A396,2))</f>
        <v/>
      </c>
      <c r="D396" s="12" t="n"/>
      <c r="E396" s="12">
        <f>IFERROR(INDEX(Tbl_KPIMaster[KPI Name],MATCH($D396,Tbl_KPIMaster[Department],0)),"")</f>
        <v/>
      </c>
      <c r="F396" s="12">
        <f>IFERROR(INDEX(Tbl_KPIMaster[Target],MATCH($D396,Tbl_KPIMaster[Department],0)),"")</f>
        <v/>
      </c>
      <c r="G396" s="12" t="n"/>
      <c r="H396" s="13">
        <f>IFERROR(IF(INDEX(Tbl_KPIMaster[Direction],MATCH($D396,Tbl_KPIMaster[Department],0))="Lower is Better",IF($G396=0,1,IF($F396=0,0,$F396/$G396)),IF($F396=0,1,$G396/$F396)),0)</f>
        <v/>
      </c>
      <c r="I396" s="12">
        <f>IF($H396&gt;=1,"Green",IF($H396&gt;=0.85,"Amber","Red"))</f>
        <v/>
      </c>
      <c r="J396" s="14" t="n"/>
    </row>
    <row r="397">
      <c r="A397" s="8" t="n"/>
      <c r="B397" s="8">
        <f>IF($A397="","",TEXT($A397,"mmm-yyyy"))</f>
        <v/>
      </c>
      <c r="C397" s="8">
        <f>IF($A397="","","W"&amp;WEEKNUM($A397,2))</f>
        <v/>
      </c>
      <c r="D397" s="8" t="n"/>
      <c r="E397" s="8">
        <f>IFERROR(INDEX(Tbl_KPIMaster[KPI Name],MATCH($D397,Tbl_KPIMaster[Department],0)),"")</f>
        <v/>
      </c>
      <c r="F397" s="8">
        <f>IFERROR(INDEX(Tbl_KPIMaster[Target],MATCH($D397,Tbl_KPIMaster[Department],0)),"")</f>
        <v/>
      </c>
      <c r="G397" s="8" t="n"/>
      <c r="H397" s="9">
        <f>IFERROR(IF(INDEX(Tbl_KPIMaster[Direction],MATCH($D397,Tbl_KPIMaster[Department],0))="Lower is Better",IF($G397=0,1,IF($F397=0,0,$F397/$G397)),IF($F397=0,1,$G397/$F397)),0)</f>
        <v/>
      </c>
      <c r="I397" s="8">
        <f>IF($H397&gt;=1,"Green",IF($H397&gt;=0.85,"Amber","Red"))</f>
        <v/>
      </c>
      <c r="J397" s="10" t="n"/>
    </row>
    <row r="398">
      <c r="A398" s="12" t="n"/>
      <c r="B398" s="12">
        <f>IF($A398="","",TEXT($A398,"mmm-yyyy"))</f>
        <v/>
      </c>
      <c r="C398" s="12">
        <f>IF($A398="","","W"&amp;WEEKNUM($A398,2))</f>
        <v/>
      </c>
      <c r="D398" s="12" t="n"/>
      <c r="E398" s="12">
        <f>IFERROR(INDEX(Tbl_KPIMaster[KPI Name],MATCH($D398,Tbl_KPIMaster[Department],0)),"")</f>
        <v/>
      </c>
      <c r="F398" s="12">
        <f>IFERROR(INDEX(Tbl_KPIMaster[Target],MATCH($D398,Tbl_KPIMaster[Department],0)),"")</f>
        <v/>
      </c>
      <c r="G398" s="12" t="n"/>
      <c r="H398" s="13">
        <f>IFERROR(IF(INDEX(Tbl_KPIMaster[Direction],MATCH($D398,Tbl_KPIMaster[Department],0))="Lower is Better",IF($G398=0,1,IF($F398=0,0,$F398/$G398)),IF($F398=0,1,$G398/$F398)),0)</f>
        <v/>
      </c>
      <c r="I398" s="12">
        <f>IF($H398&gt;=1,"Green",IF($H398&gt;=0.85,"Amber","Red"))</f>
        <v/>
      </c>
      <c r="J398" s="14" t="n"/>
    </row>
    <row r="399">
      <c r="A399" s="8" t="n"/>
      <c r="B399" s="8">
        <f>IF($A399="","",TEXT($A399,"mmm-yyyy"))</f>
        <v/>
      </c>
      <c r="C399" s="8">
        <f>IF($A399="","","W"&amp;WEEKNUM($A399,2))</f>
        <v/>
      </c>
      <c r="D399" s="8" t="n"/>
      <c r="E399" s="8">
        <f>IFERROR(INDEX(Tbl_KPIMaster[KPI Name],MATCH($D399,Tbl_KPIMaster[Department],0)),"")</f>
        <v/>
      </c>
      <c r="F399" s="8">
        <f>IFERROR(INDEX(Tbl_KPIMaster[Target],MATCH($D399,Tbl_KPIMaster[Department],0)),"")</f>
        <v/>
      </c>
      <c r="G399" s="8" t="n"/>
      <c r="H399" s="9">
        <f>IFERROR(IF(INDEX(Tbl_KPIMaster[Direction],MATCH($D399,Tbl_KPIMaster[Department],0))="Lower is Better",IF($G399=0,1,IF($F399=0,0,$F399/$G399)),IF($F399=0,1,$G399/$F399)),0)</f>
        <v/>
      </c>
      <c r="I399" s="8">
        <f>IF($H399&gt;=1,"Green",IF($H399&gt;=0.85,"Amber","Red"))</f>
        <v/>
      </c>
      <c r="J399" s="10" t="n"/>
    </row>
    <row r="400">
      <c r="A400" s="12" t="n"/>
      <c r="B400" s="12">
        <f>IF($A400="","",TEXT($A400,"mmm-yyyy"))</f>
        <v/>
      </c>
      <c r="C400" s="12">
        <f>IF($A400="","","W"&amp;WEEKNUM($A400,2))</f>
        <v/>
      </c>
      <c r="D400" s="12" t="n"/>
      <c r="E400" s="12">
        <f>IFERROR(INDEX(Tbl_KPIMaster[KPI Name],MATCH($D400,Tbl_KPIMaster[Department],0)),"")</f>
        <v/>
      </c>
      <c r="F400" s="12">
        <f>IFERROR(INDEX(Tbl_KPIMaster[Target],MATCH($D400,Tbl_KPIMaster[Department],0)),"")</f>
        <v/>
      </c>
      <c r="G400" s="12" t="n"/>
      <c r="H400" s="13">
        <f>IFERROR(IF(INDEX(Tbl_KPIMaster[Direction],MATCH($D400,Tbl_KPIMaster[Department],0))="Lower is Better",IF($G400=0,1,IF($F400=0,0,$F400/$G400)),IF($F400=0,1,$G400/$F400)),0)</f>
        <v/>
      </c>
      <c r="I400" s="12">
        <f>IF($H400&gt;=1,"Green",IF($H400&gt;=0.85,"Amber","Red"))</f>
        <v/>
      </c>
      <c r="J400" s="14" t="n"/>
    </row>
    <row r="401">
      <c r="A401" s="8" t="n"/>
      <c r="B401" s="8">
        <f>IF($A401="","",TEXT($A401,"mmm-yyyy"))</f>
        <v/>
      </c>
      <c r="C401" s="8">
        <f>IF($A401="","","W"&amp;WEEKNUM($A401,2))</f>
        <v/>
      </c>
      <c r="D401" s="8" t="n"/>
      <c r="E401" s="8">
        <f>IFERROR(INDEX(Tbl_KPIMaster[KPI Name],MATCH($D401,Tbl_KPIMaster[Department],0)),"")</f>
        <v/>
      </c>
      <c r="F401" s="8">
        <f>IFERROR(INDEX(Tbl_KPIMaster[Target],MATCH($D401,Tbl_KPIMaster[Department],0)),"")</f>
        <v/>
      </c>
      <c r="G401" s="8" t="n"/>
      <c r="H401" s="9">
        <f>IFERROR(IF(INDEX(Tbl_KPIMaster[Direction],MATCH($D401,Tbl_KPIMaster[Department],0))="Lower is Better",IF($G401=0,1,IF($F401=0,0,$F401/$G401)),IF($F401=0,1,$G401/$F401)),0)</f>
        <v/>
      </c>
      <c r="I401" s="8">
        <f>IF($H401&gt;=1,"Green",IF($H401&gt;=0.85,"Amber","Red"))</f>
        <v/>
      </c>
      <c r="J401" s="10" t="n"/>
    </row>
    <row r="402">
      <c r="A402" s="12" t="n"/>
      <c r="B402" s="12">
        <f>IF($A402="","",TEXT($A402,"mmm-yyyy"))</f>
        <v/>
      </c>
      <c r="C402" s="12">
        <f>IF($A402="","","W"&amp;WEEKNUM($A402,2))</f>
        <v/>
      </c>
      <c r="D402" s="12" t="n"/>
      <c r="E402" s="12">
        <f>IFERROR(INDEX(Tbl_KPIMaster[KPI Name],MATCH($D402,Tbl_KPIMaster[Department],0)),"")</f>
        <v/>
      </c>
      <c r="F402" s="12">
        <f>IFERROR(INDEX(Tbl_KPIMaster[Target],MATCH($D402,Tbl_KPIMaster[Department],0)),"")</f>
        <v/>
      </c>
      <c r="G402" s="12" t="n"/>
      <c r="H402" s="13">
        <f>IFERROR(IF(INDEX(Tbl_KPIMaster[Direction],MATCH($D402,Tbl_KPIMaster[Department],0))="Lower is Better",IF($G402=0,1,IF($F402=0,0,$F402/$G402)),IF($F402=0,1,$G402/$F402)),0)</f>
        <v/>
      </c>
      <c r="I402" s="12">
        <f>IF($H402&gt;=1,"Green",IF($H402&gt;=0.85,"Amber","Red"))</f>
        <v/>
      </c>
      <c r="J402" s="14" t="n"/>
    </row>
  </sheetData>
  <mergeCells count="1">
    <mergeCell ref="A1:J1"/>
  </mergeCells>
  <conditionalFormatting sqref="I3:I402">
    <cfRule type="expression" priority="1" dxfId="0">
      <formula>$I3="Green"</formula>
    </cfRule>
    <cfRule type="expression" priority="2" dxfId="1">
      <formula>$I3="Amber"</formula>
    </cfRule>
    <cfRule type="expression" priority="3" dxfId="2">
      <formula>$I3="Red"</formula>
    </cfRule>
  </conditionalFormatting>
  <dataValidations count="1">
    <dataValidation sqref="D3:D402" showDropDown="0" showInputMessage="0" showErrorMessage="0" allowBlank="0" errorTitle="Invalid Department" error="Please choose a department from the list." type="list">
      <formula1>DeptList</formula1>
    </dataValidation>
  </dataValidations>
  <pageMargins left="0.3" right="0.3" top="0.4" bottom="0.4" header="0.2" footer="0.2"/>
  <pageSetup orientation="landscape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5" customWidth="1" min="1" max="1"/>
    <col width="26" customWidth="1" min="2" max="2"/>
    <col width="10" customWidth="1" min="3" max="3"/>
    <col width="12" customWidth="1" min="4" max="4"/>
    <col width="18" customWidth="1" min="5" max="5"/>
    <col width="22" customWidth="1" min="6" max="6"/>
    <col width="3" customWidth="1" min="7" max="7"/>
    <col width="14" customWidth="1" min="8" max="8"/>
    <col width="10" customWidth="1" min="9" max="9"/>
  </cols>
  <sheetData>
    <row r="1" ht="26" customHeight="1">
      <c r="A1" s="5" t="inlineStr">
        <is>
          <t>MASTER DROPDOWN — KPI definitions used to auto-fill KPI Data Entry</t>
        </is>
      </c>
    </row>
    <row r="2" ht="26" customHeight="1">
      <c r="A2" s="6" t="inlineStr">
        <is>
          <t>Department</t>
        </is>
      </c>
      <c r="B2" s="6" t="inlineStr">
        <is>
          <t>KPI Name</t>
        </is>
      </c>
      <c r="C2" s="6" t="inlineStr">
        <is>
          <t>Unit</t>
        </is>
      </c>
      <c r="D2" s="6" t="inlineStr">
        <is>
          <t>Target</t>
        </is>
      </c>
      <c r="E2" s="6" t="inlineStr">
        <is>
          <t>Direction</t>
        </is>
      </c>
      <c r="F2" s="6" t="inlineStr">
        <is>
          <t>Owner</t>
        </is>
      </c>
      <c r="H2" s="3" t="inlineStr">
        <is>
          <t>Department List</t>
        </is>
      </c>
      <c r="I2" s="3" t="inlineStr">
        <is>
          <t>Status List</t>
        </is>
      </c>
    </row>
    <row r="3">
      <c r="A3" s="8" t="inlineStr">
        <is>
          <t>Safety</t>
        </is>
      </c>
      <c r="B3" s="10" t="inlineStr">
        <is>
          <t>Safety Incidents</t>
        </is>
      </c>
      <c r="C3" s="8" t="inlineStr">
        <is>
          <t>Count</t>
        </is>
      </c>
      <c r="D3" s="8" t="n">
        <v>0</v>
      </c>
      <c r="E3" s="8" t="inlineStr">
        <is>
          <t>Lower is Better</t>
        </is>
      </c>
      <c r="F3" s="8" t="inlineStr">
        <is>
          <t>Safety Officer</t>
        </is>
      </c>
      <c r="H3" t="inlineStr">
        <is>
          <t>Safety</t>
        </is>
      </c>
      <c r="I3" t="inlineStr">
        <is>
          <t>Green</t>
        </is>
      </c>
    </row>
    <row r="4">
      <c r="A4" s="12" t="inlineStr">
        <is>
          <t>Production</t>
        </is>
      </c>
      <c r="B4" s="14" t="inlineStr">
        <is>
          <t>Production Output</t>
        </is>
      </c>
      <c r="C4" s="12" t="inlineStr">
        <is>
          <t>Units</t>
        </is>
      </c>
      <c r="D4" s="12" t="n">
        <v>1000</v>
      </c>
      <c r="E4" s="12" t="inlineStr">
        <is>
          <t>Higher is Better</t>
        </is>
      </c>
      <c r="F4" s="12" t="inlineStr">
        <is>
          <t>Production Manager</t>
        </is>
      </c>
      <c r="H4" t="inlineStr">
        <is>
          <t>Production</t>
        </is>
      </c>
      <c r="I4" t="inlineStr">
        <is>
          <t>Amber</t>
        </is>
      </c>
    </row>
    <row r="5">
      <c r="A5" s="8" t="inlineStr">
        <is>
          <t>Quality</t>
        </is>
      </c>
      <c r="B5" s="10" t="inlineStr">
        <is>
          <t>Defect Rate %</t>
        </is>
      </c>
      <c r="C5" s="8" t="inlineStr">
        <is>
          <t>%</t>
        </is>
      </c>
      <c r="D5" s="15" t="n">
        <v>0.02</v>
      </c>
      <c r="E5" s="8" t="inlineStr">
        <is>
          <t>Lower is Better</t>
        </is>
      </c>
      <c r="F5" s="8" t="inlineStr">
        <is>
          <t>Quality Manager</t>
        </is>
      </c>
      <c r="H5" t="inlineStr">
        <is>
          <t>Quality</t>
        </is>
      </c>
      <c r="I5" t="inlineStr">
        <is>
          <t>Red</t>
        </is>
      </c>
    </row>
    <row r="6">
      <c r="A6" s="12" t="inlineStr">
        <is>
          <t>Maintenance</t>
        </is>
      </c>
      <c r="B6" s="14" t="inlineStr">
        <is>
          <t>Unplanned Downtime (Hrs)</t>
        </is>
      </c>
      <c r="C6" s="12" t="inlineStr">
        <is>
          <t>Hours</t>
        </is>
      </c>
      <c r="D6" s="12" t="n">
        <v>1</v>
      </c>
      <c r="E6" s="12" t="inlineStr">
        <is>
          <t>Lower is Better</t>
        </is>
      </c>
      <c r="F6" s="12" t="inlineStr">
        <is>
          <t>Maintenance Manager</t>
        </is>
      </c>
      <c r="H6" t="inlineStr">
        <is>
          <t>Maintenance</t>
        </is>
      </c>
    </row>
    <row r="7">
      <c r="A7" s="8" t="inlineStr">
        <is>
          <t>Utilities</t>
        </is>
      </c>
      <c r="B7" s="10" t="inlineStr">
        <is>
          <t>Power Consumption (kWh)</t>
        </is>
      </c>
      <c r="C7" s="8" t="inlineStr">
        <is>
          <t>kWh</t>
        </is>
      </c>
      <c r="D7" s="8" t="n">
        <v>4500</v>
      </c>
      <c r="E7" s="8" t="inlineStr">
        <is>
          <t>Lower is Better</t>
        </is>
      </c>
      <c r="F7" s="8" t="inlineStr">
        <is>
          <t>Utilities Engineer</t>
        </is>
      </c>
      <c r="H7" t="inlineStr">
        <is>
          <t>Utilities</t>
        </is>
      </c>
    </row>
    <row r="8">
      <c r="A8" s="12" t="inlineStr">
        <is>
          <t>Warehouse</t>
        </is>
      </c>
      <c r="B8" s="14" t="inlineStr">
        <is>
          <t>On-Time Dispatch %</t>
        </is>
      </c>
      <c r="C8" s="12" t="inlineStr">
        <is>
          <t>%</t>
        </is>
      </c>
      <c r="D8" s="16" t="n">
        <v>0.95</v>
      </c>
      <c r="E8" s="12" t="inlineStr">
        <is>
          <t>Higher is Better</t>
        </is>
      </c>
      <c r="F8" s="12" t="inlineStr">
        <is>
          <t>Warehouse Manager</t>
        </is>
      </c>
      <c r="H8" t="inlineStr">
        <is>
          <t>Warehouse</t>
        </is>
      </c>
    </row>
    <row r="9">
      <c r="A9" s="8" t="inlineStr">
        <is>
          <t>HR</t>
        </is>
      </c>
      <c r="B9" s="10" t="inlineStr">
        <is>
          <t>Absenteeism %</t>
        </is>
      </c>
      <c r="C9" s="8" t="inlineStr">
        <is>
          <t>%</t>
        </is>
      </c>
      <c r="D9" s="15" t="n">
        <v>0.03</v>
      </c>
      <c r="E9" s="8" t="inlineStr">
        <is>
          <t>Lower is Better</t>
        </is>
      </c>
      <c r="F9" s="8" t="inlineStr">
        <is>
          <t>HR Manager</t>
        </is>
      </c>
      <c r="H9" t="inlineStr">
        <is>
          <t>HR</t>
        </is>
      </c>
    </row>
    <row r="10">
      <c r="A10" s="12" t="inlineStr">
        <is>
          <t>Engineering</t>
        </is>
      </c>
      <c r="B10" s="14" t="inlineStr">
        <is>
          <t>Milestone Adherence %</t>
        </is>
      </c>
      <c r="C10" s="12" t="inlineStr">
        <is>
          <t>%</t>
        </is>
      </c>
      <c r="D10" s="16" t="n">
        <v>0.9</v>
      </c>
      <c r="E10" s="12" t="inlineStr">
        <is>
          <t>Higher is Better</t>
        </is>
      </c>
      <c r="F10" s="12" t="inlineStr">
        <is>
          <t>Engineering Manager</t>
        </is>
      </c>
      <c r="H10" t="inlineStr">
        <is>
          <t>Engineering</t>
        </is>
      </c>
    </row>
  </sheetData>
  <mergeCells count="1">
    <mergeCell ref="A1:F1"/>
  </mergeCells>
  <pageMargins left="0.3" right="0.3" top="0.4" bottom="0.4" header="0.2" footer="0.2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46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2" customWidth="1" min="2" max="2"/>
    <col width="13" customWidth="1" min="3" max="3"/>
    <col width="30" customWidth="1" min="4" max="4"/>
    <col width="30" customWidth="1" min="5" max="5"/>
    <col width="20" customWidth="1" min="6" max="6"/>
    <col width="12" customWidth="1" min="7" max="7"/>
    <col width="12" customWidth="1" min="8" max="8"/>
    <col width="9" customWidth="1" min="9" max="9"/>
    <col width="11" customWidth="1" min="10" max="10"/>
    <col width="24" customWidth="1" min="11" max="11"/>
    <col width="9" customWidth="1" min="12" max="12"/>
  </cols>
  <sheetData>
    <row r="1" ht="26" customHeight="1">
      <c r="A1" s="5" t="inlineStr">
        <is>
          <t>ACTION TRACKER — actions raised against KPI gaps</t>
        </is>
      </c>
    </row>
    <row r="2" ht="26" customHeight="1">
      <c r="A2" s="6" t="inlineStr">
        <is>
          <t>Action ID</t>
        </is>
      </c>
      <c r="B2" s="6" t="inlineStr">
        <is>
          <t>Date Raised</t>
        </is>
      </c>
      <c r="C2" s="6" t="inlineStr">
        <is>
          <t>Department</t>
        </is>
      </c>
      <c r="D2" s="6" t="inlineStr">
        <is>
          <t>Issue</t>
        </is>
      </c>
      <c r="E2" s="6" t="inlineStr">
        <is>
          <t>Action</t>
        </is>
      </c>
      <c r="F2" s="6" t="inlineStr">
        <is>
          <t>Owner</t>
        </is>
      </c>
      <c r="G2" s="6" t="inlineStr">
        <is>
          <t>Due Date</t>
        </is>
      </c>
      <c r="H2" s="6" t="inlineStr">
        <is>
          <t>Status</t>
        </is>
      </c>
      <c r="I2" s="6" t="inlineStr">
        <is>
          <t>Priority</t>
        </is>
      </c>
      <c r="J2" s="6" t="inlineStr">
        <is>
          <t>Completion %</t>
        </is>
      </c>
      <c r="K2" s="6" t="inlineStr">
        <is>
          <t>Remarks</t>
        </is>
      </c>
      <c r="L2" s="6" t="inlineStr">
        <is>
          <t>Overdue?</t>
        </is>
      </c>
    </row>
    <row r="3">
      <c r="A3" s="8" t="inlineStr">
        <is>
          <t>ACT-100</t>
        </is>
      </c>
      <c r="B3" s="7" t="n">
        <v>46200</v>
      </c>
      <c r="C3" s="8" t="inlineStr">
        <is>
          <t>Quality</t>
        </is>
      </c>
      <c r="D3" s="10" t="inlineStr">
        <is>
          <t>Rise in defect rate</t>
        </is>
      </c>
      <c r="E3" s="10" t="inlineStr">
        <is>
          <t>Tighten incoming inspection</t>
        </is>
      </c>
      <c r="F3" s="8" t="inlineStr">
        <is>
          <t>Quality Manager</t>
        </is>
      </c>
      <c r="G3" s="7" t="n">
        <v>46202</v>
      </c>
      <c r="H3" s="8" t="inlineStr">
        <is>
          <t>Open</t>
        </is>
      </c>
      <c r="I3" s="8" t="inlineStr">
        <is>
          <t>Medium</t>
        </is>
      </c>
      <c r="J3" s="15" t="n">
        <v>0</v>
      </c>
      <c r="K3" s="10" t="inlineStr">
        <is>
          <t>Preventive check done</t>
        </is>
      </c>
      <c r="L3" s="8">
        <f>IF($H3="Closed","No",IF($G3&lt;TODAY(),"Yes","No"))</f>
        <v/>
      </c>
    </row>
    <row r="4">
      <c r="A4" s="12" t="inlineStr">
        <is>
          <t>ACT-101</t>
        </is>
      </c>
      <c r="B4" s="11" t="n">
        <v>46196</v>
      </c>
      <c r="C4" s="12" t="inlineStr">
        <is>
          <t>Warehouse</t>
        </is>
      </c>
      <c r="D4" s="14" t="inlineStr">
        <is>
          <t>Dispatch delay for key customer</t>
        </is>
      </c>
      <c r="E4" s="14" t="inlineStr">
        <is>
          <t>Cycle count + WMS reconciliation</t>
        </is>
      </c>
      <c r="F4" s="12" t="inlineStr">
        <is>
          <t>Warehouse Manager</t>
        </is>
      </c>
      <c r="G4" s="11" t="n">
        <v>46198</v>
      </c>
      <c r="H4" s="12" t="inlineStr">
        <is>
          <t>Closed</t>
        </is>
      </c>
      <c r="I4" s="12" t="inlineStr">
        <is>
          <t>Low</t>
        </is>
      </c>
      <c r="J4" s="16" t="n">
        <v>1</v>
      </c>
      <c r="K4" s="14" t="inlineStr">
        <is>
          <t>Preventive check done</t>
        </is>
      </c>
      <c r="L4" s="12">
        <f>IF($H4="Closed","No",IF($G4&lt;TODAY(),"Yes","No"))</f>
        <v/>
      </c>
    </row>
    <row r="5">
      <c r="A5" s="8" t="inlineStr">
        <is>
          <t>ACT-102</t>
        </is>
      </c>
      <c r="B5" s="7" t="n">
        <v>46206</v>
      </c>
      <c r="C5" s="8" t="inlineStr">
        <is>
          <t>HR</t>
        </is>
      </c>
      <c r="D5" s="10" t="inlineStr">
        <is>
          <t>High absenteeism in Shift B</t>
        </is>
      </c>
      <c r="E5" s="10" t="inlineStr">
        <is>
          <t>Coordinate additional shuttle</t>
        </is>
      </c>
      <c r="F5" s="8" t="inlineStr">
        <is>
          <t>HR Manager</t>
        </is>
      </c>
      <c r="G5" s="7" t="n">
        <v>46216</v>
      </c>
      <c r="H5" s="8" t="inlineStr">
        <is>
          <t>In Progress</t>
        </is>
      </c>
      <c r="I5" s="8" t="inlineStr">
        <is>
          <t>Low</t>
        </is>
      </c>
      <c r="J5" s="15" t="n">
        <v>0</v>
      </c>
      <c r="K5" s="10" t="inlineStr">
        <is>
          <t>Manpower shortage</t>
        </is>
      </c>
      <c r="L5" s="8">
        <f>IF($H5="Closed","No",IF($G5&lt;TODAY(),"Yes","No"))</f>
        <v/>
      </c>
    </row>
    <row r="6">
      <c r="A6" s="12" t="inlineStr">
        <is>
          <t>ACT-103</t>
        </is>
      </c>
      <c r="B6" s="11" t="n">
        <v>46219</v>
      </c>
      <c r="C6" s="12" t="inlineStr">
        <is>
          <t>Safety</t>
        </is>
      </c>
      <c r="D6" s="14" t="inlineStr">
        <is>
          <t>Housekeeping non-compliance</t>
        </is>
      </c>
      <c r="E6" s="14" t="inlineStr">
        <is>
          <t>Conduct daily 5S audit</t>
        </is>
      </c>
      <c r="F6" s="12" t="inlineStr">
        <is>
          <t>Safety Officer</t>
        </is>
      </c>
      <c r="G6" s="11" t="n">
        <v>46221</v>
      </c>
      <c r="H6" s="12" t="inlineStr">
        <is>
          <t>Open</t>
        </is>
      </c>
      <c r="I6" s="12" t="inlineStr">
        <is>
          <t>Medium</t>
        </is>
      </c>
      <c r="J6" s="16" t="n">
        <v>0</v>
      </c>
      <c r="K6" s="14" t="inlineStr">
        <is>
          <t>Line changeover impact</t>
        </is>
      </c>
      <c r="L6" s="12">
        <f>IF($H6="Closed","No",IF($G6&lt;TODAY(),"Yes","No"))</f>
        <v/>
      </c>
    </row>
    <row r="7">
      <c r="A7" s="8" t="inlineStr">
        <is>
          <t>ACT-104</t>
        </is>
      </c>
      <c r="B7" s="7" t="n">
        <v>46202</v>
      </c>
      <c r="C7" s="8" t="inlineStr">
        <is>
          <t>Warehouse</t>
        </is>
      </c>
      <c r="D7" s="10" t="inlineStr">
        <is>
          <t>Dispatch delay for key customer</t>
        </is>
      </c>
      <c r="E7" s="10" t="inlineStr">
        <is>
          <t>Cycle count + WMS reconciliation</t>
        </is>
      </c>
      <c r="F7" s="8" t="inlineStr">
        <is>
          <t>Warehouse Manager</t>
        </is>
      </c>
      <c r="G7" s="7" t="n">
        <v>46207</v>
      </c>
      <c r="H7" s="8" t="inlineStr">
        <is>
          <t>In Progress</t>
        </is>
      </c>
      <c r="I7" s="8" t="inlineStr">
        <is>
          <t>Medium</t>
        </is>
      </c>
      <c r="J7" s="15" t="n">
        <v>0.5</v>
      </c>
      <c r="K7" s="10" t="inlineStr">
        <is>
          <t>Manpower shortage</t>
        </is>
      </c>
      <c r="L7" s="8">
        <f>IF($H7="Closed","No",IF($G7&lt;TODAY(),"Yes","No"))</f>
        <v/>
      </c>
    </row>
    <row r="8">
      <c r="A8" s="12" t="inlineStr">
        <is>
          <t>ACT-105</t>
        </is>
      </c>
      <c r="B8" s="11" t="n">
        <v>46200</v>
      </c>
      <c r="C8" s="12" t="inlineStr">
        <is>
          <t>Warehouse</t>
        </is>
      </c>
      <c r="D8" s="14" t="inlineStr">
        <is>
          <t>Dispatch delay for key customer</t>
        </is>
      </c>
      <c r="E8" s="14" t="inlineStr">
        <is>
          <t>Cycle count + WMS reconciliation</t>
        </is>
      </c>
      <c r="F8" s="12" t="inlineStr">
        <is>
          <t>Warehouse Manager</t>
        </is>
      </c>
      <c r="G8" s="11" t="n">
        <v>46209</v>
      </c>
      <c r="H8" s="12" t="inlineStr">
        <is>
          <t>Open</t>
        </is>
      </c>
      <c r="I8" s="12" t="inlineStr">
        <is>
          <t>Low</t>
        </is>
      </c>
      <c r="J8" s="16" t="n">
        <v>0</v>
      </c>
      <c r="K8" s="14" t="inlineStr">
        <is>
          <t>Manpower shortage</t>
        </is>
      </c>
      <c r="L8" s="12">
        <f>IF($H8="Closed","No",IF($G8&lt;TODAY(),"Yes","No"))</f>
        <v/>
      </c>
    </row>
    <row r="9">
      <c r="A9" s="8" t="inlineStr">
        <is>
          <t>ACT-106</t>
        </is>
      </c>
      <c r="B9" s="7" t="n">
        <v>46205</v>
      </c>
      <c r="C9" s="8" t="inlineStr">
        <is>
          <t>Quality</t>
        </is>
      </c>
      <c r="D9" s="10" t="inlineStr">
        <is>
          <t>Rise in defect rate</t>
        </is>
      </c>
      <c r="E9" s="10" t="inlineStr">
        <is>
          <t>Tighten incoming inspection</t>
        </is>
      </c>
      <c r="F9" s="8" t="inlineStr">
        <is>
          <t>Quality Manager</t>
        </is>
      </c>
      <c r="G9" s="7" t="n">
        <v>46208</v>
      </c>
      <c r="H9" s="8" t="inlineStr">
        <is>
          <t>Open</t>
        </is>
      </c>
      <c r="I9" s="8" t="inlineStr">
        <is>
          <t>Low</t>
        </is>
      </c>
      <c r="J9" s="15" t="n">
        <v>0</v>
      </c>
      <c r="K9" s="10" t="inlineStr">
        <is>
          <t>Preventive check done</t>
        </is>
      </c>
      <c r="L9" s="8">
        <f>IF($H9="Closed","No",IF($G9&lt;TODAY(),"Yes","No"))</f>
        <v/>
      </c>
    </row>
    <row r="10">
      <c r="A10" s="12" t="inlineStr">
        <is>
          <t>ACT-107</t>
        </is>
      </c>
      <c r="B10" s="11" t="n">
        <v>46194</v>
      </c>
      <c r="C10" s="12" t="inlineStr">
        <is>
          <t>HR</t>
        </is>
      </c>
      <c r="D10" s="14" t="inlineStr">
        <is>
          <t>High absenteeism in Shift B</t>
        </is>
      </c>
      <c r="E10" s="14" t="inlineStr">
        <is>
          <t>Coordinate additional shuttle</t>
        </is>
      </c>
      <c r="F10" s="12" t="inlineStr">
        <is>
          <t>HR Manager</t>
        </is>
      </c>
      <c r="G10" s="11" t="n">
        <v>46200</v>
      </c>
      <c r="H10" s="12" t="inlineStr">
        <is>
          <t>Closed</t>
        </is>
      </c>
      <c r="I10" s="12" t="inlineStr">
        <is>
          <t>Low</t>
        </is>
      </c>
      <c r="J10" s="16" t="n">
        <v>1</v>
      </c>
      <c r="K10" s="14" t="inlineStr">
        <is>
          <t>Awaiting spares</t>
        </is>
      </c>
      <c r="L10" s="12">
        <f>IF($H10="Closed","No",IF($G10&lt;TODAY(),"Yes","No"))</f>
        <v/>
      </c>
    </row>
    <row r="11">
      <c r="A11" s="8" t="inlineStr">
        <is>
          <t>ACT-108</t>
        </is>
      </c>
      <c r="B11" s="7" t="n">
        <v>46200</v>
      </c>
      <c r="C11" s="8" t="inlineStr">
        <is>
          <t>Engineering</t>
        </is>
      </c>
      <c r="D11" s="10" t="inlineStr">
        <is>
          <t>Milestone slipped for Line 4 upgrade</t>
        </is>
      </c>
      <c r="E11" s="10" t="inlineStr">
        <is>
          <t>Escalate to vendor, expedite logistics</t>
        </is>
      </c>
      <c r="F11" s="8" t="inlineStr">
        <is>
          <t>Engineering Manager</t>
        </is>
      </c>
      <c r="G11" s="7" t="n">
        <v>46210</v>
      </c>
      <c r="H11" s="8" t="inlineStr">
        <is>
          <t>Closed</t>
        </is>
      </c>
      <c r="I11" s="8" t="inlineStr">
        <is>
          <t>Low</t>
        </is>
      </c>
      <c r="J11" s="15" t="n">
        <v>1</v>
      </c>
      <c r="K11" s="10" t="inlineStr">
        <is>
          <t>Within normal range</t>
        </is>
      </c>
      <c r="L11" s="8">
        <f>IF($H11="Closed","No",IF($G11&lt;TODAY(),"Yes","No"))</f>
        <v/>
      </c>
    </row>
    <row r="12">
      <c r="A12" s="12" t="inlineStr">
        <is>
          <t>ACT-109</t>
        </is>
      </c>
      <c r="B12" s="11" t="n">
        <v>46218</v>
      </c>
      <c r="C12" s="12" t="inlineStr">
        <is>
          <t>Safety</t>
        </is>
      </c>
      <c r="D12" s="14" t="inlineStr">
        <is>
          <t>Housekeeping non-compliance</t>
        </is>
      </c>
      <c r="E12" s="14" t="inlineStr">
        <is>
          <t>Conduct daily 5S audit</t>
        </is>
      </c>
      <c r="F12" s="12" t="inlineStr">
        <is>
          <t>Safety Officer</t>
        </is>
      </c>
      <c r="G12" s="11" t="n">
        <v>46228</v>
      </c>
      <c r="H12" s="12" t="inlineStr">
        <is>
          <t>Open</t>
        </is>
      </c>
      <c r="I12" s="12" t="inlineStr">
        <is>
          <t>Low</t>
        </is>
      </c>
      <c r="J12" s="16" t="n">
        <v>0</v>
      </c>
      <c r="K12" s="14" t="inlineStr">
        <is>
          <t>Vendor delay</t>
        </is>
      </c>
      <c r="L12" s="12">
        <f>IF($H12="Closed","No",IF($G12&lt;TODAY(),"Yes","No"))</f>
        <v/>
      </c>
    </row>
    <row r="13">
      <c r="A13" s="8" t="inlineStr">
        <is>
          <t>ACT-110</t>
        </is>
      </c>
      <c r="B13" s="7" t="n">
        <v>46190</v>
      </c>
      <c r="C13" s="8" t="inlineStr">
        <is>
          <t>Safety</t>
        </is>
      </c>
      <c r="D13" s="10" t="inlineStr">
        <is>
          <t>Housekeeping non-compliance</t>
        </is>
      </c>
      <c r="E13" s="10" t="inlineStr">
        <is>
          <t>Conduct daily 5S audit</t>
        </is>
      </c>
      <c r="F13" s="8" t="inlineStr">
        <is>
          <t>Safety Officer</t>
        </is>
      </c>
      <c r="G13" s="7" t="n">
        <v>46193</v>
      </c>
      <c r="H13" s="8" t="inlineStr">
        <is>
          <t>Open</t>
        </is>
      </c>
      <c r="I13" s="8" t="inlineStr">
        <is>
          <t>Medium</t>
        </is>
      </c>
      <c r="J13" s="15" t="n">
        <v>0</v>
      </c>
      <c r="K13" s="10" t="inlineStr">
        <is>
          <t>Manpower shortage</t>
        </is>
      </c>
      <c r="L13" s="8">
        <f>IF($H13="Closed","No",IF($G13&lt;TODAY(),"Yes","No"))</f>
        <v/>
      </c>
    </row>
    <row r="14">
      <c r="A14" s="12" t="inlineStr">
        <is>
          <t>ACT-111</t>
        </is>
      </c>
      <c r="B14" s="11" t="n">
        <v>46206</v>
      </c>
      <c r="C14" s="12" t="inlineStr">
        <is>
          <t>Quality</t>
        </is>
      </c>
      <c r="D14" s="14" t="inlineStr">
        <is>
          <t>Rise in defect rate</t>
        </is>
      </c>
      <c r="E14" s="14" t="inlineStr">
        <is>
          <t>Tighten incoming inspection</t>
        </is>
      </c>
      <c r="F14" s="12" t="inlineStr">
        <is>
          <t>Quality Manager</t>
        </is>
      </c>
      <c r="G14" s="11" t="n">
        <v>46211</v>
      </c>
      <c r="H14" s="12" t="inlineStr">
        <is>
          <t>In Progress</t>
        </is>
      </c>
      <c r="I14" s="12" t="inlineStr">
        <is>
          <t>High</t>
        </is>
      </c>
      <c r="J14" s="16" t="n">
        <v>0.75</v>
      </c>
      <c r="K14" s="14" t="inlineStr">
        <is>
          <t>Vendor delay</t>
        </is>
      </c>
      <c r="L14" s="12">
        <f>IF($H14="Closed","No",IF($G14&lt;TODAY(),"Yes","No"))</f>
        <v/>
      </c>
    </row>
    <row r="15">
      <c r="A15" s="8" t="inlineStr">
        <is>
          <t>ACT-112</t>
        </is>
      </c>
      <c r="B15" s="7" t="n">
        <v>46217</v>
      </c>
      <c r="C15" s="8" t="inlineStr">
        <is>
          <t>Utilities</t>
        </is>
      </c>
      <c r="D15" s="10" t="inlineStr">
        <is>
          <t>Power consumption spike</t>
        </is>
      </c>
      <c r="E15" s="10" t="inlineStr">
        <is>
          <t>Install auto shutoff schedule</t>
        </is>
      </c>
      <c r="F15" s="8" t="inlineStr">
        <is>
          <t>Utilities Engineer</t>
        </is>
      </c>
      <c r="G15" s="7" t="n">
        <v>46223</v>
      </c>
      <c r="H15" s="8" t="inlineStr">
        <is>
          <t>Closed</t>
        </is>
      </c>
      <c r="I15" s="8" t="inlineStr">
        <is>
          <t>High</t>
        </is>
      </c>
      <c r="J15" s="15" t="n">
        <v>1</v>
      </c>
      <c r="K15" s="10" t="inlineStr"/>
      <c r="L15" s="8">
        <f>IF($H15="Closed","No",IF($G15&lt;TODAY(),"Yes","No"))</f>
        <v/>
      </c>
    </row>
    <row r="16">
      <c r="A16" s="12" t="inlineStr">
        <is>
          <t>ACT-113</t>
        </is>
      </c>
      <c r="B16" s="11" t="n">
        <v>46207</v>
      </c>
      <c r="C16" s="12" t="inlineStr">
        <is>
          <t>Safety</t>
        </is>
      </c>
      <c r="D16" s="14" t="inlineStr">
        <is>
          <t>Housekeeping non-compliance</t>
        </is>
      </c>
      <c r="E16" s="14" t="inlineStr">
        <is>
          <t>Conduct daily 5S audit</t>
        </is>
      </c>
      <c r="F16" s="12" t="inlineStr">
        <is>
          <t>Safety Officer</t>
        </is>
      </c>
      <c r="G16" s="11" t="n">
        <v>46215</v>
      </c>
      <c r="H16" s="12" t="inlineStr">
        <is>
          <t>Closed</t>
        </is>
      </c>
      <c r="I16" s="12" t="inlineStr">
        <is>
          <t>Medium</t>
        </is>
      </c>
      <c r="J16" s="16" t="n">
        <v>1</v>
      </c>
      <c r="K16" s="14" t="inlineStr"/>
      <c r="L16" s="12">
        <f>IF($H16="Closed","No",IF($G16&lt;TODAY(),"Yes","No"))</f>
        <v/>
      </c>
    </row>
    <row r="17">
      <c r="A17" s="8" t="inlineStr">
        <is>
          <t>ACT-114</t>
        </is>
      </c>
      <c r="B17" s="7" t="n">
        <v>46212</v>
      </c>
      <c r="C17" s="8" t="inlineStr">
        <is>
          <t>Quality</t>
        </is>
      </c>
      <c r="D17" s="10" t="inlineStr">
        <is>
          <t>Rise in defect rate</t>
        </is>
      </c>
      <c r="E17" s="10" t="inlineStr">
        <is>
          <t>Tighten incoming inspection</t>
        </is>
      </c>
      <c r="F17" s="8" t="inlineStr">
        <is>
          <t>Quality Manager</t>
        </is>
      </c>
      <c r="G17" s="7" t="n">
        <v>46215</v>
      </c>
      <c r="H17" s="8" t="inlineStr">
        <is>
          <t>Open</t>
        </is>
      </c>
      <c r="I17" s="8" t="inlineStr">
        <is>
          <t>Medium</t>
        </is>
      </c>
      <c r="J17" s="15" t="n">
        <v>0</v>
      </c>
      <c r="K17" s="10" t="inlineStr">
        <is>
          <t>Line changeover impact</t>
        </is>
      </c>
      <c r="L17" s="8">
        <f>IF($H17="Closed","No",IF($G17&lt;TODAY(),"Yes","No"))</f>
        <v/>
      </c>
    </row>
    <row r="18">
      <c r="A18" s="12" t="inlineStr">
        <is>
          <t>ACT-115</t>
        </is>
      </c>
      <c r="B18" s="11" t="n">
        <v>46191</v>
      </c>
      <c r="C18" s="12" t="inlineStr">
        <is>
          <t>Warehouse</t>
        </is>
      </c>
      <c r="D18" s="14" t="inlineStr">
        <is>
          <t>Dispatch delay for key customer</t>
        </is>
      </c>
      <c r="E18" s="14" t="inlineStr">
        <is>
          <t>Cycle count + WMS reconciliation</t>
        </is>
      </c>
      <c r="F18" s="12" t="inlineStr">
        <is>
          <t>Warehouse Manager</t>
        </is>
      </c>
      <c r="G18" s="11" t="n">
        <v>46197</v>
      </c>
      <c r="H18" s="12" t="inlineStr">
        <is>
          <t>Closed</t>
        </is>
      </c>
      <c r="I18" s="12" t="inlineStr">
        <is>
          <t>Low</t>
        </is>
      </c>
      <c r="J18" s="16" t="n">
        <v>1</v>
      </c>
      <c r="K18" s="14" t="inlineStr">
        <is>
          <t>Process improvement in progress</t>
        </is>
      </c>
      <c r="L18" s="12">
        <f>IF($H18="Closed","No",IF($G18&lt;TODAY(),"Yes","No"))</f>
        <v/>
      </c>
    </row>
    <row r="19">
      <c r="A19" s="8" t="inlineStr">
        <is>
          <t>ACT-116</t>
        </is>
      </c>
      <c r="B19" s="7" t="n">
        <v>46210</v>
      </c>
      <c r="C19" s="8" t="inlineStr">
        <is>
          <t>Utilities</t>
        </is>
      </c>
      <c r="D19" s="10" t="inlineStr">
        <is>
          <t>Power consumption spike</t>
        </is>
      </c>
      <c r="E19" s="10" t="inlineStr">
        <is>
          <t>Install auto shutoff schedule</t>
        </is>
      </c>
      <c r="F19" s="8" t="inlineStr">
        <is>
          <t>Utilities Engineer</t>
        </is>
      </c>
      <c r="G19" s="7" t="n">
        <v>46215</v>
      </c>
      <c r="H19" s="8" t="inlineStr">
        <is>
          <t>Open</t>
        </is>
      </c>
      <c r="I19" s="8" t="inlineStr">
        <is>
          <t>Medium</t>
        </is>
      </c>
      <c r="J19" s="15" t="n">
        <v>0</v>
      </c>
      <c r="K19" s="10" t="inlineStr">
        <is>
          <t>Vendor delay</t>
        </is>
      </c>
      <c r="L19" s="8">
        <f>IF($H19="Closed","No",IF($G19&lt;TODAY(),"Yes","No"))</f>
        <v/>
      </c>
    </row>
    <row r="20">
      <c r="A20" s="12" t="inlineStr">
        <is>
          <t>ACT-117</t>
        </is>
      </c>
      <c r="B20" s="11" t="n">
        <v>46191</v>
      </c>
      <c r="C20" s="12" t="inlineStr">
        <is>
          <t>Utilities</t>
        </is>
      </c>
      <c r="D20" s="14" t="inlineStr">
        <is>
          <t>Power consumption spike</t>
        </is>
      </c>
      <c r="E20" s="14" t="inlineStr">
        <is>
          <t>Install auto shutoff schedule</t>
        </is>
      </c>
      <c r="F20" s="12" t="inlineStr">
        <is>
          <t>Utilities Engineer</t>
        </is>
      </c>
      <c r="G20" s="11" t="n">
        <v>46196</v>
      </c>
      <c r="H20" s="12" t="inlineStr">
        <is>
          <t>Closed</t>
        </is>
      </c>
      <c r="I20" s="12" t="inlineStr">
        <is>
          <t>Low</t>
        </is>
      </c>
      <c r="J20" s="16" t="n">
        <v>1</v>
      </c>
      <c r="K20" s="14" t="inlineStr">
        <is>
          <t>Vendor delay</t>
        </is>
      </c>
      <c r="L20" s="12">
        <f>IF($H20="Closed","No",IF($G20&lt;TODAY(),"Yes","No"))</f>
        <v/>
      </c>
    </row>
    <row r="21">
      <c r="A21" s="8" t="inlineStr">
        <is>
          <t>ACT-118</t>
        </is>
      </c>
      <c r="B21" s="7" t="n">
        <v>46213</v>
      </c>
      <c r="C21" s="8" t="inlineStr">
        <is>
          <t>Warehouse</t>
        </is>
      </c>
      <c r="D21" s="10" t="inlineStr">
        <is>
          <t>Dispatch delay for key customer</t>
        </is>
      </c>
      <c r="E21" s="10" t="inlineStr">
        <is>
          <t>Cycle count + WMS reconciliation</t>
        </is>
      </c>
      <c r="F21" s="8" t="inlineStr">
        <is>
          <t>Warehouse Manager</t>
        </is>
      </c>
      <c r="G21" s="7" t="n">
        <v>46221</v>
      </c>
      <c r="H21" s="8" t="inlineStr">
        <is>
          <t>In Progress</t>
        </is>
      </c>
      <c r="I21" s="8" t="inlineStr">
        <is>
          <t>Medium</t>
        </is>
      </c>
      <c r="J21" s="15" t="n">
        <v>0.25</v>
      </c>
      <c r="K21" s="10" t="inlineStr"/>
      <c r="L21" s="8">
        <f>IF($H21="Closed","No",IF($G21&lt;TODAY(),"Yes","No"))</f>
        <v/>
      </c>
    </row>
    <row r="22">
      <c r="A22" s="12" t="inlineStr">
        <is>
          <t>ACT-119</t>
        </is>
      </c>
      <c r="B22" s="11" t="n">
        <v>46193</v>
      </c>
      <c r="C22" s="12" t="inlineStr">
        <is>
          <t>Engineering</t>
        </is>
      </c>
      <c r="D22" s="14" t="inlineStr">
        <is>
          <t>Milestone slipped for Line 4 upgrade</t>
        </is>
      </c>
      <c r="E22" s="14" t="inlineStr">
        <is>
          <t>Escalate to vendor, expedite logistics</t>
        </is>
      </c>
      <c r="F22" s="12" t="inlineStr">
        <is>
          <t>Engineering Manager</t>
        </is>
      </c>
      <c r="G22" s="11" t="n">
        <v>46203</v>
      </c>
      <c r="H22" s="12" t="inlineStr">
        <is>
          <t>Closed</t>
        </is>
      </c>
      <c r="I22" s="12" t="inlineStr">
        <is>
          <t>High</t>
        </is>
      </c>
      <c r="J22" s="16" t="n">
        <v>1</v>
      </c>
      <c r="K22" s="14" t="inlineStr">
        <is>
          <t>Process improvement in progress</t>
        </is>
      </c>
      <c r="L22" s="12">
        <f>IF($H22="Closed","No",IF($G22&lt;TODAY(),"Yes","No"))</f>
        <v/>
      </c>
    </row>
    <row r="23">
      <c r="A23" s="8" t="inlineStr">
        <is>
          <t>ACT-120</t>
        </is>
      </c>
      <c r="B23" s="7" t="n">
        <v>46201</v>
      </c>
      <c r="C23" s="8" t="inlineStr">
        <is>
          <t>Maintenance</t>
        </is>
      </c>
      <c r="D23" s="10" t="inlineStr">
        <is>
          <t>Repeat breakdown on Compressor-3</t>
        </is>
      </c>
      <c r="E23" s="10" t="inlineStr">
        <is>
          <t>Replace bearing, revise PM checklist</t>
        </is>
      </c>
      <c r="F23" s="8" t="inlineStr">
        <is>
          <t>Maintenance Manager</t>
        </is>
      </c>
      <c r="G23" s="7" t="n">
        <v>46207</v>
      </c>
      <c r="H23" s="8" t="inlineStr">
        <is>
          <t>Closed</t>
        </is>
      </c>
      <c r="I23" s="8" t="inlineStr">
        <is>
          <t>Medium</t>
        </is>
      </c>
      <c r="J23" s="15" t="n">
        <v>1</v>
      </c>
      <c r="K23" s="10" t="inlineStr">
        <is>
          <t>Line changeover impact</t>
        </is>
      </c>
      <c r="L23" s="8">
        <f>IF($H23="Closed","No",IF($G23&lt;TODAY(),"Yes","No"))</f>
        <v/>
      </c>
    </row>
    <row r="24">
      <c r="A24" s="12" t="inlineStr">
        <is>
          <t>ACT-121</t>
        </is>
      </c>
      <c r="B24" s="11" t="n">
        <v>46215</v>
      </c>
      <c r="C24" s="12" t="inlineStr">
        <is>
          <t>Quality</t>
        </is>
      </c>
      <c r="D24" s="14" t="inlineStr">
        <is>
          <t>Rise in defect rate</t>
        </is>
      </c>
      <c r="E24" s="14" t="inlineStr">
        <is>
          <t>Tighten incoming inspection</t>
        </is>
      </c>
      <c r="F24" s="12" t="inlineStr">
        <is>
          <t>Quality Manager</t>
        </is>
      </c>
      <c r="G24" s="11" t="n">
        <v>46217</v>
      </c>
      <c r="H24" s="12" t="inlineStr">
        <is>
          <t>Open</t>
        </is>
      </c>
      <c r="I24" s="12" t="inlineStr">
        <is>
          <t>Low</t>
        </is>
      </c>
      <c r="J24" s="16" t="n">
        <v>0</v>
      </c>
      <c r="K24" s="14" t="inlineStr">
        <is>
          <t>Vendor delay</t>
        </is>
      </c>
      <c r="L24" s="12">
        <f>IF($H24="Closed","No",IF($G24&lt;TODAY(),"Yes","No"))</f>
        <v/>
      </c>
    </row>
    <row r="25">
      <c r="A25" s="8" t="inlineStr">
        <is>
          <t>ACT-122</t>
        </is>
      </c>
      <c r="B25" s="7" t="n">
        <v>46215</v>
      </c>
      <c r="C25" s="8" t="inlineStr">
        <is>
          <t>Warehouse</t>
        </is>
      </c>
      <c r="D25" s="10" t="inlineStr">
        <is>
          <t>Dispatch delay for key customer</t>
        </is>
      </c>
      <c r="E25" s="10" t="inlineStr">
        <is>
          <t>Cycle count + WMS reconciliation</t>
        </is>
      </c>
      <c r="F25" s="8" t="inlineStr">
        <is>
          <t>Warehouse Manager</t>
        </is>
      </c>
      <c r="G25" s="7" t="n">
        <v>46217</v>
      </c>
      <c r="H25" s="8" t="inlineStr">
        <is>
          <t>Open</t>
        </is>
      </c>
      <c r="I25" s="8" t="inlineStr">
        <is>
          <t>Low</t>
        </is>
      </c>
      <c r="J25" s="15" t="n">
        <v>0</v>
      </c>
      <c r="K25" s="10" t="inlineStr">
        <is>
          <t>Within normal range</t>
        </is>
      </c>
      <c r="L25" s="8">
        <f>IF($H25="Closed","No",IF($G25&lt;TODAY(),"Yes","No"))</f>
        <v/>
      </c>
    </row>
    <row r="26">
      <c r="A26" s="12" t="inlineStr">
        <is>
          <t>ACT-123</t>
        </is>
      </c>
      <c r="B26" s="11" t="n">
        <v>46196</v>
      </c>
      <c r="C26" s="12" t="inlineStr">
        <is>
          <t>Production</t>
        </is>
      </c>
      <c r="D26" s="14" t="inlineStr">
        <is>
          <t>Output below target 3 days running</t>
        </is>
      </c>
      <c r="E26" s="14" t="inlineStr">
        <is>
          <t>RCA on stoppages + retraining</t>
        </is>
      </c>
      <c r="F26" s="12" t="inlineStr">
        <is>
          <t>Production Manager</t>
        </is>
      </c>
      <c r="G26" s="11" t="n">
        <v>46198</v>
      </c>
      <c r="H26" s="12" t="inlineStr">
        <is>
          <t>Open</t>
        </is>
      </c>
      <c r="I26" s="12" t="inlineStr">
        <is>
          <t>Medium</t>
        </is>
      </c>
      <c r="J26" s="16" t="n">
        <v>0</v>
      </c>
      <c r="K26" s="14" t="inlineStr">
        <is>
          <t>Awaiting spares</t>
        </is>
      </c>
      <c r="L26" s="12">
        <f>IF($H26="Closed","No",IF($G26&lt;TODAY(),"Yes","No"))</f>
        <v/>
      </c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8" t="n"/>
      <c r="K27" s="17" t="n"/>
      <c r="L27" s="17">
        <f>IF($G27="","",IF($H27="Closed","No",IF($G27&lt;TODAY(),"Yes","No")))</f>
        <v/>
      </c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8" t="n"/>
      <c r="K28" s="17" t="n"/>
      <c r="L28" s="17">
        <f>IF($G28="","",IF($H28="Closed","No",IF($G28&lt;TODAY(),"Yes","No")))</f>
        <v/>
      </c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8" t="n"/>
      <c r="K29" s="17" t="n"/>
      <c r="L29" s="17">
        <f>IF($G29="","",IF($H29="Closed","No",IF($G29&lt;TODAY(),"Yes","No")))</f>
        <v/>
      </c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8" t="n"/>
      <c r="K30" s="17" t="n"/>
      <c r="L30" s="17">
        <f>IF($G30="","",IF($H30="Closed","No",IF($G30&lt;TODAY(),"Yes","No")))</f>
        <v/>
      </c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8" t="n"/>
      <c r="K31" s="17" t="n"/>
      <c r="L31" s="17">
        <f>IF($G31="","",IF($H31="Closed","No",IF($G31&lt;TODAY(),"Yes","No")))</f>
        <v/>
      </c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8" t="n"/>
      <c r="K32" s="17" t="n"/>
      <c r="L32" s="17">
        <f>IF($G32="","",IF($H32="Closed","No",IF($G32&lt;TODAY(),"Yes","No")))</f>
        <v/>
      </c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8" t="n"/>
      <c r="K33" s="17" t="n"/>
      <c r="L33" s="17">
        <f>IF($G33="","",IF($H33="Closed","No",IF($G33&lt;TODAY(),"Yes","No")))</f>
        <v/>
      </c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8" t="n"/>
      <c r="K34" s="17" t="n"/>
      <c r="L34" s="17">
        <f>IF($G34="","",IF($H34="Closed","No",IF($G34&lt;TODAY(),"Yes","No")))</f>
        <v/>
      </c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8" t="n"/>
      <c r="K35" s="17" t="n"/>
      <c r="L35" s="17">
        <f>IF($G35="","",IF($H35="Closed","No",IF($G35&lt;TODAY(),"Yes","No")))</f>
        <v/>
      </c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8" t="n"/>
      <c r="K36" s="17" t="n"/>
      <c r="L36" s="17">
        <f>IF($G36="","",IF($H36="Closed","No",IF($G36&lt;TODAY(),"Yes","No")))</f>
        <v/>
      </c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8" t="n"/>
      <c r="K37" s="17" t="n"/>
      <c r="L37" s="17">
        <f>IF($G37="","",IF($H37="Closed","No",IF($G37&lt;TODAY(),"Yes","No")))</f>
        <v/>
      </c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8" t="n"/>
      <c r="K38" s="17" t="n"/>
      <c r="L38" s="17">
        <f>IF($G38="","",IF($H38="Closed","No",IF($G38&lt;TODAY(),"Yes","No")))</f>
        <v/>
      </c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8" t="n"/>
      <c r="K39" s="17" t="n"/>
      <c r="L39" s="17">
        <f>IF($G39="","",IF($H39="Closed","No",IF($G39&lt;TODAY(),"Yes","No")))</f>
        <v/>
      </c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8" t="n"/>
      <c r="K40" s="17" t="n"/>
      <c r="L40" s="17">
        <f>IF($G40="","",IF($H40="Closed","No",IF($G40&lt;TODAY(),"Yes","No")))</f>
        <v/>
      </c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8" t="n"/>
      <c r="K41" s="17" t="n"/>
      <c r="L41" s="17">
        <f>IF($G41="","",IF($H41="Closed","No",IF($G41&lt;TODAY(),"Yes","No")))</f>
        <v/>
      </c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8" t="n"/>
      <c r="K42" s="17" t="n"/>
      <c r="L42" s="17">
        <f>IF($G42="","",IF($H42="Closed","No",IF($G42&lt;TODAY(),"Yes","No")))</f>
        <v/>
      </c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8" t="n"/>
      <c r="K43" s="17" t="n"/>
      <c r="L43" s="17">
        <f>IF($G43="","",IF($H43="Closed","No",IF($G43&lt;TODAY(),"Yes","No")))</f>
        <v/>
      </c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8" t="n"/>
      <c r="K44" s="17" t="n"/>
      <c r="L44" s="17">
        <f>IF($G44="","",IF($H44="Closed","No",IF($G44&lt;TODAY(),"Yes","No")))</f>
        <v/>
      </c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8" t="n"/>
      <c r="K45" s="17" t="n"/>
      <c r="L45" s="17">
        <f>IF($G45="","",IF($H45="Closed","No",IF($G45&lt;TODAY(),"Yes","No")))</f>
        <v/>
      </c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8" t="n"/>
      <c r="K46" s="17" t="n"/>
      <c r="L46" s="17">
        <f>IF($G46="","",IF($H46="Closed","No",IF($G46&lt;TODAY(),"Yes","No")))</f>
        <v/>
      </c>
    </row>
  </sheetData>
  <mergeCells count="1">
    <mergeCell ref="A1:L1"/>
  </mergeCells>
  <conditionalFormatting sqref="H3:H46">
    <cfRule type="expression" priority="1" dxfId="0">
      <formula>$H3="Closed"</formula>
    </cfRule>
    <cfRule type="expression" priority="2" dxfId="2">
      <formula>$H3="Open"</formula>
    </cfRule>
    <cfRule type="expression" priority="3" dxfId="1">
      <formula>$H3="In Progress"</formula>
    </cfRule>
  </conditionalFormatting>
  <conditionalFormatting sqref="L3:L46">
    <cfRule type="expression" priority="4" dxfId="2">
      <formula>$L3="Yes"</formula>
    </cfRule>
  </conditionalFormatting>
  <dataValidations count="4">
    <dataValidation sqref="C3:C46" showDropDown="0" showInputMessage="0" showErrorMessage="0" allowBlank="1" type="list">
      <formula1>TrackerDeptList</formula1>
    </dataValidation>
    <dataValidation sqref="F3:F46" showDropDown="0" showInputMessage="0" showErrorMessage="0" allowBlank="1" type="list">
      <formula1>OwnerList</formula1>
    </dataValidation>
    <dataValidation sqref="H3:H46" showDropDown="0" showInputMessage="0" showErrorMessage="0" allowBlank="1" type="list">
      <formula1>ActionStatusList</formula1>
    </dataValidation>
    <dataValidation sqref="I3:I46" showDropDown="0" showInputMessage="0" showErrorMessage="0" allowBlank="1" type="list">
      <formula1>PriorityList</formula1>
    </dataValidation>
  </dataValidations>
  <pageMargins left="0.3" right="0.3" top="0.4" bottom="0.4" header="0.2" footer="0.2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D26"/>
  <sheetViews>
    <sheetView showGridLines="0" tabSelected="0" zoomScale="90" workbookViewId="0">
      <selection activeCell="A1" sqref="A1"/>
    </sheetView>
  </sheetViews>
  <sheetFormatPr baseColWidth="8" defaultRowHeight="15" outlineLevelCol="0"/>
  <cols>
    <col width="14" customWidth="1" min="1" max="1"/>
    <col width="9" customWidth="1" min="2" max="2"/>
    <col width="12" customWidth="1" min="3" max="3"/>
    <col width="9" customWidth="1" min="4" max="4"/>
    <col width="10" customWidth="1" min="5" max="5"/>
    <col width="10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hidden="1" width="13" customWidth="1" min="22" max="22"/>
    <col hidden="1" width="13" customWidth="1" min="23" max="23"/>
  </cols>
  <sheetData>
    <row r="1" ht="34" customHeight="1">
      <c r="A1" s="1" t="inlineStr">
        <is>
          <t xml:space="preserve">  ACTION DASHBOARD</t>
        </is>
      </c>
    </row>
    <row r="2" ht="14" customHeight="1"/>
    <row r="3" ht="20" customHeight="1">
      <c r="A3" s="2">
        <f>"  Action tracker status   |   "&amp;TEXT(TODAY(),"dddd, dd-mmm-yyyy")&amp;"   |   updates automatically from Action Tracker"</f>
        <v/>
      </c>
    </row>
    <row r="5" ht="20" customHeight="1">
      <c r="A5" s="20" t="inlineStr">
        <is>
          <t>ACTION SUMMARY</t>
        </is>
      </c>
    </row>
    <row r="6" ht="14" customHeight="1">
      <c r="A6" s="21" t="n"/>
      <c r="B6" s="21" t="n"/>
      <c r="C6" s="21" t="n"/>
      <c r="D6" s="21" t="n"/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  <c r="AA6" s="21" t="n"/>
      <c r="AB6" s="21" t="n"/>
      <c r="AC6" s="21" t="n"/>
      <c r="AD6" s="21" t="n"/>
    </row>
    <row r="7" ht="14" customHeight="1">
      <c r="A7" s="22" t="inlineStr">
        <is>
          <t>TOTAL ACTIONS</t>
        </is>
      </c>
      <c r="G7" s="22" t="inlineStr">
        <is>
          <t>OPEN</t>
        </is>
      </c>
      <c r="M7" s="22" t="inlineStr">
        <is>
          <t>IN PROGRESS</t>
        </is>
      </c>
      <c r="S7" s="22" t="inlineStr">
        <is>
          <t>CLOSED</t>
        </is>
      </c>
      <c r="Y7" s="22" t="inlineStr">
        <is>
          <t>OVERDUE</t>
        </is>
      </c>
    </row>
    <row r="8" ht="14" customHeight="1">
      <c r="A8" s="29">
        <f>COUNTA(Tbl_ActionTracker[Action ID])</f>
        <v/>
      </c>
      <c r="G8" s="29">
        <f>COUNTIFS(Tbl_ActionTracker[Status],"Open")</f>
        <v/>
      </c>
      <c r="M8" s="29">
        <f>COUNTIFS(Tbl_ActionTracker[Status],"In Progress")</f>
        <v/>
      </c>
      <c r="S8" s="29">
        <f>COUNTIFS(Tbl_ActionTracker[Status],"Closed")</f>
        <v/>
      </c>
      <c r="Y8" s="29">
        <f>COUNTIFS(Tbl_ActionTracker[Overdue?],"Yes")</f>
        <v/>
      </c>
    </row>
    <row r="9" ht="14" customHeight="1">
      <c r="A9" s="21" t="n"/>
      <c r="B9" s="21" t="n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21" t="n"/>
      <c r="AD9" s="21" t="n"/>
    </row>
    <row r="11" ht="20" customHeight="1">
      <c r="A11" s="20" t="inlineStr">
        <is>
          <t>DEPARTMENT-WISE ACTIONS</t>
        </is>
      </c>
    </row>
    <row r="12" ht="26" customHeight="1">
      <c r="A12" s="6" t="inlineStr">
        <is>
          <t>Department</t>
        </is>
      </c>
      <c r="B12" s="6" t="inlineStr">
        <is>
          <t>Open</t>
        </is>
      </c>
      <c r="C12" s="6" t="inlineStr">
        <is>
          <t>In Progress</t>
        </is>
      </c>
      <c r="D12" s="6" t="inlineStr">
        <is>
          <t>Closed</t>
        </is>
      </c>
      <c r="E12" s="6" t="inlineStr">
        <is>
          <t>Overdue</t>
        </is>
      </c>
      <c r="F12" s="6" t="inlineStr">
        <is>
          <t>Status</t>
        </is>
      </c>
    </row>
    <row r="13">
      <c r="A13" s="8" t="inlineStr">
        <is>
          <t>Safety</t>
        </is>
      </c>
      <c r="B13" s="8">
        <f>COUNTIFS(Tbl_ActionTracker[Department],$A13,Tbl_ActionTracker[Status],"Open")</f>
        <v/>
      </c>
      <c r="C13" s="8">
        <f>COUNTIFS(Tbl_ActionTracker[Department],$A13,Tbl_ActionTracker[Status],"In Progress")</f>
        <v/>
      </c>
      <c r="D13" s="8">
        <f>COUNTIFS(Tbl_ActionTracker[Department],$A13,Tbl_ActionTracker[Status],"Closed")</f>
        <v/>
      </c>
      <c r="E13" s="8">
        <f>COUNTIFS(Tbl_ActionTracker[Department],$A13,Tbl_ActionTracker[Overdue?],"Yes")</f>
        <v/>
      </c>
      <c r="F13" s="8">
        <f>IF($E13&gt;0,"Red",IF($B13&gt;0,"Amber","Green"))</f>
        <v/>
      </c>
    </row>
    <row r="14">
      <c r="A14" s="12" t="inlineStr">
        <is>
          <t>Production</t>
        </is>
      </c>
      <c r="B14" s="12">
        <f>COUNTIFS(Tbl_ActionTracker[Department],$A14,Tbl_ActionTracker[Status],"Open")</f>
        <v/>
      </c>
      <c r="C14" s="12">
        <f>COUNTIFS(Tbl_ActionTracker[Department],$A14,Tbl_ActionTracker[Status],"In Progress")</f>
        <v/>
      </c>
      <c r="D14" s="12">
        <f>COUNTIFS(Tbl_ActionTracker[Department],$A14,Tbl_ActionTracker[Status],"Closed")</f>
        <v/>
      </c>
      <c r="E14" s="12">
        <f>COUNTIFS(Tbl_ActionTracker[Department],$A14,Tbl_ActionTracker[Overdue?],"Yes")</f>
        <v/>
      </c>
      <c r="F14" s="12">
        <f>IF($E14&gt;0,"Red",IF($B14&gt;0,"Amber","Green"))</f>
        <v/>
      </c>
    </row>
    <row r="15">
      <c r="A15" s="8" t="inlineStr">
        <is>
          <t>Quality</t>
        </is>
      </c>
      <c r="B15" s="8">
        <f>COUNTIFS(Tbl_ActionTracker[Department],$A15,Tbl_ActionTracker[Status],"Open")</f>
        <v/>
      </c>
      <c r="C15" s="8">
        <f>COUNTIFS(Tbl_ActionTracker[Department],$A15,Tbl_ActionTracker[Status],"In Progress")</f>
        <v/>
      </c>
      <c r="D15" s="8">
        <f>COUNTIFS(Tbl_ActionTracker[Department],$A15,Tbl_ActionTracker[Status],"Closed")</f>
        <v/>
      </c>
      <c r="E15" s="8">
        <f>COUNTIFS(Tbl_ActionTracker[Department],$A15,Tbl_ActionTracker[Overdue?],"Yes")</f>
        <v/>
      </c>
      <c r="F15" s="8">
        <f>IF($E15&gt;0,"Red",IF($B15&gt;0,"Amber","Green"))</f>
        <v/>
      </c>
    </row>
    <row r="16">
      <c r="A16" s="12" t="inlineStr">
        <is>
          <t>Maintenance</t>
        </is>
      </c>
      <c r="B16" s="12">
        <f>COUNTIFS(Tbl_ActionTracker[Department],$A16,Tbl_ActionTracker[Status],"Open")</f>
        <v/>
      </c>
      <c r="C16" s="12">
        <f>COUNTIFS(Tbl_ActionTracker[Department],$A16,Tbl_ActionTracker[Status],"In Progress")</f>
        <v/>
      </c>
      <c r="D16" s="12">
        <f>COUNTIFS(Tbl_ActionTracker[Department],$A16,Tbl_ActionTracker[Status],"Closed")</f>
        <v/>
      </c>
      <c r="E16" s="12">
        <f>COUNTIFS(Tbl_ActionTracker[Department],$A16,Tbl_ActionTracker[Overdue?],"Yes")</f>
        <v/>
      </c>
      <c r="F16" s="12">
        <f>IF($E16&gt;0,"Red",IF($B16&gt;0,"Amber","Green"))</f>
        <v/>
      </c>
    </row>
    <row r="17">
      <c r="A17" s="8" t="inlineStr">
        <is>
          <t>Utilities</t>
        </is>
      </c>
      <c r="B17" s="8">
        <f>COUNTIFS(Tbl_ActionTracker[Department],$A17,Tbl_ActionTracker[Status],"Open")</f>
        <v/>
      </c>
      <c r="C17" s="8">
        <f>COUNTIFS(Tbl_ActionTracker[Department],$A17,Tbl_ActionTracker[Status],"In Progress")</f>
        <v/>
      </c>
      <c r="D17" s="8">
        <f>COUNTIFS(Tbl_ActionTracker[Department],$A17,Tbl_ActionTracker[Status],"Closed")</f>
        <v/>
      </c>
      <c r="E17" s="8">
        <f>COUNTIFS(Tbl_ActionTracker[Department],$A17,Tbl_ActionTracker[Overdue?],"Yes")</f>
        <v/>
      </c>
      <c r="F17" s="8">
        <f>IF($E17&gt;0,"Red",IF($B17&gt;0,"Amber","Green"))</f>
        <v/>
      </c>
    </row>
    <row r="18">
      <c r="A18" s="12" t="inlineStr">
        <is>
          <t>Warehouse</t>
        </is>
      </c>
      <c r="B18" s="12">
        <f>COUNTIFS(Tbl_ActionTracker[Department],$A18,Tbl_ActionTracker[Status],"Open")</f>
        <v/>
      </c>
      <c r="C18" s="12">
        <f>COUNTIFS(Tbl_ActionTracker[Department],$A18,Tbl_ActionTracker[Status],"In Progress")</f>
        <v/>
      </c>
      <c r="D18" s="12">
        <f>COUNTIFS(Tbl_ActionTracker[Department],$A18,Tbl_ActionTracker[Status],"Closed")</f>
        <v/>
      </c>
      <c r="E18" s="12">
        <f>COUNTIFS(Tbl_ActionTracker[Department],$A18,Tbl_ActionTracker[Overdue?],"Yes")</f>
        <v/>
      </c>
      <c r="F18" s="12">
        <f>IF($E18&gt;0,"Red",IF($B18&gt;0,"Amber","Green"))</f>
        <v/>
      </c>
    </row>
    <row r="19">
      <c r="A19" s="8" t="inlineStr">
        <is>
          <t>HR</t>
        </is>
      </c>
      <c r="B19" s="8">
        <f>COUNTIFS(Tbl_ActionTracker[Department],$A19,Tbl_ActionTracker[Status],"Open")</f>
        <v/>
      </c>
      <c r="C19" s="8">
        <f>COUNTIFS(Tbl_ActionTracker[Department],$A19,Tbl_ActionTracker[Status],"In Progress")</f>
        <v/>
      </c>
      <c r="D19" s="8">
        <f>COUNTIFS(Tbl_ActionTracker[Department],$A19,Tbl_ActionTracker[Status],"Closed")</f>
        <v/>
      </c>
      <c r="E19" s="8">
        <f>COUNTIFS(Tbl_ActionTracker[Department],$A19,Tbl_ActionTracker[Overdue?],"Yes")</f>
        <v/>
      </c>
      <c r="F19" s="8">
        <f>IF($E19&gt;0,"Red",IF($B19&gt;0,"Amber","Green"))</f>
        <v/>
      </c>
    </row>
    <row r="20">
      <c r="A20" s="12" t="inlineStr">
        <is>
          <t>Engineering</t>
        </is>
      </c>
      <c r="B20" s="12">
        <f>COUNTIFS(Tbl_ActionTracker[Department],$A20,Tbl_ActionTracker[Status],"Open")</f>
        <v/>
      </c>
      <c r="C20" s="12">
        <f>COUNTIFS(Tbl_ActionTracker[Department],$A20,Tbl_ActionTracker[Status],"In Progress")</f>
        <v/>
      </c>
      <c r="D20" s="12">
        <f>COUNTIFS(Tbl_ActionTracker[Department],$A20,Tbl_ActionTracker[Status],"Closed")</f>
        <v/>
      </c>
      <c r="E20" s="12">
        <f>COUNTIFS(Tbl_ActionTracker[Department],$A20,Tbl_ActionTracker[Overdue?],"Yes")</f>
        <v/>
      </c>
      <c r="F20" s="12">
        <f>IF($E20&gt;0,"Red",IF($B20&gt;0,"Amber","Green"))</f>
        <v/>
      </c>
    </row>
    <row r="22" ht="20" customHeight="1">
      <c r="A22" s="20" t="inlineStr">
        <is>
          <t>CHARTS</t>
        </is>
      </c>
    </row>
    <row r="23">
      <c r="V23" s="26" t="inlineStr">
        <is>
          <t>Status</t>
        </is>
      </c>
      <c r="W23" s="26" t="inlineStr">
        <is>
          <t>Count</t>
        </is>
      </c>
    </row>
    <row r="24">
      <c r="V24" s="27" t="inlineStr">
        <is>
          <t>Open</t>
        </is>
      </c>
      <c r="W24" s="27">
        <f>COUNTIFS(Tbl_ActionTracker[Status],$V24)</f>
        <v/>
      </c>
    </row>
    <row r="25">
      <c r="V25" s="27" t="inlineStr">
        <is>
          <t>In Progress</t>
        </is>
      </c>
      <c r="W25" s="27">
        <f>COUNTIFS(Tbl_ActionTracker[Status],$V25)</f>
        <v/>
      </c>
    </row>
    <row r="26">
      <c r="V26" s="27" t="inlineStr">
        <is>
          <t>Closed</t>
        </is>
      </c>
      <c r="W26" s="27">
        <f>COUNTIFS(Tbl_ActionTracker[Status],$V26)</f>
        <v/>
      </c>
    </row>
  </sheetData>
  <mergeCells count="15">
    <mergeCell ref="Y7:AD7"/>
    <mergeCell ref="A5:S5"/>
    <mergeCell ref="S7:X7"/>
    <mergeCell ref="A1:S2"/>
    <mergeCell ref="A22:S22"/>
    <mergeCell ref="A8:F8"/>
    <mergeCell ref="A3:S3"/>
    <mergeCell ref="Y8:AD8"/>
    <mergeCell ref="G8:L8"/>
    <mergeCell ref="S8:X8"/>
    <mergeCell ref="M7:R7"/>
    <mergeCell ref="M8:R8"/>
    <mergeCell ref="A7:F7"/>
    <mergeCell ref="G7:L7"/>
    <mergeCell ref="A11:J11"/>
  </mergeCells>
  <conditionalFormatting sqref="F13:F20">
    <cfRule type="expression" priority="1" dxfId="0">
      <formula>$F13="Green"</formula>
    </cfRule>
    <cfRule type="expression" priority="2" dxfId="1">
      <formula>$F13="Amber"</formula>
    </cfRule>
    <cfRule type="expression" priority="3" dxfId="2">
      <formula>$F13="Red"</formula>
    </cfRule>
  </conditionalFormatting>
  <conditionalFormatting sqref="E13:E20">
    <cfRule type="cellIs" priority="4" operator="greaterThan" dxfId="2">
      <formula>0</formula>
    </cfRule>
  </conditionalFormatting>
  <pageMargins left="0.3" right="0.3" top="0.4" bottom="0.4" header="0.2" footer="0.2"/>
  <pageSetup orientation="landscape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7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1" customWidth="1" min="2" max="2"/>
    <col width="15" customWidth="1" min="3" max="3"/>
    <col width="15" customWidth="1" min="4" max="4"/>
    <col width="34" customWidth="1" min="5" max="5"/>
    <col width="34" customWidth="1" min="6" max="6"/>
    <col width="11" customWidth="1" min="7" max="7"/>
  </cols>
  <sheetData>
    <row r="1" ht="26" customHeight="1">
      <c r="A1" s="5" t="inlineStr">
        <is>
          <t>REVIEW LOG — manager's daily / weekly / monthly action review notes</t>
        </is>
      </c>
    </row>
    <row r="2" ht="26" customHeight="1">
      <c r="A2" s="6" t="inlineStr">
        <is>
          <t>Date</t>
        </is>
      </c>
      <c r="B2" s="6" t="inlineStr">
        <is>
          <t>Review Type</t>
        </is>
      </c>
      <c r="C2" s="6" t="inlineStr">
        <is>
          <t>Department</t>
        </is>
      </c>
      <c r="D2" s="6" t="inlineStr">
        <is>
          <t>Reviewed By</t>
        </is>
      </c>
      <c r="E2" s="6" t="inlineStr">
        <is>
          <t>Key Discussion Points</t>
        </is>
      </c>
      <c r="F2" s="6" t="inlineStr">
        <is>
          <t>Action Points Raised</t>
        </is>
      </c>
      <c r="G2" s="6" t="inlineStr">
        <is>
          <t>Status</t>
        </is>
      </c>
    </row>
    <row r="3">
      <c r="A3" s="7" t="n">
        <v>46219</v>
      </c>
      <c r="B3" s="8" t="inlineStr">
        <is>
          <t>Daily</t>
        </is>
      </c>
      <c r="C3" s="8" t="inlineStr">
        <is>
          <t>Production</t>
        </is>
      </c>
      <c r="D3" s="8" t="inlineStr">
        <is>
          <t>Factory Manager</t>
        </is>
      </c>
      <c r="E3" s="10" t="inlineStr">
        <is>
          <t>Line 2 output dip discussed</t>
        </is>
      </c>
      <c r="F3" s="10" t="inlineStr">
        <is>
          <t>RCA assigned to Production Manager</t>
        </is>
      </c>
      <c r="G3" s="8" t="inlineStr">
        <is>
          <t>Open</t>
        </is>
      </c>
    </row>
    <row r="4">
      <c r="A4" s="11" t="n">
        <v>46218</v>
      </c>
      <c r="B4" s="12" t="inlineStr">
        <is>
          <t>Daily</t>
        </is>
      </c>
      <c r="C4" s="12" t="inlineStr">
        <is>
          <t>Safety</t>
        </is>
      </c>
      <c r="D4" s="12" t="inlineStr">
        <is>
          <t>Factory Manager</t>
        </is>
      </c>
      <c r="E4" s="14" t="inlineStr">
        <is>
          <t>Zero incidents, good near-miss reporting</t>
        </is>
      </c>
      <c r="F4" s="14" t="inlineStr">
        <is>
          <t>Continue current practice</t>
        </is>
      </c>
      <c r="G4" s="12" t="inlineStr">
        <is>
          <t>Closed</t>
        </is>
      </c>
    </row>
    <row r="5">
      <c r="A5" s="7" t="n">
        <v>46212</v>
      </c>
      <c r="B5" s="8" t="inlineStr">
        <is>
          <t>Weekly</t>
        </is>
      </c>
      <c r="C5" s="8" t="inlineStr">
        <is>
          <t>Quality</t>
        </is>
      </c>
      <c r="D5" s="8" t="inlineStr">
        <is>
          <t>Factory Manager</t>
        </is>
      </c>
      <c r="E5" s="10" t="inlineStr">
        <is>
          <t>Defect rate trending above target</t>
        </is>
      </c>
      <c r="F5" s="10" t="inlineStr">
        <is>
          <t>Supplier audit follow-up</t>
        </is>
      </c>
      <c r="G5" s="8" t="inlineStr">
        <is>
          <t>Open</t>
        </is>
      </c>
    </row>
    <row r="6">
      <c r="A6" s="11" t="n">
        <v>46212</v>
      </c>
      <c r="B6" s="12" t="inlineStr">
        <is>
          <t>Weekly</t>
        </is>
      </c>
      <c r="C6" s="12" t="inlineStr">
        <is>
          <t>Maintenance</t>
        </is>
      </c>
      <c r="D6" s="12" t="inlineStr">
        <is>
          <t>Factory Manager</t>
        </is>
      </c>
      <c r="E6" s="14" t="inlineStr">
        <is>
          <t>Compressor-3 repeat breakdown reviewed</t>
        </is>
      </c>
      <c r="F6" s="14" t="inlineStr">
        <is>
          <t>PM checklist revision tracked</t>
        </is>
      </c>
      <c r="G6" s="12" t="inlineStr">
        <is>
          <t>In Progress</t>
        </is>
      </c>
    </row>
    <row r="7">
      <c r="A7" s="7" t="n">
        <v>46189</v>
      </c>
      <c r="B7" s="8" t="inlineStr">
        <is>
          <t>Monthly</t>
        </is>
      </c>
      <c r="C7" s="8" t="inlineStr">
        <is>
          <t>All Departments</t>
        </is>
      </c>
      <c r="D7" s="8" t="inlineStr">
        <is>
          <t>Factory Manager</t>
        </is>
      </c>
      <c r="E7" s="10" t="inlineStr">
        <is>
          <t>Month-end performance review</t>
        </is>
      </c>
      <c r="F7" s="10" t="inlineStr">
        <is>
          <t>Carry forward 3 open actions to next month</t>
        </is>
      </c>
      <c r="G7" s="8" t="inlineStr">
        <is>
          <t>Closed</t>
        </is>
      </c>
    </row>
    <row r="8">
      <c r="A8" s="19" t="n"/>
      <c r="B8" s="17" t="n"/>
      <c r="C8" s="17" t="n"/>
      <c r="D8" s="17" t="n"/>
      <c r="E8" s="17" t="n"/>
      <c r="F8" s="17" t="n"/>
      <c r="G8" s="17" t="n"/>
    </row>
    <row r="9">
      <c r="A9" s="19" t="n"/>
      <c r="B9" s="17" t="n"/>
      <c r="C9" s="17" t="n"/>
      <c r="D9" s="17" t="n"/>
      <c r="E9" s="17" t="n"/>
      <c r="F9" s="17" t="n"/>
      <c r="G9" s="17" t="n"/>
    </row>
    <row r="10">
      <c r="A10" s="19" t="n"/>
      <c r="B10" s="17" t="n"/>
      <c r="C10" s="17" t="n"/>
      <c r="D10" s="17" t="n"/>
      <c r="E10" s="17" t="n"/>
      <c r="F10" s="17" t="n"/>
      <c r="G10" s="17" t="n"/>
    </row>
    <row r="11">
      <c r="A11" s="19" t="n"/>
      <c r="B11" s="17" t="n"/>
      <c r="C11" s="17" t="n"/>
      <c r="D11" s="17" t="n"/>
      <c r="E11" s="17" t="n"/>
      <c r="F11" s="17" t="n"/>
      <c r="G11" s="17" t="n"/>
    </row>
    <row r="12">
      <c r="A12" s="19" t="n"/>
      <c r="B12" s="17" t="n"/>
      <c r="C12" s="17" t="n"/>
      <c r="D12" s="17" t="n"/>
      <c r="E12" s="17" t="n"/>
      <c r="F12" s="17" t="n"/>
      <c r="G12" s="17" t="n"/>
    </row>
    <row r="13">
      <c r="A13" s="19" t="n"/>
      <c r="B13" s="17" t="n"/>
      <c r="C13" s="17" t="n"/>
      <c r="D13" s="17" t="n"/>
      <c r="E13" s="17" t="n"/>
      <c r="F13" s="17" t="n"/>
      <c r="G13" s="17" t="n"/>
    </row>
    <row r="14">
      <c r="A14" s="19" t="n"/>
      <c r="B14" s="17" t="n"/>
      <c r="C14" s="17" t="n"/>
      <c r="D14" s="17" t="n"/>
      <c r="E14" s="17" t="n"/>
      <c r="F14" s="17" t="n"/>
      <c r="G14" s="17" t="n"/>
    </row>
    <row r="15">
      <c r="A15" s="19" t="n"/>
      <c r="B15" s="17" t="n"/>
      <c r="C15" s="17" t="n"/>
      <c r="D15" s="17" t="n"/>
      <c r="E15" s="17" t="n"/>
      <c r="F15" s="17" t="n"/>
      <c r="G15" s="17" t="n"/>
    </row>
    <row r="16">
      <c r="A16" s="19" t="n"/>
      <c r="B16" s="17" t="n"/>
      <c r="C16" s="17" t="n"/>
      <c r="D16" s="17" t="n"/>
      <c r="E16" s="17" t="n"/>
      <c r="F16" s="17" t="n"/>
      <c r="G16" s="17" t="n"/>
    </row>
    <row r="17">
      <c r="A17" s="19" t="n"/>
      <c r="B17" s="17" t="n"/>
      <c r="C17" s="17" t="n"/>
      <c r="D17" s="17" t="n"/>
      <c r="E17" s="17" t="n"/>
      <c r="F17" s="17" t="n"/>
      <c r="G17" s="17" t="n"/>
    </row>
    <row r="18">
      <c r="A18" s="19" t="n"/>
      <c r="B18" s="17" t="n"/>
      <c r="C18" s="17" t="n"/>
      <c r="D18" s="17" t="n"/>
      <c r="E18" s="17" t="n"/>
      <c r="F18" s="17" t="n"/>
      <c r="G18" s="17" t="n"/>
    </row>
    <row r="19">
      <c r="A19" s="19" t="n"/>
      <c r="B19" s="17" t="n"/>
      <c r="C19" s="17" t="n"/>
      <c r="D19" s="17" t="n"/>
      <c r="E19" s="17" t="n"/>
      <c r="F19" s="17" t="n"/>
      <c r="G19" s="17" t="n"/>
    </row>
    <row r="20">
      <c r="A20" s="19" t="n"/>
      <c r="B20" s="17" t="n"/>
      <c r="C20" s="17" t="n"/>
      <c r="D20" s="17" t="n"/>
      <c r="E20" s="17" t="n"/>
      <c r="F20" s="17" t="n"/>
      <c r="G20" s="17" t="n"/>
    </row>
    <row r="21">
      <c r="A21" s="19" t="n"/>
      <c r="B21" s="17" t="n"/>
      <c r="C21" s="17" t="n"/>
      <c r="D21" s="17" t="n"/>
      <c r="E21" s="17" t="n"/>
      <c r="F21" s="17" t="n"/>
      <c r="G21" s="17" t="n"/>
    </row>
    <row r="22">
      <c r="A22" s="19" t="n"/>
      <c r="B22" s="17" t="n"/>
      <c r="C22" s="17" t="n"/>
      <c r="D22" s="17" t="n"/>
      <c r="E22" s="17" t="n"/>
      <c r="F22" s="17" t="n"/>
      <c r="G22" s="17" t="n"/>
    </row>
    <row r="23">
      <c r="A23" s="19" t="n"/>
      <c r="B23" s="17" t="n"/>
      <c r="C23" s="17" t="n"/>
      <c r="D23" s="17" t="n"/>
      <c r="E23" s="17" t="n"/>
      <c r="F23" s="17" t="n"/>
      <c r="G23" s="17" t="n"/>
    </row>
    <row r="24">
      <c r="A24" s="19" t="n"/>
      <c r="B24" s="17" t="n"/>
      <c r="C24" s="17" t="n"/>
      <c r="D24" s="17" t="n"/>
      <c r="E24" s="17" t="n"/>
      <c r="F24" s="17" t="n"/>
      <c r="G24" s="17" t="n"/>
    </row>
    <row r="25">
      <c r="A25" s="19" t="n"/>
      <c r="B25" s="17" t="n"/>
      <c r="C25" s="17" t="n"/>
      <c r="D25" s="17" t="n"/>
      <c r="E25" s="17" t="n"/>
      <c r="F25" s="17" t="n"/>
      <c r="G25" s="17" t="n"/>
    </row>
    <row r="26">
      <c r="A26" s="19" t="n"/>
      <c r="B26" s="17" t="n"/>
      <c r="C26" s="17" t="n"/>
      <c r="D26" s="17" t="n"/>
      <c r="E26" s="17" t="n"/>
      <c r="F26" s="17" t="n"/>
      <c r="G26" s="17" t="n"/>
    </row>
    <row r="27">
      <c r="A27" s="19" t="n"/>
      <c r="B27" s="17" t="n"/>
      <c r="C27" s="17" t="n"/>
      <c r="D27" s="17" t="n"/>
      <c r="E27" s="17" t="n"/>
      <c r="F27" s="17" t="n"/>
      <c r="G27" s="17" t="n"/>
    </row>
    <row r="28">
      <c r="A28" s="19" t="n"/>
      <c r="B28" s="17" t="n"/>
      <c r="C28" s="17" t="n"/>
      <c r="D28" s="17" t="n"/>
      <c r="E28" s="17" t="n"/>
      <c r="F28" s="17" t="n"/>
      <c r="G28" s="17" t="n"/>
    </row>
    <row r="29">
      <c r="A29" s="19" t="n"/>
      <c r="B29" s="17" t="n"/>
      <c r="C29" s="17" t="n"/>
      <c r="D29" s="17" t="n"/>
      <c r="E29" s="17" t="n"/>
      <c r="F29" s="17" t="n"/>
      <c r="G29" s="17" t="n"/>
    </row>
    <row r="30">
      <c r="A30" s="19" t="n"/>
      <c r="B30" s="17" t="n"/>
      <c r="C30" s="17" t="n"/>
      <c r="D30" s="17" t="n"/>
      <c r="E30" s="17" t="n"/>
      <c r="F30" s="17" t="n"/>
      <c r="G30" s="17" t="n"/>
    </row>
    <row r="31">
      <c r="A31" s="19" t="n"/>
      <c r="B31" s="17" t="n"/>
      <c r="C31" s="17" t="n"/>
      <c r="D31" s="17" t="n"/>
      <c r="E31" s="17" t="n"/>
      <c r="F31" s="17" t="n"/>
      <c r="G31" s="17" t="n"/>
    </row>
    <row r="32">
      <c r="A32" s="19" t="n"/>
      <c r="B32" s="17" t="n"/>
      <c r="C32" s="17" t="n"/>
      <c r="D32" s="17" t="n"/>
      <c r="E32" s="17" t="n"/>
      <c r="F32" s="17" t="n"/>
      <c r="G32" s="17" t="n"/>
    </row>
    <row r="33">
      <c r="A33" s="19" t="n"/>
      <c r="B33" s="17" t="n"/>
      <c r="C33" s="17" t="n"/>
      <c r="D33" s="17" t="n"/>
      <c r="E33" s="17" t="n"/>
      <c r="F33" s="17" t="n"/>
      <c r="G33" s="17" t="n"/>
    </row>
    <row r="34">
      <c r="A34" s="19" t="n"/>
      <c r="B34" s="17" t="n"/>
      <c r="C34" s="17" t="n"/>
      <c r="D34" s="17" t="n"/>
      <c r="E34" s="17" t="n"/>
      <c r="F34" s="17" t="n"/>
      <c r="G34" s="17" t="n"/>
    </row>
    <row r="35">
      <c r="A35" s="19" t="n"/>
      <c r="B35" s="17" t="n"/>
      <c r="C35" s="17" t="n"/>
      <c r="D35" s="17" t="n"/>
      <c r="E35" s="17" t="n"/>
      <c r="F35" s="17" t="n"/>
      <c r="G35" s="17" t="n"/>
    </row>
    <row r="36">
      <c r="A36" s="19" t="n"/>
      <c r="B36" s="17" t="n"/>
      <c r="C36" s="17" t="n"/>
      <c r="D36" s="17" t="n"/>
      <c r="E36" s="17" t="n"/>
      <c r="F36" s="17" t="n"/>
      <c r="G36" s="17" t="n"/>
    </row>
    <row r="37">
      <c r="A37" s="19" t="n"/>
      <c r="B37" s="17" t="n"/>
      <c r="C37" s="17" t="n"/>
      <c r="D37" s="17" t="n"/>
      <c r="E37" s="17" t="n"/>
      <c r="F37" s="17" t="n"/>
      <c r="G37" s="17" t="n"/>
    </row>
  </sheetData>
  <mergeCells count="1">
    <mergeCell ref="A1:G1"/>
  </mergeCells>
  <conditionalFormatting sqref="G3:G37">
    <cfRule type="expression" priority="1" dxfId="0">
      <formula>$G3="Closed"</formula>
    </cfRule>
    <cfRule type="expression" priority="2" dxfId="2">
      <formula>$G3="Open"</formula>
    </cfRule>
    <cfRule type="expression" priority="3" dxfId="1">
      <formula>$G3="In Progress"</formula>
    </cfRule>
  </conditionalFormatting>
  <conditionalFormatting sqref="B3:B37">
    <cfRule type="expression" priority="4" dxfId="3">
      <formula>$B3="Daily"</formula>
    </cfRule>
    <cfRule type="expression" priority="5" dxfId="4">
      <formula>$B3="Weekly"</formula>
    </cfRule>
    <cfRule type="expression" priority="6" dxfId="5">
      <formula>$B3="Monthly"</formula>
    </cfRule>
  </conditionalFormatting>
  <dataValidations count="3">
    <dataValidation sqref="B3:B37" showDropDown="0" showInputMessage="0" showErrorMessage="0" allowBlank="1" type="list">
      <formula1>"Daily,Weekly,Monthly"</formula1>
    </dataValidation>
    <dataValidation sqref="C3:C37" showDropDown="0" showInputMessage="0" showErrorMessage="0" allowBlank="1" type="list">
      <formula1>"All Departments,Safety,Production,Quality,Maintenance,Utilities,Warehouse,HR,Engineering"</formula1>
    </dataValidation>
    <dataValidation sqref="G3:G37" showDropDown="0" showInputMessage="0" showErrorMessage="0" allowBlank="1" type="list">
      <formula1>"Open,In Progress,Closed"</formula1>
    </dataValidation>
  </dataValidations>
  <pageMargins left="0.3" right="0.3" top="0.4" bottom="0.4" header="0.2" footer="0.2"/>
  <pageSetup orientation="landscape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2" customWidth="1" min="2" max="2"/>
    <col width="14" customWidth="1" min="3" max="3"/>
    <col width="12" customWidth="1" min="4" max="4"/>
  </cols>
  <sheetData>
    <row r="1" ht="26" customHeight="1">
      <c r="A1" s="5" t="inlineStr">
        <is>
          <t>TRACKER DROPDOWN MASTER — dropdown lists used by Action Tracker</t>
        </is>
      </c>
    </row>
    <row r="2">
      <c r="A2" s="6" t="inlineStr">
        <is>
          <t>Department</t>
        </is>
      </c>
      <c r="B2" s="6" t="inlineStr">
        <is>
          <t>Owner</t>
        </is>
      </c>
      <c r="C2" s="6" t="inlineStr">
        <is>
          <t>Status</t>
        </is>
      </c>
      <c r="D2" s="6" t="inlineStr">
        <is>
          <t>Priority</t>
        </is>
      </c>
    </row>
    <row r="3">
      <c r="A3" s="8" t="inlineStr">
        <is>
          <t>Safety</t>
        </is>
      </c>
      <c r="B3" s="8" t="inlineStr">
        <is>
          <t>Safety Officer</t>
        </is>
      </c>
      <c r="C3" s="8" t="inlineStr">
        <is>
          <t>Open</t>
        </is>
      </c>
      <c r="D3" s="8" t="inlineStr">
        <is>
          <t>Low</t>
        </is>
      </c>
    </row>
    <row r="4">
      <c r="A4" s="8" t="inlineStr">
        <is>
          <t>Production</t>
        </is>
      </c>
      <c r="B4" s="8" t="inlineStr">
        <is>
          <t>Production Manager</t>
        </is>
      </c>
      <c r="C4" s="8" t="inlineStr">
        <is>
          <t>In Progress</t>
        </is>
      </c>
      <c r="D4" s="8" t="inlineStr">
        <is>
          <t>Medium</t>
        </is>
      </c>
    </row>
    <row r="5">
      <c r="A5" s="8" t="inlineStr">
        <is>
          <t>Quality</t>
        </is>
      </c>
      <c r="B5" s="8" t="inlineStr">
        <is>
          <t>Quality Manager</t>
        </is>
      </c>
      <c r="C5" s="8" t="inlineStr">
        <is>
          <t>Closed</t>
        </is>
      </c>
      <c r="D5" s="8" t="inlineStr">
        <is>
          <t>High</t>
        </is>
      </c>
    </row>
    <row r="6">
      <c r="A6" s="8" t="inlineStr">
        <is>
          <t>Maintenance</t>
        </is>
      </c>
      <c r="B6" s="8" t="inlineStr">
        <is>
          <t>Maintenance Manager</t>
        </is>
      </c>
    </row>
    <row r="7">
      <c r="A7" s="8" t="inlineStr">
        <is>
          <t>Utilities</t>
        </is>
      </c>
      <c r="B7" s="8" t="inlineStr">
        <is>
          <t>Utilities Engineer</t>
        </is>
      </c>
    </row>
    <row r="8">
      <c r="A8" s="8" t="inlineStr">
        <is>
          <t>Warehouse</t>
        </is>
      </c>
      <c r="B8" s="8" t="inlineStr">
        <is>
          <t>Warehouse Manager</t>
        </is>
      </c>
    </row>
    <row r="9">
      <c r="A9" s="8" t="inlineStr">
        <is>
          <t>HR</t>
        </is>
      </c>
      <c r="B9" s="8" t="inlineStr">
        <is>
          <t>HR Manager</t>
        </is>
      </c>
    </row>
    <row r="10">
      <c r="A10" s="8" t="inlineStr">
        <is>
          <t>Engineering</t>
        </is>
      </c>
      <c r="B10" s="8" t="inlineStr">
        <is>
          <t>Engineering Manager</t>
        </is>
      </c>
    </row>
  </sheetData>
  <mergeCells count="1">
    <mergeCell ref="A1:D1"/>
  </mergeCells>
  <pageMargins left="0.3" right="0.3" top="0.4" bottom="0.4" header="0.2" footer="0.2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KPI Dashboard Generator</dc:creator>
  <dc:title>KPI &amp; Action Tracker Dashboard</dc:title>
  <dc:description>Interactive KPI + Action Tracker dashboard. Enter KPI data in 'KPI Data Entry' and actions in 'Action Tracker' — both dashboards refresh automatically.</dc:description>
  <dcterms:created xsi:type="dcterms:W3CDTF">2026-07-16T15:31:11Z</dcterms:created>
  <dcterms:modified xsi:type="dcterms:W3CDTF">2026-07-16T15:31:12Z</dcterms:modified>
</cp:coreProperties>
</file>