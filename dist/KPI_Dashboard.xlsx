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KPI Dashboard" sheetId="2" state="visible" r:id="rId2"/>
    <sheet name="KPI Data Entry" sheetId="3" state="visible" r:id="rId3"/>
    <sheet name="Master Config" sheetId="4" state="visible" r:id="rId4"/>
    <sheet name="Action Tracker" sheetId="5" state="visible" r:id="rId5"/>
    <sheet name="Action Dashboard" sheetId="6" state="visible" r:id="rId6"/>
    <sheet name="Review Log" sheetId="7" state="visible" r:id="rId7"/>
    <sheet name="Tracker Dropdown Master" sheetId="8" state="visible" r:id="rId8"/>
  </sheets>
  <definedNames>
    <definedName name="DeptList">OFFSET('Master Config'!$A$3,0,0,COUNTA('Master Config'!$A$3:$A$17),1)</definedName>
    <definedName name="KPINameList">OFFSET('Master Config'!$D$3,0,0,COUNTA('Master Config'!$D$3:$D$42),1)</definedName>
    <definedName name="OwnerList">OFFSET('Master Config'!$I$3,0,0,COUNTA('Master Config'!$I$3:$I$42),1)</definedName>
    <definedName name="ActionStatusList">'Tracker Dropdown Master'!$A$3:$A$5</definedName>
    <definedName name="PriorityList">'Tracker Dropdown Master'!$B$3:$B$5</definedName>
    <definedName name="DeptListWithAll">OFFSET('Tracker Dropdown Master'!$F$3,0,0,1+COUNTA(DeptList),1)</definedName>
    <definedName name="_xlnm.Print_Area" localSheetId="1">'KPI Dashboard'!$A$1:$U$94</definedName>
    <definedName name="_xlnm.Print_Area" localSheetId="5">'Action Dashboard'!$A$1:$U$49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16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10.5"/>
    </font>
    <font>
      <name val="Segoe UI"/>
      <color rgb="001B1F27"/>
      <sz val="10"/>
    </font>
    <font>
      <name val="Segoe UI"/>
      <i val="1"/>
      <color rgb="008A93A6"/>
      <sz val="9"/>
    </font>
    <font>
      <name val="Segoe UI"/>
      <b val="1"/>
      <color rgb="00FFFFFF"/>
      <sz val="20"/>
    </font>
    <font>
      <name val="Segoe UI"/>
      <color rgb="00C7D1E0"/>
      <sz val="10.5"/>
    </font>
    <font>
      <name val="Segoe UI"/>
      <b val="1"/>
      <color rgb="001B1F27"/>
      <sz val="10"/>
    </font>
    <font>
      <name val="Segoe UI"/>
      <b val="1"/>
      <color rgb="002E75B6"/>
      <sz val="10"/>
    </font>
    <font>
      <name val="Segoe UI"/>
      <b val="1"/>
      <color rgb="00C7D1E0"/>
      <sz val="9"/>
    </font>
    <font>
      <name val="Segoe UI"/>
      <b val="1"/>
      <color rgb="00FFFFFF"/>
      <sz val="18"/>
    </font>
    <font>
      <name val="Segoe UI"/>
      <b val="1"/>
      <color rgb="008A93A6"/>
      <sz val="9"/>
    </font>
    <font>
      <name val="Segoe UI"/>
      <color rgb="008A93A6"/>
      <sz val="9"/>
    </font>
    <font>
      <name val="Segoe UI"/>
      <b val="1"/>
      <color rgb="00FFFFFF"/>
      <sz val="14"/>
    </font>
    <font>
      <name val="Segoe UI"/>
      <b val="1"/>
      <color rgb="002E75B6"/>
      <sz val="11"/>
    </font>
    <font>
      <name val="Segoe UI"/>
      <i val="1"/>
      <color rgb="008A93A6"/>
      <sz val="10"/>
    </font>
  </fonts>
  <fills count="7">
    <fill>
      <patternFill/>
    </fill>
    <fill>
      <patternFill patternType="gray125"/>
    </fill>
    <fill>
      <patternFill patternType="solid">
        <fgColor rgb="00141B2D"/>
      </patternFill>
    </fill>
    <fill>
      <patternFill patternType="solid">
        <fgColor rgb="001F2A44"/>
      </patternFill>
    </fill>
    <fill>
      <patternFill patternType="solid">
        <fgColor rgb="00F2F3F5"/>
      </patternFill>
    </fill>
    <fill>
      <patternFill patternType="solid">
        <fgColor rgb="00FFFFFF"/>
      </patternFill>
    </fill>
    <fill>
      <patternFill patternType="solid">
        <fgColor rgb="003A5A7D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5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9" fontId="3" fillId="0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9" fontId="3" fillId="0" borderId="1" pivotButton="0" quotePrefix="0" xfId="0"/>
    <xf numFmtId="165" fontId="3" fillId="0" borderId="1" pivotButton="0" quotePrefix="0" xfId="0"/>
    <xf numFmtId="0" fontId="1" fillId="6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9" fillId="3" borderId="0" applyAlignment="1" pivotButton="0" quotePrefix="0" xfId="0">
      <alignment horizontal="center" vertical="center" wrapText="1"/>
    </xf>
    <xf numFmtId="166" fontId="10" fillId="3" borderId="0" applyAlignment="1" pivotButton="0" quotePrefix="0" xfId="0">
      <alignment horizontal="center" vertical="center" wrapText="1"/>
    </xf>
    <xf numFmtId="1" fontId="10" fillId="3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  <xf numFmtId="9" fontId="12" fillId="0" borderId="0" pivotButton="0" quotePrefix="0" xfId="0"/>
    <xf numFmtId="2" fontId="3" fillId="0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 wrapText="1"/>
    </xf>
    <xf numFmtId="0" fontId="14" fillId="0" borderId="0" pivotButton="0" quotePrefix="0" xfId="0"/>
    <xf numFmtId="165" fontId="0" fillId="0" borderId="0" pivotButton="0" quotePrefix="0" xfId="0"/>
    <xf numFmtId="0" fontId="15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dxfs count="9">
    <dxf>
      <font>
        <b val="1"/>
        <color rgb="002E7D32"/>
      </font>
      <fill>
        <patternFill patternType="solid">
          <fgColor rgb="00C6EFCE"/>
        </patternFill>
      </fill>
    </dxf>
    <dxf>
      <font>
        <b val="1"/>
        <color rgb="00B7791F"/>
      </font>
      <fill>
        <patternFill patternType="solid">
          <fgColor rgb="00FFEB9C"/>
        </patternFill>
      </fill>
    </dxf>
    <dxf>
      <font>
        <b val="1"/>
        <color rgb="00C0392B"/>
      </font>
      <fill>
        <patternFill patternType="solid">
          <fgColor rgb="00FFC7CE"/>
        </patternFill>
      </fill>
    </dxf>
    <dxf>
      <font>
        <b val="1"/>
        <color rgb="002E75B6"/>
      </font>
    </dxf>
    <dxf>
      <font>
        <b val="1"/>
        <color rgb="003A5A7D"/>
      </font>
    </dxf>
    <dxf>
      <font>
        <b val="1"/>
        <color rgb="001F2A44"/>
      </font>
    </dxf>
    <dxf>
      <font>
        <name val="Segoe UI"/>
        <b val="1"/>
        <color rgb="007BD88F"/>
        <sz val="18"/>
      </font>
    </dxf>
    <dxf>
      <font>
        <name val="Segoe UI"/>
        <b val="1"/>
        <color rgb="00FFD966"/>
        <sz val="18"/>
      </font>
    </dxf>
    <dxf>
      <font>
        <name val="Segoe UI"/>
        <b val="1"/>
        <color rgb="00FF8A80"/>
        <sz val="1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Department Ranking — Achievement % (worst first)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'KPI Dashboard'!F14</f>
            </strRef>
          </tx>
          <spPr>
            <a:solidFill>
              <a:srgbClr val="C0392B"/>
            </a:solidFill>
            <a:ln>
              <a:prstDash val="solid"/>
            </a:ln>
          </spPr>
          <cat>
            <numRef>
              <f>'KPI Dashboard'!$E$15:$E$29</f>
            </numRef>
          </cat>
          <val>
            <numRef>
              <f>'KPI Dashboard'!$F$15:$F$29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Trend — Overall Achievement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Dashboard'!L14</f>
            </strRef>
          </tx>
          <spPr>
            <a:solidFill>
              <a:srgbClr val="16A085"/>
            </a:solidFill>
            <a:ln>
              <a:prstDash val="solid"/>
            </a:ln>
          </spPr>
          <cat>
            <numRef>
              <f>'KPI Dashboard'!$K$15:$K$21</f>
            </numRef>
          </cat>
          <val>
            <numRef>
              <f>'KPI Dashboard'!$L$15:$L$21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KPI Status Distribution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E7D32"/>
              </a:solidFill>
              <a:ln>
                <a:prstDash val="solid"/>
              </a:ln>
            </spPr>
          </dPt>
          <dPt>
            <idx val="1"/>
            <spPr>
              <a:solidFill>
                <a:srgbClr val="B7791F"/>
              </a:solidFill>
              <a:ln>
                <a:prstDash val="solid"/>
              </a:ln>
            </spPr>
          </dPt>
          <dPt>
            <idx val="2"/>
            <spPr>
              <a:solidFill>
                <a:srgbClr val="C0392B"/>
              </a:solidFill>
              <a:ln>
                <a:prstDash val="solid"/>
              </a:ln>
            </spPr>
          </dPt>
          <cat>
            <numRef>
              <f>'KPI Dashboard'!$H$15:$H$17</f>
            </numRef>
          </cat>
          <val>
            <numRef>
              <f>'KPI Dashboard'!$I$15:$I$17</f>
            </numRef>
          </val>
        </ser>
        <dLbls>
          <showVal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Department-wise Open Actions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'Action Dashboard'!B12</f>
            </strRef>
          </tx>
          <spPr>
            <a:solidFill>
              <a:srgbClr val="C0392B"/>
            </a:solidFill>
            <a:ln>
              <a:prstDash val="solid"/>
            </a:ln>
          </spPr>
          <cat>
            <numRef>
              <f>'Action Dashboard'!$A$13:$A$27</f>
            </numRef>
          </cat>
          <val>
            <numRef>
              <f>'Action Dashboard'!$B$13:$B$27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Overdue Actions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'Action Dashboard'!E12</f>
            </strRef>
          </tx>
          <spPr>
            <a:solidFill>
              <a:srgbClr val="3A5A7D"/>
            </a:solidFill>
            <a:ln>
              <a:prstDash val="solid"/>
            </a:ln>
          </spPr>
          <cat>
            <numRef>
              <f>'Action Dashboard'!$A$13:$A$27</f>
            </numRef>
          </cat>
          <val>
            <numRef>
              <f>'Action Dashboard'!$E$13:$E$27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Action Status Distribution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C0392B"/>
              </a:solidFill>
              <a:ln>
                <a:prstDash val="solid"/>
              </a:ln>
            </spPr>
          </dPt>
          <dPt>
            <idx val="1"/>
            <spPr>
              <a:solidFill>
                <a:srgbClr val="B7791F"/>
              </a:solidFill>
              <a:ln>
                <a:prstDash val="solid"/>
              </a:ln>
            </spPr>
          </dPt>
          <dPt>
            <idx val="2"/>
            <spPr>
              <a:solidFill>
                <a:srgbClr val="2E7D32"/>
              </a:solidFill>
              <a:ln>
                <a:prstDash val="solid"/>
              </a:ln>
            </spPr>
          </dPt>
          <cat>
            <numRef>
              <f>'Action Dashboard'!$V$31:$V$33</f>
            </numRef>
          </cat>
          <val>
            <numRef>
              <f>'Action Dashboard'!$W$31:$W$33</f>
            </numRef>
          </val>
        </ser>
        <dLbls>
          <showVal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74</row>
      <rowOff>0</rowOff>
    </from>
    <ext cx="37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74</row>
      <rowOff>0</rowOff>
    </from>
    <ext cx="37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74</row>
      <rowOff>0</rowOff>
    </from>
    <ext cx="37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37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29</row>
      <rowOff>0</rowOff>
    </from>
    <ext cx="37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29</row>
      <rowOff>0</rowOff>
    </from>
    <ext cx="37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ChangeLog" displayName="Tbl_ChangeLog" ref="A26:D43" headerRowCount="1">
  <autoFilter ref="A26:D43"/>
  <tableColumns count="4">
    <tableColumn id="1" name="Date"/>
    <tableColumn id="2" name="Version"/>
    <tableColumn id="3" name="Change Description"/>
    <tableColumn id="4" name="Changed By"/>
  </tableColumns>
  <tableStyleInfo name="TableStyleMedium2" showRowStripes="1"/>
</table>
</file>

<file path=xl/tables/table2.xml><?xml version="1.0" encoding="utf-8"?>
<table xmlns="http://schemas.openxmlformats.org/spreadsheetml/2006/main" id="2" name="Tbl_Entry" displayName="Tbl_Entry" ref="A2:K717" headerRowCount="1">
  <autoFilter ref="A2:K717"/>
  <tableColumns count="11">
    <tableColumn id="1" name="Date"/>
    <tableColumn id="2" name="Month"/>
    <tableColumn id="3" name="Week"/>
    <tableColumn id="4" name="KPI Name"/>
    <tableColumn id="5" name="Department"/>
    <tableColumn id="6" name="Unit"/>
    <tableColumn id="7" name="Target"/>
    <tableColumn id="8" name="Actual"/>
    <tableColumn id="9" name="Achievement %"/>
    <tableColumn id="10" name="Status"/>
    <tableColumn id="11" name="Remarks"/>
  </tableColumns>
  <tableStyleInfo name="TableStyleMedium2" showRowStripes="1"/>
</table>
</file>

<file path=xl/tables/table3.xml><?xml version="1.0" encoding="utf-8"?>
<table xmlns="http://schemas.openxmlformats.org/spreadsheetml/2006/main" id="3" name="Tbl_DeptConfig" displayName="Tbl_DeptConfig" ref="A2:A17" headerRowCount="1">
  <autoFilter ref="A2:A17"/>
  <tableColumns count="1">
    <tableColumn id="1" name="Department"/>
  </tableColumns>
  <tableStyleInfo name="TableStyleMedium2" showRowStripes="1"/>
</table>
</file>

<file path=xl/tables/table4.xml><?xml version="1.0" encoding="utf-8"?>
<table xmlns="http://schemas.openxmlformats.org/spreadsheetml/2006/main" id="4" name="Tbl_KPIConfig" displayName="Tbl_KPIConfig" ref="C2:K42" headerRowCount="1">
  <autoFilter ref="C2:K42"/>
  <tableColumns count="9">
    <tableColumn id="3" name="Department"/>
    <tableColumn id="4" name="KPI Name"/>
    <tableColumn id="5" name="Unit"/>
    <tableColumn id="6" name="Target"/>
    <tableColumn id="7" name="Direction"/>
    <tableColumn id="8" name="RAG Threshold %"/>
    <tableColumn id="9" name="Owner"/>
    <tableColumn id="10" name="Active"/>
    <tableColumn id="11" name="Display Order"/>
  </tableColumns>
  <tableStyleInfo name="TableStyleMedium2" showRowStripes="1"/>
</table>
</file>

<file path=xl/tables/table5.xml><?xml version="1.0" encoding="utf-8"?>
<table xmlns="http://schemas.openxmlformats.org/spreadsheetml/2006/main" id="5" name="Tbl_ActionTracker" displayName="Tbl_ActionTracker" ref="A2:L46" headerRowCount="1">
  <autoFilter ref="A2:L46"/>
  <tableColumns count="12">
    <tableColumn id="1" name="Action ID"/>
    <tableColumn id="2" name="Date Raised"/>
    <tableColumn id="3" name="Department"/>
    <tableColumn id="4" name="Issue"/>
    <tableColumn id="5" name="Action"/>
    <tableColumn id="6" name="Owner"/>
    <tableColumn id="7" name="Due Date"/>
    <tableColumn id="8" name="Status"/>
    <tableColumn id="9" name="Priority"/>
    <tableColumn id="10" name="Completion %"/>
    <tableColumn id="11" name="Remarks"/>
    <tableColumn id="12" name="Overdue?"/>
  </tableColumns>
  <tableStyleInfo name="TableStyleMedium2" showRowStripes="1"/>
</table>
</file>

<file path=xl/tables/table6.xml><?xml version="1.0" encoding="utf-8"?>
<table xmlns="http://schemas.openxmlformats.org/spreadsheetml/2006/main" id="6" name="Tbl_ReviewLog" displayName="Tbl_ReviewLog" ref="A2:G37" headerRowCount="1">
  <autoFilter ref="A2:G37"/>
  <tableColumns count="7">
    <tableColumn id="1" name="Date"/>
    <tableColumn id="2" name="Review Type"/>
    <tableColumn id="3" name="Department"/>
    <tableColumn id="4" name="Reviewed By"/>
    <tableColumn id="5" name="Key Discussion Points"/>
    <tableColumn id="6" name="Action Points Raised"/>
    <tableColumn id="7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60" customWidth="1" min="3" max="3"/>
    <col width="14" customWidth="1" min="4" max="4"/>
    <col width="3" customWidth="1" min="5" max="5"/>
    <col width="3" customWidth="1" min="6" max="6"/>
  </cols>
  <sheetData>
    <row r="1" ht="30" customHeight="1">
      <c r="A1" s="32" t="inlineStr">
        <is>
          <t>READ ME — how this workbook is organised and how to extend it</t>
        </is>
      </c>
    </row>
    <row r="3">
      <c r="A3" s="3" t="inlineStr">
        <is>
          <t>Version</t>
        </is>
      </c>
      <c r="B3" s="33" t="inlineStr">
        <is>
          <t>2.0</t>
        </is>
      </c>
    </row>
    <row r="4">
      <c r="A4" s="3" t="inlineStr">
        <is>
          <t>Last updated</t>
        </is>
      </c>
      <c r="B4" s="34" t="n">
        <v>46220</v>
      </c>
    </row>
    <row r="5">
      <c r="A5" s="3" t="inlineStr">
        <is>
          <t>Maintained by</t>
        </is>
      </c>
      <c r="B5" s="35" t="inlineStr">
        <is>
          <t>(fill in the name/role of whoever owns this file)</t>
        </is>
      </c>
    </row>
    <row r="7" ht="20" customHeight="1">
      <c r="A7" s="21" t="inlineStr">
        <is>
          <t>HOW THIS WORKBOOK IS ORGANISED</t>
        </is>
      </c>
    </row>
    <row r="8" ht="28" customHeight="1">
      <c r="A8" s="3" t="inlineStr">
        <is>
          <t>Read Me</t>
        </is>
      </c>
      <c r="B8" s="36" t="inlineStr">
        <is>
          <t>This sheet. Version, change log, and how to extend the workbook.</t>
        </is>
      </c>
    </row>
    <row r="9" ht="28" customHeight="1">
      <c r="A9" s="3" t="inlineStr">
        <is>
          <t>KPI Dashboard</t>
        </is>
      </c>
      <c r="B9" s="36" t="inlineStr">
        <is>
          <t>Executive view — scorecards, department ranking, RAG detail table, trend and status charts. Read-only; everything here is a formula.</t>
        </is>
      </c>
    </row>
    <row r="10" ht="28" customHeight="1">
      <c r="A10" s="3" t="inlineStr">
        <is>
          <t>KPI Data Entry</t>
        </is>
      </c>
      <c r="B10" s="36" t="inlineStr">
        <is>
          <t>Type Date / KPI Name / Actual / Remarks. Department, Target, Achievement % and Status auto-fill from Master Config.</t>
        </is>
      </c>
    </row>
    <row r="11" ht="28" customHeight="1">
      <c r="A11" s="3" t="inlineStr">
        <is>
          <t>Master Config</t>
        </is>
      </c>
      <c r="B11" s="36" t="inlineStr">
        <is>
          <t>The ONLY place to add, edit or retire a Department or KPI (name, unit, target, direction, RAG threshold, owner, active flag).</t>
        </is>
      </c>
    </row>
    <row r="12" ht="28" customHeight="1">
      <c r="A12" s="3" t="inlineStr">
        <is>
          <t>Action Tracker</t>
        </is>
      </c>
      <c r="B12" s="36" t="inlineStr">
        <is>
          <t>Type actions raised against KPI gaps. Overdue is auto-flagged from the Due Date.</t>
        </is>
      </c>
    </row>
    <row r="13" ht="28" customHeight="1">
      <c r="A13" s="3" t="inlineStr">
        <is>
          <t>Action Dashboard</t>
        </is>
      </c>
      <c r="B13" s="36" t="inlineStr">
        <is>
          <t>Action summary cards, department-wise action table, and status charts.</t>
        </is>
      </c>
    </row>
    <row r="14" ht="28" customHeight="1">
      <c r="A14" s="3" t="inlineStr">
        <is>
          <t>Review Log</t>
        </is>
      </c>
      <c r="B14" s="36" t="inlineStr">
        <is>
          <t>Manager's daily / weekly / monthly review notes.</t>
        </is>
      </c>
    </row>
    <row r="15" ht="28" customHeight="1">
      <c r="A15" s="3" t="inlineStr">
        <is>
          <t>Tracker Dropdown Master</t>
        </is>
      </c>
      <c r="B15" s="36" t="inlineStr">
        <is>
          <t>Status/Priority lists for Action Tracker. Department &amp; Owner lists link live to Master Config.</t>
        </is>
      </c>
    </row>
    <row r="17" ht="20" customHeight="1">
      <c r="A17" s="21" t="inlineStr">
        <is>
          <t>HOW TO EXTEND THIS WORKBOOK</t>
        </is>
      </c>
    </row>
    <row r="18" ht="30" customHeight="1">
      <c r="A18" s="36" t="inlineStr">
        <is>
          <t>1. Add a KPI: go to Master Config -&gt; KPI Config table, fill the next blank row (or insert a row within your department's block). Set Department, KPI Name, Unit, Target, Direction, RAG Threshold %, Owner, Active = Yes. It appears in KPI Data Entry's dropdown and on both dashboards immediately.</t>
        </is>
      </c>
    </row>
    <row r="19" ht="30" customHeight="1">
      <c r="A19" s="36" t="inlineStr">
        <is>
          <t>2. Change a Target or RAG threshold: edit the value directly in Master Config -&gt; KPI Config. Every dashboard recalculates automatically — no formula to touch.</t>
        </is>
      </c>
    </row>
    <row r="20" ht="30" customHeight="1">
      <c r="A20" s="36" t="inlineStr">
        <is>
          <t>3. Retire a KPI without losing history: set Active = No in Master Config. Its past entries stay in KPI Data Entry, but it drops off the KPI Detail table and scorecards.</t>
        </is>
      </c>
    </row>
    <row r="21" ht="30" customHeight="1">
      <c r="A21" s="36" t="inlineStr">
        <is>
          <t>4. Add a Department: go to Master Config -&gt; Dept Config, fill the next blank row (up to 15 total). It appears in every Department dropdown and on both dashboards' department tables automatically.</t>
        </is>
      </c>
    </row>
    <row r="22" ht="30" customHeight="1">
      <c r="A22" s="36" t="inlineStr">
        <is>
          <t>5. Capacity: this workbook is pre-wired for up to 15 departments and 40 KPIs (see the blank rows already in Master Config). If you outgrow that, extend the ranges named DeptList/KPINameList (Formulas -&gt; Name Manager) and the KPI Detail / Department table row ranges on both dashboards to match.</t>
        </is>
      </c>
    </row>
    <row r="23" ht="30" customHeight="1">
      <c r="A23" s="36" t="inlineStr">
        <is>
          <t>6. Please log every structural change (new KPI, new department, changed formula) in the Change Log below — that is what keeps this a living workbook instead of a frozen one-off.</t>
        </is>
      </c>
    </row>
    <row r="25" ht="20" customHeight="1">
      <c r="A25" s="21" t="inlineStr">
        <is>
          <t>CHANGE LOG</t>
        </is>
      </c>
    </row>
    <row r="26" ht="24" customHeight="1">
      <c r="A26" s="6" t="inlineStr">
        <is>
          <t>Date</t>
        </is>
      </c>
      <c r="B26" s="6" t="inlineStr">
        <is>
          <t>Version</t>
        </is>
      </c>
      <c r="C26" s="6" t="inlineStr">
        <is>
          <t>Change Description</t>
        </is>
      </c>
      <c r="D26" s="6" t="inlineStr">
        <is>
          <t>Changed By</t>
        </is>
      </c>
      <c r="E26" s="37" t="n"/>
      <c r="F26" s="37" t="n"/>
    </row>
    <row r="27">
      <c r="A27" s="7" t="n">
        <v>46219</v>
      </c>
      <c r="B27" s="8" t="inlineStr">
        <is>
          <t>1.0</t>
        </is>
      </c>
      <c r="C27" s="10" t="inlineStr">
        <is>
          <t>Initial simple KPI + Action Tracker dashboard.</t>
        </is>
      </c>
      <c r="D27" s="8" t="inlineStr">
        <is>
          <t>Generated</t>
        </is>
      </c>
    </row>
    <row r="28">
      <c r="A28" s="7" t="n">
        <v>46220</v>
      </c>
      <c r="B28" s="8" t="inlineStr">
        <is>
          <t>2.0</t>
        </is>
      </c>
      <c r="C28" s="10" t="inlineStr">
        <is>
          <t>Rebuilt config-driven: Master Config sheet for departments/KPIs/targets/thresholds, dynamic dropdowns, department ranking chart, RAG KPI detail table, this Read Me/Change Log.</t>
        </is>
      </c>
      <c r="D28" s="8" t="inlineStr">
        <is>
          <t>Generated</t>
        </is>
      </c>
    </row>
    <row r="29">
      <c r="A29" s="20" t="n"/>
      <c r="B29" s="18" t="n"/>
      <c r="C29" s="18" t="n"/>
      <c r="D29" s="18" t="n"/>
    </row>
    <row r="30">
      <c r="A30" s="20" t="n"/>
      <c r="B30" s="18" t="n"/>
      <c r="C30" s="18" t="n"/>
      <c r="D30" s="18" t="n"/>
    </row>
    <row r="31">
      <c r="A31" s="20" t="n"/>
      <c r="B31" s="18" t="n"/>
      <c r="C31" s="18" t="n"/>
      <c r="D31" s="18" t="n"/>
    </row>
    <row r="32">
      <c r="A32" s="20" t="n"/>
      <c r="B32" s="18" t="n"/>
      <c r="C32" s="18" t="n"/>
      <c r="D32" s="18" t="n"/>
    </row>
    <row r="33">
      <c r="A33" s="20" t="n"/>
      <c r="B33" s="18" t="n"/>
      <c r="C33" s="18" t="n"/>
      <c r="D33" s="18" t="n"/>
    </row>
    <row r="34">
      <c r="A34" s="20" t="n"/>
      <c r="B34" s="18" t="n"/>
      <c r="C34" s="18" t="n"/>
      <c r="D34" s="18" t="n"/>
    </row>
    <row r="35">
      <c r="A35" s="20" t="n"/>
      <c r="B35" s="18" t="n"/>
      <c r="C35" s="18" t="n"/>
      <c r="D35" s="18" t="n"/>
    </row>
    <row r="36">
      <c r="A36" s="20" t="n"/>
      <c r="B36" s="18" t="n"/>
      <c r="C36" s="18" t="n"/>
      <c r="D36" s="18" t="n"/>
    </row>
    <row r="37">
      <c r="A37" s="20" t="n"/>
      <c r="B37" s="18" t="n"/>
      <c r="C37" s="18" t="n"/>
      <c r="D37" s="18" t="n"/>
    </row>
    <row r="38">
      <c r="A38" s="20" t="n"/>
      <c r="B38" s="18" t="n"/>
      <c r="C38" s="18" t="n"/>
      <c r="D38" s="18" t="n"/>
    </row>
    <row r="39">
      <c r="A39" s="20" t="n"/>
      <c r="B39" s="18" t="n"/>
      <c r="C39" s="18" t="n"/>
      <c r="D39" s="18" t="n"/>
    </row>
    <row r="40">
      <c r="A40" s="20" t="n"/>
      <c r="B40" s="18" t="n"/>
      <c r="C40" s="18" t="n"/>
      <c r="D40" s="18" t="n"/>
    </row>
    <row r="41">
      <c r="A41" s="20" t="n"/>
      <c r="B41" s="18" t="n"/>
      <c r="C41" s="18" t="n"/>
      <c r="D41" s="18" t="n"/>
    </row>
    <row r="42">
      <c r="A42" s="20" t="n"/>
      <c r="B42" s="18" t="n"/>
      <c r="C42" s="18" t="n"/>
      <c r="D42" s="18" t="n"/>
    </row>
    <row r="43">
      <c r="A43" s="20" t="n"/>
      <c r="B43" s="18" t="n"/>
      <c r="C43" s="18" t="n"/>
      <c r="D43" s="18" t="n"/>
    </row>
  </sheetData>
  <mergeCells count="18">
    <mergeCell ref="B12:F12"/>
    <mergeCell ref="A19:F19"/>
    <mergeCell ref="B15:F15"/>
    <mergeCell ref="B10:F10"/>
    <mergeCell ref="A1:F1"/>
    <mergeCell ref="B11:F11"/>
    <mergeCell ref="A23:F23"/>
    <mergeCell ref="B14:F14"/>
    <mergeCell ref="A22:F22"/>
    <mergeCell ref="A17:F17"/>
    <mergeCell ref="A18:F18"/>
    <mergeCell ref="B8:F8"/>
    <mergeCell ref="A20:F20"/>
    <mergeCell ref="A21:F21"/>
    <mergeCell ref="B13:F13"/>
    <mergeCell ref="B9:F9"/>
    <mergeCell ref="A7:F7"/>
    <mergeCell ref="A25:F25"/>
  </mergeCells>
  <pageMargins left="0.3" right="0.3" top="0.4" bottom="0.4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J74"/>
  <sheetViews>
    <sheetView showGridLines="0" tabSelected="1" zoomScale="90"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10" customWidth="1" min="3" max="3"/>
    <col width="12" customWidth="1" min="4" max="4"/>
    <col width="13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 ht="34" customHeight="1">
      <c r="A1" s="1" t="inlineStr">
        <is>
          <t xml:space="preserve">  KPI DASHBOARD</t>
        </is>
      </c>
    </row>
    <row r="2" ht="14" customHeight="1"/>
    <row r="3" ht="20" customHeight="1">
      <c r="A3" s="2">
        <f>"  v2.0   |   "&amp;TEXT(TODAY(),"dddd, dd-mmm-yyyy")&amp;"   |   updates automatically from KPI Data Entry + Master Config"</f>
        <v/>
      </c>
    </row>
    <row r="5">
      <c r="A5" s="3" t="inlineStr">
        <is>
          <t>Filter — Month:</t>
        </is>
      </c>
      <c r="B5" s="4" t="inlineStr">
        <is>
          <t>All</t>
        </is>
      </c>
      <c r="D5" s="3" t="inlineStr">
        <is>
          <t>Department:</t>
        </is>
      </c>
      <c r="E5" s="4" t="inlineStr">
        <is>
          <t>All</t>
        </is>
      </c>
    </row>
    <row r="7" ht="20" customHeight="1">
      <c r="A7" s="21" t="inlineStr">
        <is>
          <t>AT A GLANCE</t>
        </is>
      </c>
    </row>
    <row r="8" ht="14" customHeight="1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</row>
    <row r="9" ht="14" customHeight="1">
      <c r="A9" s="23" t="inlineStr">
        <is>
          <t>OVERALL PLANT SCORE</t>
        </is>
      </c>
      <c r="G9" s="23" t="inlineStr">
        <is>
          <t>ACTIVE KPIS TRACKED</t>
        </is>
      </c>
      <c r="M9" s="23" t="inlineStr">
        <is>
          <t>% KPI-DAYS GREEN</t>
        </is>
      </c>
      <c r="S9" s="23" t="inlineStr">
        <is>
          <t>% KPI-DAYS RED</t>
        </is>
      </c>
      <c r="Y9" s="23" t="inlineStr">
        <is>
          <t>OPEN ACTIONS</t>
        </is>
      </c>
      <c r="AE9" s="23" t="inlineStr">
        <is>
          <t>OVERDUE ACTIONS</t>
        </is>
      </c>
    </row>
    <row r="10" ht="14" customHeight="1">
      <c r="A10" s="24">
        <f>IFERROR(AVERAGEIFS(Tbl_Entry[Achievement %],Tbl_Entry[Month],IF($B$5="All","*",$B$5),Tbl_Entry[Department],IF($E$5="All Departments","*",$E$5)),0)</f>
        <v/>
      </c>
      <c r="G10" s="25">
        <f>COUNTIFS(Tbl_KPIConfig[Active],"Yes")</f>
        <v/>
      </c>
      <c r="M10" s="24">
        <f>IFERROR(COUNTIFS(Tbl_Entry[Status],"Green",Tbl_Entry[Month],IF($B$5="All","*",$B$5),Tbl_Entry[Department],IF($E$5="All Departments","*",$E$5))/COUNTIFS(Tbl_Entry[Month],IF($B$5="All","*",$B$5),Tbl_Entry[Department],IF($E$5="All Departments","*",$E$5)),0)</f>
        <v/>
      </c>
      <c r="S10" s="24">
        <f>IFERROR(COUNTIFS(Tbl_Entry[Status],"Red",Tbl_Entry[Month],IF($B$5="All","*",$B$5),Tbl_Entry[Department],IF($E$5="All Departments","*",$E$5))/COUNTIFS(Tbl_Entry[Month],IF($B$5="All","*",$B$5),Tbl_Entry[Department],IF($E$5="All Departments","*",$E$5)),0)</f>
        <v/>
      </c>
      <c r="Y10" s="25">
        <f>COUNTIFS(Tbl_ActionTracker[Status],"&lt;&gt;Closed",Tbl_ActionTracker[Department],IF($E$5="All Departments","*",$E$5))</f>
        <v/>
      </c>
      <c r="AE10" s="25">
        <f>COUNTIFS(Tbl_ActionTracker[Overdue?],"Yes",Tbl_ActionTracker[Department],IF($E$5="All Departments","*",$E$5))</f>
        <v/>
      </c>
    </row>
    <row r="11" ht="14" customHeight="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</row>
    <row r="13" ht="20" customHeight="1">
      <c r="A13" s="21" t="inlineStr">
        <is>
          <t>CHART DATA (auto — do not delete)</t>
        </is>
      </c>
    </row>
    <row r="14">
      <c r="A14" s="26" t="inlineStr">
        <is>
          <t>Department</t>
        </is>
      </c>
      <c r="B14" s="26" t="inlineStr">
        <is>
          <t>Score</t>
        </is>
      </c>
      <c r="C14" s="26" t="inlineStr">
        <is>
          <t>Rank (worst first)</t>
        </is>
      </c>
      <c r="E14" s="26" t="inlineStr">
        <is>
          <t>Department (sorted, worst first)</t>
        </is>
      </c>
      <c r="F14" s="26" t="inlineStr">
        <is>
          <t>Achievement %</t>
        </is>
      </c>
      <c r="H14" s="26" t="inlineStr">
        <is>
          <t>Status</t>
        </is>
      </c>
      <c r="I14" s="26" t="inlineStr">
        <is>
          <t>Count</t>
        </is>
      </c>
      <c r="K14" s="26" t="inlineStr">
        <is>
          <t>Week</t>
        </is>
      </c>
      <c r="L14" s="26" t="inlineStr">
        <is>
          <t>Overall Achievement %</t>
        </is>
      </c>
    </row>
    <row r="15">
      <c r="A15" s="27">
        <f>IF(1&lt;=COUNTA(DeptList),INDEX(DeptList,1),"")</f>
        <v/>
      </c>
      <c r="B15" s="27">
        <f>IF($A15="","",IFERROR(AVERAGEIFS(Tbl_Entry[Achievement %],Tbl_Entry[Department],$A15,Tbl_Entry[Month],IF($B$5="All","*",$B$5)),""))</f>
        <v/>
      </c>
      <c r="C15" s="27">
        <f>IF($A15="","",RANK.EQ($B15,$B$15:$B$29,1)+COUNTIF($B$15:$B15,$B15)-1)</f>
        <v/>
      </c>
      <c r="E15" s="27">
        <f>IFERROR(INDEX($A$15:$A$29,MATCH(1,$C$15:$C$29,0)),"")</f>
        <v/>
      </c>
      <c r="F15" s="27">
        <f>IFERROR(INDEX($B$15:$B$29,MATCH(1,$C$15:$C$29,0)),NA())</f>
        <v/>
      </c>
      <c r="H15" s="27" t="inlineStr">
        <is>
          <t>Green</t>
        </is>
      </c>
      <c r="I15" s="27">
        <f>COUNTIFS(Tbl_Entry[Status],$H15,Tbl_Entry[Month],IF($B$5="All","*",$B$5),Tbl_Entry[Department],IF($E$5="All Departments","*",$E$5))</f>
        <v/>
      </c>
      <c r="K15" s="27" t="inlineStr">
        <is>
          <t>W23</t>
        </is>
      </c>
      <c r="L15" s="28">
        <f>IFERROR(AVERAGEIFS(Tbl_Entry[Achievement %],Tbl_Entry[Week],$K15,Tbl_Entry[Department],IF($E$5="All Departments","*",$E$5)),0)</f>
        <v/>
      </c>
    </row>
    <row r="16">
      <c r="A16" s="27">
        <f>IF(2&lt;=COUNTA(DeptList),INDEX(DeptList,2),"")</f>
        <v/>
      </c>
      <c r="B16" s="27">
        <f>IF($A16="","",IFERROR(AVERAGEIFS(Tbl_Entry[Achievement %],Tbl_Entry[Department],$A16,Tbl_Entry[Month],IF($B$5="All","*",$B$5)),""))</f>
        <v/>
      </c>
      <c r="C16" s="27">
        <f>IF($A16="","",RANK.EQ($B16,$B$15:$B$29,1)+COUNTIF($B$15:$B16,$B16)-1)</f>
        <v/>
      </c>
      <c r="E16" s="27">
        <f>IFERROR(INDEX($A$15:$A$29,MATCH(2,$C$15:$C$29,0)),"")</f>
        <v/>
      </c>
      <c r="F16" s="27">
        <f>IFERROR(INDEX($B$15:$B$29,MATCH(2,$C$15:$C$29,0)),NA())</f>
        <v/>
      </c>
      <c r="H16" s="27" t="inlineStr">
        <is>
          <t>Amber</t>
        </is>
      </c>
      <c r="I16" s="27">
        <f>COUNTIFS(Tbl_Entry[Status],$H16,Tbl_Entry[Month],IF($B$5="All","*",$B$5),Tbl_Entry[Department],IF($E$5="All Departments","*",$E$5))</f>
        <v/>
      </c>
      <c r="K16" s="27" t="inlineStr">
        <is>
          <t>W24</t>
        </is>
      </c>
      <c r="L16" s="28">
        <f>IFERROR(AVERAGEIFS(Tbl_Entry[Achievement %],Tbl_Entry[Week],$K16,Tbl_Entry[Department],IF($E$5="All Departments","*",$E$5)),0)</f>
        <v/>
      </c>
    </row>
    <row r="17">
      <c r="A17" s="27">
        <f>IF(3&lt;=COUNTA(DeptList),INDEX(DeptList,3),"")</f>
        <v/>
      </c>
      <c r="B17" s="27">
        <f>IF($A17="","",IFERROR(AVERAGEIFS(Tbl_Entry[Achievement %],Tbl_Entry[Department],$A17,Tbl_Entry[Month],IF($B$5="All","*",$B$5)),""))</f>
        <v/>
      </c>
      <c r="C17" s="27">
        <f>IF($A17="","",RANK.EQ($B17,$B$15:$B$29,1)+COUNTIF($B$15:$B17,$B17)-1)</f>
        <v/>
      </c>
      <c r="E17" s="27">
        <f>IFERROR(INDEX($A$15:$A$29,MATCH(3,$C$15:$C$29,0)),"")</f>
        <v/>
      </c>
      <c r="F17" s="27">
        <f>IFERROR(INDEX($B$15:$B$29,MATCH(3,$C$15:$C$29,0)),NA())</f>
        <v/>
      </c>
      <c r="H17" s="27" t="inlineStr">
        <is>
          <t>Red</t>
        </is>
      </c>
      <c r="I17" s="27">
        <f>COUNTIFS(Tbl_Entry[Status],$H17,Tbl_Entry[Month],IF($B$5="All","*",$B$5),Tbl_Entry[Department],IF($E$5="All Departments","*",$E$5))</f>
        <v/>
      </c>
      <c r="K17" s="27" t="inlineStr">
        <is>
          <t>W25</t>
        </is>
      </c>
      <c r="L17" s="28">
        <f>IFERROR(AVERAGEIFS(Tbl_Entry[Achievement %],Tbl_Entry[Week],$K17,Tbl_Entry[Department],IF($E$5="All Departments","*",$E$5)),0)</f>
        <v/>
      </c>
    </row>
    <row r="18">
      <c r="A18" s="27">
        <f>IF(4&lt;=COUNTA(DeptList),INDEX(DeptList,4),"")</f>
        <v/>
      </c>
      <c r="B18" s="27">
        <f>IF($A18="","",IFERROR(AVERAGEIFS(Tbl_Entry[Achievement %],Tbl_Entry[Department],$A18,Tbl_Entry[Month],IF($B$5="All","*",$B$5)),""))</f>
        <v/>
      </c>
      <c r="C18" s="27">
        <f>IF($A18="","",RANK.EQ($B18,$B$15:$B$29,1)+COUNTIF($B$15:$B18,$B18)-1)</f>
        <v/>
      </c>
      <c r="E18" s="27">
        <f>IFERROR(INDEX($A$15:$A$29,MATCH(4,$C$15:$C$29,0)),"")</f>
        <v/>
      </c>
      <c r="F18" s="27">
        <f>IFERROR(INDEX($B$15:$B$29,MATCH(4,$C$15:$C$29,0)),NA())</f>
        <v/>
      </c>
      <c r="K18" s="27" t="inlineStr">
        <is>
          <t>W26</t>
        </is>
      </c>
      <c r="L18" s="28">
        <f>IFERROR(AVERAGEIFS(Tbl_Entry[Achievement %],Tbl_Entry[Week],$K18,Tbl_Entry[Department],IF($E$5="All Departments","*",$E$5)),0)</f>
        <v/>
      </c>
    </row>
    <row r="19">
      <c r="A19" s="27">
        <f>IF(5&lt;=COUNTA(DeptList),INDEX(DeptList,5),"")</f>
        <v/>
      </c>
      <c r="B19" s="27">
        <f>IF($A19="","",IFERROR(AVERAGEIFS(Tbl_Entry[Achievement %],Tbl_Entry[Department],$A19,Tbl_Entry[Month],IF($B$5="All","*",$B$5)),""))</f>
        <v/>
      </c>
      <c r="C19" s="27">
        <f>IF($A19="","",RANK.EQ($B19,$B$15:$B$29,1)+COUNTIF($B$15:$B19,$B19)-1)</f>
        <v/>
      </c>
      <c r="E19" s="27">
        <f>IFERROR(INDEX($A$15:$A$29,MATCH(5,$C$15:$C$29,0)),"")</f>
        <v/>
      </c>
      <c r="F19" s="27">
        <f>IFERROR(INDEX($B$15:$B$29,MATCH(5,$C$15:$C$29,0)),NA())</f>
        <v/>
      </c>
      <c r="K19" s="27" t="inlineStr">
        <is>
          <t>W27</t>
        </is>
      </c>
      <c r="L19" s="28">
        <f>IFERROR(AVERAGEIFS(Tbl_Entry[Achievement %],Tbl_Entry[Week],$K19,Tbl_Entry[Department],IF($E$5="All Departments","*",$E$5)),0)</f>
        <v/>
      </c>
    </row>
    <row r="20">
      <c r="A20" s="27">
        <f>IF(6&lt;=COUNTA(DeptList),INDEX(DeptList,6),"")</f>
        <v/>
      </c>
      <c r="B20" s="27">
        <f>IF($A20="","",IFERROR(AVERAGEIFS(Tbl_Entry[Achievement %],Tbl_Entry[Department],$A20,Tbl_Entry[Month],IF($B$5="All","*",$B$5)),""))</f>
        <v/>
      </c>
      <c r="C20" s="27">
        <f>IF($A20="","",RANK.EQ($B20,$B$15:$B$29,1)+COUNTIF($B$15:$B20,$B20)-1)</f>
        <v/>
      </c>
      <c r="E20" s="27">
        <f>IFERROR(INDEX($A$15:$A$29,MATCH(6,$C$15:$C$29,0)),"")</f>
        <v/>
      </c>
      <c r="F20" s="27">
        <f>IFERROR(INDEX($B$15:$B$29,MATCH(6,$C$15:$C$29,0)),NA())</f>
        <v/>
      </c>
      <c r="K20" s="27" t="inlineStr">
        <is>
          <t>W28</t>
        </is>
      </c>
      <c r="L20" s="28">
        <f>IFERROR(AVERAGEIFS(Tbl_Entry[Achievement %],Tbl_Entry[Week],$K20,Tbl_Entry[Department],IF($E$5="All Departments","*",$E$5)),0)</f>
        <v/>
      </c>
    </row>
    <row r="21">
      <c r="A21" s="27">
        <f>IF(7&lt;=COUNTA(DeptList),INDEX(DeptList,7),"")</f>
        <v/>
      </c>
      <c r="B21" s="27">
        <f>IF($A21="","",IFERROR(AVERAGEIFS(Tbl_Entry[Achievement %],Tbl_Entry[Department],$A21,Tbl_Entry[Month],IF($B$5="All","*",$B$5)),""))</f>
        <v/>
      </c>
      <c r="C21" s="27">
        <f>IF($A21="","",RANK.EQ($B21,$B$15:$B$29,1)+COUNTIF($B$15:$B21,$B21)-1)</f>
        <v/>
      </c>
      <c r="E21" s="27">
        <f>IFERROR(INDEX($A$15:$A$29,MATCH(7,$C$15:$C$29,0)),"")</f>
        <v/>
      </c>
      <c r="F21" s="27">
        <f>IFERROR(INDEX($B$15:$B$29,MATCH(7,$C$15:$C$29,0)),NA())</f>
        <v/>
      </c>
      <c r="K21" s="27" t="inlineStr">
        <is>
          <t>W29</t>
        </is>
      </c>
      <c r="L21" s="28">
        <f>IFERROR(AVERAGEIFS(Tbl_Entry[Achievement %],Tbl_Entry[Week],$K21,Tbl_Entry[Department],IF($E$5="All Departments","*",$E$5)),0)</f>
        <v/>
      </c>
    </row>
    <row r="22">
      <c r="A22" s="27">
        <f>IF(8&lt;=COUNTA(DeptList),INDEX(DeptList,8),"")</f>
        <v/>
      </c>
      <c r="B22" s="27">
        <f>IF($A22="","",IFERROR(AVERAGEIFS(Tbl_Entry[Achievement %],Tbl_Entry[Department],$A22,Tbl_Entry[Month],IF($B$5="All","*",$B$5)),""))</f>
        <v/>
      </c>
      <c r="C22" s="27">
        <f>IF($A22="","",RANK.EQ($B22,$B$15:$B$29,1)+COUNTIF($B$15:$B22,$B22)-1)</f>
        <v/>
      </c>
      <c r="E22" s="27">
        <f>IFERROR(INDEX($A$15:$A$29,MATCH(8,$C$15:$C$29,0)),"")</f>
        <v/>
      </c>
      <c r="F22" s="27">
        <f>IFERROR(INDEX($B$15:$B$29,MATCH(8,$C$15:$C$29,0)),NA())</f>
        <v/>
      </c>
    </row>
    <row r="23">
      <c r="A23" s="27">
        <f>IF(9&lt;=COUNTA(DeptList),INDEX(DeptList,9),"")</f>
        <v/>
      </c>
      <c r="B23" s="27">
        <f>IF($A23="","",IFERROR(AVERAGEIFS(Tbl_Entry[Achievement %],Tbl_Entry[Department],$A23,Tbl_Entry[Month],IF($B$5="All","*",$B$5)),""))</f>
        <v/>
      </c>
      <c r="C23" s="27">
        <f>IF($A23="","",RANK.EQ($B23,$B$15:$B$29,1)+COUNTIF($B$15:$B23,$B23)-1)</f>
        <v/>
      </c>
      <c r="E23" s="27">
        <f>IFERROR(INDEX($A$15:$A$29,MATCH(9,$C$15:$C$29,0)),"")</f>
        <v/>
      </c>
      <c r="F23" s="27">
        <f>IFERROR(INDEX($B$15:$B$29,MATCH(9,$C$15:$C$29,0)),NA())</f>
        <v/>
      </c>
    </row>
    <row r="24">
      <c r="A24" s="27">
        <f>IF(10&lt;=COUNTA(DeptList),INDEX(DeptList,10),"")</f>
        <v/>
      </c>
      <c r="B24" s="27">
        <f>IF($A24="","",IFERROR(AVERAGEIFS(Tbl_Entry[Achievement %],Tbl_Entry[Department],$A24,Tbl_Entry[Month],IF($B$5="All","*",$B$5)),""))</f>
        <v/>
      </c>
      <c r="C24" s="27">
        <f>IF($A24="","",RANK.EQ($B24,$B$15:$B$29,1)+COUNTIF($B$15:$B24,$B24)-1)</f>
        <v/>
      </c>
      <c r="E24" s="27">
        <f>IFERROR(INDEX($A$15:$A$29,MATCH(10,$C$15:$C$29,0)),"")</f>
        <v/>
      </c>
      <c r="F24" s="27">
        <f>IFERROR(INDEX($B$15:$B$29,MATCH(10,$C$15:$C$29,0)),NA())</f>
        <v/>
      </c>
    </row>
    <row r="25">
      <c r="A25" s="27">
        <f>IF(11&lt;=COUNTA(DeptList),INDEX(DeptList,11),"")</f>
        <v/>
      </c>
      <c r="B25" s="27">
        <f>IF($A25="","",IFERROR(AVERAGEIFS(Tbl_Entry[Achievement %],Tbl_Entry[Department],$A25,Tbl_Entry[Month],IF($B$5="All","*",$B$5)),""))</f>
        <v/>
      </c>
      <c r="C25" s="27">
        <f>IF($A25="","",RANK.EQ($B25,$B$15:$B$29,1)+COUNTIF($B$15:$B25,$B25)-1)</f>
        <v/>
      </c>
      <c r="E25" s="27">
        <f>IFERROR(INDEX($A$15:$A$29,MATCH(11,$C$15:$C$29,0)),"")</f>
        <v/>
      </c>
      <c r="F25" s="27">
        <f>IFERROR(INDEX($B$15:$B$29,MATCH(11,$C$15:$C$29,0)),NA())</f>
        <v/>
      </c>
    </row>
    <row r="26">
      <c r="A26" s="27">
        <f>IF(12&lt;=COUNTA(DeptList),INDEX(DeptList,12),"")</f>
        <v/>
      </c>
      <c r="B26" s="27">
        <f>IF($A26="","",IFERROR(AVERAGEIFS(Tbl_Entry[Achievement %],Tbl_Entry[Department],$A26,Tbl_Entry[Month],IF($B$5="All","*",$B$5)),""))</f>
        <v/>
      </c>
      <c r="C26" s="27">
        <f>IF($A26="","",RANK.EQ($B26,$B$15:$B$29,1)+COUNTIF($B$15:$B26,$B26)-1)</f>
        <v/>
      </c>
      <c r="E26" s="27">
        <f>IFERROR(INDEX($A$15:$A$29,MATCH(12,$C$15:$C$29,0)),"")</f>
        <v/>
      </c>
      <c r="F26" s="27">
        <f>IFERROR(INDEX($B$15:$B$29,MATCH(12,$C$15:$C$29,0)),NA())</f>
        <v/>
      </c>
    </row>
    <row r="27">
      <c r="A27" s="27">
        <f>IF(13&lt;=COUNTA(DeptList),INDEX(DeptList,13),"")</f>
        <v/>
      </c>
      <c r="B27" s="27">
        <f>IF($A27="","",IFERROR(AVERAGEIFS(Tbl_Entry[Achievement %],Tbl_Entry[Department],$A27,Tbl_Entry[Month],IF($B$5="All","*",$B$5)),""))</f>
        <v/>
      </c>
      <c r="C27" s="27">
        <f>IF($A27="","",RANK.EQ($B27,$B$15:$B$29,1)+COUNTIF($B$15:$B27,$B27)-1)</f>
        <v/>
      </c>
      <c r="E27" s="27">
        <f>IFERROR(INDEX($A$15:$A$29,MATCH(13,$C$15:$C$29,0)),"")</f>
        <v/>
      </c>
      <c r="F27" s="27">
        <f>IFERROR(INDEX($B$15:$B$29,MATCH(13,$C$15:$C$29,0)),NA())</f>
        <v/>
      </c>
    </row>
    <row r="28">
      <c r="A28" s="27">
        <f>IF(14&lt;=COUNTA(DeptList),INDEX(DeptList,14),"")</f>
        <v/>
      </c>
      <c r="B28" s="27">
        <f>IF($A28="","",IFERROR(AVERAGEIFS(Tbl_Entry[Achievement %],Tbl_Entry[Department],$A28,Tbl_Entry[Month],IF($B$5="All","*",$B$5)),""))</f>
        <v/>
      </c>
      <c r="C28" s="27">
        <f>IF($A28="","",RANK.EQ($B28,$B$15:$B$29,1)+COUNTIF($B$15:$B28,$B28)-1)</f>
        <v/>
      </c>
      <c r="E28" s="27">
        <f>IFERROR(INDEX($A$15:$A$29,MATCH(14,$C$15:$C$29,0)),"")</f>
        <v/>
      </c>
      <c r="F28" s="27">
        <f>IFERROR(INDEX($B$15:$B$29,MATCH(14,$C$15:$C$29,0)),NA())</f>
        <v/>
      </c>
    </row>
    <row r="29">
      <c r="A29" s="27">
        <f>IF(15&lt;=COUNTA(DeptList),INDEX(DeptList,15),"")</f>
        <v/>
      </c>
      <c r="B29" s="27">
        <f>IF($A29="","",IFERROR(AVERAGEIFS(Tbl_Entry[Achievement %],Tbl_Entry[Department],$A29,Tbl_Entry[Month],IF($B$5="All","*",$B$5)),""))</f>
        <v/>
      </c>
      <c r="C29" s="27">
        <f>IF($A29="","",RANK.EQ($B29,$B$15:$B$29,1)+COUNTIF($B$15:$B29,$B29)-1)</f>
        <v/>
      </c>
      <c r="E29" s="27">
        <f>IFERROR(INDEX($A$15:$A$29,MATCH(15,$C$15:$C$29,0)),"")</f>
        <v/>
      </c>
      <c r="F29" s="27">
        <f>IFERROR(INDEX($B$15:$B$29,MATCH(15,$C$15:$C$29,0)),NA())</f>
        <v/>
      </c>
    </row>
    <row r="31" ht="20" customHeight="1">
      <c r="A31" s="21" t="inlineStr">
        <is>
          <t>KPI DETAIL (active KPIs, worst status first)</t>
        </is>
      </c>
    </row>
    <row r="32" ht="26" customHeight="1">
      <c r="A32" s="6" t="inlineStr">
        <is>
          <t>Department</t>
        </is>
      </c>
      <c r="B32" s="6" t="inlineStr">
        <is>
          <t>KPI Name</t>
        </is>
      </c>
      <c r="C32" s="6" t="inlineStr">
        <is>
          <t>Target</t>
        </is>
      </c>
      <c r="D32" s="6" t="inlineStr">
        <is>
          <t>Actual (avg)</t>
        </is>
      </c>
      <c r="E32" s="6" t="inlineStr">
        <is>
          <t>Achievement %</t>
        </is>
      </c>
      <c r="F32" s="6" t="inlineStr">
        <is>
          <t>Status</t>
        </is>
      </c>
    </row>
    <row r="33">
      <c r="A33" s="8">
        <f>IF($B33="","",IFERROR(INDEX(Tbl_KPIConfig[Department],AGGREGATE(15,6,(ROW(Tbl_KPIConfig[KPI Name])-ROW(INDEX(Tbl_KPIConfig[KPI Name],1))+1)/((Tbl_KPIConfig[Active]="Yes")*(Tbl_KPIConfig[Department]&lt;&gt;"")*(($E$5="All Departments")+(Tbl_KPIConfig[Department]=$E$5))),1)),""))</f>
        <v/>
      </c>
      <c r="B33" s="10">
        <f>IFERROR(INDEX(Tbl_KPIConfig[KPI Name],AGGREGATE(15,6,(ROW(Tbl_KPIConfig[KPI Name])-ROW(INDEX(Tbl_KPIConfig[KPI Name],1))+1)/((Tbl_KPIConfig[Active]="Yes")*(Tbl_KPIConfig[Department]&lt;&gt;"")*(($E$5="All Departments")+(Tbl_KPIConfig[Department]=$E$5))),1)),"")</f>
        <v/>
      </c>
      <c r="C33" s="29">
        <f>IF($B33="","",IFERROR(INDEX(Tbl_KPIConfig[Target],AGGREGATE(15,6,(ROW(Tbl_KPIConfig[KPI Name])-ROW(INDEX(Tbl_KPIConfig[KPI Name],1))+1)/((Tbl_KPIConfig[Active]="Yes")*(Tbl_KPIConfig[Department]&lt;&gt;"")*(($E$5="All Departments")+(Tbl_KPIConfig[Department]=$E$5))),1)),""))</f>
        <v/>
      </c>
      <c r="D33" s="29">
        <f>IF($B33="","",IFERROR(AVERAGEIFS(Tbl_Entry[Actual],Tbl_Entry[KPI Name],$B33,Tbl_Entry[Month],IF($B$5="All","*",$B$5)),""))</f>
        <v/>
      </c>
      <c r="E33" s="9">
        <f>IF($B33="","",IFERROR(AVERAGEIFS(Tbl_Entry[Achievement %],Tbl_Entry[KPI Name],$B33,Tbl_Entry[Month],IF($B$5="All","*",$B$5)),""))</f>
        <v/>
      </c>
      <c r="F33" s="8">
        <f>IF($B33="","",IF($E33&gt;=1,"Green",IF($E33&gt;=IFERROR(INDEX(Tbl_KPIConfig[RAG Threshold %],MATCH($B33,Tbl_KPIConfig[KPI Name],0)),0),"Amber","Red")))</f>
        <v/>
      </c>
    </row>
    <row r="34">
      <c r="A34" s="12">
        <f>IF($B34="","",IFERROR(INDEX(Tbl_KPIConfig[Department],AGGREGATE(15,6,(ROW(Tbl_KPIConfig[KPI Name])-ROW(INDEX(Tbl_KPIConfig[KPI Name],1))+1)/((Tbl_KPIConfig[Active]="Yes")*(Tbl_KPIConfig[Department]&lt;&gt;"")*(($E$5="All Departments")+(Tbl_KPIConfig[Department]=$E$5))),2)),""))</f>
        <v/>
      </c>
      <c r="B34" s="14">
        <f>IFERROR(INDEX(Tbl_KPIConfig[KPI Name],AGGREGATE(15,6,(ROW(Tbl_KPIConfig[KPI Name])-ROW(INDEX(Tbl_KPIConfig[KPI Name],1))+1)/((Tbl_KPIConfig[Active]="Yes")*(Tbl_KPIConfig[Department]&lt;&gt;"")*(($E$5="All Departments")+(Tbl_KPIConfig[Department]=$E$5))),2)),"")</f>
        <v/>
      </c>
      <c r="C34" s="30">
        <f>IF($B34="","",IFERROR(INDEX(Tbl_KPIConfig[Target],AGGREGATE(15,6,(ROW(Tbl_KPIConfig[KPI Name])-ROW(INDEX(Tbl_KPIConfig[KPI Name],1))+1)/((Tbl_KPIConfig[Active]="Yes")*(Tbl_KPIConfig[Department]&lt;&gt;"")*(($E$5="All Departments")+(Tbl_KPIConfig[Department]=$E$5))),2)),""))</f>
        <v/>
      </c>
      <c r="D34" s="30">
        <f>IF($B34="","",IFERROR(AVERAGEIFS(Tbl_Entry[Actual],Tbl_Entry[KPI Name],$B34,Tbl_Entry[Month],IF($B$5="All","*",$B$5)),""))</f>
        <v/>
      </c>
      <c r="E34" s="13">
        <f>IF($B34="","",IFERROR(AVERAGEIFS(Tbl_Entry[Achievement %],Tbl_Entry[KPI Name],$B34,Tbl_Entry[Month],IF($B$5="All","*",$B$5)),""))</f>
        <v/>
      </c>
      <c r="F34" s="12">
        <f>IF($B34="","",IF($E34&gt;=1,"Green",IF($E34&gt;=IFERROR(INDEX(Tbl_KPIConfig[RAG Threshold %],MATCH($B34,Tbl_KPIConfig[KPI Name],0)),0),"Amber","Red")))</f>
        <v/>
      </c>
    </row>
    <row r="35">
      <c r="A35" s="8">
        <f>IF($B35="","",IFERROR(INDEX(Tbl_KPIConfig[Department],AGGREGATE(15,6,(ROW(Tbl_KPIConfig[KPI Name])-ROW(INDEX(Tbl_KPIConfig[KPI Name],1))+1)/((Tbl_KPIConfig[Active]="Yes")*(Tbl_KPIConfig[Department]&lt;&gt;"")*(($E$5="All Departments")+(Tbl_KPIConfig[Department]=$E$5))),3)),""))</f>
        <v/>
      </c>
      <c r="B35" s="10">
        <f>IFERROR(INDEX(Tbl_KPIConfig[KPI Name],AGGREGATE(15,6,(ROW(Tbl_KPIConfig[KPI Name])-ROW(INDEX(Tbl_KPIConfig[KPI Name],1))+1)/((Tbl_KPIConfig[Active]="Yes")*(Tbl_KPIConfig[Department]&lt;&gt;"")*(($E$5="All Departments")+(Tbl_KPIConfig[Department]=$E$5))),3)),"")</f>
        <v/>
      </c>
      <c r="C35" s="29">
        <f>IF($B35="","",IFERROR(INDEX(Tbl_KPIConfig[Target],AGGREGATE(15,6,(ROW(Tbl_KPIConfig[KPI Name])-ROW(INDEX(Tbl_KPIConfig[KPI Name],1))+1)/((Tbl_KPIConfig[Active]="Yes")*(Tbl_KPIConfig[Department]&lt;&gt;"")*(($E$5="All Departments")+(Tbl_KPIConfig[Department]=$E$5))),3)),""))</f>
        <v/>
      </c>
      <c r="D35" s="29">
        <f>IF($B35="","",IFERROR(AVERAGEIFS(Tbl_Entry[Actual],Tbl_Entry[KPI Name],$B35,Tbl_Entry[Month],IF($B$5="All","*",$B$5)),""))</f>
        <v/>
      </c>
      <c r="E35" s="9">
        <f>IF($B35="","",IFERROR(AVERAGEIFS(Tbl_Entry[Achievement %],Tbl_Entry[KPI Name],$B35,Tbl_Entry[Month],IF($B$5="All","*",$B$5)),""))</f>
        <v/>
      </c>
      <c r="F35" s="8">
        <f>IF($B35="","",IF($E35&gt;=1,"Green",IF($E35&gt;=IFERROR(INDEX(Tbl_KPIConfig[RAG Threshold %],MATCH($B35,Tbl_KPIConfig[KPI Name],0)),0),"Amber","Red")))</f>
        <v/>
      </c>
    </row>
    <row r="36">
      <c r="A36" s="12">
        <f>IF($B36="","",IFERROR(INDEX(Tbl_KPIConfig[Department],AGGREGATE(15,6,(ROW(Tbl_KPIConfig[KPI Name])-ROW(INDEX(Tbl_KPIConfig[KPI Name],1))+1)/((Tbl_KPIConfig[Active]="Yes")*(Tbl_KPIConfig[Department]&lt;&gt;"")*(($E$5="All Departments")+(Tbl_KPIConfig[Department]=$E$5))),4)),""))</f>
        <v/>
      </c>
      <c r="B36" s="14">
        <f>IFERROR(INDEX(Tbl_KPIConfig[KPI Name],AGGREGATE(15,6,(ROW(Tbl_KPIConfig[KPI Name])-ROW(INDEX(Tbl_KPIConfig[KPI Name],1))+1)/((Tbl_KPIConfig[Active]="Yes")*(Tbl_KPIConfig[Department]&lt;&gt;"")*(($E$5="All Departments")+(Tbl_KPIConfig[Department]=$E$5))),4)),"")</f>
        <v/>
      </c>
      <c r="C36" s="30">
        <f>IF($B36="","",IFERROR(INDEX(Tbl_KPIConfig[Target],AGGREGATE(15,6,(ROW(Tbl_KPIConfig[KPI Name])-ROW(INDEX(Tbl_KPIConfig[KPI Name],1))+1)/((Tbl_KPIConfig[Active]="Yes")*(Tbl_KPIConfig[Department]&lt;&gt;"")*(($E$5="All Departments")+(Tbl_KPIConfig[Department]=$E$5))),4)),""))</f>
        <v/>
      </c>
      <c r="D36" s="30">
        <f>IF($B36="","",IFERROR(AVERAGEIFS(Tbl_Entry[Actual],Tbl_Entry[KPI Name],$B36,Tbl_Entry[Month],IF($B$5="All","*",$B$5)),""))</f>
        <v/>
      </c>
      <c r="E36" s="13">
        <f>IF($B36="","",IFERROR(AVERAGEIFS(Tbl_Entry[Achievement %],Tbl_Entry[KPI Name],$B36,Tbl_Entry[Month],IF($B$5="All","*",$B$5)),""))</f>
        <v/>
      </c>
      <c r="F36" s="12">
        <f>IF($B36="","",IF($E36&gt;=1,"Green",IF($E36&gt;=IFERROR(INDEX(Tbl_KPIConfig[RAG Threshold %],MATCH($B36,Tbl_KPIConfig[KPI Name],0)),0),"Amber","Red")))</f>
        <v/>
      </c>
    </row>
    <row r="37">
      <c r="A37" s="8">
        <f>IF($B37="","",IFERROR(INDEX(Tbl_KPIConfig[Department],AGGREGATE(15,6,(ROW(Tbl_KPIConfig[KPI Name])-ROW(INDEX(Tbl_KPIConfig[KPI Name],1))+1)/((Tbl_KPIConfig[Active]="Yes")*(Tbl_KPIConfig[Department]&lt;&gt;"")*(($E$5="All Departments")+(Tbl_KPIConfig[Department]=$E$5))),5)),""))</f>
        <v/>
      </c>
      <c r="B37" s="10">
        <f>IFERROR(INDEX(Tbl_KPIConfig[KPI Name],AGGREGATE(15,6,(ROW(Tbl_KPIConfig[KPI Name])-ROW(INDEX(Tbl_KPIConfig[KPI Name],1))+1)/((Tbl_KPIConfig[Active]="Yes")*(Tbl_KPIConfig[Department]&lt;&gt;"")*(($E$5="All Departments")+(Tbl_KPIConfig[Department]=$E$5))),5)),"")</f>
        <v/>
      </c>
      <c r="C37" s="29">
        <f>IF($B37="","",IFERROR(INDEX(Tbl_KPIConfig[Target],AGGREGATE(15,6,(ROW(Tbl_KPIConfig[KPI Name])-ROW(INDEX(Tbl_KPIConfig[KPI Name],1))+1)/((Tbl_KPIConfig[Active]="Yes")*(Tbl_KPIConfig[Department]&lt;&gt;"")*(($E$5="All Departments")+(Tbl_KPIConfig[Department]=$E$5))),5)),""))</f>
        <v/>
      </c>
      <c r="D37" s="29">
        <f>IF($B37="","",IFERROR(AVERAGEIFS(Tbl_Entry[Actual],Tbl_Entry[KPI Name],$B37,Tbl_Entry[Month],IF($B$5="All","*",$B$5)),""))</f>
        <v/>
      </c>
      <c r="E37" s="9">
        <f>IF($B37="","",IFERROR(AVERAGEIFS(Tbl_Entry[Achievement %],Tbl_Entry[KPI Name],$B37,Tbl_Entry[Month],IF($B$5="All","*",$B$5)),""))</f>
        <v/>
      </c>
      <c r="F37" s="8">
        <f>IF($B37="","",IF($E37&gt;=1,"Green",IF($E37&gt;=IFERROR(INDEX(Tbl_KPIConfig[RAG Threshold %],MATCH($B37,Tbl_KPIConfig[KPI Name],0)),0),"Amber","Red")))</f>
        <v/>
      </c>
    </row>
    <row r="38">
      <c r="A38" s="12">
        <f>IF($B38="","",IFERROR(INDEX(Tbl_KPIConfig[Department],AGGREGATE(15,6,(ROW(Tbl_KPIConfig[KPI Name])-ROW(INDEX(Tbl_KPIConfig[KPI Name],1))+1)/((Tbl_KPIConfig[Active]="Yes")*(Tbl_KPIConfig[Department]&lt;&gt;"")*(($E$5="All Departments")+(Tbl_KPIConfig[Department]=$E$5))),6)),""))</f>
        <v/>
      </c>
      <c r="B38" s="14">
        <f>IFERROR(INDEX(Tbl_KPIConfig[KPI Name],AGGREGATE(15,6,(ROW(Tbl_KPIConfig[KPI Name])-ROW(INDEX(Tbl_KPIConfig[KPI Name],1))+1)/((Tbl_KPIConfig[Active]="Yes")*(Tbl_KPIConfig[Department]&lt;&gt;"")*(($E$5="All Departments")+(Tbl_KPIConfig[Department]=$E$5))),6)),"")</f>
        <v/>
      </c>
      <c r="C38" s="30">
        <f>IF($B38="","",IFERROR(INDEX(Tbl_KPIConfig[Target],AGGREGATE(15,6,(ROW(Tbl_KPIConfig[KPI Name])-ROW(INDEX(Tbl_KPIConfig[KPI Name],1))+1)/((Tbl_KPIConfig[Active]="Yes")*(Tbl_KPIConfig[Department]&lt;&gt;"")*(($E$5="All Departments")+(Tbl_KPIConfig[Department]=$E$5))),6)),""))</f>
        <v/>
      </c>
      <c r="D38" s="30">
        <f>IF($B38="","",IFERROR(AVERAGEIFS(Tbl_Entry[Actual],Tbl_Entry[KPI Name],$B38,Tbl_Entry[Month],IF($B$5="All","*",$B$5)),""))</f>
        <v/>
      </c>
      <c r="E38" s="13">
        <f>IF($B38="","",IFERROR(AVERAGEIFS(Tbl_Entry[Achievement %],Tbl_Entry[KPI Name],$B38,Tbl_Entry[Month],IF($B$5="All","*",$B$5)),""))</f>
        <v/>
      </c>
      <c r="F38" s="12">
        <f>IF($B38="","",IF($E38&gt;=1,"Green",IF($E38&gt;=IFERROR(INDEX(Tbl_KPIConfig[RAG Threshold %],MATCH($B38,Tbl_KPIConfig[KPI Name],0)),0),"Amber","Red")))</f>
        <v/>
      </c>
    </row>
    <row r="39">
      <c r="A39" s="8">
        <f>IF($B39="","",IFERROR(INDEX(Tbl_KPIConfig[Department],AGGREGATE(15,6,(ROW(Tbl_KPIConfig[KPI Name])-ROW(INDEX(Tbl_KPIConfig[KPI Name],1))+1)/((Tbl_KPIConfig[Active]="Yes")*(Tbl_KPIConfig[Department]&lt;&gt;"")*(($E$5="All Departments")+(Tbl_KPIConfig[Department]=$E$5))),7)),""))</f>
        <v/>
      </c>
      <c r="B39" s="10">
        <f>IFERROR(INDEX(Tbl_KPIConfig[KPI Name],AGGREGATE(15,6,(ROW(Tbl_KPIConfig[KPI Name])-ROW(INDEX(Tbl_KPIConfig[KPI Name],1))+1)/((Tbl_KPIConfig[Active]="Yes")*(Tbl_KPIConfig[Department]&lt;&gt;"")*(($E$5="All Departments")+(Tbl_KPIConfig[Department]=$E$5))),7)),"")</f>
        <v/>
      </c>
      <c r="C39" s="29">
        <f>IF($B39="","",IFERROR(INDEX(Tbl_KPIConfig[Target],AGGREGATE(15,6,(ROW(Tbl_KPIConfig[KPI Name])-ROW(INDEX(Tbl_KPIConfig[KPI Name],1))+1)/((Tbl_KPIConfig[Active]="Yes")*(Tbl_KPIConfig[Department]&lt;&gt;"")*(($E$5="All Departments")+(Tbl_KPIConfig[Department]=$E$5))),7)),""))</f>
        <v/>
      </c>
      <c r="D39" s="29">
        <f>IF($B39="","",IFERROR(AVERAGEIFS(Tbl_Entry[Actual],Tbl_Entry[KPI Name],$B39,Tbl_Entry[Month],IF($B$5="All","*",$B$5)),""))</f>
        <v/>
      </c>
      <c r="E39" s="9">
        <f>IF($B39="","",IFERROR(AVERAGEIFS(Tbl_Entry[Achievement %],Tbl_Entry[KPI Name],$B39,Tbl_Entry[Month],IF($B$5="All","*",$B$5)),""))</f>
        <v/>
      </c>
      <c r="F39" s="8">
        <f>IF($B39="","",IF($E39&gt;=1,"Green",IF($E39&gt;=IFERROR(INDEX(Tbl_KPIConfig[RAG Threshold %],MATCH($B39,Tbl_KPIConfig[KPI Name],0)),0),"Amber","Red")))</f>
        <v/>
      </c>
    </row>
    <row r="40">
      <c r="A40" s="12">
        <f>IF($B40="","",IFERROR(INDEX(Tbl_KPIConfig[Department],AGGREGATE(15,6,(ROW(Tbl_KPIConfig[KPI Name])-ROW(INDEX(Tbl_KPIConfig[KPI Name],1))+1)/((Tbl_KPIConfig[Active]="Yes")*(Tbl_KPIConfig[Department]&lt;&gt;"")*(($E$5="All Departments")+(Tbl_KPIConfig[Department]=$E$5))),8)),""))</f>
        <v/>
      </c>
      <c r="B40" s="14">
        <f>IFERROR(INDEX(Tbl_KPIConfig[KPI Name],AGGREGATE(15,6,(ROW(Tbl_KPIConfig[KPI Name])-ROW(INDEX(Tbl_KPIConfig[KPI Name],1))+1)/((Tbl_KPIConfig[Active]="Yes")*(Tbl_KPIConfig[Department]&lt;&gt;"")*(($E$5="All Departments")+(Tbl_KPIConfig[Department]=$E$5))),8)),"")</f>
        <v/>
      </c>
      <c r="C40" s="30">
        <f>IF($B40="","",IFERROR(INDEX(Tbl_KPIConfig[Target],AGGREGATE(15,6,(ROW(Tbl_KPIConfig[KPI Name])-ROW(INDEX(Tbl_KPIConfig[KPI Name],1))+1)/((Tbl_KPIConfig[Active]="Yes")*(Tbl_KPIConfig[Department]&lt;&gt;"")*(($E$5="All Departments")+(Tbl_KPIConfig[Department]=$E$5))),8)),""))</f>
        <v/>
      </c>
      <c r="D40" s="30">
        <f>IF($B40="","",IFERROR(AVERAGEIFS(Tbl_Entry[Actual],Tbl_Entry[KPI Name],$B40,Tbl_Entry[Month],IF($B$5="All","*",$B$5)),""))</f>
        <v/>
      </c>
      <c r="E40" s="13">
        <f>IF($B40="","",IFERROR(AVERAGEIFS(Tbl_Entry[Achievement %],Tbl_Entry[KPI Name],$B40,Tbl_Entry[Month],IF($B$5="All","*",$B$5)),""))</f>
        <v/>
      </c>
      <c r="F40" s="12">
        <f>IF($B40="","",IF($E40&gt;=1,"Green",IF($E40&gt;=IFERROR(INDEX(Tbl_KPIConfig[RAG Threshold %],MATCH($B40,Tbl_KPIConfig[KPI Name],0)),0),"Amber","Red")))</f>
        <v/>
      </c>
    </row>
    <row r="41">
      <c r="A41" s="8">
        <f>IF($B41="","",IFERROR(INDEX(Tbl_KPIConfig[Department],AGGREGATE(15,6,(ROW(Tbl_KPIConfig[KPI Name])-ROW(INDEX(Tbl_KPIConfig[KPI Name],1))+1)/((Tbl_KPIConfig[Active]="Yes")*(Tbl_KPIConfig[Department]&lt;&gt;"")*(($E$5="All Departments")+(Tbl_KPIConfig[Department]=$E$5))),9)),""))</f>
        <v/>
      </c>
      <c r="B41" s="10">
        <f>IFERROR(INDEX(Tbl_KPIConfig[KPI Name],AGGREGATE(15,6,(ROW(Tbl_KPIConfig[KPI Name])-ROW(INDEX(Tbl_KPIConfig[KPI Name],1))+1)/((Tbl_KPIConfig[Active]="Yes")*(Tbl_KPIConfig[Department]&lt;&gt;"")*(($E$5="All Departments")+(Tbl_KPIConfig[Department]=$E$5))),9)),"")</f>
        <v/>
      </c>
      <c r="C41" s="29">
        <f>IF($B41="","",IFERROR(INDEX(Tbl_KPIConfig[Target],AGGREGATE(15,6,(ROW(Tbl_KPIConfig[KPI Name])-ROW(INDEX(Tbl_KPIConfig[KPI Name],1))+1)/((Tbl_KPIConfig[Active]="Yes")*(Tbl_KPIConfig[Department]&lt;&gt;"")*(($E$5="All Departments")+(Tbl_KPIConfig[Department]=$E$5))),9)),""))</f>
        <v/>
      </c>
      <c r="D41" s="29">
        <f>IF($B41="","",IFERROR(AVERAGEIFS(Tbl_Entry[Actual],Tbl_Entry[KPI Name],$B41,Tbl_Entry[Month],IF($B$5="All","*",$B$5)),""))</f>
        <v/>
      </c>
      <c r="E41" s="9">
        <f>IF($B41="","",IFERROR(AVERAGEIFS(Tbl_Entry[Achievement %],Tbl_Entry[KPI Name],$B41,Tbl_Entry[Month],IF($B$5="All","*",$B$5)),""))</f>
        <v/>
      </c>
      <c r="F41" s="8">
        <f>IF($B41="","",IF($E41&gt;=1,"Green",IF($E41&gt;=IFERROR(INDEX(Tbl_KPIConfig[RAG Threshold %],MATCH($B41,Tbl_KPIConfig[KPI Name],0)),0),"Amber","Red")))</f>
        <v/>
      </c>
    </row>
    <row r="42">
      <c r="A42" s="12">
        <f>IF($B42="","",IFERROR(INDEX(Tbl_KPIConfig[Department],AGGREGATE(15,6,(ROW(Tbl_KPIConfig[KPI Name])-ROW(INDEX(Tbl_KPIConfig[KPI Name],1))+1)/((Tbl_KPIConfig[Active]="Yes")*(Tbl_KPIConfig[Department]&lt;&gt;"")*(($E$5="All Departments")+(Tbl_KPIConfig[Department]=$E$5))),10)),""))</f>
        <v/>
      </c>
      <c r="B42" s="14">
        <f>IFERROR(INDEX(Tbl_KPIConfig[KPI Name],AGGREGATE(15,6,(ROW(Tbl_KPIConfig[KPI Name])-ROW(INDEX(Tbl_KPIConfig[KPI Name],1))+1)/((Tbl_KPIConfig[Active]="Yes")*(Tbl_KPIConfig[Department]&lt;&gt;"")*(($E$5="All Departments")+(Tbl_KPIConfig[Department]=$E$5))),10)),"")</f>
        <v/>
      </c>
      <c r="C42" s="30">
        <f>IF($B42="","",IFERROR(INDEX(Tbl_KPIConfig[Target],AGGREGATE(15,6,(ROW(Tbl_KPIConfig[KPI Name])-ROW(INDEX(Tbl_KPIConfig[KPI Name],1))+1)/((Tbl_KPIConfig[Active]="Yes")*(Tbl_KPIConfig[Department]&lt;&gt;"")*(($E$5="All Departments")+(Tbl_KPIConfig[Department]=$E$5))),10)),""))</f>
        <v/>
      </c>
      <c r="D42" s="30">
        <f>IF($B42="","",IFERROR(AVERAGEIFS(Tbl_Entry[Actual],Tbl_Entry[KPI Name],$B42,Tbl_Entry[Month],IF($B$5="All","*",$B$5)),""))</f>
        <v/>
      </c>
      <c r="E42" s="13">
        <f>IF($B42="","",IFERROR(AVERAGEIFS(Tbl_Entry[Achievement %],Tbl_Entry[KPI Name],$B42,Tbl_Entry[Month],IF($B$5="All","*",$B$5)),""))</f>
        <v/>
      </c>
      <c r="F42" s="12">
        <f>IF($B42="","",IF($E42&gt;=1,"Green",IF($E42&gt;=IFERROR(INDEX(Tbl_KPIConfig[RAG Threshold %],MATCH($B42,Tbl_KPIConfig[KPI Name],0)),0),"Amber","Red")))</f>
        <v/>
      </c>
    </row>
    <row r="43">
      <c r="A43" s="8">
        <f>IF($B43="","",IFERROR(INDEX(Tbl_KPIConfig[Department],AGGREGATE(15,6,(ROW(Tbl_KPIConfig[KPI Name])-ROW(INDEX(Tbl_KPIConfig[KPI Name],1))+1)/((Tbl_KPIConfig[Active]="Yes")*(Tbl_KPIConfig[Department]&lt;&gt;"")*(($E$5="All Departments")+(Tbl_KPIConfig[Department]=$E$5))),11)),""))</f>
        <v/>
      </c>
      <c r="B43" s="10">
        <f>IFERROR(INDEX(Tbl_KPIConfig[KPI Name],AGGREGATE(15,6,(ROW(Tbl_KPIConfig[KPI Name])-ROW(INDEX(Tbl_KPIConfig[KPI Name],1))+1)/((Tbl_KPIConfig[Active]="Yes")*(Tbl_KPIConfig[Department]&lt;&gt;"")*(($E$5="All Departments")+(Tbl_KPIConfig[Department]=$E$5))),11)),"")</f>
        <v/>
      </c>
      <c r="C43" s="29">
        <f>IF($B43="","",IFERROR(INDEX(Tbl_KPIConfig[Target],AGGREGATE(15,6,(ROW(Tbl_KPIConfig[KPI Name])-ROW(INDEX(Tbl_KPIConfig[KPI Name],1))+1)/((Tbl_KPIConfig[Active]="Yes")*(Tbl_KPIConfig[Department]&lt;&gt;"")*(($E$5="All Departments")+(Tbl_KPIConfig[Department]=$E$5))),11)),""))</f>
        <v/>
      </c>
      <c r="D43" s="29">
        <f>IF($B43="","",IFERROR(AVERAGEIFS(Tbl_Entry[Actual],Tbl_Entry[KPI Name],$B43,Tbl_Entry[Month],IF($B$5="All","*",$B$5)),""))</f>
        <v/>
      </c>
      <c r="E43" s="9">
        <f>IF($B43="","",IFERROR(AVERAGEIFS(Tbl_Entry[Achievement %],Tbl_Entry[KPI Name],$B43,Tbl_Entry[Month],IF($B$5="All","*",$B$5)),""))</f>
        <v/>
      </c>
      <c r="F43" s="8">
        <f>IF($B43="","",IF($E43&gt;=1,"Green",IF($E43&gt;=IFERROR(INDEX(Tbl_KPIConfig[RAG Threshold %],MATCH($B43,Tbl_KPIConfig[KPI Name],0)),0),"Amber","Red")))</f>
        <v/>
      </c>
    </row>
    <row r="44">
      <c r="A44" s="12">
        <f>IF($B44="","",IFERROR(INDEX(Tbl_KPIConfig[Department],AGGREGATE(15,6,(ROW(Tbl_KPIConfig[KPI Name])-ROW(INDEX(Tbl_KPIConfig[KPI Name],1))+1)/((Tbl_KPIConfig[Active]="Yes")*(Tbl_KPIConfig[Department]&lt;&gt;"")*(($E$5="All Departments")+(Tbl_KPIConfig[Department]=$E$5))),12)),""))</f>
        <v/>
      </c>
      <c r="B44" s="14">
        <f>IFERROR(INDEX(Tbl_KPIConfig[KPI Name],AGGREGATE(15,6,(ROW(Tbl_KPIConfig[KPI Name])-ROW(INDEX(Tbl_KPIConfig[KPI Name],1))+1)/((Tbl_KPIConfig[Active]="Yes")*(Tbl_KPIConfig[Department]&lt;&gt;"")*(($E$5="All Departments")+(Tbl_KPIConfig[Department]=$E$5))),12)),"")</f>
        <v/>
      </c>
      <c r="C44" s="30">
        <f>IF($B44="","",IFERROR(INDEX(Tbl_KPIConfig[Target],AGGREGATE(15,6,(ROW(Tbl_KPIConfig[KPI Name])-ROW(INDEX(Tbl_KPIConfig[KPI Name],1))+1)/((Tbl_KPIConfig[Active]="Yes")*(Tbl_KPIConfig[Department]&lt;&gt;"")*(($E$5="All Departments")+(Tbl_KPIConfig[Department]=$E$5))),12)),""))</f>
        <v/>
      </c>
      <c r="D44" s="30">
        <f>IF($B44="","",IFERROR(AVERAGEIFS(Tbl_Entry[Actual],Tbl_Entry[KPI Name],$B44,Tbl_Entry[Month],IF($B$5="All","*",$B$5)),""))</f>
        <v/>
      </c>
      <c r="E44" s="13">
        <f>IF($B44="","",IFERROR(AVERAGEIFS(Tbl_Entry[Achievement %],Tbl_Entry[KPI Name],$B44,Tbl_Entry[Month],IF($B$5="All","*",$B$5)),""))</f>
        <v/>
      </c>
      <c r="F44" s="12">
        <f>IF($B44="","",IF($E44&gt;=1,"Green",IF($E44&gt;=IFERROR(INDEX(Tbl_KPIConfig[RAG Threshold %],MATCH($B44,Tbl_KPIConfig[KPI Name],0)),0),"Amber","Red")))</f>
        <v/>
      </c>
    </row>
    <row r="45">
      <c r="A45" s="8">
        <f>IF($B45="","",IFERROR(INDEX(Tbl_KPIConfig[Department],AGGREGATE(15,6,(ROW(Tbl_KPIConfig[KPI Name])-ROW(INDEX(Tbl_KPIConfig[KPI Name],1))+1)/((Tbl_KPIConfig[Active]="Yes")*(Tbl_KPIConfig[Department]&lt;&gt;"")*(($E$5="All Departments")+(Tbl_KPIConfig[Department]=$E$5))),13)),""))</f>
        <v/>
      </c>
      <c r="B45" s="10">
        <f>IFERROR(INDEX(Tbl_KPIConfig[KPI Name],AGGREGATE(15,6,(ROW(Tbl_KPIConfig[KPI Name])-ROW(INDEX(Tbl_KPIConfig[KPI Name],1))+1)/((Tbl_KPIConfig[Active]="Yes")*(Tbl_KPIConfig[Department]&lt;&gt;"")*(($E$5="All Departments")+(Tbl_KPIConfig[Department]=$E$5))),13)),"")</f>
        <v/>
      </c>
      <c r="C45" s="29">
        <f>IF($B45="","",IFERROR(INDEX(Tbl_KPIConfig[Target],AGGREGATE(15,6,(ROW(Tbl_KPIConfig[KPI Name])-ROW(INDEX(Tbl_KPIConfig[KPI Name],1))+1)/((Tbl_KPIConfig[Active]="Yes")*(Tbl_KPIConfig[Department]&lt;&gt;"")*(($E$5="All Departments")+(Tbl_KPIConfig[Department]=$E$5))),13)),""))</f>
        <v/>
      </c>
      <c r="D45" s="29">
        <f>IF($B45="","",IFERROR(AVERAGEIFS(Tbl_Entry[Actual],Tbl_Entry[KPI Name],$B45,Tbl_Entry[Month],IF($B$5="All","*",$B$5)),""))</f>
        <v/>
      </c>
      <c r="E45" s="9">
        <f>IF($B45="","",IFERROR(AVERAGEIFS(Tbl_Entry[Achievement %],Tbl_Entry[KPI Name],$B45,Tbl_Entry[Month],IF($B$5="All","*",$B$5)),""))</f>
        <v/>
      </c>
      <c r="F45" s="8">
        <f>IF($B45="","",IF($E45&gt;=1,"Green",IF($E45&gt;=IFERROR(INDEX(Tbl_KPIConfig[RAG Threshold %],MATCH($B45,Tbl_KPIConfig[KPI Name],0)),0),"Amber","Red")))</f>
        <v/>
      </c>
    </row>
    <row r="46">
      <c r="A46" s="12">
        <f>IF($B46="","",IFERROR(INDEX(Tbl_KPIConfig[Department],AGGREGATE(15,6,(ROW(Tbl_KPIConfig[KPI Name])-ROW(INDEX(Tbl_KPIConfig[KPI Name],1))+1)/((Tbl_KPIConfig[Active]="Yes")*(Tbl_KPIConfig[Department]&lt;&gt;"")*(($E$5="All Departments")+(Tbl_KPIConfig[Department]=$E$5))),14)),""))</f>
        <v/>
      </c>
      <c r="B46" s="14">
        <f>IFERROR(INDEX(Tbl_KPIConfig[KPI Name],AGGREGATE(15,6,(ROW(Tbl_KPIConfig[KPI Name])-ROW(INDEX(Tbl_KPIConfig[KPI Name],1))+1)/((Tbl_KPIConfig[Active]="Yes")*(Tbl_KPIConfig[Department]&lt;&gt;"")*(($E$5="All Departments")+(Tbl_KPIConfig[Department]=$E$5))),14)),"")</f>
        <v/>
      </c>
      <c r="C46" s="30">
        <f>IF($B46="","",IFERROR(INDEX(Tbl_KPIConfig[Target],AGGREGATE(15,6,(ROW(Tbl_KPIConfig[KPI Name])-ROW(INDEX(Tbl_KPIConfig[KPI Name],1))+1)/((Tbl_KPIConfig[Active]="Yes")*(Tbl_KPIConfig[Department]&lt;&gt;"")*(($E$5="All Departments")+(Tbl_KPIConfig[Department]=$E$5))),14)),""))</f>
        <v/>
      </c>
      <c r="D46" s="30">
        <f>IF($B46="","",IFERROR(AVERAGEIFS(Tbl_Entry[Actual],Tbl_Entry[KPI Name],$B46,Tbl_Entry[Month],IF($B$5="All","*",$B$5)),""))</f>
        <v/>
      </c>
      <c r="E46" s="13">
        <f>IF($B46="","",IFERROR(AVERAGEIFS(Tbl_Entry[Achievement %],Tbl_Entry[KPI Name],$B46,Tbl_Entry[Month],IF($B$5="All","*",$B$5)),""))</f>
        <v/>
      </c>
      <c r="F46" s="12">
        <f>IF($B46="","",IF($E46&gt;=1,"Green",IF($E46&gt;=IFERROR(INDEX(Tbl_KPIConfig[RAG Threshold %],MATCH($B46,Tbl_KPIConfig[KPI Name],0)),0),"Amber","Red")))</f>
        <v/>
      </c>
    </row>
    <row r="47">
      <c r="A47" s="8">
        <f>IF($B47="","",IFERROR(INDEX(Tbl_KPIConfig[Department],AGGREGATE(15,6,(ROW(Tbl_KPIConfig[KPI Name])-ROW(INDEX(Tbl_KPIConfig[KPI Name],1))+1)/((Tbl_KPIConfig[Active]="Yes")*(Tbl_KPIConfig[Department]&lt;&gt;"")*(($E$5="All Departments")+(Tbl_KPIConfig[Department]=$E$5))),15)),""))</f>
        <v/>
      </c>
      <c r="B47" s="10">
        <f>IFERROR(INDEX(Tbl_KPIConfig[KPI Name],AGGREGATE(15,6,(ROW(Tbl_KPIConfig[KPI Name])-ROW(INDEX(Tbl_KPIConfig[KPI Name],1))+1)/((Tbl_KPIConfig[Active]="Yes")*(Tbl_KPIConfig[Department]&lt;&gt;"")*(($E$5="All Departments")+(Tbl_KPIConfig[Department]=$E$5))),15)),"")</f>
        <v/>
      </c>
      <c r="C47" s="29">
        <f>IF($B47="","",IFERROR(INDEX(Tbl_KPIConfig[Target],AGGREGATE(15,6,(ROW(Tbl_KPIConfig[KPI Name])-ROW(INDEX(Tbl_KPIConfig[KPI Name],1))+1)/((Tbl_KPIConfig[Active]="Yes")*(Tbl_KPIConfig[Department]&lt;&gt;"")*(($E$5="All Departments")+(Tbl_KPIConfig[Department]=$E$5))),15)),""))</f>
        <v/>
      </c>
      <c r="D47" s="29">
        <f>IF($B47="","",IFERROR(AVERAGEIFS(Tbl_Entry[Actual],Tbl_Entry[KPI Name],$B47,Tbl_Entry[Month],IF($B$5="All","*",$B$5)),""))</f>
        <v/>
      </c>
      <c r="E47" s="9">
        <f>IF($B47="","",IFERROR(AVERAGEIFS(Tbl_Entry[Achievement %],Tbl_Entry[KPI Name],$B47,Tbl_Entry[Month],IF($B$5="All","*",$B$5)),""))</f>
        <v/>
      </c>
      <c r="F47" s="8">
        <f>IF($B47="","",IF($E47&gt;=1,"Green",IF($E47&gt;=IFERROR(INDEX(Tbl_KPIConfig[RAG Threshold %],MATCH($B47,Tbl_KPIConfig[KPI Name],0)),0),"Amber","Red")))</f>
        <v/>
      </c>
    </row>
    <row r="48">
      <c r="A48" s="12">
        <f>IF($B48="","",IFERROR(INDEX(Tbl_KPIConfig[Department],AGGREGATE(15,6,(ROW(Tbl_KPIConfig[KPI Name])-ROW(INDEX(Tbl_KPIConfig[KPI Name],1))+1)/((Tbl_KPIConfig[Active]="Yes")*(Tbl_KPIConfig[Department]&lt;&gt;"")*(($E$5="All Departments")+(Tbl_KPIConfig[Department]=$E$5))),16)),""))</f>
        <v/>
      </c>
      <c r="B48" s="14">
        <f>IFERROR(INDEX(Tbl_KPIConfig[KPI Name],AGGREGATE(15,6,(ROW(Tbl_KPIConfig[KPI Name])-ROW(INDEX(Tbl_KPIConfig[KPI Name],1))+1)/((Tbl_KPIConfig[Active]="Yes")*(Tbl_KPIConfig[Department]&lt;&gt;"")*(($E$5="All Departments")+(Tbl_KPIConfig[Department]=$E$5))),16)),"")</f>
        <v/>
      </c>
      <c r="C48" s="30">
        <f>IF($B48="","",IFERROR(INDEX(Tbl_KPIConfig[Target],AGGREGATE(15,6,(ROW(Tbl_KPIConfig[KPI Name])-ROW(INDEX(Tbl_KPIConfig[KPI Name],1))+1)/((Tbl_KPIConfig[Active]="Yes")*(Tbl_KPIConfig[Department]&lt;&gt;"")*(($E$5="All Departments")+(Tbl_KPIConfig[Department]=$E$5))),16)),""))</f>
        <v/>
      </c>
      <c r="D48" s="30">
        <f>IF($B48="","",IFERROR(AVERAGEIFS(Tbl_Entry[Actual],Tbl_Entry[KPI Name],$B48,Tbl_Entry[Month],IF($B$5="All","*",$B$5)),""))</f>
        <v/>
      </c>
      <c r="E48" s="13">
        <f>IF($B48="","",IFERROR(AVERAGEIFS(Tbl_Entry[Achievement %],Tbl_Entry[KPI Name],$B48,Tbl_Entry[Month],IF($B$5="All","*",$B$5)),""))</f>
        <v/>
      </c>
      <c r="F48" s="12">
        <f>IF($B48="","",IF($E48&gt;=1,"Green",IF($E48&gt;=IFERROR(INDEX(Tbl_KPIConfig[RAG Threshold %],MATCH($B48,Tbl_KPIConfig[KPI Name],0)),0),"Amber","Red")))</f>
        <v/>
      </c>
    </row>
    <row r="49">
      <c r="A49" s="8">
        <f>IF($B49="","",IFERROR(INDEX(Tbl_KPIConfig[Department],AGGREGATE(15,6,(ROW(Tbl_KPIConfig[KPI Name])-ROW(INDEX(Tbl_KPIConfig[KPI Name],1))+1)/((Tbl_KPIConfig[Active]="Yes")*(Tbl_KPIConfig[Department]&lt;&gt;"")*(($E$5="All Departments")+(Tbl_KPIConfig[Department]=$E$5))),17)),""))</f>
        <v/>
      </c>
      <c r="B49" s="10">
        <f>IFERROR(INDEX(Tbl_KPIConfig[KPI Name],AGGREGATE(15,6,(ROW(Tbl_KPIConfig[KPI Name])-ROW(INDEX(Tbl_KPIConfig[KPI Name],1))+1)/((Tbl_KPIConfig[Active]="Yes")*(Tbl_KPIConfig[Department]&lt;&gt;"")*(($E$5="All Departments")+(Tbl_KPIConfig[Department]=$E$5))),17)),"")</f>
        <v/>
      </c>
      <c r="C49" s="29">
        <f>IF($B49="","",IFERROR(INDEX(Tbl_KPIConfig[Target],AGGREGATE(15,6,(ROW(Tbl_KPIConfig[KPI Name])-ROW(INDEX(Tbl_KPIConfig[KPI Name],1))+1)/((Tbl_KPIConfig[Active]="Yes")*(Tbl_KPIConfig[Department]&lt;&gt;"")*(($E$5="All Departments")+(Tbl_KPIConfig[Department]=$E$5))),17)),""))</f>
        <v/>
      </c>
      <c r="D49" s="29">
        <f>IF($B49="","",IFERROR(AVERAGEIFS(Tbl_Entry[Actual],Tbl_Entry[KPI Name],$B49,Tbl_Entry[Month],IF($B$5="All","*",$B$5)),""))</f>
        <v/>
      </c>
      <c r="E49" s="9">
        <f>IF($B49="","",IFERROR(AVERAGEIFS(Tbl_Entry[Achievement %],Tbl_Entry[KPI Name],$B49,Tbl_Entry[Month],IF($B$5="All","*",$B$5)),""))</f>
        <v/>
      </c>
      <c r="F49" s="8">
        <f>IF($B49="","",IF($E49&gt;=1,"Green",IF($E49&gt;=IFERROR(INDEX(Tbl_KPIConfig[RAG Threshold %],MATCH($B49,Tbl_KPIConfig[KPI Name],0)),0),"Amber","Red")))</f>
        <v/>
      </c>
    </row>
    <row r="50">
      <c r="A50" s="12">
        <f>IF($B50="","",IFERROR(INDEX(Tbl_KPIConfig[Department],AGGREGATE(15,6,(ROW(Tbl_KPIConfig[KPI Name])-ROW(INDEX(Tbl_KPIConfig[KPI Name],1))+1)/((Tbl_KPIConfig[Active]="Yes")*(Tbl_KPIConfig[Department]&lt;&gt;"")*(($E$5="All Departments")+(Tbl_KPIConfig[Department]=$E$5))),18)),""))</f>
        <v/>
      </c>
      <c r="B50" s="14">
        <f>IFERROR(INDEX(Tbl_KPIConfig[KPI Name],AGGREGATE(15,6,(ROW(Tbl_KPIConfig[KPI Name])-ROW(INDEX(Tbl_KPIConfig[KPI Name],1))+1)/((Tbl_KPIConfig[Active]="Yes")*(Tbl_KPIConfig[Department]&lt;&gt;"")*(($E$5="All Departments")+(Tbl_KPIConfig[Department]=$E$5))),18)),"")</f>
        <v/>
      </c>
      <c r="C50" s="30">
        <f>IF($B50="","",IFERROR(INDEX(Tbl_KPIConfig[Target],AGGREGATE(15,6,(ROW(Tbl_KPIConfig[KPI Name])-ROW(INDEX(Tbl_KPIConfig[KPI Name],1))+1)/((Tbl_KPIConfig[Active]="Yes")*(Tbl_KPIConfig[Department]&lt;&gt;"")*(($E$5="All Departments")+(Tbl_KPIConfig[Department]=$E$5))),18)),""))</f>
        <v/>
      </c>
      <c r="D50" s="30">
        <f>IF($B50="","",IFERROR(AVERAGEIFS(Tbl_Entry[Actual],Tbl_Entry[KPI Name],$B50,Tbl_Entry[Month],IF($B$5="All","*",$B$5)),""))</f>
        <v/>
      </c>
      <c r="E50" s="13">
        <f>IF($B50="","",IFERROR(AVERAGEIFS(Tbl_Entry[Achievement %],Tbl_Entry[KPI Name],$B50,Tbl_Entry[Month],IF($B$5="All","*",$B$5)),""))</f>
        <v/>
      </c>
      <c r="F50" s="12">
        <f>IF($B50="","",IF($E50&gt;=1,"Green",IF($E50&gt;=IFERROR(INDEX(Tbl_KPIConfig[RAG Threshold %],MATCH($B50,Tbl_KPIConfig[KPI Name],0)),0),"Amber","Red")))</f>
        <v/>
      </c>
    </row>
    <row r="51">
      <c r="A51" s="8">
        <f>IF($B51="","",IFERROR(INDEX(Tbl_KPIConfig[Department],AGGREGATE(15,6,(ROW(Tbl_KPIConfig[KPI Name])-ROW(INDEX(Tbl_KPIConfig[KPI Name],1))+1)/((Tbl_KPIConfig[Active]="Yes")*(Tbl_KPIConfig[Department]&lt;&gt;"")*(($E$5="All Departments")+(Tbl_KPIConfig[Department]=$E$5))),19)),""))</f>
        <v/>
      </c>
      <c r="B51" s="10">
        <f>IFERROR(INDEX(Tbl_KPIConfig[KPI Name],AGGREGATE(15,6,(ROW(Tbl_KPIConfig[KPI Name])-ROW(INDEX(Tbl_KPIConfig[KPI Name],1))+1)/((Tbl_KPIConfig[Active]="Yes")*(Tbl_KPIConfig[Department]&lt;&gt;"")*(($E$5="All Departments")+(Tbl_KPIConfig[Department]=$E$5))),19)),"")</f>
        <v/>
      </c>
      <c r="C51" s="29">
        <f>IF($B51="","",IFERROR(INDEX(Tbl_KPIConfig[Target],AGGREGATE(15,6,(ROW(Tbl_KPIConfig[KPI Name])-ROW(INDEX(Tbl_KPIConfig[KPI Name],1))+1)/((Tbl_KPIConfig[Active]="Yes")*(Tbl_KPIConfig[Department]&lt;&gt;"")*(($E$5="All Departments")+(Tbl_KPIConfig[Department]=$E$5))),19)),""))</f>
        <v/>
      </c>
      <c r="D51" s="29">
        <f>IF($B51="","",IFERROR(AVERAGEIFS(Tbl_Entry[Actual],Tbl_Entry[KPI Name],$B51,Tbl_Entry[Month],IF($B$5="All","*",$B$5)),""))</f>
        <v/>
      </c>
      <c r="E51" s="9">
        <f>IF($B51="","",IFERROR(AVERAGEIFS(Tbl_Entry[Achievement %],Tbl_Entry[KPI Name],$B51,Tbl_Entry[Month],IF($B$5="All","*",$B$5)),""))</f>
        <v/>
      </c>
      <c r="F51" s="8">
        <f>IF($B51="","",IF($E51&gt;=1,"Green",IF($E51&gt;=IFERROR(INDEX(Tbl_KPIConfig[RAG Threshold %],MATCH($B51,Tbl_KPIConfig[KPI Name],0)),0),"Amber","Red")))</f>
        <v/>
      </c>
    </row>
    <row r="52">
      <c r="A52" s="12">
        <f>IF($B52="","",IFERROR(INDEX(Tbl_KPIConfig[Department],AGGREGATE(15,6,(ROW(Tbl_KPIConfig[KPI Name])-ROW(INDEX(Tbl_KPIConfig[KPI Name],1))+1)/((Tbl_KPIConfig[Active]="Yes")*(Tbl_KPIConfig[Department]&lt;&gt;"")*(($E$5="All Departments")+(Tbl_KPIConfig[Department]=$E$5))),20)),""))</f>
        <v/>
      </c>
      <c r="B52" s="14">
        <f>IFERROR(INDEX(Tbl_KPIConfig[KPI Name],AGGREGATE(15,6,(ROW(Tbl_KPIConfig[KPI Name])-ROW(INDEX(Tbl_KPIConfig[KPI Name],1))+1)/((Tbl_KPIConfig[Active]="Yes")*(Tbl_KPIConfig[Department]&lt;&gt;"")*(($E$5="All Departments")+(Tbl_KPIConfig[Department]=$E$5))),20)),"")</f>
        <v/>
      </c>
      <c r="C52" s="30">
        <f>IF($B52="","",IFERROR(INDEX(Tbl_KPIConfig[Target],AGGREGATE(15,6,(ROW(Tbl_KPIConfig[KPI Name])-ROW(INDEX(Tbl_KPIConfig[KPI Name],1))+1)/((Tbl_KPIConfig[Active]="Yes")*(Tbl_KPIConfig[Department]&lt;&gt;"")*(($E$5="All Departments")+(Tbl_KPIConfig[Department]=$E$5))),20)),""))</f>
        <v/>
      </c>
      <c r="D52" s="30">
        <f>IF($B52="","",IFERROR(AVERAGEIFS(Tbl_Entry[Actual],Tbl_Entry[KPI Name],$B52,Tbl_Entry[Month],IF($B$5="All","*",$B$5)),""))</f>
        <v/>
      </c>
      <c r="E52" s="13">
        <f>IF($B52="","",IFERROR(AVERAGEIFS(Tbl_Entry[Achievement %],Tbl_Entry[KPI Name],$B52,Tbl_Entry[Month],IF($B$5="All","*",$B$5)),""))</f>
        <v/>
      </c>
      <c r="F52" s="12">
        <f>IF($B52="","",IF($E52&gt;=1,"Green",IF($E52&gt;=IFERROR(INDEX(Tbl_KPIConfig[RAG Threshold %],MATCH($B52,Tbl_KPIConfig[KPI Name],0)),0),"Amber","Red")))</f>
        <v/>
      </c>
    </row>
    <row r="53">
      <c r="A53" s="8">
        <f>IF($B53="","",IFERROR(INDEX(Tbl_KPIConfig[Department],AGGREGATE(15,6,(ROW(Tbl_KPIConfig[KPI Name])-ROW(INDEX(Tbl_KPIConfig[KPI Name],1))+1)/((Tbl_KPIConfig[Active]="Yes")*(Tbl_KPIConfig[Department]&lt;&gt;"")*(($E$5="All Departments")+(Tbl_KPIConfig[Department]=$E$5))),21)),""))</f>
        <v/>
      </c>
      <c r="B53" s="10">
        <f>IFERROR(INDEX(Tbl_KPIConfig[KPI Name],AGGREGATE(15,6,(ROW(Tbl_KPIConfig[KPI Name])-ROW(INDEX(Tbl_KPIConfig[KPI Name],1))+1)/((Tbl_KPIConfig[Active]="Yes")*(Tbl_KPIConfig[Department]&lt;&gt;"")*(($E$5="All Departments")+(Tbl_KPIConfig[Department]=$E$5))),21)),"")</f>
        <v/>
      </c>
      <c r="C53" s="29">
        <f>IF($B53="","",IFERROR(INDEX(Tbl_KPIConfig[Target],AGGREGATE(15,6,(ROW(Tbl_KPIConfig[KPI Name])-ROW(INDEX(Tbl_KPIConfig[KPI Name],1))+1)/((Tbl_KPIConfig[Active]="Yes")*(Tbl_KPIConfig[Department]&lt;&gt;"")*(($E$5="All Departments")+(Tbl_KPIConfig[Department]=$E$5))),21)),""))</f>
        <v/>
      </c>
      <c r="D53" s="29">
        <f>IF($B53="","",IFERROR(AVERAGEIFS(Tbl_Entry[Actual],Tbl_Entry[KPI Name],$B53,Tbl_Entry[Month],IF($B$5="All","*",$B$5)),""))</f>
        <v/>
      </c>
      <c r="E53" s="9">
        <f>IF($B53="","",IFERROR(AVERAGEIFS(Tbl_Entry[Achievement %],Tbl_Entry[KPI Name],$B53,Tbl_Entry[Month],IF($B$5="All","*",$B$5)),""))</f>
        <v/>
      </c>
      <c r="F53" s="8">
        <f>IF($B53="","",IF($E53&gt;=1,"Green",IF($E53&gt;=IFERROR(INDEX(Tbl_KPIConfig[RAG Threshold %],MATCH($B53,Tbl_KPIConfig[KPI Name],0)),0),"Amber","Red")))</f>
        <v/>
      </c>
    </row>
    <row r="54">
      <c r="A54" s="12">
        <f>IF($B54="","",IFERROR(INDEX(Tbl_KPIConfig[Department],AGGREGATE(15,6,(ROW(Tbl_KPIConfig[KPI Name])-ROW(INDEX(Tbl_KPIConfig[KPI Name],1))+1)/((Tbl_KPIConfig[Active]="Yes")*(Tbl_KPIConfig[Department]&lt;&gt;"")*(($E$5="All Departments")+(Tbl_KPIConfig[Department]=$E$5))),22)),""))</f>
        <v/>
      </c>
      <c r="B54" s="14">
        <f>IFERROR(INDEX(Tbl_KPIConfig[KPI Name],AGGREGATE(15,6,(ROW(Tbl_KPIConfig[KPI Name])-ROW(INDEX(Tbl_KPIConfig[KPI Name],1))+1)/((Tbl_KPIConfig[Active]="Yes")*(Tbl_KPIConfig[Department]&lt;&gt;"")*(($E$5="All Departments")+(Tbl_KPIConfig[Department]=$E$5))),22)),"")</f>
        <v/>
      </c>
      <c r="C54" s="30">
        <f>IF($B54="","",IFERROR(INDEX(Tbl_KPIConfig[Target],AGGREGATE(15,6,(ROW(Tbl_KPIConfig[KPI Name])-ROW(INDEX(Tbl_KPIConfig[KPI Name],1))+1)/((Tbl_KPIConfig[Active]="Yes")*(Tbl_KPIConfig[Department]&lt;&gt;"")*(($E$5="All Departments")+(Tbl_KPIConfig[Department]=$E$5))),22)),""))</f>
        <v/>
      </c>
      <c r="D54" s="30">
        <f>IF($B54="","",IFERROR(AVERAGEIFS(Tbl_Entry[Actual],Tbl_Entry[KPI Name],$B54,Tbl_Entry[Month],IF($B$5="All","*",$B$5)),""))</f>
        <v/>
      </c>
      <c r="E54" s="13">
        <f>IF($B54="","",IFERROR(AVERAGEIFS(Tbl_Entry[Achievement %],Tbl_Entry[KPI Name],$B54,Tbl_Entry[Month],IF($B$5="All","*",$B$5)),""))</f>
        <v/>
      </c>
      <c r="F54" s="12">
        <f>IF($B54="","",IF($E54&gt;=1,"Green",IF($E54&gt;=IFERROR(INDEX(Tbl_KPIConfig[RAG Threshold %],MATCH($B54,Tbl_KPIConfig[KPI Name],0)),0),"Amber","Red")))</f>
        <v/>
      </c>
    </row>
    <row r="55">
      <c r="A55" s="8">
        <f>IF($B55="","",IFERROR(INDEX(Tbl_KPIConfig[Department],AGGREGATE(15,6,(ROW(Tbl_KPIConfig[KPI Name])-ROW(INDEX(Tbl_KPIConfig[KPI Name],1))+1)/((Tbl_KPIConfig[Active]="Yes")*(Tbl_KPIConfig[Department]&lt;&gt;"")*(($E$5="All Departments")+(Tbl_KPIConfig[Department]=$E$5))),23)),""))</f>
        <v/>
      </c>
      <c r="B55" s="10">
        <f>IFERROR(INDEX(Tbl_KPIConfig[KPI Name],AGGREGATE(15,6,(ROW(Tbl_KPIConfig[KPI Name])-ROW(INDEX(Tbl_KPIConfig[KPI Name],1))+1)/((Tbl_KPIConfig[Active]="Yes")*(Tbl_KPIConfig[Department]&lt;&gt;"")*(($E$5="All Departments")+(Tbl_KPIConfig[Department]=$E$5))),23)),"")</f>
        <v/>
      </c>
      <c r="C55" s="29">
        <f>IF($B55="","",IFERROR(INDEX(Tbl_KPIConfig[Target],AGGREGATE(15,6,(ROW(Tbl_KPIConfig[KPI Name])-ROW(INDEX(Tbl_KPIConfig[KPI Name],1))+1)/((Tbl_KPIConfig[Active]="Yes")*(Tbl_KPIConfig[Department]&lt;&gt;"")*(($E$5="All Departments")+(Tbl_KPIConfig[Department]=$E$5))),23)),""))</f>
        <v/>
      </c>
      <c r="D55" s="29">
        <f>IF($B55="","",IFERROR(AVERAGEIFS(Tbl_Entry[Actual],Tbl_Entry[KPI Name],$B55,Tbl_Entry[Month],IF($B$5="All","*",$B$5)),""))</f>
        <v/>
      </c>
      <c r="E55" s="9">
        <f>IF($B55="","",IFERROR(AVERAGEIFS(Tbl_Entry[Achievement %],Tbl_Entry[KPI Name],$B55,Tbl_Entry[Month],IF($B$5="All","*",$B$5)),""))</f>
        <v/>
      </c>
      <c r="F55" s="8">
        <f>IF($B55="","",IF($E55&gt;=1,"Green",IF($E55&gt;=IFERROR(INDEX(Tbl_KPIConfig[RAG Threshold %],MATCH($B55,Tbl_KPIConfig[KPI Name],0)),0),"Amber","Red")))</f>
        <v/>
      </c>
    </row>
    <row r="56">
      <c r="A56" s="12">
        <f>IF($B56="","",IFERROR(INDEX(Tbl_KPIConfig[Department],AGGREGATE(15,6,(ROW(Tbl_KPIConfig[KPI Name])-ROW(INDEX(Tbl_KPIConfig[KPI Name],1))+1)/((Tbl_KPIConfig[Active]="Yes")*(Tbl_KPIConfig[Department]&lt;&gt;"")*(($E$5="All Departments")+(Tbl_KPIConfig[Department]=$E$5))),24)),""))</f>
        <v/>
      </c>
      <c r="B56" s="14">
        <f>IFERROR(INDEX(Tbl_KPIConfig[KPI Name],AGGREGATE(15,6,(ROW(Tbl_KPIConfig[KPI Name])-ROW(INDEX(Tbl_KPIConfig[KPI Name],1))+1)/((Tbl_KPIConfig[Active]="Yes")*(Tbl_KPIConfig[Department]&lt;&gt;"")*(($E$5="All Departments")+(Tbl_KPIConfig[Department]=$E$5))),24)),"")</f>
        <v/>
      </c>
      <c r="C56" s="30">
        <f>IF($B56="","",IFERROR(INDEX(Tbl_KPIConfig[Target],AGGREGATE(15,6,(ROW(Tbl_KPIConfig[KPI Name])-ROW(INDEX(Tbl_KPIConfig[KPI Name],1))+1)/((Tbl_KPIConfig[Active]="Yes")*(Tbl_KPIConfig[Department]&lt;&gt;"")*(($E$5="All Departments")+(Tbl_KPIConfig[Department]=$E$5))),24)),""))</f>
        <v/>
      </c>
      <c r="D56" s="30">
        <f>IF($B56="","",IFERROR(AVERAGEIFS(Tbl_Entry[Actual],Tbl_Entry[KPI Name],$B56,Tbl_Entry[Month],IF($B$5="All","*",$B$5)),""))</f>
        <v/>
      </c>
      <c r="E56" s="13">
        <f>IF($B56="","",IFERROR(AVERAGEIFS(Tbl_Entry[Achievement %],Tbl_Entry[KPI Name],$B56,Tbl_Entry[Month],IF($B$5="All","*",$B$5)),""))</f>
        <v/>
      </c>
      <c r="F56" s="12">
        <f>IF($B56="","",IF($E56&gt;=1,"Green",IF($E56&gt;=IFERROR(INDEX(Tbl_KPIConfig[RAG Threshold %],MATCH($B56,Tbl_KPIConfig[KPI Name],0)),0),"Amber","Red")))</f>
        <v/>
      </c>
    </row>
    <row r="57">
      <c r="A57" s="8">
        <f>IF($B57="","",IFERROR(INDEX(Tbl_KPIConfig[Department],AGGREGATE(15,6,(ROW(Tbl_KPIConfig[KPI Name])-ROW(INDEX(Tbl_KPIConfig[KPI Name],1))+1)/((Tbl_KPIConfig[Active]="Yes")*(Tbl_KPIConfig[Department]&lt;&gt;"")*(($E$5="All Departments")+(Tbl_KPIConfig[Department]=$E$5))),25)),""))</f>
        <v/>
      </c>
      <c r="B57" s="10">
        <f>IFERROR(INDEX(Tbl_KPIConfig[KPI Name],AGGREGATE(15,6,(ROW(Tbl_KPIConfig[KPI Name])-ROW(INDEX(Tbl_KPIConfig[KPI Name],1))+1)/((Tbl_KPIConfig[Active]="Yes")*(Tbl_KPIConfig[Department]&lt;&gt;"")*(($E$5="All Departments")+(Tbl_KPIConfig[Department]=$E$5))),25)),"")</f>
        <v/>
      </c>
      <c r="C57" s="29">
        <f>IF($B57="","",IFERROR(INDEX(Tbl_KPIConfig[Target],AGGREGATE(15,6,(ROW(Tbl_KPIConfig[KPI Name])-ROW(INDEX(Tbl_KPIConfig[KPI Name],1))+1)/((Tbl_KPIConfig[Active]="Yes")*(Tbl_KPIConfig[Department]&lt;&gt;"")*(($E$5="All Departments")+(Tbl_KPIConfig[Department]=$E$5))),25)),""))</f>
        <v/>
      </c>
      <c r="D57" s="29">
        <f>IF($B57="","",IFERROR(AVERAGEIFS(Tbl_Entry[Actual],Tbl_Entry[KPI Name],$B57,Tbl_Entry[Month],IF($B$5="All","*",$B$5)),""))</f>
        <v/>
      </c>
      <c r="E57" s="9">
        <f>IF($B57="","",IFERROR(AVERAGEIFS(Tbl_Entry[Achievement %],Tbl_Entry[KPI Name],$B57,Tbl_Entry[Month],IF($B$5="All","*",$B$5)),""))</f>
        <v/>
      </c>
      <c r="F57" s="8">
        <f>IF($B57="","",IF($E57&gt;=1,"Green",IF($E57&gt;=IFERROR(INDEX(Tbl_KPIConfig[RAG Threshold %],MATCH($B57,Tbl_KPIConfig[KPI Name],0)),0),"Amber","Red")))</f>
        <v/>
      </c>
    </row>
    <row r="58">
      <c r="A58" s="12">
        <f>IF($B58="","",IFERROR(INDEX(Tbl_KPIConfig[Department],AGGREGATE(15,6,(ROW(Tbl_KPIConfig[KPI Name])-ROW(INDEX(Tbl_KPIConfig[KPI Name],1))+1)/((Tbl_KPIConfig[Active]="Yes")*(Tbl_KPIConfig[Department]&lt;&gt;"")*(($E$5="All Departments")+(Tbl_KPIConfig[Department]=$E$5))),26)),""))</f>
        <v/>
      </c>
      <c r="B58" s="14">
        <f>IFERROR(INDEX(Tbl_KPIConfig[KPI Name],AGGREGATE(15,6,(ROW(Tbl_KPIConfig[KPI Name])-ROW(INDEX(Tbl_KPIConfig[KPI Name],1))+1)/((Tbl_KPIConfig[Active]="Yes")*(Tbl_KPIConfig[Department]&lt;&gt;"")*(($E$5="All Departments")+(Tbl_KPIConfig[Department]=$E$5))),26)),"")</f>
        <v/>
      </c>
      <c r="C58" s="30">
        <f>IF($B58="","",IFERROR(INDEX(Tbl_KPIConfig[Target],AGGREGATE(15,6,(ROW(Tbl_KPIConfig[KPI Name])-ROW(INDEX(Tbl_KPIConfig[KPI Name],1))+1)/((Tbl_KPIConfig[Active]="Yes")*(Tbl_KPIConfig[Department]&lt;&gt;"")*(($E$5="All Departments")+(Tbl_KPIConfig[Department]=$E$5))),26)),""))</f>
        <v/>
      </c>
      <c r="D58" s="30">
        <f>IF($B58="","",IFERROR(AVERAGEIFS(Tbl_Entry[Actual],Tbl_Entry[KPI Name],$B58,Tbl_Entry[Month],IF($B$5="All","*",$B$5)),""))</f>
        <v/>
      </c>
      <c r="E58" s="13">
        <f>IF($B58="","",IFERROR(AVERAGEIFS(Tbl_Entry[Achievement %],Tbl_Entry[KPI Name],$B58,Tbl_Entry[Month],IF($B$5="All","*",$B$5)),""))</f>
        <v/>
      </c>
      <c r="F58" s="12">
        <f>IF($B58="","",IF($E58&gt;=1,"Green",IF($E58&gt;=IFERROR(INDEX(Tbl_KPIConfig[RAG Threshold %],MATCH($B58,Tbl_KPIConfig[KPI Name],0)),0),"Amber","Red")))</f>
        <v/>
      </c>
    </row>
    <row r="59">
      <c r="A59" s="8">
        <f>IF($B59="","",IFERROR(INDEX(Tbl_KPIConfig[Department],AGGREGATE(15,6,(ROW(Tbl_KPIConfig[KPI Name])-ROW(INDEX(Tbl_KPIConfig[KPI Name],1))+1)/((Tbl_KPIConfig[Active]="Yes")*(Tbl_KPIConfig[Department]&lt;&gt;"")*(($E$5="All Departments")+(Tbl_KPIConfig[Department]=$E$5))),27)),""))</f>
        <v/>
      </c>
      <c r="B59" s="10">
        <f>IFERROR(INDEX(Tbl_KPIConfig[KPI Name],AGGREGATE(15,6,(ROW(Tbl_KPIConfig[KPI Name])-ROW(INDEX(Tbl_KPIConfig[KPI Name],1))+1)/((Tbl_KPIConfig[Active]="Yes")*(Tbl_KPIConfig[Department]&lt;&gt;"")*(($E$5="All Departments")+(Tbl_KPIConfig[Department]=$E$5))),27)),"")</f>
        <v/>
      </c>
      <c r="C59" s="29">
        <f>IF($B59="","",IFERROR(INDEX(Tbl_KPIConfig[Target],AGGREGATE(15,6,(ROW(Tbl_KPIConfig[KPI Name])-ROW(INDEX(Tbl_KPIConfig[KPI Name],1))+1)/((Tbl_KPIConfig[Active]="Yes")*(Tbl_KPIConfig[Department]&lt;&gt;"")*(($E$5="All Departments")+(Tbl_KPIConfig[Department]=$E$5))),27)),""))</f>
        <v/>
      </c>
      <c r="D59" s="29">
        <f>IF($B59="","",IFERROR(AVERAGEIFS(Tbl_Entry[Actual],Tbl_Entry[KPI Name],$B59,Tbl_Entry[Month],IF($B$5="All","*",$B$5)),""))</f>
        <v/>
      </c>
      <c r="E59" s="9">
        <f>IF($B59="","",IFERROR(AVERAGEIFS(Tbl_Entry[Achievement %],Tbl_Entry[KPI Name],$B59,Tbl_Entry[Month],IF($B$5="All","*",$B$5)),""))</f>
        <v/>
      </c>
      <c r="F59" s="8">
        <f>IF($B59="","",IF($E59&gt;=1,"Green",IF($E59&gt;=IFERROR(INDEX(Tbl_KPIConfig[RAG Threshold %],MATCH($B59,Tbl_KPIConfig[KPI Name],0)),0),"Amber","Red")))</f>
        <v/>
      </c>
    </row>
    <row r="60">
      <c r="A60" s="12">
        <f>IF($B60="","",IFERROR(INDEX(Tbl_KPIConfig[Department],AGGREGATE(15,6,(ROW(Tbl_KPIConfig[KPI Name])-ROW(INDEX(Tbl_KPIConfig[KPI Name],1))+1)/((Tbl_KPIConfig[Active]="Yes")*(Tbl_KPIConfig[Department]&lt;&gt;"")*(($E$5="All Departments")+(Tbl_KPIConfig[Department]=$E$5))),28)),""))</f>
        <v/>
      </c>
      <c r="B60" s="14">
        <f>IFERROR(INDEX(Tbl_KPIConfig[KPI Name],AGGREGATE(15,6,(ROW(Tbl_KPIConfig[KPI Name])-ROW(INDEX(Tbl_KPIConfig[KPI Name],1))+1)/((Tbl_KPIConfig[Active]="Yes")*(Tbl_KPIConfig[Department]&lt;&gt;"")*(($E$5="All Departments")+(Tbl_KPIConfig[Department]=$E$5))),28)),"")</f>
        <v/>
      </c>
      <c r="C60" s="30">
        <f>IF($B60="","",IFERROR(INDEX(Tbl_KPIConfig[Target],AGGREGATE(15,6,(ROW(Tbl_KPIConfig[KPI Name])-ROW(INDEX(Tbl_KPIConfig[KPI Name],1))+1)/((Tbl_KPIConfig[Active]="Yes")*(Tbl_KPIConfig[Department]&lt;&gt;"")*(($E$5="All Departments")+(Tbl_KPIConfig[Department]=$E$5))),28)),""))</f>
        <v/>
      </c>
      <c r="D60" s="30">
        <f>IF($B60="","",IFERROR(AVERAGEIFS(Tbl_Entry[Actual],Tbl_Entry[KPI Name],$B60,Tbl_Entry[Month],IF($B$5="All","*",$B$5)),""))</f>
        <v/>
      </c>
      <c r="E60" s="13">
        <f>IF($B60="","",IFERROR(AVERAGEIFS(Tbl_Entry[Achievement %],Tbl_Entry[KPI Name],$B60,Tbl_Entry[Month],IF($B$5="All","*",$B$5)),""))</f>
        <v/>
      </c>
      <c r="F60" s="12">
        <f>IF($B60="","",IF($E60&gt;=1,"Green",IF($E60&gt;=IFERROR(INDEX(Tbl_KPIConfig[RAG Threshold %],MATCH($B60,Tbl_KPIConfig[KPI Name],0)),0),"Amber","Red")))</f>
        <v/>
      </c>
    </row>
    <row r="61">
      <c r="A61" s="8">
        <f>IF($B61="","",IFERROR(INDEX(Tbl_KPIConfig[Department],AGGREGATE(15,6,(ROW(Tbl_KPIConfig[KPI Name])-ROW(INDEX(Tbl_KPIConfig[KPI Name],1))+1)/((Tbl_KPIConfig[Active]="Yes")*(Tbl_KPIConfig[Department]&lt;&gt;"")*(($E$5="All Departments")+(Tbl_KPIConfig[Department]=$E$5))),29)),""))</f>
        <v/>
      </c>
      <c r="B61" s="10">
        <f>IFERROR(INDEX(Tbl_KPIConfig[KPI Name],AGGREGATE(15,6,(ROW(Tbl_KPIConfig[KPI Name])-ROW(INDEX(Tbl_KPIConfig[KPI Name],1))+1)/((Tbl_KPIConfig[Active]="Yes")*(Tbl_KPIConfig[Department]&lt;&gt;"")*(($E$5="All Departments")+(Tbl_KPIConfig[Department]=$E$5))),29)),"")</f>
        <v/>
      </c>
      <c r="C61" s="29">
        <f>IF($B61="","",IFERROR(INDEX(Tbl_KPIConfig[Target],AGGREGATE(15,6,(ROW(Tbl_KPIConfig[KPI Name])-ROW(INDEX(Tbl_KPIConfig[KPI Name],1))+1)/((Tbl_KPIConfig[Active]="Yes")*(Tbl_KPIConfig[Department]&lt;&gt;"")*(($E$5="All Departments")+(Tbl_KPIConfig[Department]=$E$5))),29)),""))</f>
        <v/>
      </c>
      <c r="D61" s="29">
        <f>IF($B61="","",IFERROR(AVERAGEIFS(Tbl_Entry[Actual],Tbl_Entry[KPI Name],$B61,Tbl_Entry[Month],IF($B$5="All","*",$B$5)),""))</f>
        <v/>
      </c>
      <c r="E61" s="9">
        <f>IF($B61="","",IFERROR(AVERAGEIFS(Tbl_Entry[Achievement %],Tbl_Entry[KPI Name],$B61,Tbl_Entry[Month],IF($B$5="All","*",$B$5)),""))</f>
        <v/>
      </c>
      <c r="F61" s="8">
        <f>IF($B61="","",IF($E61&gt;=1,"Green",IF($E61&gt;=IFERROR(INDEX(Tbl_KPIConfig[RAG Threshold %],MATCH($B61,Tbl_KPIConfig[KPI Name],0)),0),"Amber","Red")))</f>
        <v/>
      </c>
    </row>
    <row r="62">
      <c r="A62" s="12">
        <f>IF($B62="","",IFERROR(INDEX(Tbl_KPIConfig[Department],AGGREGATE(15,6,(ROW(Tbl_KPIConfig[KPI Name])-ROW(INDEX(Tbl_KPIConfig[KPI Name],1))+1)/((Tbl_KPIConfig[Active]="Yes")*(Tbl_KPIConfig[Department]&lt;&gt;"")*(($E$5="All Departments")+(Tbl_KPIConfig[Department]=$E$5))),30)),""))</f>
        <v/>
      </c>
      <c r="B62" s="14">
        <f>IFERROR(INDEX(Tbl_KPIConfig[KPI Name],AGGREGATE(15,6,(ROW(Tbl_KPIConfig[KPI Name])-ROW(INDEX(Tbl_KPIConfig[KPI Name],1))+1)/((Tbl_KPIConfig[Active]="Yes")*(Tbl_KPIConfig[Department]&lt;&gt;"")*(($E$5="All Departments")+(Tbl_KPIConfig[Department]=$E$5))),30)),"")</f>
        <v/>
      </c>
      <c r="C62" s="30">
        <f>IF($B62="","",IFERROR(INDEX(Tbl_KPIConfig[Target],AGGREGATE(15,6,(ROW(Tbl_KPIConfig[KPI Name])-ROW(INDEX(Tbl_KPIConfig[KPI Name],1))+1)/((Tbl_KPIConfig[Active]="Yes")*(Tbl_KPIConfig[Department]&lt;&gt;"")*(($E$5="All Departments")+(Tbl_KPIConfig[Department]=$E$5))),30)),""))</f>
        <v/>
      </c>
      <c r="D62" s="30">
        <f>IF($B62="","",IFERROR(AVERAGEIFS(Tbl_Entry[Actual],Tbl_Entry[KPI Name],$B62,Tbl_Entry[Month],IF($B$5="All","*",$B$5)),""))</f>
        <v/>
      </c>
      <c r="E62" s="13">
        <f>IF($B62="","",IFERROR(AVERAGEIFS(Tbl_Entry[Achievement %],Tbl_Entry[KPI Name],$B62,Tbl_Entry[Month],IF($B$5="All","*",$B$5)),""))</f>
        <v/>
      </c>
      <c r="F62" s="12">
        <f>IF($B62="","",IF($E62&gt;=1,"Green",IF($E62&gt;=IFERROR(INDEX(Tbl_KPIConfig[RAG Threshold %],MATCH($B62,Tbl_KPIConfig[KPI Name],0)),0),"Amber","Red")))</f>
        <v/>
      </c>
    </row>
    <row r="63">
      <c r="A63" s="8">
        <f>IF($B63="","",IFERROR(INDEX(Tbl_KPIConfig[Department],AGGREGATE(15,6,(ROW(Tbl_KPIConfig[KPI Name])-ROW(INDEX(Tbl_KPIConfig[KPI Name],1))+1)/((Tbl_KPIConfig[Active]="Yes")*(Tbl_KPIConfig[Department]&lt;&gt;"")*(($E$5="All Departments")+(Tbl_KPIConfig[Department]=$E$5))),31)),""))</f>
        <v/>
      </c>
      <c r="B63" s="10">
        <f>IFERROR(INDEX(Tbl_KPIConfig[KPI Name],AGGREGATE(15,6,(ROW(Tbl_KPIConfig[KPI Name])-ROW(INDEX(Tbl_KPIConfig[KPI Name],1))+1)/((Tbl_KPIConfig[Active]="Yes")*(Tbl_KPIConfig[Department]&lt;&gt;"")*(($E$5="All Departments")+(Tbl_KPIConfig[Department]=$E$5))),31)),"")</f>
        <v/>
      </c>
      <c r="C63" s="29">
        <f>IF($B63="","",IFERROR(INDEX(Tbl_KPIConfig[Target],AGGREGATE(15,6,(ROW(Tbl_KPIConfig[KPI Name])-ROW(INDEX(Tbl_KPIConfig[KPI Name],1))+1)/((Tbl_KPIConfig[Active]="Yes")*(Tbl_KPIConfig[Department]&lt;&gt;"")*(($E$5="All Departments")+(Tbl_KPIConfig[Department]=$E$5))),31)),""))</f>
        <v/>
      </c>
      <c r="D63" s="29">
        <f>IF($B63="","",IFERROR(AVERAGEIFS(Tbl_Entry[Actual],Tbl_Entry[KPI Name],$B63,Tbl_Entry[Month],IF($B$5="All","*",$B$5)),""))</f>
        <v/>
      </c>
      <c r="E63" s="9">
        <f>IF($B63="","",IFERROR(AVERAGEIFS(Tbl_Entry[Achievement %],Tbl_Entry[KPI Name],$B63,Tbl_Entry[Month],IF($B$5="All","*",$B$5)),""))</f>
        <v/>
      </c>
      <c r="F63" s="8">
        <f>IF($B63="","",IF($E63&gt;=1,"Green",IF($E63&gt;=IFERROR(INDEX(Tbl_KPIConfig[RAG Threshold %],MATCH($B63,Tbl_KPIConfig[KPI Name],0)),0),"Amber","Red")))</f>
        <v/>
      </c>
    </row>
    <row r="64">
      <c r="A64" s="12">
        <f>IF($B64="","",IFERROR(INDEX(Tbl_KPIConfig[Department],AGGREGATE(15,6,(ROW(Tbl_KPIConfig[KPI Name])-ROW(INDEX(Tbl_KPIConfig[KPI Name],1))+1)/((Tbl_KPIConfig[Active]="Yes")*(Tbl_KPIConfig[Department]&lt;&gt;"")*(($E$5="All Departments")+(Tbl_KPIConfig[Department]=$E$5))),32)),""))</f>
        <v/>
      </c>
      <c r="B64" s="14">
        <f>IFERROR(INDEX(Tbl_KPIConfig[KPI Name],AGGREGATE(15,6,(ROW(Tbl_KPIConfig[KPI Name])-ROW(INDEX(Tbl_KPIConfig[KPI Name],1))+1)/((Tbl_KPIConfig[Active]="Yes")*(Tbl_KPIConfig[Department]&lt;&gt;"")*(($E$5="All Departments")+(Tbl_KPIConfig[Department]=$E$5))),32)),"")</f>
        <v/>
      </c>
      <c r="C64" s="30">
        <f>IF($B64="","",IFERROR(INDEX(Tbl_KPIConfig[Target],AGGREGATE(15,6,(ROW(Tbl_KPIConfig[KPI Name])-ROW(INDEX(Tbl_KPIConfig[KPI Name],1))+1)/((Tbl_KPIConfig[Active]="Yes")*(Tbl_KPIConfig[Department]&lt;&gt;"")*(($E$5="All Departments")+(Tbl_KPIConfig[Department]=$E$5))),32)),""))</f>
        <v/>
      </c>
      <c r="D64" s="30">
        <f>IF($B64="","",IFERROR(AVERAGEIFS(Tbl_Entry[Actual],Tbl_Entry[KPI Name],$B64,Tbl_Entry[Month],IF($B$5="All","*",$B$5)),""))</f>
        <v/>
      </c>
      <c r="E64" s="13">
        <f>IF($B64="","",IFERROR(AVERAGEIFS(Tbl_Entry[Achievement %],Tbl_Entry[KPI Name],$B64,Tbl_Entry[Month],IF($B$5="All","*",$B$5)),""))</f>
        <v/>
      </c>
      <c r="F64" s="12">
        <f>IF($B64="","",IF($E64&gt;=1,"Green",IF($E64&gt;=IFERROR(INDEX(Tbl_KPIConfig[RAG Threshold %],MATCH($B64,Tbl_KPIConfig[KPI Name],0)),0),"Amber","Red")))</f>
        <v/>
      </c>
    </row>
    <row r="65">
      <c r="A65" s="8">
        <f>IF($B65="","",IFERROR(INDEX(Tbl_KPIConfig[Department],AGGREGATE(15,6,(ROW(Tbl_KPIConfig[KPI Name])-ROW(INDEX(Tbl_KPIConfig[KPI Name],1))+1)/((Tbl_KPIConfig[Active]="Yes")*(Tbl_KPIConfig[Department]&lt;&gt;"")*(($E$5="All Departments")+(Tbl_KPIConfig[Department]=$E$5))),33)),""))</f>
        <v/>
      </c>
      <c r="B65" s="10">
        <f>IFERROR(INDEX(Tbl_KPIConfig[KPI Name],AGGREGATE(15,6,(ROW(Tbl_KPIConfig[KPI Name])-ROW(INDEX(Tbl_KPIConfig[KPI Name],1))+1)/((Tbl_KPIConfig[Active]="Yes")*(Tbl_KPIConfig[Department]&lt;&gt;"")*(($E$5="All Departments")+(Tbl_KPIConfig[Department]=$E$5))),33)),"")</f>
        <v/>
      </c>
      <c r="C65" s="29">
        <f>IF($B65="","",IFERROR(INDEX(Tbl_KPIConfig[Target],AGGREGATE(15,6,(ROW(Tbl_KPIConfig[KPI Name])-ROW(INDEX(Tbl_KPIConfig[KPI Name],1))+1)/((Tbl_KPIConfig[Active]="Yes")*(Tbl_KPIConfig[Department]&lt;&gt;"")*(($E$5="All Departments")+(Tbl_KPIConfig[Department]=$E$5))),33)),""))</f>
        <v/>
      </c>
      <c r="D65" s="29">
        <f>IF($B65="","",IFERROR(AVERAGEIFS(Tbl_Entry[Actual],Tbl_Entry[KPI Name],$B65,Tbl_Entry[Month],IF($B$5="All","*",$B$5)),""))</f>
        <v/>
      </c>
      <c r="E65" s="9">
        <f>IF($B65="","",IFERROR(AVERAGEIFS(Tbl_Entry[Achievement %],Tbl_Entry[KPI Name],$B65,Tbl_Entry[Month],IF($B$5="All","*",$B$5)),""))</f>
        <v/>
      </c>
      <c r="F65" s="8">
        <f>IF($B65="","",IF($E65&gt;=1,"Green",IF($E65&gt;=IFERROR(INDEX(Tbl_KPIConfig[RAG Threshold %],MATCH($B65,Tbl_KPIConfig[KPI Name],0)),0),"Amber","Red")))</f>
        <v/>
      </c>
    </row>
    <row r="66">
      <c r="A66" s="12">
        <f>IF($B66="","",IFERROR(INDEX(Tbl_KPIConfig[Department],AGGREGATE(15,6,(ROW(Tbl_KPIConfig[KPI Name])-ROW(INDEX(Tbl_KPIConfig[KPI Name],1))+1)/((Tbl_KPIConfig[Active]="Yes")*(Tbl_KPIConfig[Department]&lt;&gt;"")*(($E$5="All Departments")+(Tbl_KPIConfig[Department]=$E$5))),34)),""))</f>
        <v/>
      </c>
      <c r="B66" s="14">
        <f>IFERROR(INDEX(Tbl_KPIConfig[KPI Name],AGGREGATE(15,6,(ROW(Tbl_KPIConfig[KPI Name])-ROW(INDEX(Tbl_KPIConfig[KPI Name],1))+1)/((Tbl_KPIConfig[Active]="Yes")*(Tbl_KPIConfig[Department]&lt;&gt;"")*(($E$5="All Departments")+(Tbl_KPIConfig[Department]=$E$5))),34)),"")</f>
        <v/>
      </c>
      <c r="C66" s="30">
        <f>IF($B66="","",IFERROR(INDEX(Tbl_KPIConfig[Target],AGGREGATE(15,6,(ROW(Tbl_KPIConfig[KPI Name])-ROW(INDEX(Tbl_KPIConfig[KPI Name],1))+1)/((Tbl_KPIConfig[Active]="Yes")*(Tbl_KPIConfig[Department]&lt;&gt;"")*(($E$5="All Departments")+(Tbl_KPIConfig[Department]=$E$5))),34)),""))</f>
        <v/>
      </c>
      <c r="D66" s="30">
        <f>IF($B66="","",IFERROR(AVERAGEIFS(Tbl_Entry[Actual],Tbl_Entry[KPI Name],$B66,Tbl_Entry[Month],IF($B$5="All","*",$B$5)),""))</f>
        <v/>
      </c>
      <c r="E66" s="13">
        <f>IF($B66="","",IFERROR(AVERAGEIFS(Tbl_Entry[Achievement %],Tbl_Entry[KPI Name],$B66,Tbl_Entry[Month],IF($B$5="All","*",$B$5)),""))</f>
        <v/>
      </c>
      <c r="F66" s="12">
        <f>IF($B66="","",IF($E66&gt;=1,"Green",IF($E66&gt;=IFERROR(INDEX(Tbl_KPIConfig[RAG Threshold %],MATCH($B66,Tbl_KPIConfig[KPI Name],0)),0),"Amber","Red")))</f>
        <v/>
      </c>
    </row>
    <row r="67">
      <c r="A67" s="8">
        <f>IF($B67="","",IFERROR(INDEX(Tbl_KPIConfig[Department],AGGREGATE(15,6,(ROW(Tbl_KPIConfig[KPI Name])-ROW(INDEX(Tbl_KPIConfig[KPI Name],1))+1)/((Tbl_KPIConfig[Active]="Yes")*(Tbl_KPIConfig[Department]&lt;&gt;"")*(($E$5="All Departments")+(Tbl_KPIConfig[Department]=$E$5))),35)),""))</f>
        <v/>
      </c>
      <c r="B67" s="10">
        <f>IFERROR(INDEX(Tbl_KPIConfig[KPI Name],AGGREGATE(15,6,(ROW(Tbl_KPIConfig[KPI Name])-ROW(INDEX(Tbl_KPIConfig[KPI Name],1))+1)/((Tbl_KPIConfig[Active]="Yes")*(Tbl_KPIConfig[Department]&lt;&gt;"")*(($E$5="All Departments")+(Tbl_KPIConfig[Department]=$E$5))),35)),"")</f>
        <v/>
      </c>
      <c r="C67" s="29">
        <f>IF($B67="","",IFERROR(INDEX(Tbl_KPIConfig[Target],AGGREGATE(15,6,(ROW(Tbl_KPIConfig[KPI Name])-ROW(INDEX(Tbl_KPIConfig[KPI Name],1))+1)/((Tbl_KPIConfig[Active]="Yes")*(Tbl_KPIConfig[Department]&lt;&gt;"")*(($E$5="All Departments")+(Tbl_KPIConfig[Department]=$E$5))),35)),""))</f>
        <v/>
      </c>
      <c r="D67" s="29">
        <f>IF($B67="","",IFERROR(AVERAGEIFS(Tbl_Entry[Actual],Tbl_Entry[KPI Name],$B67,Tbl_Entry[Month],IF($B$5="All","*",$B$5)),""))</f>
        <v/>
      </c>
      <c r="E67" s="9">
        <f>IF($B67="","",IFERROR(AVERAGEIFS(Tbl_Entry[Achievement %],Tbl_Entry[KPI Name],$B67,Tbl_Entry[Month],IF($B$5="All","*",$B$5)),""))</f>
        <v/>
      </c>
      <c r="F67" s="8">
        <f>IF($B67="","",IF($E67&gt;=1,"Green",IF($E67&gt;=IFERROR(INDEX(Tbl_KPIConfig[RAG Threshold %],MATCH($B67,Tbl_KPIConfig[KPI Name],0)),0),"Amber","Red")))</f>
        <v/>
      </c>
    </row>
    <row r="68">
      <c r="A68" s="12">
        <f>IF($B68="","",IFERROR(INDEX(Tbl_KPIConfig[Department],AGGREGATE(15,6,(ROW(Tbl_KPIConfig[KPI Name])-ROW(INDEX(Tbl_KPIConfig[KPI Name],1))+1)/((Tbl_KPIConfig[Active]="Yes")*(Tbl_KPIConfig[Department]&lt;&gt;"")*(($E$5="All Departments")+(Tbl_KPIConfig[Department]=$E$5))),36)),""))</f>
        <v/>
      </c>
      <c r="B68" s="14">
        <f>IFERROR(INDEX(Tbl_KPIConfig[KPI Name],AGGREGATE(15,6,(ROW(Tbl_KPIConfig[KPI Name])-ROW(INDEX(Tbl_KPIConfig[KPI Name],1))+1)/((Tbl_KPIConfig[Active]="Yes")*(Tbl_KPIConfig[Department]&lt;&gt;"")*(($E$5="All Departments")+(Tbl_KPIConfig[Department]=$E$5))),36)),"")</f>
        <v/>
      </c>
      <c r="C68" s="30">
        <f>IF($B68="","",IFERROR(INDEX(Tbl_KPIConfig[Target],AGGREGATE(15,6,(ROW(Tbl_KPIConfig[KPI Name])-ROW(INDEX(Tbl_KPIConfig[KPI Name],1))+1)/((Tbl_KPIConfig[Active]="Yes")*(Tbl_KPIConfig[Department]&lt;&gt;"")*(($E$5="All Departments")+(Tbl_KPIConfig[Department]=$E$5))),36)),""))</f>
        <v/>
      </c>
      <c r="D68" s="30">
        <f>IF($B68="","",IFERROR(AVERAGEIFS(Tbl_Entry[Actual],Tbl_Entry[KPI Name],$B68,Tbl_Entry[Month],IF($B$5="All","*",$B$5)),""))</f>
        <v/>
      </c>
      <c r="E68" s="13">
        <f>IF($B68="","",IFERROR(AVERAGEIFS(Tbl_Entry[Achievement %],Tbl_Entry[KPI Name],$B68,Tbl_Entry[Month],IF($B$5="All","*",$B$5)),""))</f>
        <v/>
      </c>
      <c r="F68" s="12">
        <f>IF($B68="","",IF($E68&gt;=1,"Green",IF($E68&gt;=IFERROR(INDEX(Tbl_KPIConfig[RAG Threshold %],MATCH($B68,Tbl_KPIConfig[KPI Name],0)),0),"Amber","Red")))</f>
        <v/>
      </c>
    </row>
    <row r="69">
      <c r="A69" s="8">
        <f>IF($B69="","",IFERROR(INDEX(Tbl_KPIConfig[Department],AGGREGATE(15,6,(ROW(Tbl_KPIConfig[KPI Name])-ROW(INDEX(Tbl_KPIConfig[KPI Name],1))+1)/((Tbl_KPIConfig[Active]="Yes")*(Tbl_KPIConfig[Department]&lt;&gt;"")*(($E$5="All Departments")+(Tbl_KPIConfig[Department]=$E$5))),37)),""))</f>
        <v/>
      </c>
      <c r="B69" s="10">
        <f>IFERROR(INDEX(Tbl_KPIConfig[KPI Name],AGGREGATE(15,6,(ROW(Tbl_KPIConfig[KPI Name])-ROW(INDEX(Tbl_KPIConfig[KPI Name],1))+1)/((Tbl_KPIConfig[Active]="Yes")*(Tbl_KPIConfig[Department]&lt;&gt;"")*(($E$5="All Departments")+(Tbl_KPIConfig[Department]=$E$5))),37)),"")</f>
        <v/>
      </c>
      <c r="C69" s="29">
        <f>IF($B69="","",IFERROR(INDEX(Tbl_KPIConfig[Target],AGGREGATE(15,6,(ROW(Tbl_KPIConfig[KPI Name])-ROW(INDEX(Tbl_KPIConfig[KPI Name],1))+1)/((Tbl_KPIConfig[Active]="Yes")*(Tbl_KPIConfig[Department]&lt;&gt;"")*(($E$5="All Departments")+(Tbl_KPIConfig[Department]=$E$5))),37)),""))</f>
        <v/>
      </c>
      <c r="D69" s="29">
        <f>IF($B69="","",IFERROR(AVERAGEIFS(Tbl_Entry[Actual],Tbl_Entry[KPI Name],$B69,Tbl_Entry[Month],IF($B$5="All","*",$B$5)),""))</f>
        <v/>
      </c>
      <c r="E69" s="9">
        <f>IF($B69="","",IFERROR(AVERAGEIFS(Tbl_Entry[Achievement %],Tbl_Entry[KPI Name],$B69,Tbl_Entry[Month],IF($B$5="All","*",$B$5)),""))</f>
        <v/>
      </c>
      <c r="F69" s="8">
        <f>IF($B69="","",IF($E69&gt;=1,"Green",IF($E69&gt;=IFERROR(INDEX(Tbl_KPIConfig[RAG Threshold %],MATCH($B69,Tbl_KPIConfig[KPI Name],0)),0),"Amber","Red")))</f>
        <v/>
      </c>
    </row>
    <row r="70">
      <c r="A70" s="12">
        <f>IF($B70="","",IFERROR(INDEX(Tbl_KPIConfig[Department],AGGREGATE(15,6,(ROW(Tbl_KPIConfig[KPI Name])-ROW(INDEX(Tbl_KPIConfig[KPI Name],1))+1)/((Tbl_KPIConfig[Active]="Yes")*(Tbl_KPIConfig[Department]&lt;&gt;"")*(($E$5="All Departments")+(Tbl_KPIConfig[Department]=$E$5))),38)),""))</f>
        <v/>
      </c>
      <c r="B70" s="14">
        <f>IFERROR(INDEX(Tbl_KPIConfig[KPI Name],AGGREGATE(15,6,(ROW(Tbl_KPIConfig[KPI Name])-ROW(INDEX(Tbl_KPIConfig[KPI Name],1))+1)/((Tbl_KPIConfig[Active]="Yes")*(Tbl_KPIConfig[Department]&lt;&gt;"")*(($E$5="All Departments")+(Tbl_KPIConfig[Department]=$E$5))),38)),"")</f>
        <v/>
      </c>
      <c r="C70" s="30">
        <f>IF($B70="","",IFERROR(INDEX(Tbl_KPIConfig[Target],AGGREGATE(15,6,(ROW(Tbl_KPIConfig[KPI Name])-ROW(INDEX(Tbl_KPIConfig[KPI Name],1))+1)/((Tbl_KPIConfig[Active]="Yes")*(Tbl_KPIConfig[Department]&lt;&gt;"")*(($E$5="All Departments")+(Tbl_KPIConfig[Department]=$E$5))),38)),""))</f>
        <v/>
      </c>
      <c r="D70" s="30">
        <f>IF($B70="","",IFERROR(AVERAGEIFS(Tbl_Entry[Actual],Tbl_Entry[KPI Name],$B70,Tbl_Entry[Month],IF($B$5="All","*",$B$5)),""))</f>
        <v/>
      </c>
      <c r="E70" s="13">
        <f>IF($B70="","",IFERROR(AVERAGEIFS(Tbl_Entry[Achievement %],Tbl_Entry[KPI Name],$B70,Tbl_Entry[Month],IF($B$5="All","*",$B$5)),""))</f>
        <v/>
      </c>
      <c r="F70" s="12">
        <f>IF($B70="","",IF($E70&gt;=1,"Green",IF($E70&gt;=IFERROR(INDEX(Tbl_KPIConfig[RAG Threshold %],MATCH($B70,Tbl_KPIConfig[KPI Name],0)),0),"Amber","Red")))</f>
        <v/>
      </c>
    </row>
    <row r="71">
      <c r="A71" s="8">
        <f>IF($B71="","",IFERROR(INDEX(Tbl_KPIConfig[Department],AGGREGATE(15,6,(ROW(Tbl_KPIConfig[KPI Name])-ROW(INDEX(Tbl_KPIConfig[KPI Name],1))+1)/((Tbl_KPIConfig[Active]="Yes")*(Tbl_KPIConfig[Department]&lt;&gt;"")*(($E$5="All Departments")+(Tbl_KPIConfig[Department]=$E$5))),39)),""))</f>
        <v/>
      </c>
      <c r="B71" s="10">
        <f>IFERROR(INDEX(Tbl_KPIConfig[KPI Name],AGGREGATE(15,6,(ROW(Tbl_KPIConfig[KPI Name])-ROW(INDEX(Tbl_KPIConfig[KPI Name],1))+1)/((Tbl_KPIConfig[Active]="Yes")*(Tbl_KPIConfig[Department]&lt;&gt;"")*(($E$5="All Departments")+(Tbl_KPIConfig[Department]=$E$5))),39)),"")</f>
        <v/>
      </c>
      <c r="C71" s="29">
        <f>IF($B71="","",IFERROR(INDEX(Tbl_KPIConfig[Target],AGGREGATE(15,6,(ROW(Tbl_KPIConfig[KPI Name])-ROW(INDEX(Tbl_KPIConfig[KPI Name],1))+1)/((Tbl_KPIConfig[Active]="Yes")*(Tbl_KPIConfig[Department]&lt;&gt;"")*(($E$5="All Departments")+(Tbl_KPIConfig[Department]=$E$5))),39)),""))</f>
        <v/>
      </c>
      <c r="D71" s="29">
        <f>IF($B71="","",IFERROR(AVERAGEIFS(Tbl_Entry[Actual],Tbl_Entry[KPI Name],$B71,Tbl_Entry[Month],IF($B$5="All","*",$B$5)),""))</f>
        <v/>
      </c>
      <c r="E71" s="9">
        <f>IF($B71="","",IFERROR(AVERAGEIFS(Tbl_Entry[Achievement %],Tbl_Entry[KPI Name],$B71,Tbl_Entry[Month],IF($B$5="All","*",$B$5)),""))</f>
        <v/>
      </c>
      <c r="F71" s="8">
        <f>IF($B71="","",IF($E71&gt;=1,"Green",IF($E71&gt;=IFERROR(INDEX(Tbl_KPIConfig[RAG Threshold %],MATCH($B71,Tbl_KPIConfig[KPI Name],0)),0),"Amber","Red")))</f>
        <v/>
      </c>
    </row>
    <row r="72">
      <c r="A72" s="12">
        <f>IF($B72="","",IFERROR(INDEX(Tbl_KPIConfig[Department],AGGREGATE(15,6,(ROW(Tbl_KPIConfig[KPI Name])-ROW(INDEX(Tbl_KPIConfig[KPI Name],1))+1)/((Tbl_KPIConfig[Active]="Yes")*(Tbl_KPIConfig[Department]&lt;&gt;"")*(($E$5="All Departments")+(Tbl_KPIConfig[Department]=$E$5))),40)),""))</f>
        <v/>
      </c>
      <c r="B72" s="14">
        <f>IFERROR(INDEX(Tbl_KPIConfig[KPI Name],AGGREGATE(15,6,(ROW(Tbl_KPIConfig[KPI Name])-ROW(INDEX(Tbl_KPIConfig[KPI Name],1))+1)/((Tbl_KPIConfig[Active]="Yes")*(Tbl_KPIConfig[Department]&lt;&gt;"")*(($E$5="All Departments")+(Tbl_KPIConfig[Department]=$E$5))),40)),"")</f>
        <v/>
      </c>
      <c r="C72" s="30">
        <f>IF($B72="","",IFERROR(INDEX(Tbl_KPIConfig[Target],AGGREGATE(15,6,(ROW(Tbl_KPIConfig[KPI Name])-ROW(INDEX(Tbl_KPIConfig[KPI Name],1))+1)/((Tbl_KPIConfig[Active]="Yes")*(Tbl_KPIConfig[Department]&lt;&gt;"")*(($E$5="All Departments")+(Tbl_KPIConfig[Department]=$E$5))),40)),""))</f>
        <v/>
      </c>
      <c r="D72" s="30">
        <f>IF($B72="","",IFERROR(AVERAGEIFS(Tbl_Entry[Actual],Tbl_Entry[KPI Name],$B72,Tbl_Entry[Month],IF($B$5="All","*",$B$5)),""))</f>
        <v/>
      </c>
      <c r="E72" s="13">
        <f>IF($B72="","",IFERROR(AVERAGEIFS(Tbl_Entry[Achievement %],Tbl_Entry[KPI Name],$B72,Tbl_Entry[Month],IF($B$5="All","*",$B$5)),""))</f>
        <v/>
      </c>
      <c r="F72" s="12">
        <f>IF($B72="","",IF($E72&gt;=1,"Green",IF($E72&gt;=IFERROR(INDEX(Tbl_KPIConfig[RAG Threshold %],MATCH($B72,Tbl_KPIConfig[KPI Name],0)),0),"Amber","Red")))</f>
        <v/>
      </c>
    </row>
    <row r="74" ht="20" customHeight="1">
      <c r="A74" s="21" t="inlineStr">
        <is>
          <t>CHARTS</t>
        </is>
      </c>
    </row>
  </sheetData>
  <mergeCells count="18">
    <mergeCell ref="A10:F10"/>
    <mergeCell ref="S10:X10"/>
    <mergeCell ref="AE10:AJ10"/>
    <mergeCell ref="A31:J31"/>
    <mergeCell ref="A1:S2"/>
    <mergeCell ref="G10:L10"/>
    <mergeCell ref="M9:R9"/>
    <mergeCell ref="M10:R10"/>
    <mergeCell ref="Y10:AD10"/>
    <mergeCell ref="A9:F9"/>
    <mergeCell ref="G9:L9"/>
    <mergeCell ref="S9:X9"/>
    <mergeCell ref="A13:S13"/>
    <mergeCell ref="Y9:AD9"/>
    <mergeCell ref="A3:S3"/>
    <mergeCell ref="A74:S74"/>
    <mergeCell ref="AE9:AJ9"/>
    <mergeCell ref="A7:S7"/>
  </mergeCells>
  <conditionalFormatting sqref="A10">
    <cfRule type="cellIs" priority="1" operator="greaterThanOrEqual" dxfId="6">
      <formula>1</formula>
    </cfRule>
    <cfRule type="cellIs" priority="2" operator="between" dxfId="7">
      <formula>0.85</formula>
      <formula>1</formula>
    </cfRule>
    <cfRule type="cellIs" priority="3" operator="lessThan" dxfId="8">
      <formula>0.85</formula>
    </cfRule>
  </conditionalFormatting>
  <conditionalFormatting sqref="M10">
    <cfRule type="cellIs" priority="4" operator="greaterThanOrEqual" dxfId="6">
      <formula>0.8</formula>
    </cfRule>
  </conditionalFormatting>
  <conditionalFormatting sqref="S10">
    <cfRule type="cellIs" priority="5" operator="greaterThan" dxfId="8">
      <formula>0.15</formula>
    </cfRule>
  </conditionalFormatting>
  <conditionalFormatting sqref="AE10">
    <cfRule type="cellIs" priority="6" operator="greaterThan" dxfId="8">
      <formula>0</formula>
    </cfRule>
  </conditionalFormatting>
  <conditionalFormatting sqref="F33:F72">
    <cfRule type="expression" priority="7" dxfId="0">
      <formula>$F33="Green"</formula>
    </cfRule>
    <cfRule type="expression" priority="8" dxfId="1">
      <formula>$F33="Amber"</formula>
    </cfRule>
    <cfRule type="expression" priority="9" dxfId="2">
      <formula>$F33="Red"</formula>
    </cfRule>
  </conditionalFormatting>
  <dataValidations count="2">
    <dataValidation sqref="B5" showDropDown="0" showInputMessage="0" showErrorMessage="0" allowBlank="0" type="list">
      <formula1>"All,Jun-2026,Jul-2026"</formula1>
    </dataValidation>
    <dataValidation sqref="E5" showDropDown="0" showInputMessage="0" showErrorMessage="0" allowBlank="0" type="list">
      <formula1>DeptListWithAll</formula1>
    </dataValidation>
  </dataValidations>
  <pageMargins left="0.3" right="0.3" top="0.4" bottom="0.4" header="0.2" footer="0.2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717"/>
  <sheetViews>
    <sheetView showGridLines="0" tabSelected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1" customWidth="1" min="2" max="2"/>
    <col width="7" customWidth="1" min="3" max="3"/>
    <col width="26" customWidth="1" min="4" max="4"/>
    <col width="13" customWidth="1" min="5" max="5"/>
    <col width="9" customWidth="1" min="6" max="6"/>
    <col width="10" customWidth="1" min="7" max="7"/>
    <col width="10" customWidth="1" min="8" max="8"/>
    <col width="12" customWidth="1" min="9" max="9"/>
    <col width="10" customWidth="1" min="10" max="10"/>
    <col width="26" customWidth="1" min="11" max="11"/>
  </cols>
  <sheetData>
    <row r="1" ht="28" customHeight="1">
      <c r="A1" s="5" t="inlineStr">
        <is>
          <t>KPI DATA ENTRY — type only Date / KPI Name / Actual / Remarks. Everything else auto-fills from Master Config.</t>
        </is>
      </c>
    </row>
    <row r="2" ht="26" customHeight="1">
      <c r="A2" s="6" t="inlineStr">
        <is>
          <t>Date</t>
        </is>
      </c>
      <c r="B2" s="6" t="inlineStr">
        <is>
          <t>Month</t>
        </is>
      </c>
      <c r="C2" s="6" t="inlineStr">
        <is>
          <t>Week</t>
        </is>
      </c>
      <c r="D2" s="6" t="inlineStr">
        <is>
          <t>KPI Name</t>
        </is>
      </c>
      <c r="E2" s="6" t="inlineStr">
        <is>
          <t>Department</t>
        </is>
      </c>
      <c r="F2" s="6" t="inlineStr">
        <is>
          <t>Unit</t>
        </is>
      </c>
      <c r="G2" s="6" t="inlineStr">
        <is>
          <t>Target</t>
        </is>
      </c>
      <c r="H2" s="6" t="inlineStr">
        <is>
          <t>Actual</t>
        </is>
      </c>
      <c r="I2" s="6" t="inlineStr">
        <is>
          <t>Achievement %</t>
        </is>
      </c>
      <c r="J2" s="6" t="inlineStr">
        <is>
          <t>Status</t>
        </is>
      </c>
      <c r="K2" s="6" t="inlineStr">
        <is>
          <t>Remarks</t>
        </is>
      </c>
    </row>
    <row r="3">
      <c r="A3" s="7" t="n">
        <v>46176</v>
      </c>
      <c r="B3" s="8">
        <f>IF($A3="","",TEXT($A3,"mmm-yyyy"))</f>
        <v/>
      </c>
      <c r="C3" s="8">
        <f>IF($A3="","","W"&amp;WEEKNUM($A3,2))</f>
        <v/>
      </c>
      <c r="D3" s="8" t="inlineStr">
        <is>
          <t>Safety Incidents (LTI)</t>
        </is>
      </c>
      <c r="E3" s="8">
        <f>IFERROR(INDEX(Tbl_KPIConfig[Department],MATCH($D3,Tbl_KPIConfig[KPI Name],0)),"")</f>
        <v/>
      </c>
      <c r="F3" s="8">
        <f>IFERROR(INDEX(Tbl_KPIConfig[Unit],MATCH($D3,Tbl_KPIConfig[KPI Name],0)),"")</f>
        <v/>
      </c>
      <c r="G3" s="8">
        <f>IFERROR(INDEX(Tbl_KPIConfig[Target],MATCH($D3,Tbl_KPIConfig[KPI Name],0)),"")</f>
        <v/>
      </c>
      <c r="H3" s="8" t="n">
        <v>1</v>
      </c>
      <c r="I3" s="9">
        <f>IFERROR(IF(INDEX(Tbl_KPIConfig[Direction],MATCH($D3,Tbl_KPIConfig[KPI Name],0))="Lower is Better",IF($H3=0,1,IF($G3=0,0,$G3/$H3)),IF($G3=0,1,$H3/$G3)),0)</f>
        <v/>
      </c>
      <c r="J3" s="8">
        <f>IFERROR(IF($I3&gt;=1,"Green",IF($I3&gt;=INDEX(Tbl_KPIConfig[RAG Threshold %],MATCH($D3,Tbl_KPIConfig[KPI Name],0)),"Amber","Red")),"")</f>
        <v/>
      </c>
      <c r="K3" s="10" t="inlineStr">
        <is>
          <t>Line changeover impact</t>
        </is>
      </c>
    </row>
    <row r="4">
      <c r="A4" s="11" t="n">
        <v>46176</v>
      </c>
      <c r="B4" s="12">
        <f>IF($A4="","",TEXT($A4,"mmm-yyyy"))</f>
        <v/>
      </c>
      <c r="C4" s="12">
        <f>IF($A4="","","W"&amp;WEEKNUM($A4,2))</f>
        <v/>
      </c>
      <c r="D4" s="12" t="inlineStr">
        <is>
          <t>Near Miss Reports</t>
        </is>
      </c>
      <c r="E4" s="12">
        <f>IFERROR(INDEX(Tbl_KPIConfig[Department],MATCH($D4,Tbl_KPIConfig[KPI Name],0)),"")</f>
        <v/>
      </c>
      <c r="F4" s="12">
        <f>IFERROR(INDEX(Tbl_KPIConfig[Unit],MATCH($D4,Tbl_KPIConfig[KPI Name],0)),"")</f>
        <v/>
      </c>
      <c r="G4" s="12">
        <f>IFERROR(INDEX(Tbl_KPIConfig[Target],MATCH($D4,Tbl_KPIConfig[KPI Name],0)),"")</f>
        <v/>
      </c>
      <c r="H4" s="12" t="n">
        <v>2</v>
      </c>
      <c r="I4" s="13">
        <f>IFERROR(IF(INDEX(Tbl_KPIConfig[Direction],MATCH($D4,Tbl_KPIConfig[KPI Name],0))="Lower is Better",IF($H4=0,1,IF($G4=0,0,$G4/$H4)),IF($G4=0,1,$H4/$G4)),0)</f>
        <v/>
      </c>
      <c r="J4" s="12">
        <f>IFERROR(IF($I4&gt;=1,"Green",IF($I4&gt;=INDEX(Tbl_KPIConfig[RAG Threshold %],MATCH($D4,Tbl_KPIConfig[KPI Name],0)),"Amber","Red")),"")</f>
        <v/>
      </c>
      <c r="K4" s="14" t="inlineStr">
        <is>
          <t>Process improvement in progress</t>
        </is>
      </c>
    </row>
    <row r="5">
      <c r="A5" s="7" t="n">
        <v>46176</v>
      </c>
      <c r="B5" s="8">
        <f>IF($A5="","",TEXT($A5,"mmm-yyyy"))</f>
        <v/>
      </c>
      <c r="C5" s="8">
        <f>IF($A5="","","W"&amp;WEEKNUM($A5,2))</f>
        <v/>
      </c>
      <c r="D5" s="8" t="inlineStr">
        <is>
          <t>Production Output</t>
        </is>
      </c>
      <c r="E5" s="8">
        <f>IFERROR(INDEX(Tbl_KPIConfig[Department],MATCH($D5,Tbl_KPIConfig[KPI Name],0)),"")</f>
        <v/>
      </c>
      <c r="F5" s="8">
        <f>IFERROR(INDEX(Tbl_KPIConfig[Unit],MATCH($D5,Tbl_KPIConfig[KPI Name],0)),"")</f>
        <v/>
      </c>
      <c r="G5" s="8">
        <f>IFERROR(INDEX(Tbl_KPIConfig[Target],MATCH($D5,Tbl_KPIConfig[KPI Name],0)),"")</f>
        <v/>
      </c>
      <c r="H5" s="8" t="n">
        <v>972.4299999999999</v>
      </c>
      <c r="I5" s="9">
        <f>IFERROR(IF(INDEX(Tbl_KPIConfig[Direction],MATCH($D5,Tbl_KPIConfig[KPI Name],0))="Lower is Better",IF($H5=0,1,IF($G5=0,0,$G5/$H5)),IF($G5=0,1,$H5/$G5)),0)</f>
        <v/>
      </c>
      <c r="J5" s="8">
        <f>IFERROR(IF($I5&gt;=1,"Green",IF($I5&gt;=INDEX(Tbl_KPIConfig[RAG Threshold %],MATCH($D5,Tbl_KPIConfig[KPI Name],0)),"Amber","Red")),"")</f>
        <v/>
      </c>
      <c r="K5" s="10" t="inlineStr">
        <is>
          <t>Manpower shortage</t>
        </is>
      </c>
    </row>
    <row r="6">
      <c r="A6" s="11" t="n">
        <v>46176</v>
      </c>
      <c r="B6" s="12">
        <f>IF($A6="","",TEXT($A6,"mmm-yyyy"))</f>
        <v/>
      </c>
      <c r="C6" s="12">
        <f>IF($A6="","","W"&amp;WEEKNUM($A6,2))</f>
        <v/>
      </c>
      <c r="D6" s="12" t="inlineStr">
        <is>
          <t>OEE %</t>
        </is>
      </c>
      <c r="E6" s="12">
        <f>IFERROR(INDEX(Tbl_KPIConfig[Department],MATCH($D6,Tbl_KPIConfig[KPI Name],0)),"")</f>
        <v/>
      </c>
      <c r="F6" s="12">
        <f>IFERROR(INDEX(Tbl_KPIConfig[Unit],MATCH($D6,Tbl_KPIConfig[KPI Name],0)),"")</f>
        <v/>
      </c>
      <c r="G6" s="12">
        <f>IFERROR(INDEX(Tbl_KPIConfig[Target],MATCH($D6,Tbl_KPIConfig[KPI Name],0)),"")</f>
        <v/>
      </c>
      <c r="H6" s="12" t="n">
        <v>0.8763</v>
      </c>
      <c r="I6" s="13">
        <f>IFERROR(IF(INDEX(Tbl_KPIConfig[Direction],MATCH($D6,Tbl_KPIConfig[KPI Name],0))="Lower is Better",IF($H6=0,1,IF($G6=0,0,$G6/$H6)),IF($G6=0,1,$H6/$G6)),0)</f>
        <v/>
      </c>
      <c r="J6" s="12">
        <f>IFERROR(IF($I6&gt;=1,"Green",IF($I6&gt;=INDEX(Tbl_KPIConfig[RAG Threshold %],MATCH($D6,Tbl_KPIConfig[KPI Name],0)),"Amber","Red")),"")</f>
        <v/>
      </c>
      <c r="K6" s="14" t="inlineStr">
        <is>
          <t>Process improvement in progress</t>
        </is>
      </c>
    </row>
    <row r="7">
      <c r="A7" s="7" t="n">
        <v>46176</v>
      </c>
      <c r="B7" s="8">
        <f>IF($A7="","",TEXT($A7,"mmm-yyyy"))</f>
        <v/>
      </c>
      <c r="C7" s="8">
        <f>IF($A7="","","W"&amp;WEEKNUM($A7,2))</f>
        <v/>
      </c>
      <c r="D7" s="8" t="inlineStr">
        <is>
          <t>Defect Rate %</t>
        </is>
      </c>
      <c r="E7" s="8">
        <f>IFERROR(INDEX(Tbl_KPIConfig[Department],MATCH($D7,Tbl_KPIConfig[KPI Name],0)),"")</f>
        <v/>
      </c>
      <c r="F7" s="8">
        <f>IFERROR(INDEX(Tbl_KPIConfig[Unit],MATCH($D7,Tbl_KPIConfig[KPI Name],0)),"")</f>
        <v/>
      </c>
      <c r="G7" s="8">
        <f>IFERROR(INDEX(Tbl_KPIConfig[Target],MATCH($D7,Tbl_KPIConfig[KPI Name],0)),"")</f>
        <v/>
      </c>
      <c r="H7" s="8" t="n">
        <v>0.0221</v>
      </c>
      <c r="I7" s="9">
        <f>IFERROR(IF(INDEX(Tbl_KPIConfig[Direction],MATCH($D7,Tbl_KPIConfig[KPI Name],0))="Lower is Better",IF($H7=0,1,IF($G7=0,0,$G7/$H7)),IF($G7=0,1,$H7/$G7)),0)</f>
        <v/>
      </c>
      <c r="J7" s="8">
        <f>IFERROR(IF($I7&gt;=1,"Green",IF($I7&gt;=INDEX(Tbl_KPIConfig[RAG Threshold %],MATCH($D7,Tbl_KPIConfig[KPI Name],0)),"Amber","Red")),"")</f>
        <v/>
      </c>
      <c r="K7" s="10" t="inlineStr">
        <is>
          <t>Vendor delay</t>
        </is>
      </c>
    </row>
    <row r="8">
      <c r="A8" s="11" t="n">
        <v>46176</v>
      </c>
      <c r="B8" s="12">
        <f>IF($A8="","",TEXT($A8,"mmm-yyyy"))</f>
        <v/>
      </c>
      <c r="C8" s="12">
        <f>IF($A8="","","W"&amp;WEEKNUM($A8,2))</f>
        <v/>
      </c>
      <c r="D8" s="12" t="inlineStr">
        <is>
          <t>Customer Complaints</t>
        </is>
      </c>
      <c r="E8" s="12">
        <f>IFERROR(INDEX(Tbl_KPIConfig[Department],MATCH($D8,Tbl_KPIConfig[KPI Name],0)),"")</f>
        <v/>
      </c>
      <c r="F8" s="12">
        <f>IFERROR(INDEX(Tbl_KPIConfig[Unit],MATCH($D8,Tbl_KPIConfig[KPI Name],0)),"")</f>
        <v/>
      </c>
      <c r="G8" s="12">
        <f>IFERROR(INDEX(Tbl_KPIConfig[Target],MATCH($D8,Tbl_KPIConfig[KPI Name],0)),"")</f>
        <v/>
      </c>
      <c r="H8" s="12" t="n">
        <v>0</v>
      </c>
      <c r="I8" s="13">
        <f>IFERROR(IF(INDEX(Tbl_KPIConfig[Direction],MATCH($D8,Tbl_KPIConfig[KPI Name],0))="Lower is Better",IF($H8=0,1,IF($G8=0,0,$G8/$H8)),IF($G8=0,1,$H8/$G8)),0)</f>
        <v/>
      </c>
      <c r="J8" s="12">
        <f>IFERROR(IF($I8&gt;=1,"Green",IF($I8&gt;=INDEX(Tbl_KPIConfig[RAG Threshold %],MATCH($D8,Tbl_KPIConfig[KPI Name],0)),"Amber","Red")),"")</f>
        <v/>
      </c>
      <c r="K8" s="14" t="inlineStr">
        <is>
          <t>Preventive check done</t>
        </is>
      </c>
    </row>
    <row r="9">
      <c r="A9" s="7" t="n">
        <v>46176</v>
      </c>
      <c r="B9" s="8">
        <f>IF($A9="","",TEXT($A9,"mmm-yyyy"))</f>
        <v/>
      </c>
      <c r="C9" s="8">
        <f>IF($A9="","","W"&amp;WEEKNUM($A9,2))</f>
        <v/>
      </c>
      <c r="D9" s="8" t="inlineStr">
        <is>
          <t>Unplanned Downtime (Hrs)</t>
        </is>
      </c>
      <c r="E9" s="8">
        <f>IFERROR(INDEX(Tbl_KPIConfig[Department],MATCH($D9,Tbl_KPIConfig[KPI Name],0)),"")</f>
        <v/>
      </c>
      <c r="F9" s="8">
        <f>IFERROR(INDEX(Tbl_KPIConfig[Unit],MATCH($D9,Tbl_KPIConfig[KPI Name],0)),"")</f>
        <v/>
      </c>
      <c r="G9" s="8">
        <f>IFERROR(INDEX(Tbl_KPIConfig[Target],MATCH($D9,Tbl_KPIConfig[KPI Name],0)),"")</f>
        <v/>
      </c>
      <c r="H9" s="8" t="n">
        <v>1.03</v>
      </c>
      <c r="I9" s="9">
        <f>IFERROR(IF(INDEX(Tbl_KPIConfig[Direction],MATCH($D9,Tbl_KPIConfig[KPI Name],0))="Lower is Better",IF($H9=0,1,IF($G9=0,0,$G9/$H9)),IF($G9=0,1,$H9/$G9)),0)</f>
        <v/>
      </c>
      <c r="J9" s="8">
        <f>IFERROR(IF($I9&gt;=1,"Green",IF($I9&gt;=INDEX(Tbl_KPIConfig[RAG Threshold %],MATCH($D9,Tbl_KPIConfig[KPI Name],0)),"Amber","Red")),"")</f>
        <v/>
      </c>
      <c r="K9" s="10" t="inlineStr">
        <is>
          <t>Process improvement in progress</t>
        </is>
      </c>
    </row>
    <row r="10">
      <c r="A10" s="11" t="n">
        <v>46176</v>
      </c>
      <c r="B10" s="12">
        <f>IF($A10="","",TEXT($A10,"mmm-yyyy"))</f>
        <v/>
      </c>
      <c r="C10" s="12">
        <f>IF($A10="","","W"&amp;WEEKNUM($A10,2))</f>
        <v/>
      </c>
      <c r="D10" s="12" t="inlineStr">
        <is>
          <t>PM Compliance %</t>
        </is>
      </c>
      <c r="E10" s="12">
        <f>IFERROR(INDEX(Tbl_KPIConfig[Department],MATCH($D10,Tbl_KPIConfig[KPI Name],0)),"")</f>
        <v/>
      </c>
      <c r="F10" s="12">
        <f>IFERROR(INDEX(Tbl_KPIConfig[Unit],MATCH($D10,Tbl_KPIConfig[KPI Name],0)),"")</f>
        <v/>
      </c>
      <c r="G10" s="12">
        <f>IFERROR(INDEX(Tbl_KPIConfig[Target],MATCH($D10,Tbl_KPIConfig[KPI Name],0)),"")</f>
        <v/>
      </c>
      <c r="H10" s="12" t="n">
        <v>0.8981</v>
      </c>
      <c r="I10" s="13">
        <f>IFERROR(IF(INDEX(Tbl_KPIConfig[Direction],MATCH($D10,Tbl_KPIConfig[KPI Name],0))="Lower is Better",IF($H10=0,1,IF($G10=0,0,$G10/$H10)),IF($G10=0,1,$H10/$G10)),0)</f>
        <v/>
      </c>
      <c r="J10" s="12">
        <f>IFERROR(IF($I10&gt;=1,"Green",IF($I10&gt;=INDEX(Tbl_KPIConfig[RAG Threshold %],MATCH($D10,Tbl_KPIConfig[KPI Name],0)),"Amber","Red")),"")</f>
        <v/>
      </c>
      <c r="K10" s="14" t="inlineStr"/>
    </row>
    <row r="11">
      <c r="A11" s="7" t="n">
        <v>46176</v>
      </c>
      <c r="B11" s="8">
        <f>IF($A11="","",TEXT($A11,"mmm-yyyy"))</f>
        <v/>
      </c>
      <c r="C11" s="8">
        <f>IF($A11="","","W"&amp;WEEKNUM($A11,2))</f>
        <v/>
      </c>
      <c r="D11" s="8" t="inlineStr">
        <is>
          <t>Power Consumption (kWh)</t>
        </is>
      </c>
      <c r="E11" s="8">
        <f>IFERROR(INDEX(Tbl_KPIConfig[Department],MATCH($D11,Tbl_KPIConfig[KPI Name],0)),"")</f>
        <v/>
      </c>
      <c r="F11" s="8">
        <f>IFERROR(INDEX(Tbl_KPIConfig[Unit],MATCH($D11,Tbl_KPIConfig[KPI Name],0)),"")</f>
        <v/>
      </c>
      <c r="G11" s="8">
        <f>IFERROR(INDEX(Tbl_KPIConfig[Target],MATCH($D11,Tbl_KPIConfig[KPI Name],0)),"")</f>
        <v/>
      </c>
      <c r="H11" s="8" t="n">
        <v>5170.57</v>
      </c>
      <c r="I11" s="9">
        <f>IFERROR(IF(INDEX(Tbl_KPIConfig[Direction],MATCH($D11,Tbl_KPIConfig[KPI Name],0))="Lower is Better",IF($H11=0,1,IF($G11=0,0,$G11/$H11)),IF($G11=0,1,$H11/$G11)),0)</f>
        <v/>
      </c>
      <c r="J11" s="8">
        <f>IFERROR(IF($I11&gt;=1,"Green",IF($I11&gt;=INDEX(Tbl_KPIConfig[RAG Threshold %],MATCH($D11,Tbl_KPIConfig[KPI Name],0)),"Amber","Red")),"")</f>
        <v/>
      </c>
      <c r="K11" s="10" t="inlineStr"/>
    </row>
    <row r="12">
      <c r="A12" s="11" t="n">
        <v>46176</v>
      </c>
      <c r="B12" s="12">
        <f>IF($A12="","",TEXT($A12,"mmm-yyyy"))</f>
        <v/>
      </c>
      <c r="C12" s="12">
        <f>IF($A12="","","W"&amp;WEEKNUM($A12,2))</f>
        <v/>
      </c>
      <c r="D12" s="12" t="inlineStr">
        <is>
          <t>On-Time Dispatch %</t>
        </is>
      </c>
      <c r="E12" s="12">
        <f>IFERROR(INDEX(Tbl_KPIConfig[Department],MATCH($D12,Tbl_KPIConfig[KPI Name],0)),"")</f>
        <v/>
      </c>
      <c r="F12" s="12">
        <f>IFERROR(INDEX(Tbl_KPIConfig[Unit],MATCH($D12,Tbl_KPIConfig[KPI Name],0)),"")</f>
        <v/>
      </c>
      <c r="G12" s="12">
        <f>IFERROR(INDEX(Tbl_KPIConfig[Target],MATCH($D12,Tbl_KPIConfig[KPI Name],0)),"")</f>
        <v/>
      </c>
      <c r="H12" s="12" t="n">
        <v>0.9016999999999999</v>
      </c>
      <c r="I12" s="13">
        <f>IFERROR(IF(INDEX(Tbl_KPIConfig[Direction],MATCH($D12,Tbl_KPIConfig[KPI Name],0))="Lower is Better",IF($H12=0,1,IF($G12=0,0,$G12/$H12)),IF($G12=0,1,$H12/$G12)),0)</f>
        <v/>
      </c>
      <c r="J12" s="12">
        <f>IFERROR(IF($I12&gt;=1,"Green",IF($I12&gt;=INDEX(Tbl_KPIConfig[RAG Threshold %],MATCH($D12,Tbl_KPIConfig[KPI Name],0)),"Amber","Red")),"")</f>
        <v/>
      </c>
      <c r="K12" s="14" t="inlineStr">
        <is>
          <t>Within normal range</t>
        </is>
      </c>
    </row>
    <row r="13">
      <c r="A13" s="7" t="n">
        <v>46176</v>
      </c>
      <c r="B13" s="8">
        <f>IF($A13="","",TEXT($A13,"mmm-yyyy"))</f>
        <v/>
      </c>
      <c r="C13" s="8">
        <f>IF($A13="","","W"&amp;WEEKNUM($A13,2))</f>
        <v/>
      </c>
      <c r="D13" s="8" t="inlineStr">
        <is>
          <t>Inventory Accuracy %</t>
        </is>
      </c>
      <c r="E13" s="8">
        <f>IFERROR(INDEX(Tbl_KPIConfig[Department],MATCH($D13,Tbl_KPIConfig[KPI Name],0)),"")</f>
        <v/>
      </c>
      <c r="F13" s="8">
        <f>IFERROR(INDEX(Tbl_KPIConfig[Unit],MATCH($D13,Tbl_KPIConfig[KPI Name],0)),"")</f>
        <v/>
      </c>
      <c r="G13" s="8">
        <f>IFERROR(INDEX(Tbl_KPIConfig[Target],MATCH($D13,Tbl_KPIConfig[KPI Name],0)),"")</f>
        <v/>
      </c>
      <c r="H13" s="8" t="n">
        <v>1.2027</v>
      </c>
      <c r="I13" s="9">
        <f>IFERROR(IF(INDEX(Tbl_KPIConfig[Direction],MATCH($D13,Tbl_KPIConfig[KPI Name],0))="Lower is Better",IF($H13=0,1,IF($G13=0,0,$G13/$H13)),IF($G13=0,1,$H13/$G13)),0)</f>
        <v/>
      </c>
      <c r="J13" s="8">
        <f>IFERROR(IF($I13&gt;=1,"Green",IF($I13&gt;=INDEX(Tbl_KPIConfig[RAG Threshold %],MATCH($D13,Tbl_KPIConfig[KPI Name],0)),"Amber","Red")),"")</f>
        <v/>
      </c>
      <c r="K13" s="10" t="inlineStr">
        <is>
          <t>Process improvement in progress</t>
        </is>
      </c>
    </row>
    <row r="14">
      <c r="A14" s="11" t="n">
        <v>46176</v>
      </c>
      <c r="B14" s="12">
        <f>IF($A14="","",TEXT($A14,"mmm-yyyy"))</f>
        <v/>
      </c>
      <c r="C14" s="12">
        <f>IF($A14="","","W"&amp;WEEKNUM($A14,2))</f>
        <v/>
      </c>
      <c r="D14" s="12" t="inlineStr">
        <is>
          <t>Absenteeism %</t>
        </is>
      </c>
      <c r="E14" s="12">
        <f>IFERROR(INDEX(Tbl_KPIConfig[Department],MATCH($D14,Tbl_KPIConfig[KPI Name],0)),"")</f>
        <v/>
      </c>
      <c r="F14" s="12">
        <f>IFERROR(INDEX(Tbl_KPIConfig[Unit],MATCH($D14,Tbl_KPIConfig[KPI Name],0)),"")</f>
        <v/>
      </c>
      <c r="G14" s="12">
        <f>IFERROR(INDEX(Tbl_KPIConfig[Target],MATCH($D14,Tbl_KPIConfig[KPI Name],0)),"")</f>
        <v/>
      </c>
      <c r="H14" s="12" t="n">
        <v>0.0321</v>
      </c>
      <c r="I14" s="13">
        <f>IFERROR(IF(INDEX(Tbl_KPIConfig[Direction],MATCH($D14,Tbl_KPIConfig[KPI Name],0))="Lower is Better",IF($H14=0,1,IF($G14=0,0,$G14/$H14)),IF($G14=0,1,$H14/$G14)),0)</f>
        <v/>
      </c>
      <c r="J14" s="12">
        <f>IFERROR(IF($I14&gt;=1,"Green",IF($I14&gt;=INDEX(Tbl_KPIConfig[RAG Threshold %],MATCH($D14,Tbl_KPIConfig[KPI Name],0)),"Amber","Red")),"")</f>
        <v/>
      </c>
      <c r="K14" s="14" t="inlineStr">
        <is>
          <t>Vendor delay</t>
        </is>
      </c>
    </row>
    <row r="15">
      <c r="A15" s="7" t="n">
        <v>46176</v>
      </c>
      <c r="B15" s="8">
        <f>IF($A15="","",TEXT($A15,"mmm-yyyy"))</f>
        <v/>
      </c>
      <c r="C15" s="8">
        <f>IF($A15="","","W"&amp;WEEKNUM($A15,2))</f>
        <v/>
      </c>
      <c r="D15" s="8" t="inlineStr">
        <is>
          <t>Training Hours</t>
        </is>
      </c>
      <c r="E15" s="8">
        <f>IFERROR(INDEX(Tbl_KPIConfig[Department],MATCH($D15,Tbl_KPIConfig[KPI Name],0)),"")</f>
        <v/>
      </c>
      <c r="F15" s="8">
        <f>IFERROR(INDEX(Tbl_KPIConfig[Unit],MATCH($D15,Tbl_KPIConfig[KPI Name],0)),"")</f>
        <v/>
      </c>
      <c r="G15" s="8">
        <f>IFERROR(INDEX(Tbl_KPIConfig[Target],MATCH($D15,Tbl_KPIConfig[KPI Name],0)),"")</f>
        <v/>
      </c>
      <c r="H15" s="8" t="n">
        <v>2.15</v>
      </c>
      <c r="I15" s="9">
        <f>IFERROR(IF(INDEX(Tbl_KPIConfig[Direction],MATCH($D15,Tbl_KPIConfig[KPI Name],0))="Lower is Better",IF($H15=0,1,IF($G15=0,0,$G15/$H15)),IF($G15=0,1,$H15/$G15)),0)</f>
        <v/>
      </c>
      <c r="J15" s="8">
        <f>IFERROR(IF($I15&gt;=1,"Green",IF($I15&gt;=INDEX(Tbl_KPIConfig[RAG Threshold %],MATCH($D15,Tbl_KPIConfig[KPI Name],0)),"Amber","Red")),"")</f>
        <v/>
      </c>
      <c r="K15" s="10" t="inlineStr">
        <is>
          <t>Awaiting spares</t>
        </is>
      </c>
    </row>
    <row r="16">
      <c r="A16" s="11" t="n">
        <v>46176</v>
      </c>
      <c r="B16" s="12">
        <f>IF($A16="","",TEXT($A16,"mmm-yyyy"))</f>
        <v/>
      </c>
      <c r="C16" s="12">
        <f>IF($A16="","","W"&amp;WEEKNUM($A16,2))</f>
        <v/>
      </c>
      <c r="D16" s="12" t="inlineStr">
        <is>
          <t>Milestone Adherence %</t>
        </is>
      </c>
      <c r="E16" s="12">
        <f>IFERROR(INDEX(Tbl_KPIConfig[Department],MATCH($D16,Tbl_KPIConfig[KPI Name],0)),"")</f>
        <v/>
      </c>
      <c r="F16" s="12">
        <f>IFERROR(INDEX(Tbl_KPIConfig[Unit],MATCH($D16,Tbl_KPIConfig[KPI Name],0)),"")</f>
        <v/>
      </c>
      <c r="G16" s="12">
        <f>IFERROR(INDEX(Tbl_KPIConfig[Target],MATCH($D16,Tbl_KPIConfig[KPI Name],0)),"")</f>
        <v/>
      </c>
      <c r="H16" s="12" t="n">
        <v>0.9626</v>
      </c>
      <c r="I16" s="13">
        <f>IFERROR(IF(INDEX(Tbl_KPIConfig[Direction],MATCH($D16,Tbl_KPIConfig[KPI Name],0))="Lower is Better",IF($H16=0,1,IF($G16=0,0,$G16/$H16)),IF($G16=0,1,$H16/$G16)),0)</f>
        <v/>
      </c>
      <c r="J16" s="12">
        <f>IFERROR(IF($I16&gt;=1,"Green",IF($I16&gt;=INDEX(Tbl_KPIConfig[RAG Threshold %],MATCH($D16,Tbl_KPIConfig[KPI Name],0)),"Amber","Red")),"")</f>
        <v/>
      </c>
      <c r="K16" s="14" t="inlineStr">
        <is>
          <t>Within normal range</t>
        </is>
      </c>
    </row>
    <row r="17">
      <c r="A17" s="7" t="n">
        <v>46176</v>
      </c>
      <c r="B17" s="8">
        <f>IF($A17="","",TEXT($A17,"mmm-yyyy"))</f>
        <v/>
      </c>
      <c r="C17" s="8">
        <f>IF($A17="","","W"&amp;WEEKNUM($A17,2))</f>
        <v/>
      </c>
      <c r="D17" s="8" t="inlineStr">
        <is>
          <t>Breakdown Resolution (Hrs)</t>
        </is>
      </c>
      <c r="E17" s="8">
        <f>IFERROR(INDEX(Tbl_KPIConfig[Department],MATCH($D17,Tbl_KPIConfig[KPI Name],0)),"")</f>
        <v/>
      </c>
      <c r="F17" s="8">
        <f>IFERROR(INDEX(Tbl_KPIConfig[Unit],MATCH($D17,Tbl_KPIConfig[KPI Name],0)),"")</f>
        <v/>
      </c>
      <c r="G17" s="8">
        <f>IFERROR(INDEX(Tbl_KPIConfig[Target],MATCH($D17,Tbl_KPIConfig[KPI Name],0)),"")</f>
        <v/>
      </c>
      <c r="H17" s="8" t="n">
        <v>1.7</v>
      </c>
      <c r="I17" s="9">
        <f>IFERROR(IF(INDEX(Tbl_KPIConfig[Direction],MATCH($D17,Tbl_KPIConfig[KPI Name],0))="Lower is Better",IF($H17=0,1,IF($G17=0,0,$G17/$H17)),IF($G17=0,1,$H17/$G17)),0)</f>
        <v/>
      </c>
      <c r="J17" s="8">
        <f>IFERROR(IF($I17&gt;=1,"Green",IF($I17&gt;=INDEX(Tbl_KPIConfig[RAG Threshold %],MATCH($D17,Tbl_KPIConfig[KPI Name],0)),"Amber","Red")),"")</f>
        <v/>
      </c>
      <c r="K17" s="10" t="inlineStr">
        <is>
          <t>Process improvement in progress</t>
        </is>
      </c>
    </row>
    <row r="18">
      <c r="A18" s="11" t="n">
        <v>46177</v>
      </c>
      <c r="B18" s="12">
        <f>IF($A18="","",TEXT($A18,"mmm-yyyy"))</f>
        <v/>
      </c>
      <c r="C18" s="12">
        <f>IF($A18="","","W"&amp;WEEKNUM($A18,2))</f>
        <v/>
      </c>
      <c r="D18" s="12" t="inlineStr">
        <is>
          <t>Safety Incidents (LTI)</t>
        </is>
      </c>
      <c r="E18" s="12">
        <f>IFERROR(INDEX(Tbl_KPIConfig[Department],MATCH($D18,Tbl_KPIConfig[KPI Name],0)),"")</f>
        <v/>
      </c>
      <c r="F18" s="12">
        <f>IFERROR(INDEX(Tbl_KPIConfig[Unit],MATCH($D18,Tbl_KPIConfig[KPI Name],0)),"")</f>
        <v/>
      </c>
      <c r="G18" s="12">
        <f>IFERROR(INDEX(Tbl_KPIConfig[Target],MATCH($D18,Tbl_KPIConfig[KPI Name],0)),"")</f>
        <v/>
      </c>
      <c r="H18" s="12" t="n">
        <v>0</v>
      </c>
      <c r="I18" s="13">
        <f>IFERROR(IF(INDEX(Tbl_KPIConfig[Direction],MATCH($D18,Tbl_KPIConfig[KPI Name],0))="Lower is Better",IF($H18=0,1,IF($G18=0,0,$G18/$H18)),IF($G18=0,1,$H18/$G18)),0)</f>
        <v/>
      </c>
      <c r="J18" s="12">
        <f>IFERROR(IF($I18&gt;=1,"Green",IF($I18&gt;=INDEX(Tbl_KPIConfig[RAG Threshold %],MATCH($D18,Tbl_KPIConfig[KPI Name],0)),"Amber","Red")),"")</f>
        <v/>
      </c>
      <c r="K18" s="14" t="inlineStr"/>
    </row>
    <row r="19">
      <c r="A19" s="7" t="n">
        <v>46177</v>
      </c>
      <c r="B19" s="8">
        <f>IF($A19="","",TEXT($A19,"mmm-yyyy"))</f>
        <v/>
      </c>
      <c r="C19" s="8">
        <f>IF($A19="","","W"&amp;WEEKNUM($A19,2))</f>
        <v/>
      </c>
      <c r="D19" s="8" t="inlineStr">
        <is>
          <t>Near Miss Reports</t>
        </is>
      </c>
      <c r="E19" s="8">
        <f>IFERROR(INDEX(Tbl_KPIConfig[Department],MATCH($D19,Tbl_KPIConfig[KPI Name],0)),"")</f>
        <v/>
      </c>
      <c r="F19" s="8">
        <f>IFERROR(INDEX(Tbl_KPIConfig[Unit],MATCH($D19,Tbl_KPIConfig[KPI Name],0)),"")</f>
        <v/>
      </c>
      <c r="G19" s="8">
        <f>IFERROR(INDEX(Tbl_KPIConfig[Target],MATCH($D19,Tbl_KPIConfig[KPI Name],0)),"")</f>
        <v/>
      </c>
      <c r="H19" s="8" t="n">
        <v>2</v>
      </c>
      <c r="I19" s="9">
        <f>IFERROR(IF(INDEX(Tbl_KPIConfig[Direction],MATCH($D19,Tbl_KPIConfig[KPI Name],0))="Lower is Better",IF($H19=0,1,IF($G19=0,0,$G19/$H19)),IF($G19=0,1,$H19/$G19)),0)</f>
        <v/>
      </c>
      <c r="J19" s="8">
        <f>IFERROR(IF($I19&gt;=1,"Green",IF($I19&gt;=INDEX(Tbl_KPIConfig[RAG Threshold %],MATCH($D19,Tbl_KPIConfig[KPI Name],0)),"Amber","Red")),"")</f>
        <v/>
      </c>
      <c r="K19" s="10" t="inlineStr">
        <is>
          <t>Line changeover impact</t>
        </is>
      </c>
    </row>
    <row r="20">
      <c r="A20" s="11" t="n">
        <v>46177</v>
      </c>
      <c r="B20" s="12">
        <f>IF($A20="","",TEXT($A20,"mmm-yyyy"))</f>
        <v/>
      </c>
      <c r="C20" s="12">
        <f>IF($A20="","","W"&amp;WEEKNUM($A20,2))</f>
        <v/>
      </c>
      <c r="D20" s="12" t="inlineStr">
        <is>
          <t>Production Output</t>
        </is>
      </c>
      <c r="E20" s="12">
        <f>IFERROR(INDEX(Tbl_KPIConfig[Department],MATCH($D20,Tbl_KPIConfig[KPI Name],0)),"")</f>
        <v/>
      </c>
      <c r="F20" s="12">
        <f>IFERROR(INDEX(Tbl_KPIConfig[Unit],MATCH($D20,Tbl_KPIConfig[KPI Name],0)),"")</f>
        <v/>
      </c>
      <c r="G20" s="12">
        <f>IFERROR(INDEX(Tbl_KPIConfig[Target],MATCH($D20,Tbl_KPIConfig[KPI Name],0)),"")</f>
        <v/>
      </c>
      <c r="H20" s="12" t="n">
        <v>1016.17</v>
      </c>
      <c r="I20" s="13">
        <f>IFERROR(IF(INDEX(Tbl_KPIConfig[Direction],MATCH($D20,Tbl_KPIConfig[KPI Name],0))="Lower is Better",IF($H20=0,1,IF($G20=0,0,$G20/$H20)),IF($G20=0,1,$H20/$G20)),0)</f>
        <v/>
      </c>
      <c r="J20" s="12">
        <f>IFERROR(IF($I20&gt;=1,"Green",IF($I20&gt;=INDEX(Tbl_KPIConfig[RAG Threshold %],MATCH($D20,Tbl_KPIConfig[KPI Name],0)),"Amber","Red")),"")</f>
        <v/>
      </c>
      <c r="K20" s="14" t="inlineStr">
        <is>
          <t>Within normal range</t>
        </is>
      </c>
    </row>
    <row r="21">
      <c r="A21" s="7" t="n">
        <v>46177</v>
      </c>
      <c r="B21" s="8">
        <f>IF($A21="","",TEXT($A21,"mmm-yyyy"))</f>
        <v/>
      </c>
      <c r="C21" s="8">
        <f>IF($A21="","","W"&amp;WEEKNUM($A21,2))</f>
        <v/>
      </c>
      <c r="D21" s="8" t="inlineStr">
        <is>
          <t>OEE %</t>
        </is>
      </c>
      <c r="E21" s="8">
        <f>IFERROR(INDEX(Tbl_KPIConfig[Department],MATCH($D21,Tbl_KPIConfig[KPI Name],0)),"")</f>
        <v/>
      </c>
      <c r="F21" s="8">
        <f>IFERROR(INDEX(Tbl_KPIConfig[Unit],MATCH($D21,Tbl_KPIConfig[KPI Name],0)),"")</f>
        <v/>
      </c>
      <c r="G21" s="8">
        <f>IFERROR(INDEX(Tbl_KPIConfig[Target],MATCH($D21,Tbl_KPIConfig[KPI Name],0)),"")</f>
        <v/>
      </c>
      <c r="H21" s="8" t="n">
        <v>0.7704</v>
      </c>
      <c r="I21" s="9">
        <f>IFERROR(IF(INDEX(Tbl_KPIConfig[Direction],MATCH($D21,Tbl_KPIConfig[KPI Name],0))="Lower is Better",IF($H21=0,1,IF($G21=0,0,$G21/$H21)),IF($G21=0,1,$H21/$G21)),0)</f>
        <v/>
      </c>
      <c r="J21" s="8">
        <f>IFERROR(IF($I21&gt;=1,"Green",IF($I21&gt;=INDEX(Tbl_KPIConfig[RAG Threshold %],MATCH($D21,Tbl_KPIConfig[KPI Name],0)),"Amber","Red")),"")</f>
        <v/>
      </c>
      <c r="K21" s="10" t="inlineStr">
        <is>
          <t>Preventive check done</t>
        </is>
      </c>
    </row>
    <row r="22">
      <c r="A22" s="11" t="n">
        <v>46177</v>
      </c>
      <c r="B22" s="12">
        <f>IF($A22="","",TEXT($A22,"mmm-yyyy"))</f>
        <v/>
      </c>
      <c r="C22" s="12">
        <f>IF($A22="","","W"&amp;WEEKNUM($A22,2))</f>
        <v/>
      </c>
      <c r="D22" s="12" t="inlineStr">
        <is>
          <t>Defect Rate %</t>
        </is>
      </c>
      <c r="E22" s="12">
        <f>IFERROR(INDEX(Tbl_KPIConfig[Department],MATCH($D22,Tbl_KPIConfig[KPI Name],0)),"")</f>
        <v/>
      </c>
      <c r="F22" s="12">
        <f>IFERROR(INDEX(Tbl_KPIConfig[Unit],MATCH($D22,Tbl_KPIConfig[KPI Name],0)),"")</f>
        <v/>
      </c>
      <c r="G22" s="12">
        <f>IFERROR(INDEX(Tbl_KPIConfig[Target],MATCH($D22,Tbl_KPIConfig[KPI Name],0)),"")</f>
        <v/>
      </c>
      <c r="H22" s="12" t="n">
        <v>0.0209</v>
      </c>
      <c r="I22" s="13">
        <f>IFERROR(IF(INDEX(Tbl_KPIConfig[Direction],MATCH($D22,Tbl_KPIConfig[KPI Name],0))="Lower is Better",IF($H22=0,1,IF($G22=0,0,$G22/$H22)),IF($G22=0,1,$H22/$G22)),0)</f>
        <v/>
      </c>
      <c r="J22" s="12">
        <f>IFERROR(IF($I22&gt;=1,"Green",IF($I22&gt;=INDEX(Tbl_KPIConfig[RAG Threshold %],MATCH($D22,Tbl_KPIConfig[KPI Name],0)),"Amber","Red")),"")</f>
        <v/>
      </c>
      <c r="K22" s="14" t="inlineStr">
        <is>
          <t>Manpower shortage</t>
        </is>
      </c>
    </row>
    <row r="23">
      <c r="A23" s="7" t="n">
        <v>46177</v>
      </c>
      <c r="B23" s="8">
        <f>IF($A23="","",TEXT($A23,"mmm-yyyy"))</f>
        <v/>
      </c>
      <c r="C23" s="8">
        <f>IF($A23="","","W"&amp;WEEKNUM($A23,2))</f>
        <v/>
      </c>
      <c r="D23" s="8" t="inlineStr">
        <is>
          <t>Customer Complaints</t>
        </is>
      </c>
      <c r="E23" s="8">
        <f>IFERROR(INDEX(Tbl_KPIConfig[Department],MATCH($D23,Tbl_KPIConfig[KPI Name],0)),"")</f>
        <v/>
      </c>
      <c r="F23" s="8">
        <f>IFERROR(INDEX(Tbl_KPIConfig[Unit],MATCH($D23,Tbl_KPIConfig[KPI Name],0)),"")</f>
        <v/>
      </c>
      <c r="G23" s="8">
        <f>IFERROR(INDEX(Tbl_KPIConfig[Target],MATCH($D23,Tbl_KPIConfig[KPI Name],0)),"")</f>
        <v/>
      </c>
      <c r="H23" s="8" t="n">
        <v>0</v>
      </c>
      <c r="I23" s="9">
        <f>IFERROR(IF(INDEX(Tbl_KPIConfig[Direction],MATCH($D23,Tbl_KPIConfig[KPI Name],0))="Lower is Better",IF($H23=0,1,IF($G23=0,0,$G23/$H23)),IF($G23=0,1,$H23/$G23)),0)</f>
        <v/>
      </c>
      <c r="J23" s="8">
        <f>IFERROR(IF($I23&gt;=1,"Green",IF($I23&gt;=INDEX(Tbl_KPIConfig[RAG Threshold %],MATCH($D23,Tbl_KPIConfig[KPI Name],0)),"Amber","Red")),"")</f>
        <v/>
      </c>
      <c r="K23" s="10" t="inlineStr">
        <is>
          <t>Vendor delay</t>
        </is>
      </c>
    </row>
    <row r="24">
      <c r="A24" s="11" t="n">
        <v>46177</v>
      </c>
      <c r="B24" s="12">
        <f>IF($A24="","",TEXT($A24,"mmm-yyyy"))</f>
        <v/>
      </c>
      <c r="C24" s="12">
        <f>IF($A24="","","W"&amp;WEEKNUM($A24,2))</f>
        <v/>
      </c>
      <c r="D24" s="12" t="inlineStr">
        <is>
          <t>Unplanned Downtime (Hrs)</t>
        </is>
      </c>
      <c r="E24" s="12">
        <f>IFERROR(INDEX(Tbl_KPIConfig[Department],MATCH($D24,Tbl_KPIConfig[KPI Name],0)),"")</f>
        <v/>
      </c>
      <c r="F24" s="12">
        <f>IFERROR(INDEX(Tbl_KPIConfig[Unit],MATCH($D24,Tbl_KPIConfig[KPI Name],0)),"")</f>
        <v/>
      </c>
      <c r="G24" s="12">
        <f>IFERROR(INDEX(Tbl_KPIConfig[Target],MATCH($D24,Tbl_KPIConfig[KPI Name],0)),"")</f>
        <v/>
      </c>
      <c r="H24" s="12" t="n">
        <v>1.2</v>
      </c>
      <c r="I24" s="13">
        <f>IFERROR(IF(INDEX(Tbl_KPIConfig[Direction],MATCH($D24,Tbl_KPIConfig[KPI Name],0))="Lower is Better",IF($H24=0,1,IF($G24=0,0,$G24/$H24)),IF($G24=0,1,$H24/$G24)),0)</f>
        <v/>
      </c>
      <c r="J24" s="12">
        <f>IFERROR(IF($I24&gt;=1,"Green",IF($I24&gt;=INDEX(Tbl_KPIConfig[RAG Threshold %],MATCH($D24,Tbl_KPIConfig[KPI Name],0)),"Amber","Red")),"")</f>
        <v/>
      </c>
      <c r="K24" s="14" t="inlineStr">
        <is>
          <t>Manpower shortage</t>
        </is>
      </c>
    </row>
    <row r="25">
      <c r="A25" s="7" t="n">
        <v>46177</v>
      </c>
      <c r="B25" s="8">
        <f>IF($A25="","",TEXT($A25,"mmm-yyyy"))</f>
        <v/>
      </c>
      <c r="C25" s="8">
        <f>IF($A25="","","W"&amp;WEEKNUM($A25,2))</f>
        <v/>
      </c>
      <c r="D25" s="8" t="inlineStr">
        <is>
          <t>PM Compliance %</t>
        </is>
      </c>
      <c r="E25" s="8">
        <f>IFERROR(INDEX(Tbl_KPIConfig[Department],MATCH($D25,Tbl_KPIConfig[KPI Name],0)),"")</f>
        <v/>
      </c>
      <c r="F25" s="8">
        <f>IFERROR(INDEX(Tbl_KPIConfig[Unit],MATCH($D25,Tbl_KPIConfig[KPI Name],0)),"")</f>
        <v/>
      </c>
      <c r="G25" s="8">
        <f>IFERROR(INDEX(Tbl_KPIConfig[Target],MATCH($D25,Tbl_KPIConfig[KPI Name],0)),"")</f>
        <v/>
      </c>
      <c r="H25" s="8" t="n">
        <v>0.8258</v>
      </c>
      <c r="I25" s="9">
        <f>IFERROR(IF(INDEX(Tbl_KPIConfig[Direction],MATCH($D25,Tbl_KPIConfig[KPI Name],0))="Lower is Better",IF($H25=0,1,IF($G25=0,0,$G25/$H25)),IF($G25=0,1,$H25/$G25)),0)</f>
        <v/>
      </c>
      <c r="J25" s="8">
        <f>IFERROR(IF($I25&gt;=1,"Green",IF($I25&gt;=INDEX(Tbl_KPIConfig[RAG Threshold %],MATCH($D25,Tbl_KPIConfig[KPI Name],0)),"Amber","Red")),"")</f>
        <v/>
      </c>
      <c r="K25" s="10" t="inlineStr">
        <is>
          <t>Awaiting spares</t>
        </is>
      </c>
    </row>
    <row r="26">
      <c r="A26" s="11" t="n">
        <v>46177</v>
      </c>
      <c r="B26" s="12">
        <f>IF($A26="","",TEXT($A26,"mmm-yyyy"))</f>
        <v/>
      </c>
      <c r="C26" s="12">
        <f>IF($A26="","","W"&amp;WEEKNUM($A26,2))</f>
        <v/>
      </c>
      <c r="D26" s="12" t="inlineStr">
        <is>
          <t>Power Consumption (kWh)</t>
        </is>
      </c>
      <c r="E26" s="12">
        <f>IFERROR(INDEX(Tbl_KPIConfig[Department],MATCH($D26,Tbl_KPIConfig[KPI Name],0)),"")</f>
        <v/>
      </c>
      <c r="F26" s="12">
        <f>IFERROR(INDEX(Tbl_KPIConfig[Unit],MATCH($D26,Tbl_KPIConfig[KPI Name],0)),"")</f>
        <v/>
      </c>
      <c r="G26" s="12">
        <f>IFERROR(INDEX(Tbl_KPIConfig[Target],MATCH($D26,Tbl_KPIConfig[KPI Name],0)),"")</f>
        <v/>
      </c>
      <c r="H26" s="12" t="n">
        <v>4202.91</v>
      </c>
      <c r="I26" s="13">
        <f>IFERROR(IF(INDEX(Tbl_KPIConfig[Direction],MATCH($D26,Tbl_KPIConfig[KPI Name],0))="Lower is Better",IF($H26=0,1,IF($G26=0,0,$G26/$H26)),IF($G26=0,1,$H26/$G26)),0)</f>
        <v/>
      </c>
      <c r="J26" s="12">
        <f>IFERROR(IF($I26&gt;=1,"Green",IF($I26&gt;=INDEX(Tbl_KPIConfig[RAG Threshold %],MATCH($D26,Tbl_KPIConfig[KPI Name],0)),"Amber","Red")),"")</f>
        <v/>
      </c>
      <c r="K26" s="14" t="inlineStr">
        <is>
          <t>Line changeover impact</t>
        </is>
      </c>
    </row>
    <row r="27">
      <c r="A27" s="7" t="n">
        <v>46177</v>
      </c>
      <c r="B27" s="8">
        <f>IF($A27="","",TEXT($A27,"mmm-yyyy"))</f>
        <v/>
      </c>
      <c r="C27" s="8">
        <f>IF($A27="","","W"&amp;WEEKNUM($A27,2))</f>
        <v/>
      </c>
      <c r="D27" s="8" t="inlineStr">
        <is>
          <t>On-Time Dispatch %</t>
        </is>
      </c>
      <c r="E27" s="8">
        <f>IFERROR(INDEX(Tbl_KPIConfig[Department],MATCH($D27,Tbl_KPIConfig[KPI Name],0)),"")</f>
        <v/>
      </c>
      <c r="F27" s="8">
        <f>IFERROR(INDEX(Tbl_KPIConfig[Unit],MATCH($D27,Tbl_KPIConfig[KPI Name],0)),"")</f>
        <v/>
      </c>
      <c r="G27" s="8">
        <f>IFERROR(INDEX(Tbl_KPIConfig[Target],MATCH($D27,Tbl_KPIConfig[KPI Name],0)),"")</f>
        <v/>
      </c>
      <c r="H27" s="8" t="n">
        <v>0.8746</v>
      </c>
      <c r="I27" s="9">
        <f>IFERROR(IF(INDEX(Tbl_KPIConfig[Direction],MATCH($D27,Tbl_KPIConfig[KPI Name],0))="Lower is Better",IF($H27=0,1,IF($G27=0,0,$G27/$H27)),IF($G27=0,1,$H27/$G27)),0)</f>
        <v/>
      </c>
      <c r="J27" s="8">
        <f>IFERROR(IF($I27&gt;=1,"Green",IF($I27&gt;=INDEX(Tbl_KPIConfig[RAG Threshold %],MATCH($D27,Tbl_KPIConfig[KPI Name],0)),"Amber","Red")),"")</f>
        <v/>
      </c>
      <c r="K27" s="10" t="inlineStr"/>
    </row>
    <row r="28">
      <c r="A28" s="11" t="n">
        <v>46177</v>
      </c>
      <c r="B28" s="12">
        <f>IF($A28="","",TEXT($A28,"mmm-yyyy"))</f>
        <v/>
      </c>
      <c r="C28" s="12">
        <f>IF($A28="","","W"&amp;WEEKNUM($A28,2))</f>
        <v/>
      </c>
      <c r="D28" s="12" t="inlineStr">
        <is>
          <t>Inventory Accuracy %</t>
        </is>
      </c>
      <c r="E28" s="12">
        <f>IFERROR(INDEX(Tbl_KPIConfig[Department],MATCH($D28,Tbl_KPIConfig[KPI Name],0)),"")</f>
        <v/>
      </c>
      <c r="F28" s="12">
        <f>IFERROR(INDEX(Tbl_KPIConfig[Unit],MATCH($D28,Tbl_KPIConfig[KPI Name],0)),"")</f>
        <v/>
      </c>
      <c r="G28" s="12">
        <f>IFERROR(INDEX(Tbl_KPIConfig[Target],MATCH($D28,Tbl_KPIConfig[KPI Name],0)),"")</f>
        <v/>
      </c>
      <c r="H28" s="12" t="n">
        <v>0.66</v>
      </c>
      <c r="I28" s="13">
        <f>IFERROR(IF(INDEX(Tbl_KPIConfig[Direction],MATCH($D28,Tbl_KPIConfig[KPI Name],0))="Lower is Better",IF($H28=0,1,IF($G28=0,0,$G28/$H28)),IF($G28=0,1,$H28/$G28)),0)</f>
        <v/>
      </c>
      <c r="J28" s="12">
        <f>IFERROR(IF($I28&gt;=1,"Green",IF($I28&gt;=INDEX(Tbl_KPIConfig[RAG Threshold %],MATCH($D28,Tbl_KPIConfig[KPI Name],0)),"Amber","Red")),"")</f>
        <v/>
      </c>
      <c r="K28" s="14" t="inlineStr">
        <is>
          <t>Manpower shortage</t>
        </is>
      </c>
    </row>
    <row r="29">
      <c r="A29" s="7" t="n">
        <v>46177</v>
      </c>
      <c r="B29" s="8">
        <f>IF($A29="","",TEXT($A29,"mmm-yyyy"))</f>
        <v/>
      </c>
      <c r="C29" s="8">
        <f>IF($A29="","","W"&amp;WEEKNUM($A29,2))</f>
        <v/>
      </c>
      <c r="D29" s="8" t="inlineStr">
        <is>
          <t>Absenteeism %</t>
        </is>
      </c>
      <c r="E29" s="8">
        <f>IFERROR(INDEX(Tbl_KPIConfig[Department],MATCH($D29,Tbl_KPIConfig[KPI Name],0)),"")</f>
        <v/>
      </c>
      <c r="F29" s="8">
        <f>IFERROR(INDEX(Tbl_KPIConfig[Unit],MATCH($D29,Tbl_KPIConfig[KPI Name],0)),"")</f>
        <v/>
      </c>
      <c r="G29" s="8">
        <f>IFERROR(INDEX(Tbl_KPIConfig[Target],MATCH($D29,Tbl_KPIConfig[KPI Name],0)),"")</f>
        <v/>
      </c>
      <c r="H29" s="8" t="n">
        <v>0.0301</v>
      </c>
      <c r="I29" s="9">
        <f>IFERROR(IF(INDEX(Tbl_KPIConfig[Direction],MATCH($D29,Tbl_KPIConfig[KPI Name],0))="Lower is Better",IF($H29=0,1,IF($G29=0,0,$G29/$H29)),IF($G29=0,1,$H29/$G29)),0)</f>
        <v/>
      </c>
      <c r="J29" s="8">
        <f>IFERROR(IF($I29&gt;=1,"Green",IF($I29&gt;=INDEX(Tbl_KPIConfig[RAG Threshold %],MATCH($D29,Tbl_KPIConfig[KPI Name],0)),"Amber","Red")),"")</f>
        <v/>
      </c>
      <c r="K29" s="10" t="inlineStr"/>
    </row>
    <row r="30">
      <c r="A30" s="11" t="n">
        <v>46177</v>
      </c>
      <c r="B30" s="12">
        <f>IF($A30="","",TEXT($A30,"mmm-yyyy"))</f>
        <v/>
      </c>
      <c r="C30" s="12">
        <f>IF($A30="","","W"&amp;WEEKNUM($A30,2))</f>
        <v/>
      </c>
      <c r="D30" s="12" t="inlineStr">
        <is>
          <t>Training Hours</t>
        </is>
      </c>
      <c r="E30" s="12">
        <f>IFERROR(INDEX(Tbl_KPIConfig[Department],MATCH($D30,Tbl_KPIConfig[KPI Name],0)),"")</f>
        <v/>
      </c>
      <c r="F30" s="12">
        <f>IFERROR(INDEX(Tbl_KPIConfig[Unit],MATCH($D30,Tbl_KPIConfig[KPI Name],0)),"")</f>
        <v/>
      </c>
      <c r="G30" s="12">
        <f>IFERROR(INDEX(Tbl_KPIConfig[Target],MATCH($D30,Tbl_KPIConfig[KPI Name],0)),"")</f>
        <v/>
      </c>
      <c r="H30" s="12" t="n">
        <v>1.86</v>
      </c>
      <c r="I30" s="13">
        <f>IFERROR(IF(INDEX(Tbl_KPIConfig[Direction],MATCH($D30,Tbl_KPIConfig[KPI Name],0))="Lower is Better",IF($H30=0,1,IF($G30=0,0,$G30/$H30)),IF($G30=0,1,$H30/$G30)),0)</f>
        <v/>
      </c>
      <c r="J30" s="12">
        <f>IFERROR(IF($I30&gt;=1,"Green",IF($I30&gt;=INDEX(Tbl_KPIConfig[RAG Threshold %],MATCH($D30,Tbl_KPIConfig[KPI Name],0)),"Amber","Red")),"")</f>
        <v/>
      </c>
      <c r="K30" s="14" t="inlineStr">
        <is>
          <t>Within normal range</t>
        </is>
      </c>
    </row>
    <row r="31">
      <c r="A31" s="7" t="n">
        <v>46177</v>
      </c>
      <c r="B31" s="8">
        <f>IF($A31="","",TEXT($A31,"mmm-yyyy"))</f>
        <v/>
      </c>
      <c r="C31" s="8">
        <f>IF($A31="","","W"&amp;WEEKNUM($A31,2))</f>
        <v/>
      </c>
      <c r="D31" s="8" t="inlineStr">
        <is>
          <t>Milestone Adherence %</t>
        </is>
      </c>
      <c r="E31" s="8">
        <f>IFERROR(INDEX(Tbl_KPIConfig[Department],MATCH($D31,Tbl_KPIConfig[KPI Name],0)),"")</f>
        <v/>
      </c>
      <c r="F31" s="8">
        <f>IFERROR(INDEX(Tbl_KPIConfig[Unit],MATCH($D31,Tbl_KPIConfig[KPI Name],0)),"")</f>
        <v/>
      </c>
      <c r="G31" s="8">
        <f>IFERROR(INDEX(Tbl_KPIConfig[Target],MATCH($D31,Tbl_KPIConfig[KPI Name],0)),"")</f>
        <v/>
      </c>
      <c r="H31" s="8" t="n">
        <v>0.8097</v>
      </c>
      <c r="I31" s="9">
        <f>IFERROR(IF(INDEX(Tbl_KPIConfig[Direction],MATCH($D31,Tbl_KPIConfig[KPI Name],0))="Lower is Better",IF($H31=0,1,IF($G31=0,0,$G31/$H31)),IF($G31=0,1,$H31/$G31)),0)</f>
        <v/>
      </c>
      <c r="J31" s="8">
        <f>IFERROR(IF($I31&gt;=1,"Green",IF($I31&gt;=INDEX(Tbl_KPIConfig[RAG Threshold %],MATCH($D31,Tbl_KPIConfig[KPI Name],0)),"Amber","Red")),"")</f>
        <v/>
      </c>
      <c r="K31" s="10" t="inlineStr">
        <is>
          <t>Awaiting spares</t>
        </is>
      </c>
    </row>
    <row r="32">
      <c r="A32" s="11" t="n">
        <v>46177</v>
      </c>
      <c r="B32" s="12">
        <f>IF($A32="","",TEXT($A32,"mmm-yyyy"))</f>
        <v/>
      </c>
      <c r="C32" s="12">
        <f>IF($A32="","","W"&amp;WEEKNUM($A32,2))</f>
        <v/>
      </c>
      <c r="D32" s="12" t="inlineStr">
        <is>
          <t>Breakdown Resolution (Hrs)</t>
        </is>
      </c>
      <c r="E32" s="12">
        <f>IFERROR(INDEX(Tbl_KPIConfig[Department],MATCH($D32,Tbl_KPIConfig[KPI Name],0)),"")</f>
        <v/>
      </c>
      <c r="F32" s="12">
        <f>IFERROR(INDEX(Tbl_KPIConfig[Unit],MATCH($D32,Tbl_KPIConfig[KPI Name],0)),"")</f>
        <v/>
      </c>
      <c r="G32" s="12">
        <f>IFERROR(INDEX(Tbl_KPIConfig[Target],MATCH($D32,Tbl_KPIConfig[KPI Name],0)),"")</f>
        <v/>
      </c>
      <c r="H32" s="12" t="n">
        <v>1.64</v>
      </c>
      <c r="I32" s="13">
        <f>IFERROR(IF(INDEX(Tbl_KPIConfig[Direction],MATCH($D32,Tbl_KPIConfig[KPI Name],0))="Lower is Better",IF($H32=0,1,IF($G32=0,0,$G32/$H32)),IF($G32=0,1,$H32/$G32)),0)</f>
        <v/>
      </c>
      <c r="J32" s="12">
        <f>IFERROR(IF($I32&gt;=1,"Green",IF($I32&gt;=INDEX(Tbl_KPIConfig[RAG Threshold %],MATCH($D32,Tbl_KPIConfig[KPI Name],0)),"Amber","Red")),"")</f>
        <v/>
      </c>
      <c r="K32" s="14" t="inlineStr">
        <is>
          <t>Awaiting spares</t>
        </is>
      </c>
    </row>
    <row r="33">
      <c r="A33" s="7" t="n">
        <v>46178</v>
      </c>
      <c r="B33" s="8">
        <f>IF($A33="","",TEXT($A33,"mmm-yyyy"))</f>
        <v/>
      </c>
      <c r="C33" s="8">
        <f>IF($A33="","","W"&amp;WEEKNUM($A33,2))</f>
        <v/>
      </c>
      <c r="D33" s="8" t="inlineStr">
        <is>
          <t>Safety Incidents (LTI)</t>
        </is>
      </c>
      <c r="E33" s="8">
        <f>IFERROR(INDEX(Tbl_KPIConfig[Department],MATCH($D33,Tbl_KPIConfig[KPI Name],0)),"")</f>
        <v/>
      </c>
      <c r="F33" s="8">
        <f>IFERROR(INDEX(Tbl_KPIConfig[Unit],MATCH($D33,Tbl_KPIConfig[KPI Name],0)),"")</f>
        <v/>
      </c>
      <c r="G33" s="8">
        <f>IFERROR(INDEX(Tbl_KPIConfig[Target],MATCH($D33,Tbl_KPIConfig[KPI Name],0)),"")</f>
        <v/>
      </c>
      <c r="H33" s="8" t="n">
        <v>0</v>
      </c>
      <c r="I33" s="9">
        <f>IFERROR(IF(INDEX(Tbl_KPIConfig[Direction],MATCH($D33,Tbl_KPIConfig[KPI Name],0))="Lower is Better",IF($H33=0,1,IF($G33=0,0,$G33/$H33)),IF($G33=0,1,$H33/$G33)),0)</f>
        <v/>
      </c>
      <c r="J33" s="8">
        <f>IFERROR(IF($I33&gt;=1,"Green",IF($I33&gt;=INDEX(Tbl_KPIConfig[RAG Threshold %],MATCH($D33,Tbl_KPIConfig[KPI Name],0)),"Amber","Red")),"")</f>
        <v/>
      </c>
      <c r="K33" s="10" t="inlineStr">
        <is>
          <t>Process improvement in progress</t>
        </is>
      </c>
    </row>
    <row r="34">
      <c r="A34" s="11" t="n">
        <v>46178</v>
      </c>
      <c r="B34" s="12">
        <f>IF($A34="","",TEXT($A34,"mmm-yyyy"))</f>
        <v/>
      </c>
      <c r="C34" s="12">
        <f>IF($A34="","","W"&amp;WEEKNUM($A34,2))</f>
        <v/>
      </c>
      <c r="D34" s="12" t="inlineStr">
        <is>
          <t>Near Miss Reports</t>
        </is>
      </c>
      <c r="E34" s="12">
        <f>IFERROR(INDEX(Tbl_KPIConfig[Department],MATCH($D34,Tbl_KPIConfig[KPI Name],0)),"")</f>
        <v/>
      </c>
      <c r="F34" s="12">
        <f>IFERROR(INDEX(Tbl_KPIConfig[Unit],MATCH($D34,Tbl_KPIConfig[KPI Name],0)),"")</f>
        <v/>
      </c>
      <c r="G34" s="12">
        <f>IFERROR(INDEX(Tbl_KPIConfig[Target],MATCH($D34,Tbl_KPIConfig[KPI Name],0)),"")</f>
        <v/>
      </c>
      <c r="H34" s="12" t="n">
        <v>2</v>
      </c>
      <c r="I34" s="13">
        <f>IFERROR(IF(INDEX(Tbl_KPIConfig[Direction],MATCH($D34,Tbl_KPIConfig[KPI Name],0))="Lower is Better",IF($H34=0,1,IF($G34=0,0,$G34/$H34)),IF($G34=0,1,$H34/$G34)),0)</f>
        <v/>
      </c>
      <c r="J34" s="12">
        <f>IFERROR(IF($I34&gt;=1,"Green",IF($I34&gt;=INDEX(Tbl_KPIConfig[RAG Threshold %],MATCH($D34,Tbl_KPIConfig[KPI Name],0)),"Amber","Red")),"")</f>
        <v/>
      </c>
      <c r="K34" s="14" t="inlineStr"/>
    </row>
    <row r="35">
      <c r="A35" s="7" t="n">
        <v>46178</v>
      </c>
      <c r="B35" s="8">
        <f>IF($A35="","",TEXT($A35,"mmm-yyyy"))</f>
        <v/>
      </c>
      <c r="C35" s="8">
        <f>IF($A35="","","W"&amp;WEEKNUM($A35,2))</f>
        <v/>
      </c>
      <c r="D35" s="8" t="inlineStr">
        <is>
          <t>Production Output</t>
        </is>
      </c>
      <c r="E35" s="8">
        <f>IFERROR(INDEX(Tbl_KPIConfig[Department],MATCH($D35,Tbl_KPIConfig[KPI Name],0)),"")</f>
        <v/>
      </c>
      <c r="F35" s="8">
        <f>IFERROR(INDEX(Tbl_KPIConfig[Unit],MATCH($D35,Tbl_KPIConfig[KPI Name],0)),"")</f>
        <v/>
      </c>
      <c r="G35" s="8">
        <f>IFERROR(INDEX(Tbl_KPIConfig[Target],MATCH($D35,Tbl_KPIConfig[KPI Name],0)),"")</f>
        <v/>
      </c>
      <c r="H35" s="8" t="n">
        <v>778.92</v>
      </c>
      <c r="I35" s="9">
        <f>IFERROR(IF(INDEX(Tbl_KPIConfig[Direction],MATCH($D35,Tbl_KPIConfig[KPI Name],0))="Lower is Better",IF($H35=0,1,IF($G35=0,0,$G35/$H35)),IF($G35=0,1,$H35/$G35)),0)</f>
        <v/>
      </c>
      <c r="J35" s="8">
        <f>IFERROR(IF($I35&gt;=1,"Green",IF($I35&gt;=INDEX(Tbl_KPIConfig[RAG Threshold %],MATCH($D35,Tbl_KPIConfig[KPI Name],0)),"Amber","Red")),"")</f>
        <v/>
      </c>
      <c r="K35" s="10" t="inlineStr">
        <is>
          <t>Manpower shortage</t>
        </is>
      </c>
    </row>
    <row r="36">
      <c r="A36" s="11" t="n">
        <v>46178</v>
      </c>
      <c r="B36" s="12">
        <f>IF($A36="","",TEXT($A36,"mmm-yyyy"))</f>
        <v/>
      </c>
      <c r="C36" s="12">
        <f>IF($A36="","","W"&amp;WEEKNUM($A36,2))</f>
        <v/>
      </c>
      <c r="D36" s="12" t="inlineStr">
        <is>
          <t>OEE %</t>
        </is>
      </c>
      <c r="E36" s="12">
        <f>IFERROR(INDEX(Tbl_KPIConfig[Department],MATCH($D36,Tbl_KPIConfig[KPI Name],0)),"")</f>
        <v/>
      </c>
      <c r="F36" s="12">
        <f>IFERROR(INDEX(Tbl_KPIConfig[Unit],MATCH($D36,Tbl_KPIConfig[KPI Name],0)),"")</f>
        <v/>
      </c>
      <c r="G36" s="12">
        <f>IFERROR(INDEX(Tbl_KPIConfig[Target],MATCH($D36,Tbl_KPIConfig[KPI Name],0)),"")</f>
        <v/>
      </c>
      <c r="H36" s="12" t="n">
        <v>0.9031</v>
      </c>
      <c r="I36" s="13">
        <f>IFERROR(IF(INDEX(Tbl_KPIConfig[Direction],MATCH($D36,Tbl_KPIConfig[KPI Name],0))="Lower is Better",IF($H36=0,1,IF($G36=0,0,$G36/$H36)),IF($G36=0,1,$H36/$G36)),0)</f>
        <v/>
      </c>
      <c r="J36" s="12">
        <f>IFERROR(IF($I36&gt;=1,"Green",IF($I36&gt;=INDEX(Tbl_KPIConfig[RAG Threshold %],MATCH($D36,Tbl_KPIConfig[KPI Name],0)),"Amber","Red")),"")</f>
        <v/>
      </c>
      <c r="K36" s="14" t="inlineStr">
        <is>
          <t>Vendor delay</t>
        </is>
      </c>
    </row>
    <row r="37">
      <c r="A37" s="7" t="n">
        <v>46178</v>
      </c>
      <c r="B37" s="8">
        <f>IF($A37="","",TEXT($A37,"mmm-yyyy"))</f>
        <v/>
      </c>
      <c r="C37" s="8">
        <f>IF($A37="","","W"&amp;WEEKNUM($A37,2))</f>
        <v/>
      </c>
      <c r="D37" s="8" t="inlineStr">
        <is>
          <t>Defect Rate %</t>
        </is>
      </c>
      <c r="E37" s="8">
        <f>IFERROR(INDEX(Tbl_KPIConfig[Department],MATCH($D37,Tbl_KPIConfig[KPI Name],0)),"")</f>
        <v/>
      </c>
      <c r="F37" s="8">
        <f>IFERROR(INDEX(Tbl_KPIConfig[Unit],MATCH($D37,Tbl_KPIConfig[KPI Name],0)),"")</f>
        <v/>
      </c>
      <c r="G37" s="8">
        <f>IFERROR(INDEX(Tbl_KPIConfig[Target],MATCH($D37,Tbl_KPIConfig[KPI Name],0)),"")</f>
        <v/>
      </c>
      <c r="H37" s="8" t="n">
        <v>0.0196</v>
      </c>
      <c r="I37" s="9">
        <f>IFERROR(IF(INDEX(Tbl_KPIConfig[Direction],MATCH($D37,Tbl_KPIConfig[KPI Name],0))="Lower is Better",IF($H37=0,1,IF($G37=0,0,$G37/$H37)),IF($G37=0,1,$H37/$G37)),0)</f>
        <v/>
      </c>
      <c r="J37" s="8">
        <f>IFERROR(IF($I37&gt;=1,"Green",IF($I37&gt;=INDEX(Tbl_KPIConfig[RAG Threshold %],MATCH($D37,Tbl_KPIConfig[KPI Name],0)),"Amber","Red")),"")</f>
        <v/>
      </c>
      <c r="K37" s="10" t="inlineStr">
        <is>
          <t>Process improvement in progress</t>
        </is>
      </c>
    </row>
    <row r="38">
      <c r="A38" s="11" t="n">
        <v>46178</v>
      </c>
      <c r="B38" s="12">
        <f>IF($A38="","",TEXT($A38,"mmm-yyyy"))</f>
        <v/>
      </c>
      <c r="C38" s="12">
        <f>IF($A38="","","W"&amp;WEEKNUM($A38,2))</f>
        <v/>
      </c>
      <c r="D38" s="12" t="inlineStr">
        <is>
          <t>Customer Complaints</t>
        </is>
      </c>
      <c r="E38" s="12">
        <f>IFERROR(INDEX(Tbl_KPIConfig[Department],MATCH($D38,Tbl_KPIConfig[KPI Name],0)),"")</f>
        <v/>
      </c>
      <c r="F38" s="12">
        <f>IFERROR(INDEX(Tbl_KPIConfig[Unit],MATCH($D38,Tbl_KPIConfig[KPI Name],0)),"")</f>
        <v/>
      </c>
      <c r="G38" s="12">
        <f>IFERROR(INDEX(Tbl_KPIConfig[Target],MATCH($D38,Tbl_KPIConfig[KPI Name],0)),"")</f>
        <v/>
      </c>
      <c r="H38" s="12" t="n">
        <v>0</v>
      </c>
      <c r="I38" s="13">
        <f>IFERROR(IF(INDEX(Tbl_KPIConfig[Direction],MATCH($D38,Tbl_KPIConfig[KPI Name],0))="Lower is Better",IF($H38=0,1,IF($G38=0,0,$G38/$H38)),IF($G38=0,1,$H38/$G38)),0)</f>
        <v/>
      </c>
      <c r="J38" s="12">
        <f>IFERROR(IF($I38&gt;=1,"Green",IF($I38&gt;=INDEX(Tbl_KPIConfig[RAG Threshold %],MATCH($D38,Tbl_KPIConfig[KPI Name],0)),"Amber","Red")),"")</f>
        <v/>
      </c>
      <c r="K38" s="14" t="inlineStr">
        <is>
          <t>Line changeover impact</t>
        </is>
      </c>
    </row>
    <row r="39">
      <c r="A39" s="7" t="n">
        <v>46178</v>
      </c>
      <c r="B39" s="8">
        <f>IF($A39="","",TEXT($A39,"mmm-yyyy"))</f>
        <v/>
      </c>
      <c r="C39" s="8">
        <f>IF($A39="","","W"&amp;WEEKNUM($A39,2))</f>
        <v/>
      </c>
      <c r="D39" s="8" t="inlineStr">
        <is>
          <t>Unplanned Downtime (Hrs)</t>
        </is>
      </c>
      <c r="E39" s="8">
        <f>IFERROR(INDEX(Tbl_KPIConfig[Department],MATCH($D39,Tbl_KPIConfig[KPI Name],0)),"")</f>
        <v/>
      </c>
      <c r="F39" s="8">
        <f>IFERROR(INDEX(Tbl_KPIConfig[Unit],MATCH($D39,Tbl_KPIConfig[KPI Name],0)),"")</f>
        <v/>
      </c>
      <c r="G39" s="8">
        <f>IFERROR(INDEX(Tbl_KPIConfig[Target],MATCH($D39,Tbl_KPIConfig[KPI Name],0)),"")</f>
        <v/>
      </c>
      <c r="H39" s="8" t="n">
        <v>1.22</v>
      </c>
      <c r="I39" s="9">
        <f>IFERROR(IF(INDEX(Tbl_KPIConfig[Direction],MATCH($D39,Tbl_KPIConfig[KPI Name],0))="Lower is Better",IF($H39=0,1,IF($G39=0,0,$G39/$H39)),IF($G39=0,1,$H39/$G39)),0)</f>
        <v/>
      </c>
      <c r="J39" s="8">
        <f>IFERROR(IF($I39&gt;=1,"Green",IF($I39&gt;=INDEX(Tbl_KPIConfig[RAG Threshold %],MATCH($D39,Tbl_KPIConfig[KPI Name],0)),"Amber","Red")),"")</f>
        <v/>
      </c>
      <c r="K39" s="10" t="inlineStr">
        <is>
          <t>Awaiting spares</t>
        </is>
      </c>
    </row>
    <row r="40">
      <c r="A40" s="11" t="n">
        <v>46178</v>
      </c>
      <c r="B40" s="12">
        <f>IF($A40="","",TEXT($A40,"mmm-yyyy"))</f>
        <v/>
      </c>
      <c r="C40" s="12">
        <f>IF($A40="","","W"&amp;WEEKNUM($A40,2))</f>
        <v/>
      </c>
      <c r="D40" s="12" t="inlineStr">
        <is>
          <t>PM Compliance %</t>
        </is>
      </c>
      <c r="E40" s="12">
        <f>IFERROR(INDEX(Tbl_KPIConfig[Department],MATCH($D40,Tbl_KPIConfig[KPI Name],0)),"")</f>
        <v/>
      </c>
      <c r="F40" s="12">
        <f>IFERROR(INDEX(Tbl_KPIConfig[Unit],MATCH($D40,Tbl_KPIConfig[KPI Name],0)),"")</f>
        <v/>
      </c>
      <c r="G40" s="12">
        <f>IFERROR(INDEX(Tbl_KPIConfig[Target],MATCH($D40,Tbl_KPIConfig[KPI Name],0)),"")</f>
        <v/>
      </c>
      <c r="H40" s="12" t="n">
        <v>0.9408</v>
      </c>
      <c r="I40" s="13">
        <f>IFERROR(IF(INDEX(Tbl_KPIConfig[Direction],MATCH($D40,Tbl_KPIConfig[KPI Name],0))="Lower is Better",IF($H40=0,1,IF($G40=0,0,$G40/$H40)),IF($G40=0,1,$H40/$G40)),0)</f>
        <v/>
      </c>
      <c r="J40" s="12">
        <f>IFERROR(IF($I40&gt;=1,"Green",IF($I40&gt;=INDEX(Tbl_KPIConfig[RAG Threshold %],MATCH($D40,Tbl_KPIConfig[KPI Name],0)),"Amber","Red")),"")</f>
        <v/>
      </c>
      <c r="K40" s="14" t="inlineStr">
        <is>
          <t>Within normal range</t>
        </is>
      </c>
    </row>
    <row r="41">
      <c r="A41" s="7" t="n">
        <v>46178</v>
      </c>
      <c r="B41" s="8">
        <f>IF($A41="","",TEXT($A41,"mmm-yyyy"))</f>
        <v/>
      </c>
      <c r="C41" s="8">
        <f>IF($A41="","","W"&amp;WEEKNUM($A41,2))</f>
        <v/>
      </c>
      <c r="D41" s="8" t="inlineStr">
        <is>
          <t>Power Consumption (kWh)</t>
        </is>
      </c>
      <c r="E41" s="8">
        <f>IFERROR(INDEX(Tbl_KPIConfig[Department],MATCH($D41,Tbl_KPIConfig[KPI Name],0)),"")</f>
        <v/>
      </c>
      <c r="F41" s="8">
        <f>IFERROR(INDEX(Tbl_KPIConfig[Unit],MATCH($D41,Tbl_KPIConfig[KPI Name],0)),"")</f>
        <v/>
      </c>
      <c r="G41" s="8">
        <f>IFERROR(INDEX(Tbl_KPIConfig[Target],MATCH($D41,Tbl_KPIConfig[KPI Name],0)),"")</f>
        <v/>
      </c>
      <c r="H41" s="8" t="n">
        <v>4443.57</v>
      </c>
      <c r="I41" s="9">
        <f>IFERROR(IF(INDEX(Tbl_KPIConfig[Direction],MATCH($D41,Tbl_KPIConfig[KPI Name],0))="Lower is Better",IF($H41=0,1,IF($G41=0,0,$G41/$H41)),IF($G41=0,1,$H41/$G41)),0)</f>
        <v/>
      </c>
      <c r="J41" s="8">
        <f>IFERROR(IF($I41&gt;=1,"Green",IF($I41&gt;=INDEX(Tbl_KPIConfig[RAG Threshold %],MATCH($D41,Tbl_KPIConfig[KPI Name],0)),"Amber","Red")),"")</f>
        <v/>
      </c>
      <c r="K41" s="10" t="inlineStr">
        <is>
          <t>Preventive check done</t>
        </is>
      </c>
    </row>
    <row r="42">
      <c r="A42" s="11" t="n">
        <v>46178</v>
      </c>
      <c r="B42" s="12">
        <f>IF($A42="","",TEXT($A42,"mmm-yyyy"))</f>
        <v/>
      </c>
      <c r="C42" s="12">
        <f>IF($A42="","","W"&amp;WEEKNUM($A42,2))</f>
        <v/>
      </c>
      <c r="D42" s="12" t="inlineStr">
        <is>
          <t>On-Time Dispatch %</t>
        </is>
      </c>
      <c r="E42" s="12">
        <f>IFERROR(INDEX(Tbl_KPIConfig[Department],MATCH($D42,Tbl_KPIConfig[KPI Name],0)),"")</f>
        <v/>
      </c>
      <c r="F42" s="12">
        <f>IFERROR(INDEX(Tbl_KPIConfig[Unit],MATCH($D42,Tbl_KPIConfig[KPI Name],0)),"")</f>
        <v/>
      </c>
      <c r="G42" s="12">
        <f>IFERROR(INDEX(Tbl_KPIConfig[Target],MATCH($D42,Tbl_KPIConfig[KPI Name],0)),"")</f>
        <v/>
      </c>
      <c r="H42" s="12" t="n">
        <v>0.9288</v>
      </c>
      <c r="I42" s="13">
        <f>IFERROR(IF(INDEX(Tbl_KPIConfig[Direction],MATCH($D42,Tbl_KPIConfig[KPI Name],0))="Lower is Better",IF($H42=0,1,IF($G42=0,0,$G42/$H42)),IF($G42=0,1,$H42/$G42)),0)</f>
        <v/>
      </c>
      <c r="J42" s="12">
        <f>IFERROR(IF($I42&gt;=1,"Green",IF($I42&gt;=INDEX(Tbl_KPIConfig[RAG Threshold %],MATCH($D42,Tbl_KPIConfig[KPI Name],0)),"Amber","Red")),"")</f>
        <v/>
      </c>
      <c r="K42" s="14" t="inlineStr">
        <is>
          <t>Preventive check done</t>
        </is>
      </c>
    </row>
    <row r="43">
      <c r="A43" s="7" t="n">
        <v>46178</v>
      </c>
      <c r="B43" s="8">
        <f>IF($A43="","",TEXT($A43,"mmm-yyyy"))</f>
        <v/>
      </c>
      <c r="C43" s="8">
        <f>IF($A43="","","W"&amp;WEEKNUM($A43,2))</f>
        <v/>
      </c>
      <c r="D43" s="8" t="inlineStr">
        <is>
          <t>Inventory Accuracy %</t>
        </is>
      </c>
      <c r="E43" s="8">
        <f>IFERROR(INDEX(Tbl_KPIConfig[Department],MATCH($D43,Tbl_KPIConfig[KPI Name],0)),"")</f>
        <v/>
      </c>
      <c r="F43" s="8">
        <f>IFERROR(INDEX(Tbl_KPIConfig[Unit],MATCH($D43,Tbl_KPIConfig[KPI Name],0)),"")</f>
        <v/>
      </c>
      <c r="G43" s="8">
        <f>IFERROR(INDEX(Tbl_KPIConfig[Target],MATCH($D43,Tbl_KPIConfig[KPI Name],0)),"")</f>
        <v/>
      </c>
      <c r="H43" s="8" t="n">
        <v>1.0104</v>
      </c>
      <c r="I43" s="9">
        <f>IFERROR(IF(INDEX(Tbl_KPIConfig[Direction],MATCH($D43,Tbl_KPIConfig[KPI Name],0))="Lower is Better",IF($H43=0,1,IF($G43=0,0,$G43/$H43)),IF($G43=0,1,$H43/$G43)),0)</f>
        <v/>
      </c>
      <c r="J43" s="8">
        <f>IFERROR(IF($I43&gt;=1,"Green",IF($I43&gt;=INDEX(Tbl_KPIConfig[RAG Threshold %],MATCH($D43,Tbl_KPIConfig[KPI Name],0)),"Amber","Red")),"")</f>
        <v/>
      </c>
      <c r="K43" s="10" t="inlineStr">
        <is>
          <t>Process improvement in progress</t>
        </is>
      </c>
    </row>
    <row r="44">
      <c r="A44" s="11" t="n">
        <v>46178</v>
      </c>
      <c r="B44" s="12">
        <f>IF($A44="","",TEXT($A44,"mmm-yyyy"))</f>
        <v/>
      </c>
      <c r="C44" s="12">
        <f>IF($A44="","","W"&amp;WEEKNUM($A44,2))</f>
        <v/>
      </c>
      <c r="D44" s="12" t="inlineStr">
        <is>
          <t>Absenteeism %</t>
        </is>
      </c>
      <c r="E44" s="12">
        <f>IFERROR(INDEX(Tbl_KPIConfig[Department],MATCH($D44,Tbl_KPIConfig[KPI Name],0)),"")</f>
        <v/>
      </c>
      <c r="F44" s="12">
        <f>IFERROR(INDEX(Tbl_KPIConfig[Unit],MATCH($D44,Tbl_KPIConfig[KPI Name],0)),"")</f>
        <v/>
      </c>
      <c r="G44" s="12">
        <f>IFERROR(INDEX(Tbl_KPIConfig[Target],MATCH($D44,Tbl_KPIConfig[KPI Name],0)),"")</f>
        <v/>
      </c>
      <c r="H44" s="12" t="n">
        <v>0.0308</v>
      </c>
      <c r="I44" s="13">
        <f>IFERROR(IF(INDEX(Tbl_KPIConfig[Direction],MATCH($D44,Tbl_KPIConfig[KPI Name],0))="Lower is Better",IF($H44=0,1,IF($G44=0,0,$G44/$H44)),IF($G44=0,1,$H44/$G44)),0)</f>
        <v/>
      </c>
      <c r="J44" s="12">
        <f>IFERROR(IF($I44&gt;=1,"Green",IF($I44&gt;=INDEX(Tbl_KPIConfig[RAG Threshold %],MATCH($D44,Tbl_KPIConfig[KPI Name],0)),"Amber","Red")),"")</f>
        <v/>
      </c>
      <c r="K44" s="14" t="inlineStr">
        <is>
          <t>Process improvement in progress</t>
        </is>
      </c>
    </row>
    <row r="45">
      <c r="A45" s="7" t="n">
        <v>46178</v>
      </c>
      <c r="B45" s="8">
        <f>IF($A45="","",TEXT($A45,"mmm-yyyy"))</f>
        <v/>
      </c>
      <c r="C45" s="8">
        <f>IF($A45="","","W"&amp;WEEKNUM($A45,2))</f>
        <v/>
      </c>
      <c r="D45" s="8" t="inlineStr">
        <is>
          <t>Training Hours</t>
        </is>
      </c>
      <c r="E45" s="8">
        <f>IFERROR(INDEX(Tbl_KPIConfig[Department],MATCH($D45,Tbl_KPIConfig[KPI Name],0)),"")</f>
        <v/>
      </c>
      <c r="F45" s="8">
        <f>IFERROR(INDEX(Tbl_KPIConfig[Unit],MATCH($D45,Tbl_KPIConfig[KPI Name],0)),"")</f>
        <v/>
      </c>
      <c r="G45" s="8">
        <f>IFERROR(INDEX(Tbl_KPIConfig[Target],MATCH($D45,Tbl_KPIConfig[KPI Name],0)),"")</f>
        <v/>
      </c>
      <c r="H45" s="8" t="n">
        <v>2</v>
      </c>
      <c r="I45" s="9">
        <f>IFERROR(IF(INDEX(Tbl_KPIConfig[Direction],MATCH($D45,Tbl_KPIConfig[KPI Name],0))="Lower is Better",IF($H45=0,1,IF($G45=0,0,$G45/$H45)),IF($G45=0,1,$H45/$G45)),0)</f>
        <v/>
      </c>
      <c r="J45" s="8">
        <f>IFERROR(IF($I45&gt;=1,"Green",IF($I45&gt;=INDEX(Tbl_KPIConfig[RAG Threshold %],MATCH($D45,Tbl_KPIConfig[KPI Name],0)),"Amber","Red")),"")</f>
        <v/>
      </c>
      <c r="K45" s="10" t="inlineStr">
        <is>
          <t>Within normal range</t>
        </is>
      </c>
    </row>
    <row r="46">
      <c r="A46" s="11" t="n">
        <v>46178</v>
      </c>
      <c r="B46" s="12">
        <f>IF($A46="","",TEXT($A46,"mmm-yyyy"))</f>
        <v/>
      </c>
      <c r="C46" s="12">
        <f>IF($A46="","","W"&amp;WEEKNUM($A46,2))</f>
        <v/>
      </c>
      <c r="D46" s="12" t="inlineStr">
        <is>
          <t>Milestone Adherence %</t>
        </is>
      </c>
      <c r="E46" s="12">
        <f>IFERROR(INDEX(Tbl_KPIConfig[Department],MATCH($D46,Tbl_KPIConfig[KPI Name],0)),"")</f>
        <v/>
      </c>
      <c r="F46" s="12">
        <f>IFERROR(INDEX(Tbl_KPIConfig[Unit],MATCH($D46,Tbl_KPIConfig[KPI Name],0)),"")</f>
        <v/>
      </c>
      <c r="G46" s="12">
        <f>IFERROR(INDEX(Tbl_KPIConfig[Target],MATCH($D46,Tbl_KPIConfig[KPI Name],0)),"")</f>
        <v/>
      </c>
      <c r="H46" s="12" t="n">
        <v>1.0075</v>
      </c>
      <c r="I46" s="13">
        <f>IFERROR(IF(INDEX(Tbl_KPIConfig[Direction],MATCH($D46,Tbl_KPIConfig[KPI Name],0))="Lower is Better",IF($H46=0,1,IF($G46=0,0,$G46/$H46)),IF($G46=0,1,$H46/$G46)),0)</f>
        <v/>
      </c>
      <c r="J46" s="12">
        <f>IFERROR(IF($I46&gt;=1,"Green",IF($I46&gt;=INDEX(Tbl_KPIConfig[RAG Threshold %],MATCH($D46,Tbl_KPIConfig[KPI Name],0)),"Amber","Red")),"")</f>
        <v/>
      </c>
      <c r="K46" s="14" t="inlineStr">
        <is>
          <t>Within normal range</t>
        </is>
      </c>
    </row>
    <row r="47">
      <c r="A47" s="7" t="n">
        <v>46178</v>
      </c>
      <c r="B47" s="8">
        <f>IF($A47="","",TEXT($A47,"mmm-yyyy"))</f>
        <v/>
      </c>
      <c r="C47" s="8">
        <f>IF($A47="","","W"&amp;WEEKNUM($A47,2))</f>
        <v/>
      </c>
      <c r="D47" s="8" t="inlineStr">
        <is>
          <t>Breakdown Resolution (Hrs)</t>
        </is>
      </c>
      <c r="E47" s="8">
        <f>IFERROR(INDEX(Tbl_KPIConfig[Department],MATCH($D47,Tbl_KPIConfig[KPI Name],0)),"")</f>
        <v/>
      </c>
      <c r="F47" s="8">
        <f>IFERROR(INDEX(Tbl_KPIConfig[Unit],MATCH($D47,Tbl_KPIConfig[KPI Name],0)),"")</f>
        <v/>
      </c>
      <c r="G47" s="8">
        <f>IFERROR(INDEX(Tbl_KPIConfig[Target],MATCH($D47,Tbl_KPIConfig[KPI Name],0)),"")</f>
        <v/>
      </c>
      <c r="H47" s="8" t="n">
        <v>2.72</v>
      </c>
      <c r="I47" s="9">
        <f>IFERROR(IF(INDEX(Tbl_KPIConfig[Direction],MATCH($D47,Tbl_KPIConfig[KPI Name],0))="Lower is Better",IF($H47=0,1,IF($G47=0,0,$G47/$H47)),IF($G47=0,1,$H47/$G47)),0)</f>
        <v/>
      </c>
      <c r="J47" s="8">
        <f>IFERROR(IF($I47&gt;=1,"Green",IF($I47&gt;=INDEX(Tbl_KPIConfig[RAG Threshold %],MATCH($D47,Tbl_KPIConfig[KPI Name],0)),"Amber","Red")),"")</f>
        <v/>
      </c>
      <c r="K47" s="10" t="inlineStr">
        <is>
          <t>Line changeover impact</t>
        </is>
      </c>
    </row>
    <row r="48">
      <c r="A48" s="11" t="n">
        <v>46179</v>
      </c>
      <c r="B48" s="12">
        <f>IF($A48="","",TEXT($A48,"mmm-yyyy"))</f>
        <v/>
      </c>
      <c r="C48" s="12">
        <f>IF($A48="","","W"&amp;WEEKNUM($A48,2))</f>
        <v/>
      </c>
      <c r="D48" s="12" t="inlineStr">
        <is>
          <t>Safety Incidents (LTI)</t>
        </is>
      </c>
      <c r="E48" s="12">
        <f>IFERROR(INDEX(Tbl_KPIConfig[Department],MATCH($D48,Tbl_KPIConfig[KPI Name],0)),"")</f>
        <v/>
      </c>
      <c r="F48" s="12">
        <f>IFERROR(INDEX(Tbl_KPIConfig[Unit],MATCH($D48,Tbl_KPIConfig[KPI Name],0)),"")</f>
        <v/>
      </c>
      <c r="G48" s="12">
        <f>IFERROR(INDEX(Tbl_KPIConfig[Target],MATCH($D48,Tbl_KPIConfig[KPI Name],0)),"")</f>
        <v/>
      </c>
      <c r="H48" s="12" t="n">
        <v>0</v>
      </c>
      <c r="I48" s="13">
        <f>IFERROR(IF(INDEX(Tbl_KPIConfig[Direction],MATCH($D48,Tbl_KPIConfig[KPI Name],0))="Lower is Better",IF($H48=0,1,IF($G48=0,0,$G48/$H48)),IF($G48=0,1,$H48/$G48)),0)</f>
        <v/>
      </c>
      <c r="J48" s="12">
        <f>IFERROR(IF($I48&gt;=1,"Green",IF($I48&gt;=INDEX(Tbl_KPIConfig[RAG Threshold %],MATCH($D48,Tbl_KPIConfig[KPI Name],0)),"Amber","Red")),"")</f>
        <v/>
      </c>
      <c r="K48" s="14" t="inlineStr">
        <is>
          <t>Process improvement in progress</t>
        </is>
      </c>
    </row>
    <row r="49">
      <c r="A49" s="7" t="n">
        <v>46179</v>
      </c>
      <c r="B49" s="8">
        <f>IF($A49="","",TEXT($A49,"mmm-yyyy"))</f>
        <v/>
      </c>
      <c r="C49" s="8">
        <f>IF($A49="","","W"&amp;WEEKNUM($A49,2))</f>
        <v/>
      </c>
      <c r="D49" s="8" t="inlineStr">
        <is>
          <t>Near Miss Reports</t>
        </is>
      </c>
      <c r="E49" s="8">
        <f>IFERROR(INDEX(Tbl_KPIConfig[Department],MATCH($D49,Tbl_KPIConfig[KPI Name],0)),"")</f>
        <v/>
      </c>
      <c r="F49" s="8">
        <f>IFERROR(INDEX(Tbl_KPIConfig[Unit],MATCH($D49,Tbl_KPIConfig[KPI Name],0)),"")</f>
        <v/>
      </c>
      <c r="G49" s="8">
        <f>IFERROR(INDEX(Tbl_KPIConfig[Target],MATCH($D49,Tbl_KPIConfig[KPI Name],0)),"")</f>
        <v/>
      </c>
      <c r="H49" s="8" t="n">
        <v>2</v>
      </c>
      <c r="I49" s="9">
        <f>IFERROR(IF(INDEX(Tbl_KPIConfig[Direction],MATCH($D49,Tbl_KPIConfig[KPI Name],0))="Lower is Better",IF($H49=0,1,IF($G49=0,0,$G49/$H49)),IF($G49=0,1,$H49/$G49)),0)</f>
        <v/>
      </c>
      <c r="J49" s="8">
        <f>IFERROR(IF($I49&gt;=1,"Green",IF($I49&gt;=INDEX(Tbl_KPIConfig[RAG Threshold %],MATCH($D49,Tbl_KPIConfig[KPI Name],0)),"Amber","Red")),"")</f>
        <v/>
      </c>
      <c r="K49" s="10" t="inlineStr">
        <is>
          <t>Process improvement in progress</t>
        </is>
      </c>
    </row>
    <row r="50">
      <c r="A50" s="11" t="n">
        <v>46179</v>
      </c>
      <c r="B50" s="12">
        <f>IF($A50="","",TEXT($A50,"mmm-yyyy"))</f>
        <v/>
      </c>
      <c r="C50" s="12">
        <f>IF($A50="","","W"&amp;WEEKNUM($A50,2))</f>
        <v/>
      </c>
      <c r="D50" s="12" t="inlineStr">
        <is>
          <t>Production Output</t>
        </is>
      </c>
      <c r="E50" s="12">
        <f>IFERROR(INDEX(Tbl_KPIConfig[Department],MATCH($D50,Tbl_KPIConfig[KPI Name],0)),"")</f>
        <v/>
      </c>
      <c r="F50" s="12">
        <f>IFERROR(INDEX(Tbl_KPIConfig[Unit],MATCH($D50,Tbl_KPIConfig[KPI Name],0)),"")</f>
        <v/>
      </c>
      <c r="G50" s="12">
        <f>IFERROR(INDEX(Tbl_KPIConfig[Target],MATCH($D50,Tbl_KPIConfig[KPI Name],0)),"")</f>
        <v/>
      </c>
      <c r="H50" s="12" t="n">
        <v>926.87</v>
      </c>
      <c r="I50" s="13">
        <f>IFERROR(IF(INDEX(Tbl_KPIConfig[Direction],MATCH($D50,Tbl_KPIConfig[KPI Name],0))="Lower is Better",IF($H50=0,1,IF($G50=0,0,$G50/$H50)),IF($G50=0,1,$H50/$G50)),0)</f>
        <v/>
      </c>
      <c r="J50" s="12">
        <f>IFERROR(IF($I50&gt;=1,"Green",IF($I50&gt;=INDEX(Tbl_KPIConfig[RAG Threshold %],MATCH($D50,Tbl_KPIConfig[KPI Name],0)),"Amber","Red")),"")</f>
        <v/>
      </c>
      <c r="K50" s="14" t="inlineStr">
        <is>
          <t>Awaiting spares</t>
        </is>
      </c>
    </row>
    <row r="51">
      <c r="A51" s="7" t="n">
        <v>46179</v>
      </c>
      <c r="B51" s="8">
        <f>IF($A51="","",TEXT($A51,"mmm-yyyy"))</f>
        <v/>
      </c>
      <c r="C51" s="8">
        <f>IF($A51="","","W"&amp;WEEKNUM($A51,2))</f>
        <v/>
      </c>
      <c r="D51" s="8" t="inlineStr">
        <is>
          <t>OEE %</t>
        </is>
      </c>
      <c r="E51" s="8">
        <f>IFERROR(INDEX(Tbl_KPIConfig[Department],MATCH($D51,Tbl_KPIConfig[KPI Name],0)),"")</f>
        <v/>
      </c>
      <c r="F51" s="8">
        <f>IFERROR(INDEX(Tbl_KPIConfig[Unit],MATCH($D51,Tbl_KPIConfig[KPI Name],0)),"")</f>
        <v/>
      </c>
      <c r="G51" s="8">
        <f>IFERROR(INDEX(Tbl_KPIConfig[Target],MATCH($D51,Tbl_KPIConfig[KPI Name],0)),"")</f>
        <v/>
      </c>
      <c r="H51" s="8" t="n">
        <v>1.0416</v>
      </c>
      <c r="I51" s="9">
        <f>IFERROR(IF(INDEX(Tbl_KPIConfig[Direction],MATCH($D51,Tbl_KPIConfig[KPI Name],0))="Lower is Better",IF($H51=0,1,IF($G51=0,0,$G51/$H51)),IF($G51=0,1,$H51/$G51)),0)</f>
        <v/>
      </c>
      <c r="J51" s="8">
        <f>IFERROR(IF($I51&gt;=1,"Green",IF($I51&gt;=INDEX(Tbl_KPIConfig[RAG Threshold %],MATCH($D51,Tbl_KPIConfig[KPI Name],0)),"Amber","Red")),"")</f>
        <v/>
      </c>
      <c r="K51" s="10" t="inlineStr">
        <is>
          <t>Preventive check done</t>
        </is>
      </c>
    </row>
    <row r="52">
      <c r="A52" s="11" t="n">
        <v>46179</v>
      </c>
      <c r="B52" s="12">
        <f>IF($A52="","",TEXT($A52,"mmm-yyyy"))</f>
        <v/>
      </c>
      <c r="C52" s="12">
        <f>IF($A52="","","W"&amp;WEEKNUM($A52,2))</f>
        <v/>
      </c>
      <c r="D52" s="12" t="inlineStr">
        <is>
          <t>Defect Rate %</t>
        </is>
      </c>
      <c r="E52" s="12">
        <f>IFERROR(INDEX(Tbl_KPIConfig[Department],MATCH($D52,Tbl_KPIConfig[KPI Name],0)),"")</f>
        <v/>
      </c>
      <c r="F52" s="12">
        <f>IFERROR(INDEX(Tbl_KPIConfig[Unit],MATCH($D52,Tbl_KPIConfig[KPI Name],0)),"")</f>
        <v/>
      </c>
      <c r="G52" s="12">
        <f>IFERROR(INDEX(Tbl_KPIConfig[Target],MATCH($D52,Tbl_KPIConfig[KPI Name],0)),"")</f>
        <v/>
      </c>
      <c r="H52" s="12" t="n">
        <v>0.016</v>
      </c>
      <c r="I52" s="13">
        <f>IFERROR(IF(INDEX(Tbl_KPIConfig[Direction],MATCH($D52,Tbl_KPIConfig[KPI Name],0))="Lower is Better",IF($H52=0,1,IF($G52=0,0,$G52/$H52)),IF($G52=0,1,$H52/$G52)),0)</f>
        <v/>
      </c>
      <c r="J52" s="12">
        <f>IFERROR(IF($I52&gt;=1,"Green",IF($I52&gt;=INDEX(Tbl_KPIConfig[RAG Threshold %],MATCH($D52,Tbl_KPIConfig[KPI Name],0)),"Amber","Red")),"")</f>
        <v/>
      </c>
      <c r="K52" s="14" t="inlineStr">
        <is>
          <t>Line changeover impact</t>
        </is>
      </c>
    </row>
    <row r="53">
      <c r="A53" s="7" t="n">
        <v>46179</v>
      </c>
      <c r="B53" s="8">
        <f>IF($A53="","",TEXT($A53,"mmm-yyyy"))</f>
        <v/>
      </c>
      <c r="C53" s="8">
        <f>IF($A53="","","W"&amp;WEEKNUM($A53,2))</f>
        <v/>
      </c>
      <c r="D53" s="8" t="inlineStr">
        <is>
          <t>Customer Complaints</t>
        </is>
      </c>
      <c r="E53" s="8">
        <f>IFERROR(INDEX(Tbl_KPIConfig[Department],MATCH($D53,Tbl_KPIConfig[KPI Name],0)),"")</f>
        <v/>
      </c>
      <c r="F53" s="8">
        <f>IFERROR(INDEX(Tbl_KPIConfig[Unit],MATCH($D53,Tbl_KPIConfig[KPI Name],0)),"")</f>
        <v/>
      </c>
      <c r="G53" s="8">
        <f>IFERROR(INDEX(Tbl_KPIConfig[Target],MATCH($D53,Tbl_KPIConfig[KPI Name],0)),"")</f>
        <v/>
      </c>
      <c r="H53" s="8" t="n">
        <v>0</v>
      </c>
      <c r="I53" s="9">
        <f>IFERROR(IF(INDEX(Tbl_KPIConfig[Direction],MATCH($D53,Tbl_KPIConfig[KPI Name],0))="Lower is Better",IF($H53=0,1,IF($G53=0,0,$G53/$H53)),IF($G53=0,1,$H53/$G53)),0)</f>
        <v/>
      </c>
      <c r="J53" s="8">
        <f>IFERROR(IF($I53&gt;=1,"Green",IF($I53&gt;=INDEX(Tbl_KPIConfig[RAG Threshold %],MATCH($D53,Tbl_KPIConfig[KPI Name],0)),"Amber","Red")),"")</f>
        <v/>
      </c>
      <c r="K53" s="10" t="inlineStr">
        <is>
          <t>Manpower shortage</t>
        </is>
      </c>
    </row>
    <row r="54">
      <c r="A54" s="11" t="n">
        <v>46179</v>
      </c>
      <c r="B54" s="12">
        <f>IF($A54="","",TEXT($A54,"mmm-yyyy"))</f>
        <v/>
      </c>
      <c r="C54" s="12">
        <f>IF($A54="","","W"&amp;WEEKNUM($A54,2))</f>
        <v/>
      </c>
      <c r="D54" s="12" t="inlineStr">
        <is>
          <t>Unplanned Downtime (Hrs)</t>
        </is>
      </c>
      <c r="E54" s="12">
        <f>IFERROR(INDEX(Tbl_KPIConfig[Department],MATCH($D54,Tbl_KPIConfig[KPI Name],0)),"")</f>
        <v/>
      </c>
      <c r="F54" s="12">
        <f>IFERROR(INDEX(Tbl_KPIConfig[Unit],MATCH($D54,Tbl_KPIConfig[KPI Name],0)),"")</f>
        <v/>
      </c>
      <c r="G54" s="12">
        <f>IFERROR(INDEX(Tbl_KPIConfig[Target],MATCH($D54,Tbl_KPIConfig[KPI Name],0)),"")</f>
        <v/>
      </c>
      <c r="H54" s="12" t="n">
        <v>1.09</v>
      </c>
      <c r="I54" s="13">
        <f>IFERROR(IF(INDEX(Tbl_KPIConfig[Direction],MATCH($D54,Tbl_KPIConfig[KPI Name],0))="Lower is Better",IF($H54=0,1,IF($G54=0,0,$G54/$H54)),IF($G54=0,1,$H54/$G54)),0)</f>
        <v/>
      </c>
      <c r="J54" s="12">
        <f>IFERROR(IF($I54&gt;=1,"Green",IF($I54&gt;=INDEX(Tbl_KPIConfig[RAG Threshold %],MATCH($D54,Tbl_KPIConfig[KPI Name],0)),"Amber","Red")),"")</f>
        <v/>
      </c>
      <c r="K54" s="14" t="inlineStr">
        <is>
          <t>Preventive check done</t>
        </is>
      </c>
    </row>
    <row r="55">
      <c r="A55" s="7" t="n">
        <v>46179</v>
      </c>
      <c r="B55" s="8">
        <f>IF($A55="","",TEXT($A55,"mmm-yyyy"))</f>
        <v/>
      </c>
      <c r="C55" s="8">
        <f>IF($A55="","","W"&amp;WEEKNUM($A55,2))</f>
        <v/>
      </c>
      <c r="D55" s="8" t="inlineStr">
        <is>
          <t>PM Compliance %</t>
        </is>
      </c>
      <c r="E55" s="8">
        <f>IFERROR(INDEX(Tbl_KPIConfig[Department],MATCH($D55,Tbl_KPIConfig[KPI Name],0)),"")</f>
        <v/>
      </c>
      <c r="F55" s="8">
        <f>IFERROR(INDEX(Tbl_KPIConfig[Unit],MATCH($D55,Tbl_KPIConfig[KPI Name],0)),"")</f>
        <v/>
      </c>
      <c r="G55" s="8">
        <f>IFERROR(INDEX(Tbl_KPIConfig[Target],MATCH($D55,Tbl_KPIConfig[KPI Name],0)),"")</f>
        <v/>
      </c>
      <c r="H55" s="8" t="n">
        <v>0.9492</v>
      </c>
      <c r="I55" s="9">
        <f>IFERROR(IF(INDEX(Tbl_KPIConfig[Direction],MATCH($D55,Tbl_KPIConfig[KPI Name],0))="Lower is Better",IF($H55=0,1,IF($G55=0,0,$G55/$H55)),IF($G55=0,1,$H55/$G55)),0)</f>
        <v/>
      </c>
      <c r="J55" s="8">
        <f>IFERROR(IF($I55&gt;=1,"Green",IF($I55&gt;=INDEX(Tbl_KPIConfig[RAG Threshold %],MATCH($D55,Tbl_KPIConfig[KPI Name],0)),"Amber","Red")),"")</f>
        <v/>
      </c>
      <c r="K55" s="10" t="inlineStr">
        <is>
          <t>Process improvement in progress</t>
        </is>
      </c>
    </row>
    <row r="56">
      <c r="A56" s="11" t="n">
        <v>46179</v>
      </c>
      <c r="B56" s="12">
        <f>IF($A56="","",TEXT($A56,"mmm-yyyy"))</f>
        <v/>
      </c>
      <c r="C56" s="12">
        <f>IF($A56="","","W"&amp;WEEKNUM($A56,2))</f>
        <v/>
      </c>
      <c r="D56" s="12" t="inlineStr">
        <is>
          <t>Power Consumption (kWh)</t>
        </is>
      </c>
      <c r="E56" s="12">
        <f>IFERROR(INDEX(Tbl_KPIConfig[Department],MATCH($D56,Tbl_KPIConfig[KPI Name],0)),"")</f>
        <v/>
      </c>
      <c r="F56" s="12">
        <f>IFERROR(INDEX(Tbl_KPIConfig[Unit],MATCH($D56,Tbl_KPIConfig[KPI Name],0)),"")</f>
        <v/>
      </c>
      <c r="G56" s="12">
        <f>IFERROR(INDEX(Tbl_KPIConfig[Target],MATCH($D56,Tbl_KPIConfig[KPI Name],0)),"")</f>
        <v/>
      </c>
      <c r="H56" s="12" t="n">
        <v>4548.75</v>
      </c>
      <c r="I56" s="13">
        <f>IFERROR(IF(INDEX(Tbl_KPIConfig[Direction],MATCH($D56,Tbl_KPIConfig[KPI Name],0))="Lower is Better",IF($H56=0,1,IF($G56=0,0,$G56/$H56)),IF($G56=0,1,$H56/$G56)),0)</f>
        <v/>
      </c>
      <c r="J56" s="12">
        <f>IFERROR(IF($I56&gt;=1,"Green",IF($I56&gt;=INDEX(Tbl_KPIConfig[RAG Threshold %],MATCH($D56,Tbl_KPIConfig[KPI Name],0)),"Amber","Red")),"")</f>
        <v/>
      </c>
      <c r="K56" s="14" t="inlineStr">
        <is>
          <t>Manpower shortage</t>
        </is>
      </c>
    </row>
    <row r="57">
      <c r="A57" s="7" t="n">
        <v>46179</v>
      </c>
      <c r="B57" s="8">
        <f>IF($A57="","",TEXT($A57,"mmm-yyyy"))</f>
        <v/>
      </c>
      <c r="C57" s="8">
        <f>IF($A57="","","W"&amp;WEEKNUM($A57,2))</f>
        <v/>
      </c>
      <c r="D57" s="8" t="inlineStr">
        <is>
          <t>On-Time Dispatch %</t>
        </is>
      </c>
      <c r="E57" s="8">
        <f>IFERROR(INDEX(Tbl_KPIConfig[Department],MATCH($D57,Tbl_KPIConfig[KPI Name],0)),"")</f>
        <v/>
      </c>
      <c r="F57" s="8">
        <f>IFERROR(INDEX(Tbl_KPIConfig[Unit],MATCH($D57,Tbl_KPIConfig[KPI Name],0)),"")</f>
        <v/>
      </c>
      <c r="G57" s="8">
        <f>IFERROR(INDEX(Tbl_KPIConfig[Target],MATCH($D57,Tbl_KPIConfig[KPI Name],0)),"")</f>
        <v/>
      </c>
      <c r="H57" s="8" t="n">
        <v>0.6921</v>
      </c>
      <c r="I57" s="9">
        <f>IFERROR(IF(INDEX(Tbl_KPIConfig[Direction],MATCH($D57,Tbl_KPIConfig[KPI Name],0))="Lower is Better",IF($H57=0,1,IF($G57=0,0,$G57/$H57)),IF($G57=0,1,$H57/$G57)),0)</f>
        <v/>
      </c>
      <c r="J57" s="8">
        <f>IFERROR(IF($I57&gt;=1,"Green",IF($I57&gt;=INDEX(Tbl_KPIConfig[RAG Threshold %],MATCH($D57,Tbl_KPIConfig[KPI Name],0)),"Amber","Red")),"")</f>
        <v/>
      </c>
      <c r="K57" s="10" t="inlineStr">
        <is>
          <t>Process improvement in progress</t>
        </is>
      </c>
    </row>
    <row r="58">
      <c r="A58" s="11" t="n">
        <v>46179</v>
      </c>
      <c r="B58" s="12">
        <f>IF($A58="","",TEXT($A58,"mmm-yyyy"))</f>
        <v/>
      </c>
      <c r="C58" s="12">
        <f>IF($A58="","","W"&amp;WEEKNUM($A58,2))</f>
        <v/>
      </c>
      <c r="D58" s="12" t="inlineStr">
        <is>
          <t>Inventory Accuracy %</t>
        </is>
      </c>
      <c r="E58" s="12">
        <f>IFERROR(INDEX(Tbl_KPIConfig[Department],MATCH($D58,Tbl_KPIConfig[KPI Name],0)),"")</f>
        <v/>
      </c>
      <c r="F58" s="12">
        <f>IFERROR(INDEX(Tbl_KPIConfig[Unit],MATCH($D58,Tbl_KPIConfig[KPI Name],0)),"")</f>
        <v/>
      </c>
      <c r="G58" s="12">
        <f>IFERROR(INDEX(Tbl_KPIConfig[Target],MATCH($D58,Tbl_KPIConfig[KPI Name],0)),"")</f>
        <v/>
      </c>
      <c r="H58" s="12" t="n">
        <v>0.8622</v>
      </c>
      <c r="I58" s="13">
        <f>IFERROR(IF(INDEX(Tbl_KPIConfig[Direction],MATCH($D58,Tbl_KPIConfig[KPI Name],0))="Lower is Better",IF($H58=0,1,IF($G58=0,0,$G58/$H58)),IF($G58=0,1,$H58/$G58)),0)</f>
        <v/>
      </c>
      <c r="J58" s="12">
        <f>IFERROR(IF($I58&gt;=1,"Green",IF($I58&gt;=INDEX(Tbl_KPIConfig[RAG Threshold %],MATCH($D58,Tbl_KPIConfig[KPI Name],0)),"Amber","Red")),"")</f>
        <v/>
      </c>
      <c r="K58" s="14" t="inlineStr"/>
    </row>
    <row r="59">
      <c r="A59" s="7" t="n">
        <v>46179</v>
      </c>
      <c r="B59" s="8">
        <f>IF($A59="","",TEXT($A59,"mmm-yyyy"))</f>
        <v/>
      </c>
      <c r="C59" s="8">
        <f>IF($A59="","","W"&amp;WEEKNUM($A59,2))</f>
        <v/>
      </c>
      <c r="D59" s="8" t="inlineStr">
        <is>
          <t>Absenteeism %</t>
        </is>
      </c>
      <c r="E59" s="8">
        <f>IFERROR(INDEX(Tbl_KPIConfig[Department],MATCH($D59,Tbl_KPIConfig[KPI Name],0)),"")</f>
        <v/>
      </c>
      <c r="F59" s="8">
        <f>IFERROR(INDEX(Tbl_KPIConfig[Unit],MATCH($D59,Tbl_KPIConfig[KPI Name],0)),"")</f>
        <v/>
      </c>
      <c r="G59" s="8">
        <f>IFERROR(INDEX(Tbl_KPIConfig[Target],MATCH($D59,Tbl_KPIConfig[KPI Name],0)),"")</f>
        <v/>
      </c>
      <c r="H59" s="8" t="n">
        <v>0.026</v>
      </c>
      <c r="I59" s="9">
        <f>IFERROR(IF(INDEX(Tbl_KPIConfig[Direction],MATCH($D59,Tbl_KPIConfig[KPI Name],0))="Lower is Better",IF($H59=0,1,IF($G59=0,0,$G59/$H59)),IF($G59=0,1,$H59/$G59)),0)</f>
        <v/>
      </c>
      <c r="J59" s="8">
        <f>IFERROR(IF($I59&gt;=1,"Green",IF($I59&gt;=INDEX(Tbl_KPIConfig[RAG Threshold %],MATCH($D59,Tbl_KPIConfig[KPI Name],0)),"Amber","Red")),"")</f>
        <v/>
      </c>
      <c r="K59" s="10" t="inlineStr">
        <is>
          <t>Manpower shortage</t>
        </is>
      </c>
    </row>
    <row r="60">
      <c r="A60" s="11" t="n">
        <v>46179</v>
      </c>
      <c r="B60" s="12">
        <f>IF($A60="","",TEXT($A60,"mmm-yyyy"))</f>
        <v/>
      </c>
      <c r="C60" s="12">
        <f>IF($A60="","","W"&amp;WEEKNUM($A60,2))</f>
        <v/>
      </c>
      <c r="D60" s="12" t="inlineStr">
        <is>
          <t>Training Hours</t>
        </is>
      </c>
      <c r="E60" s="12">
        <f>IFERROR(INDEX(Tbl_KPIConfig[Department],MATCH($D60,Tbl_KPIConfig[KPI Name],0)),"")</f>
        <v/>
      </c>
      <c r="F60" s="12">
        <f>IFERROR(INDEX(Tbl_KPIConfig[Unit],MATCH($D60,Tbl_KPIConfig[KPI Name],0)),"")</f>
        <v/>
      </c>
      <c r="G60" s="12">
        <f>IFERROR(INDEX(Tbl_KPIConfig[Target],MATCH($D60,Tbl_KPIConfig[KPI Name],0)),"")</f>
        <v/>
      </c>
      <c r="H60" s="12" t="n">
        <v>1.76</v>
      </c>
      <c r="I60" s="13">
        <f>IFERROR(IF(INDEX(Tbl_KPIConfig[Direction],MATCH($D60,Tbl_KPIConfig[KPI Name],0))="Lower is Better",IF($H60=0,1,IF($G60=0,0,$G60/$H60)),IF($G60=0,1,$H60/$G60)),0)</f>
        <v/>
      </c>
      <c r="J60" s="12">
        <f>IFERROR(IF($I60&gt;=1,"Green",IF($I60&gt;=INDEX(Tbl_KPIConfig[RAG Threshold %],MATCH($D60,Tbl_KPIConfig[KPI Name],0)),"Amber","Red")),"")</f>
        <v/>
      </c>
      <c r="K60" s="14" t="inlineStr">
        <is>
          <t>Vendor delay</t>
        </is>
      </c>
    </row>
    <row r="61">
      <c r="A61" s="7" t="n">
        <v>46179</v>
      </c>
      <c r="B61" s="8">
        <f>IF($A61="","",TEXT($A61,"mmm-yyyy"))</f>
        <v/>
      </c>
      <c r="C61" s="8">
        <f>IF($A61="","","W"&amp;WEEKNUM($A61,2))</f>
        <v/>
      </c>
      <c r="D61" s="8" t="inlineStr">
        <is>
          <t>Milestone Adherence %</t>
        </is>
      </c>
      <c r="E61" s="8">
        <f>IFERROR(INDEX(Tbl_KPIConfig[Department],MATCH($D61,Tbl_KPIConfig[KPI Name],0)),"")</f>
        <v/>
      </c>
      <c r="F61" s="8">
        <f>IFERROR(INDEX(Tbl_KPIConfig[Unit],MATCH($D61,Tbl_KPIConfig[KPI Name],0)),"")</f>
        <v/>
      </c>
      <c r="G61" s="8">
        <f>IFERROR(INDEX(Tbl_KPIConfig[Target],MATCH($D61,Tbl_KPIConfig[KPI Name],0)),"")</f>
        <v/>
      </c>
      <c r="H61" s="8" t="n">
        <v>0.9412</v>
      </c>
      <c r="I61" s="9">
        <f>IFERROR(IF(INDEX(Tbl_KPIConfig[Direction],MATCH($D61,Tbl_KPIConfig[KPI Name],0))="Lower is Better",IF($H61=0,1,IF($G61=0,0,$G61/$H61)),IF($G61=0,1,$H61/$G61)),0)</f>
        <v/>
      </c>
      <c r="J61" s="8">
        <f>IFERROR(IF($I61&gt;=1,"Green",IF($I61&gt;=INDEX(Tbl_KPIConfig[RAG Threshold %],MATCH($D61,Tbl_KPIConfig[KPI Name],0)),"Amber","Red")),"")</f>
        <v/>
      </c>
      <c r="K61" s="10" t="inlineStr">
        <is>
          <t>Vendor delay</t>
        </is>
      </c>
    </row>
    <row r="62">
      <c r="A62" s="11" t="n">
        <v>46179</v>
      </c>
      <c r="B62" s="12">
        <f>IF($A62="","",TEXT($A62,"mmm-yyyy"))</f>
        <v/>
      </c>
      <c r="C62" s="12">
        <f>IF($A62="","","W"&amp;WEEKNUM($A62,2))</f>
        <v/>
      </c>
      <c r="D62" s="12" t="inlineStr">
        <is>
          <t>Breakdown Resolution (Hrs)</t>
        </is>
      </c>
      <c r="E62" s="12">
        <f>IFERROR(INDEX(Tbl_KPIConfig[Department],MATCH($D62,Tbl_KPIConfig[KPI Name],0)),"")</f>
        <v/>
      </c>
      <c r="F62" s="12">
        <f>IFERROR(INDEX(Tbl_KPIConfig[Unit],MATCH($D62,Tbl_KPIConfig[KPI Name],0)),"")</f>
        <v/>
      </c>
      <c r="G62" s="12">
        <f>IFERROR(INDEX(Tbl_KPIConfig[Target],MATCH($D62,Tbl_KPIConfig[KPI Name],0)),"")</f>
        <v/>
      </c>
      <c r="H62" s="12" t="n">
        <v>1.52</v>
      </c>
      <c r="I62" s="13">
        <f>IFERROR(IF(INDEX(Tbl_KPIConfig[Direction],MATCH($D62,Tbl_KPIConfig[KPI Name],0))="Lower is Better",IF($H62=0,1,IF($G62=0,0,$G62/$H62)),IF($G62=0,1,$H62/$G62)),0)</f>
        <v/>
      </c>
      <c r="J62" s="12">
        <f>IFERROR(IF($I62&gt;=1,"Green",IF($I62&gt;=INDEX(Tbl_KPIConfig[RAG Threshold %],MATCH($D62,Tbl_KPIConfig[KPI Name],0)),"Amber","Red")),"")</f>
        <v/>
      </c>
      <c r="K62" s="14" t="inlineStr">
        <is>
          <t>Line changeover impact</t>
        </is>
      </c>
    </row>
    <row r="63">
      <c r="A63" s="7" t="n">
        <v>46180</v>
      </c>
      <c r="B63" s="8">
        <f>IF($A63="","",TEXT($A63,"mmm-yyyy"))</f>
        <v/>
      </c>
      <c r="C63" s="8">
        <f>IF($A63="","","W"&amp;WEEKNUM($A63,2))</f>
        <v/>
      </c>
      <c r="D63" s="8" t="inlineStr">
        <is>
          <t>Safety Incidents (LTI)</t>
        </is>
      </c>
      <c r="E63" s="8">
        <f>IFERROR(INDEX(Tbl_KPIConfig[Department],MATCH($D63,Tbl_KPIConfig[KPI Name],0)),"")</f>
        <v/>
      </c>
      <c r="F63" s="8">
        <f>IFERROR(INDEX(Tbl_KPIConfig[Unit],MATCH($D63,Tbl_KPIConfig[KPI Name],0)),"")</f>
        <v/>
      </c>
      <c r="G63" s="8">
        <f>IFERROR(INDEX(Tbl_KPIConfig[Target],MATCH($D63,Tbl_KPIConfig[KPI Name],0)),"")</f>
        <v/>
      </c>
      <c r="H63" s="8" t="n">
        <v>0</v>
      </c>
      <c r="I63" s="9">
        <f>IFERROR(IF(INDEX(Tbl_KPIConfig[Direction],MATCH($D63,Tbl_KPIConfig[KPI Name],0))="Lower is Better",IF($H63=0,1,IF($G63=0,0,$G63/$H63)),IF($G63=0,1,$H63/$G63)),0)</f>
        <v/>
      </c>
      <c r="J63" s="8">
        <f>IFERROR(IF($I63&gt;=1,"Green",IF($I63&gt;=INDEX(Tbl_KPIConfig[RAG Threshold %],MATCH($D63,Tbl_KPIConfig[KPI Name],0)),"Amber","Red")),"")</f>
        <v/>
      </c>
      <c r="K63" s="10" t="inlineStr">
        <is>
          <t>Manpower shortage</t>
        </is>
      </c>
    </row>
    <row r="64">
      <c r="A64" s="11" t="n">
        <v>46180</v>
      </c>
      <c r="B64" s="12">
        <f>IF($A64="","",TEXT($A64,"mmm-yyyy"))</f>
        <v/>
      </c>
      <c r="C64" s="12">
        <f>IF($A64="","","W"&amp;WEEKNUM($A64,2))</f>
        <v/>
      </c>
      <c r="D64" s="12" t="inlineStr">
        <is>
          <t>Near Miss Reports</t>
        </is>
      </c>
      <c r="E64" s="12">
        <f>IFERROR(INDEX(Tbl_KPIConfig[Department],MATCH($D64,Tbl_KPIConfig[KPI Name],0)),"")</f>
        <v/>
      </c>
      <c r="F64" s="12">
        <f>IFERROR(INDEX(Tbl_KPIConfig[Unit],MATCH($D64,Tbl_KPIConfig[KPI Name],0)),"")</f>
        <v/>
      </c>
      <c r="G64" s="12">
        <f>IFERROR(INDEX(Tbl_KPIConfig[Target],MATCH($D64,Tbl_KPIConfig[KPI Name],0)),"")</f>
        <v/>
      </c>
      <c r="H64" s="12" t="n">
        <v>2</v>
      </c>
      <c r="I64" s="13">
        <f>IFERROR(IF(INDEX(Tbl_KPIConfig[Direction],MATCH($D64,Tbl_KPIConfig[KPI Name],0))="Lower is Better",IF($H64=0,1,IF($G64=0,0,$G64/$H64)),IF($G64=0,1,$H64/$G64)),0)</f>
        <v/>
      </c>
      <c r="J64" s="12">
        <f>IFERROR(IF($I64&gt;=1,"Green",IF($I64&gt;=INDEX(Tbl_KPIConfig[RAG Threshold %],MATCH($D64,Tbl_KPIConfig[KPI Name],0)),"Amber","Red")),"")</f>
        <v/>
      </c>
      <c r="K64" s="14" t="inlineStr"/>
    </row>
    <row r="65">
      <c r="A65" s="7" t="n">
        <v>46180</v>
      </c>
      <c r="B65" s="8">
        <f>IF($A65="","",TEXT($A65,"mmm-yyyy"))</f>
        <v/>
      </c>
      <c r="C65" s="8">
        <f>IF($A65="","","W"&amp;WEEKNUM($A65,2))</f>
        <v/>
      </c>
      <c r="D65" s="8" t="inlineStr">
        <is>
          <t>Production Output</t>
        </is>
      </c>
      <c r="E65" s="8">
        <f>IFERROR(INDEX(Tbl_KPIConfig[Department],MATCH($D65,Tbl_KPIConfig[KPI Name],0)),"")</f>
        <v/>
      </c>
      <c r="F65" s="8">
        <f>IFERROR(INDEX(Tbl_KPIConfig[Unit],MATCH($D65,Tbl_KPIConfig[KPI Name],0)),"")</f>
        <v/>
      </c>
      <c r="G65" s="8">
        <f>IFERROR(INDEX(Tbl_KPIConfig[Target],MATCH($D65,Tbl_KPIConfig[KPI Name],0)),"")</f>
        <v/>
      </c>
      <c r="H65" s="8" t="n">
        <v>925.12</v>
      </c>
      <c r="I65" s="9">
        <f>IFERROR(IF(INDEX(Tbl_KPIConfig[Direction],MATCH($D65,Tbl_KPIConfig[KPI Name],0))="Lower is Better",IF($H65=0,1,IF($G65=0,0,$G65/$H65)),IF($G65=0,1,$H65/$G65)),0)</f>
        <v/>
      </c>
      <c r="J65" s="8">
        <f>IFERROR(IF($I65&gt;=1,"Green",IF($I65&gt;=INDEX(Tbl_KPIConfig[RAG Threshold %],MATCH($D65,Tbl_KPIConfig[KPI Name],0)),"Amber","Red")),"")</f>
        <v/>
      </c>
      <c r="K65" s="10" t="inlineStr">
        <is>
          <t>Manpower shortage</t>
        </is>
      </c>
    </row>
    <row r="66">
      <c r="A66" s="11" t="n">
        <v>46180</v>
      </c>
      <c r="B66" s="12">
        <f>IF($A66="","",TEXT($A66,"mmm-yyyy"))</f>
        <v/>
      </c>
      <c r="C66" s="12">
        <f>IF($A66="","","W"&amp;WEEKNUM($A66,2))</f>
        <v/>
      </c>
      <c r="D66" s="12" t="inlineStr">
        <is>
          <t>OEE %</t>
        </is>
      </c>
      <c r="E66" s="12">
        <f>IFERROR(INDEX(Tbl_KPIConfig[Department],MATCH($D66,Tbl_KPIConfig[KPI Name],0)),"")</f>
        <v/>
      </c>
      <c r="F66" s="12">
        <f>IFERROR(INDEX(Tbl_KPIConfig[Unit],MATCH($D66,Tbl_KPIConfig[KPI Name],0)),"")</f>
        <v/>
      </c>
      <c r="G66" s="12">
        <f>IFERROR(INDEX(Tbl_KPIConfig[Target],MATCH($D66,Tbl_KPIConfig[KPI Name],0)),"")</f>
        <v/>
      </c>
      <c r="H66" s="12" t="n">
        <v>0.8787</v>
      </c>
      <c r="I66" s="13">
        <f>IFERROR(IF(INDEX(Tbl_KPIConfig[Direction],MATCH($D66,Tbl_KPIConfig[KPI Name],0))="Lower is Better",IF($H66=0,1,IF($G66=0,0,$G66/$H66)),IF($G66=0,1,$H66/$G66)),0)</f>
        <v/>
      </c>
      <c r="J66" s="12">
        <f>IFERROR(IF($I66&gt;=1,"Green",IF($I66&gt;=INDEX(Tbl_KPIConfig[RAG Threshold %],MATCH($D66,Tbl_KPIConfig[KPI Name],0)),"Amber","Red")),"")</f>
        <v/>
      </c>
      <c r="K66" s="14" t="inlineStr">
        <is>
          <t>Vendor delay</t>
        </is>
      </c>
    </row>
    <row r="67">
      <c r="A67" s="7" t="n">
        <v>46180</v>
      </c>
      <c r="B67" s="8">
        <f>IF($A67="","",TEXT($A67,"mmm-yyyy"))</f>
        <v/>
      </c>
      <c r="C67" s="8">
        <f>IF($A67="","","W"&amp;WEEKNUM($A67,2))</f>
        <v/>
      </c>
      <c r="D67" s="8" t="inlineStr">
        <is>
          <t>Defect Rate %</t>
        </is>
      </c>
      <c r="E67" s="8">
        <f>IFERROR(INDEX(Tbl_KPIConfig[Department],MATCH($D67,Tbl_KPIConfig[KPI Name],0)),"")</f>
        <v/>
      </c>
      <c r="F67" s="8">
        <f>IFERROR(INDEX(Tbl_KPIConfig[Unit],MATCH($D67,Tbl_KPIConfig[KPI Name],0)),"")</f>
        <v/>
      </c>
      <c r="G67" s="8">
        <f>IFERROR(INDEX(Tbl_KPIConfig[Target],MATCH($D67,Tbl_KPIConfig[KPI Name],0)),"")</f>
        <v/>
      </c>
      <c r="H67" s="8" t="n">
        <v>0.02</v>
      </c>
      <c r="I67" s="9">
        <f>IFERROR(IF(INDEX(Tbl_KPIConfig[Direction],MATCH($D67,Tbl_KPIConfig[KPI Name],0))="Lower is Better",IF($H67=0,1,IF($G67=0,0,$G67/$H67)),IF($G67=0,1,$H67/$G67)),0)</f>
        <v/>
      </c>
      <c r="J67" s="8">
        <f>IFERROR(IF($I67&gt;=1,"Green",IF($I67&gt;=INDEX(Tbl_KPIConfig[RAG Threshold %],MATCH($D67,Tbl_KPIConfig[KPI Name],0)),"Amber","Red")),"")</f>
        <v/>
      </c>
      <c r="K67" s="10" t="inlineStr">
        <is>
          <t>Awaiting spares</t>
        </is>
      </c>
    </row>
    <row r="68">
      <c r="A68" s="11" t="n">
        <v>46180</v>
      </c>
      <c r="B68" s="12">
        <f>IF($A68="","",TEXT($A68,"mmm-yyyy"))</f>
        <v/>
      </c>
      <c r="C68" s="12">
        <f>IF($A68="","","W"&amp;WEEKNUM($A68,2))</f>
        <v/>
      </c>
      <c r="D68" s="12" t="inlineStr">
        <is>
          <t>Customer Complaints</t>
        </is>
      </c>
      <c r="E68" s="12">
        <f>IFERROR(INDEX(Tbl_KPIConfig[Department],MATCH($D68,Tbl_KPIConfig[KPI Name],0)),"")</f>
        <v/>
      </c>
      <c r="F68" s="12">
        <f>IFERROR(INDEX(Tbl_KPIConfig[Unit],MATCH($D68,Tbl_KPIConfig[KPI Name],0)),"")</f>
        <v/>
      </c>
      <c r="G68" s="12">
        <f>IFERROR(INDEX(Tbl_KPIConfig[Target],MATCH($D68,Tbl_KPIConfig[KPI Name],0)),"")</f>
        <v/>
      </c>
      <c r="H68" s="12" t="n">
        <v>0</v>
      </c>
      <c r="I68" s="13">
        <f>IFERROR(IF(INDEX(Tbl_KPIConfig[Direction],MATCH($D68,Tbl_KPIConfig[KPI Name],0))="Lower is Better",IF($H68=0,1,IF($G68=0,0,$G68/$H68)),IF($G68=0,1,$H68/$G68)),0)</f>
        <v/>
      </c>
      <c r="J68" s="12">
        <f>IFERROR(IF($I68&gt;=1,"Green",IF($I68&gt;=INDEX(Tbl_KPIConfig[RAG Threshold %],MATCH($D68,Tbl_KPIConfig[KPI Name],0)),"Amber","Red")),"")</f>
        <v/>
      </c>
      <c r="K68" s="14" t="inlineStr">
        <is>
          <t>Process improvement in progress</t>
        </is>
      </c>
    </row>
    <row r="69">
      <c r="A69" s="7" t="n">
        <v>46180</v>
      </c>
      <c r="B69" s="8">
        <f>IF($A69="","",TEXT($A69,"mmm-yyyy"))</f>
        <v/>
      </c>
      <c r="C69" s="8">
        <f>IF($A69="","","W"&amp;WEEKNUM($A69,2))</f>
        <v/>
      </c>
      <c r="D69" s="8" t="inlineStr">
        <is>
          <t>Unplanned Downtime (Hrs)</t>
        </is>
      </c>
      <c r="E69" s="8">
        <f>IFERROR(INDEX(Tbl_KPIConfig[Department],MATCH($D69,Tbl_KPIConfig[KPI Name],0)),"")</f>
        <v/>
      </c>
      <c r="F69" s="8">
        <f>IFERROR(INDEX(Tbl_KPIConfig[Unit],MATCH($D69,Tbl_KPIConfig[KPI Name],0)),"")</f>
        <v/>
      </c>
      <c r="G69" s="8">
        <f>IFERROR(INDEX(Tbl_KPIConfig[Target],MATCH($D69,Tbl_KPIConfig[KPI Name],0)),"")</f>
        <v/>
      </c>
      <c r="H69" s="8" t="n">
        <v>1.04</v>
      </c>
      <c r="I69" s="9">
        <f>IFERROR(IF(INDEX(Tbl_KPIConfig[Direction],MATCH($D69,Tbl_KPIConfig[KPI Name],0))="Lower is Better",IF($H69=0,1,IF($G69=0,0,$G69/$H69)),IF($G69=0,1,$H69/$G69)),0)</f>
        <v/>
      </c>
      <c r="J69" s="8">
        <f>IFERROR(IF($I69&gt;=1,"Green",IF($I69&gt;=INDEX(Tbl_KPIConfig[RAG Threshold %],MATCH($D69,Tbl_KPIConfig[KPI Name],0)),"Amber","Red")),"")</f>
        <v/>
      </c>
      <c r="K69" s="10" t="inlineStr"/>
    </row>
    <row r="70">
      <c r="A70" s="11" t="n">
        <v>46180</v>
      </c>
      <c r="B70" s="12">
        <f>IF($A70="","",TEXT($A70,"mmm-yyyy"))</f>
        <v/>
      </c>
      <c r="C70" s="12">
        <f>IF($A70="","","W"&amp;WEEKNUM($A70,2))</f>
        <v/>
      </c>
      <c r="D70" s="12" t="inlineStr">
        <is>
          <t>PM Compliance %</t>
        </is>
      </c>
      <c r="E70" s="12">
        <f>IFERROR(INDEX(Tbl_KPIConfig[Department],MATCH($D70,Tbl_KPIConfig[KPI Name],0)),"")</f>
        <v/>
      </c>
      <c r="F70" s="12">
        <f>IFERROR(INDEX(Tbl_KPIConfig[Unit],MATCH($D70,Tbl_KPIConfig[KPI Name],0)),"")</f>
        <v/>
      </c>
      <c r="G70" s="12">
        <f>IFERROR(INDEX(Tbl_KPIConfig[Target],MATCH($D70,Tbl_KPIConfig[KPI Name],0)),"")</f>
        <v/>
      </c>
      <c r="H70" s="12" t="n">
        <v>0.9696</v>
      </c>
      <c r="I70" s="13">
        <f>IFERROR(IF(INDEX(Tbl_KPIConfig[Direction],MATCH($D70,Tbl_KPIConfig[KPI Name],0))="Lower is Better",IF($H70=0,1,IF($G70=0,0,$G70/$H70)),IF($G70=0,1,$H70/$G70)),0)</f>
        <v/>
      </c>
      <c r="J70" s="12">
        <f>IFERROR(IF($I70&gt;=1,"Green",IF($I70&gt;=INDEX(Tbl_KPIConfig[RAG Threshold %],MATCH($D70,Tbl_KPIConfig[KPI Name],0)),"Amber","Red")),"")</f>
        <v/>
      </c>
      <c r="K70" s="14" t="inlineStr">
        <is>
          <t>Preventive check done</t>
        </is>
      </c>
    </row>
    <row r="71">
      <c r="A71" s="7" t="n">
        <v>46180</v>
      </c>
      <c r="B71" s="8">
        <f>IF($A71="","",TEXT($A71,"mmm-yyyy"))</f>
        <v/>
      </c>
      <c r="C71" s="8">
        <f>IF($A71="","","W"&amp;WEEKNUM($A71,2))</f>
        <v/>
      </c>
      <c r="D71" s="8" t="inlineStr">
        <is>
          <t>Power Consumption (kWh)</t>
        </is>
      </c>
      <c r="E71" s="8">
        <f>IFERROR(INDEX(Tbl_KPIConfig[Department],MATCH($D71,Tbl_KPIConfig[KPI Name],0)),"")</f>
        <v/>
      </c>
      <c r="F71" s="8">
        <f>IFERROR(INDEX(Tbl_KPIConfig[Unit],MATCH($D71,Tbl_KPIConfig[KPI Name],0)),"")</f>
        <v/>
      </c>
      <c r="G71" s="8">
        <f>IFERROR(INDEX(Tbl_KPIConfig[Target],MATCH($D71,Tbl_KPIConfig[KPI Name],0)),"")</f>
        <v/>
      </c>
      <c r="H71" s="8" t="n">
        <v>4745.04</v>
      </c>
      <c r="I71" s="9">
        <f>IFERROR(IF(INDEX(Tbl_KPIConfig[Direction],MATCH($D71,Tbl_KPIConfig[KPI Name],0))="Lower is Better",IF($H71=0,1,IF($G71=0,0,$G71/$H71)),IF($G71=0,1,$H71/$G71)),0)</f>
        <v/>
      </c>
      <c r="J71" s="8">
        <f>IFERROR(IF($I71&gt;=1,"Green",IF($I71&gt;=INDEX(Tbl_KPIConfig[RAG Threshold %],MATCH($D71,Tbl_KPIConfig[KPI Name],0)),"Amber","Red")),"")</f>
        <v/>
      </c>
      <c r="K71" s="10" t="inlineStr">
        <is>
          <t>Vendor delay</t>
        </is>
      </c>
    </row>
    <row r="72">
      <c r="A72" s="11" t="n">
        <v>46180</v>
      </c>
      <c r="B72" s="12">
        <f>IF($A72="","",TEXT($A72,"mmm-yyyy"))</f>
        <v/>
      </c>
      <c r="C72" s="12">
        <f>IF($A72="","","W"&amp;WEEKNUM($A72,2))</f>
        <v/>
      </c>
      <c r="D72" s="12" t="inlineStr">
        <is>
          <t>On-Time Dispatch %</t>
        </is>
      </c>
      <c r="E72" s="12">
        <f>IFERROR(INDEX(Tbl_KPIConfig[Department],MATCH($D72,Tbl_KPIConfig[KPI Name],0)),"")</f>
        <v/>
      </c>
      <c r="F72" s="12">
        <f>IFERROR(INDEX(Tbl_KPIConfig[Unit],MATCH($D72,Tbl_KPIConfig[KPI Name],0)),"")</f>
        <v/>
      </c>
      <c r="G72" s="12">
        <f>IFERROR(INDEX(Tbl_KPIConfig[Target],MATCH($D72,Tbl_KPIConfig[KPI Name],0)),"")</f>
        <v/>
      </c>
      <c r="H72" s="12" t="n">
        <v>1.0199</v>
      </c>
      <c r="I72" s="13">
        <f>IFERROR(IF(INDEX(Tbl_KPIConfig[Direction],MATCH($D72,Tbl_KPIConfig[KPI Name],0))="Lower is Better",IF($H72=0,1,IF($G72=0,0,$G72/$H72)),IF($G72=0,1,$H72/$G72)),0)</f>
        <v/>
      </c>
      <c r="J72" s="12">
        <f>IFERROR(IF($I72&gt;=1,"Green",IF($I72&gt;=INDEX(Tbl_KPIConfig[RAG Threshold %],MATCH($D72,Tbl_KPIConfig[KPI Name],0)),"Amber","Red")),"")</f>
        <v/>
      </c>
      <c r="K72" s="14" t="inlineStr"/>
    </row>
    <row r="73">
      <c r="A73" s="7" t="n">
        <v>46180</v>
      </c>
      <c r="B73" s="8">
        <f>IF($A73="","",TEXT($A73,"mmm-yyyy"))</f>
        <v/>
      </c>
      <c r="C73" s="8">
        <f>IF($A73="","","W"&amp;WEEKNUM($A73,2))</f>
        <v/>
      </c>
      <c r="D73" s="8" t="inlineStr">
        <is>
          <t>Inventory Accuracy %</t>
        </is>
      </c>
      <c r="E73" s="8">
        <f>IFERROR(INDEX(Tbl_KPIConfig[Department],MATCH($D73,Tbl_KPIConfig[KPI Name],0)),"")</f>
        <v/>
      </c>
      <c r="F73" s="8">
        <f>IFERROR(INDEX(Tbl_KPIConfig[Unit],MATCH($D73,Tbl_KPIConfig[KPI Name],0)),"")</f>
        <v/>
      </c>
      <c r="G73" s="8">
        <f>IFERROR(INDEX(Tbl_KPIConfig[Target],MATCH($D73,Tbl_KPIConfig[KPI Name],0)),"")</f>
        <v/>
      </c>
      <c r="H73" s="8" t="n">
        <v>1.1439</v>
      </c>
      <c r="I73" s="9">
        <f>IFERROR(IF(INDEX(Tbl_KPIConfig[Direction],MATCH($D73,Tbl_KPIConfig[KPI Name],0))="Lower is Better",IF($H73=0,1,IF($G73=0,0,$G73/$H73)),IF($G73=0,1,$H73/$G73)),0)</f>
        <v/>
      </c>
      <c r="J73" s="8">
        <f>IFERROR(IF($I73&gt;=1,"Green",IF($I73&gt;=INDEX(Tbl_KPIConfig[RAG Threshold %],MATCH($D73,Tbl_KPIConfig[KPI Name],0)),"Amber","Red")),"")</f>
        <v/>
      </c>
      <c r="K73" s="10" t="inlineStr">
        <is>
          <t>Awaiting spares</t>
        </is>
      </c>
    </row>
    <row r="74">
      <c r="A74" s="11" t="n">
        <v>46180</v>
      </c>
      <c r="B74" s="12">
        <f>IF($A74="","",TEXT($A74,"mmm-yyyy"))</f>
        <v/>
      </c>
      <c r="C74" s="12">
        <f>IF($A74="","","W"&amp;WEEKNUM($A74,2))</f>
        <v/>
      </c>
      <c r="D74" s="12" t="inlineStr">
        <is>
          <t>Absenteeism %</t>
        </is>
      </c>
      <c r="E74" s="12">
        <f>IFERROR(INDEX(Tbl_KPIConfig[Department],MATCH($D74,Tbl_KPIConfig[KPI Name],0)),"")</f>
        <v/>
      </c>
      <c r="F74" s="12">
        <f>IFERROR(INDEX(Tbl_KPIConfig[Unit],MATCH($D74,Tbl_KPIConfig[KPI Name],0)),"")</f>
        <v/>
      </c>
      <c r="G74" s="12">
        <f>IFERROR(INDEX(Tbl_KPIConfig[Target],MATCH($D74,Tbl_KPIConfig[KPI Name],0)),"")</f>
        <v/>
      </c>
      <c r="H74" s="12" t="n">
        <v>0.0349</v>
      </c>
      <c r="I74" s="13">
        <f>IFERROR(IF(INDEX(Tbl_KPIConfig[Direction],MATCH($D74,Tbl_KPIConfig[KPI Name],0))="Lower is Better",IF($H74=0,1,IF($G74=0,0,$G74/$H74)),IF($G74=0,1,$H74/$G74)),0)</f>
        <v/>
      </c>
      <c r="J74" s="12">
        <f>IFERROR(IF($I74&gt;=1,"Green",IF($I74&gt;=INDEX(Tbl_KPIConfig[RAG Threshold %],MATCH($D74,Tbl_KPIConfig[KPI Name],0)),"Amber","Red")),"")</f>
        <v/>
      </c>
      <c r="K74" s="14" t="inlineStr">
        <is>
          <t>Manpower shortage</t>
        </is>
      </c>
    </row>
    <row r="75">
      <c r="A75" s="7" t="n">
        <v>46180</v>
      </c>
      <c r="B75" s="8">
        <f>IF($A75="","",TEXT($A75,"mmm-yyyy"))</f>
        <v/>
      </c>
      <c r="C75" s="8">
        <f>IF($A75="","","W"&amp;WEEKNUM($A75,2))</f>
        <v/>
      </c>
      <c r="D75" s="8" t="inlineStr">
        <is>
          <t>Training Hours</t>
        </is>
      </c>
      <c r="E75" s="8">
        <f>IFERROR(INDEX(Tbl_KPIConfig[Department],MATCH($D75,Tbl_KPIConfig[KPI Name],0)),"")</f>
        <v/>
      </c>
      <c r="F75" s="8">
        <f>IFERROR(INDEX(Tbl_KPIConfig[Unit],MATCH($D75,Tbl_KPIConfig[KPI Name],0)),"")</f>
        <v/>
      </c>
      <c r="G75" s="8">
        <f>IFERROR(INDEX(Tbl_KPIConfig[Target],MATCH($D75,Tbl_KPIConfig[KPI Name],0)),"")</f>
        <v/>
      </c>
      <c r="H75" s="8" t="n">
        <v>1.9</v>
      </c>
      <c r="I75" s="9">
        <f>IFERROR(IF(INDEX(Tbl_KPIConfig[Direction],MATCH($D75,Tbl_KPIConfig[KPI Name],0))="Lower is Better",IF($H75=0,1,IF($G75=0,0,$G75/$H75)),IF($G75=0,1,$H75/$G75)),0)</f>
        <v/>
      </c>
      <c r="J75" s="8">
        <f>IFERROR(IF($I75&gt;=1,"Green",IF($I75&gt;=INDEX(Tbl_KPIConfig[RAG Threshold %],MATCH($D75,Tbl_KPIConfig[KPI Name],0)),"Amber","Red")),"")</f>
        <v/>
      </c>
      <c r="K75" s="10" t="inlineStr">
        <is>
          <t>Preventive check done</t>
        </is>
      </c>
    </row>
    <row r="76">
      <c r="A76" s="11" t="n">
        <v>46180</v>
      </c>
      <c r="B76" s="12">
        <f>IF($A76="","",TEXT($A76,"mmm-yyyy"))</f>
        <v/>
      </c>
      <c r="C76" s="12">
        <f>IF($A76="","","W"&amp;WEEKNUM($A76,2))</f>
        <v/>
      </c>
      <c r="D76" s="12" t="inlineStr">
        <is>
          <t>Milestone Adherence %</t>
        </is>
      </c>
      <c r="E76" s="12">
        <f>IFERROR(INDEX(Tbl_KPIConfig[Department],MATCH($D76,Tbl_KPIConfig[KPI Name],0)),"")</f>
        <v/>
      </c>
      <c r="F76" s="12">
        <f>IFERROR(INDEX(Tbl_KPIConfig[Unit],MATCH($D76,Tbl_KPIConfig[KPI Name],0)),"")</f>
        <v/>
      </c>
      <c r="G76" s="12">
        <f>IFERROR(INDEX(Tbl_KPIConfig[Target],MATCH($D76,Tbl_KPIConfig[KPI Name],0)),"")</f>
        <v/>
      </c>
      <c r="H76" s="12" t="n">
        <v>0.8954</v>
      </c>
      <c r="I76" s="13">
        <f>IFERROR(IF(INDEX(Tbl_KPIConfig[Direction],MATCH($D76,Tbl_KPIConfig[KPI Name],0))="Lower is Better",IF($H76=0,1,IF($G76=0,0,$G76/$H76)),IF($G76=0,1,$H76/$G76)),0)</f>
        <v/>
      </c>
      <c r="J76" s="12">
        <f>IFERROR(IF($I76&gt;=1,"Green",IF($I76&gt;=INDEX(Tbl_KPIConfig[RAG Threshold %],MATCH($D76,Tbl_KPIConfig[KPI Name],0)),"Amber","Red")),"")</f>
        <v/>
      </c>
      <c r="K76" s="14" t="inlineStr">
        <is>
          <t>Process improvement in progress</t>
        </is>
      </c>
    </row>
    <row r="77">
      <c r="A77" s="7" t="n">
        <v>46180</v>
      </c>
      <c r="B77" s="8">
        <f>IF($A77="","",TEXT($A77,"mmm-yyyy"))</f>
        <v/>
      </c>
      <c r="C77" s="8">
        <f>IF($A77="","","W"&amp;WEEKNUM($A77,2))</f>
        <v/>
      </c>
      <c r="D77" s="8" t="inlineStr">
        <is>
          <t>Breakdown Resolution (Hrs)</t>
        </is>
      </c>
      <c r="E77" s="8">
        <f>IFERROR(INDEX(Tbl_KPIConfig[Department],MATCH($D77,Tbl_KPIConfig[KPI Name],0)),"")</f>
        <v/>
      </c>
      <c r="F77" s="8">
        <f>IFERROR(INDEX(Tbl_KPIConfig[Unit],MATCH($D77,Tbl_KPIConfig[KPI Name],0)),"")</f>
        <v/>
      </c>
      <c r="G77" s="8">
        <f>IFERROR(INDEX(Tbl_KPIConfig[Target],MATCH($D77,Tbl_KPIConfig[KPI Name],0)),"")</f>
        <v/>
      </c>
      <c r="H77" s="8" t="n">
        <v>1.96</v>
      </c>
      <c r="I77" s="9">
        <f>IFERROR(IF(INDEX(Tbl_KPIConfig[Direction],MATCH($D77,Tbl_KPIConfig[KPI Name],0))="Lower is Better",IF($H77=0,1,IF($G77=0,0,$G77/$H77)),IF($G77=0,1,$H77/$G77)),0)</f>
        <v/>
      </c>
      <c r="J77" s="8">
        <f>IFERROR(IF($I77&gt;=1,"Green",IF($I77&gt;=INDEX(Tbl_KPIConfig[RAG Threshold %],MATCH($D77,Tbl_KPIConfig[KPI Name],0)),"Amber","Red")),"")</f>
        <v/>
      </c>
      <c r="K77" s="10" t="inlineStr">
        <is>
          <t>Preventive check done</t>
        </is>
      </c>
    </row>
    <row r="78">
      <c r="A78" s="11" t="n">
        <v>46181</v>
      </c>
      <c r="B78" s="12">
        <f>IF($A78="","",TEXT($A78,"mmm-yyyy"))</f>
        <v/>
      </c>
      <c r="C78" s="12">
        <f>IF($A78="","","W"&amp;WEEKNUM($A78,2))</f>
        <v/>
      </c>
      <c r="D78" s="12" t="inlineStr">
        <is>
          <t>Safety Incidents (LTI)</t>
        </is>
      </c>
      <c r="E78" s="12">
        <f>IFERROR(INDEX(Tbl_KPIConfig[Department],MATCH($D78,Tbl_KPIConfig[KPI Name],0)),"")</f>
        <v/>
      </c>
      <c r="F78" s="12">
        <f>IFERROR(INDEX(Tbl_KPIConfig[Unit],MATCH($D78,Tbl_KPIConfig[KPI Name],0)),"")</f>
        <v/>
      </c>
      <c r="G78" s="12">
        <f>IFERROR(INDEX(Tbl_KPIConfig[Target],MATCH($D78,Tbl_KPIConfig[KPI Name],0)),"")</f>
        <v/>
      </c>
      <c r="H78" s="12" t="n">
        <v>2</v>
      </c>
      <c r="I78" s="13">
        <f>IFERROR(IF(INDEX(Tbl_KPIConfig[Direction],MATCH($D78,Tbl_KPIConfig[KPI Name],0))="Lower is Better",IF($H78=0,1,IF($G78=0,0,$G78/$H78)),IF($G78=0,1,$H78/$G78)),0)</f>
        <v/>
      </c>
      <c r="J78" s="12">
        <f>IFERROR(IF($I78&gt;=1,"Green",IF($I78&gt;=INDEX(Tbl_KPIConfig[RAG Threshold %],MATCH($D78,Tbl_KPIConfig[KPI Name],0)),"Amber","Red")),"")</f>
        <v/>
      </c>
      <c r="K78" s="14" t="inlineStr">
        <is>
          <t>Process improvement in progress</t>
        </is>
      </c>
    </row>
    <row r="79">
      <c r="A79" s="7" t="n">
        <v>46181</v>
      </c>
      <c r="B79" s="8">
        <f>IF($A79="","",TEXT($A79,"mmm-yyyy"))</f>
        <v/>
      </c>
      <c r="C79" s="8">
        <f>IF($A79="","","W"&amp;WEEKNUM($A79,2))</f>
        <v/>
      </c>
      <c r="D79" s="8" t="inlineStr">
        <is>
          <t>Near Miss Reports</t>
        </is>
      </c>
      <c r="E79" s="8">
        <f>IFERROR(INDEX(Tbl_KPIConfig[Department],MATCH($D79,Tbl_KPIConfig[KPI Name],0)),"")</f>
        <v/>
      </c>
      <c r="F79" s="8">
        <f>IFERROR(INDEX(Tbl_KPIConfig[Unit],MATCH($D79,Tbl_KPIConfig[KPI Name],0)),"")</f>
        <v/>
      </c>
      <c r="G79" s="8">
        <f>IFERROR(INDEX(Tbl_KPIConfig[Target],MATCH($D79,Tbl_KPIConfig[KPI Name],0)),"")</f>
        <v/>
      </c>
      <c r="H79" s="8" t="n">
        <v>2</v>
      </c>
      <c r="I79" s="9">
        <f>IFERROR(IF(INDEX(Tbl_KPIConfig[Direction],MATCH($D79,Tbl_KPIConfig[KPI Name],0))="Lower is Better",IF($H79=0,1,IF($G79=0,0,$G79/$H79)),IF($G79=0,1,$H79/$G79)),0)</f>
        <v/>
      </c>
      <c r="J79" s="8">
        <f>IFERROR(IF($I79&gt;=1,"Green",IF($I79&gt;=INDEX(Tbl_KPIConfig[RAG Threshold %],MATCH($D79,Tbl_KPIConfig[KPI Name],0)),"Amber","Red")),"")</f>
        <v/>
      </c>
      <c r="K79" s="10" t="inlineStr">
        <is>
          <t>Vendor delay</t>
        </is>
      </c>
    </row>
    <row r="80">
      <c r="A80" s="11" t="n">
        <v>46181</v>
      </c>
      <c r="B80" s="12">
        <f>IF($A80="","",TEXT($A80,"mmm-yyyy"))</f>
        <v/>
      </c>
      <c r="C80" s="12">
        <f>IF($A80="","","W"&amp;WEEKNUM($A80,2))</f>
        <v/>
      </c>
      <c r="D80" s="12" t="inlineStr">
        <is>
          <t>Production Output</t>
        </is>
      </c>
      <c r="E80" s="12">
        <f>IFERROR(INDEX(Tbl_KPIConfig[Department],MATCH($D80,Tbl_KPIConfig[KPI Name],0)),"")</f>
        <v/>
      </c>
      <c r="F80" s="12">
        <f>IFERROR(INDEX(Tbl_KPIConfig[Unit],MATCH($D80,Tbl_KPIConfig[KPI Name],0)),"")</f>
        <v/>
      </c>
      <c r="G80" s="12">
        <f>IFERROR(INDEX(Tbl_KPIConfig[Target],MATCH($D80,Tbl_KPIConfig[KPI Name],0)),"")</f>
        <v/>
      </c>
      <c r="H80" s="12" t="n">
        <v>955.41</v>
      </c>
      <c r="I80" s="13">
        <f>IFERROR(IF(INDEX(Tbl_KPIConfig[Direction],MATCH($D80,Tbl_KPIConfig[KPI Name],0))="Lower is Better",IF($H80=0,1,IF($G80=0,0,$G80/$H80)),IF($G80=0,1,$H80/$G80)),0)</f>
        <v/>
      </c>
      <c r="J80" s="12">
        <f>IFERROR(IF($I80&gt;=1,"Green",IF($I80&gt;=INDEX(Tbl_KPIConfig[RAG Threshold %],MATCH($D80,Tbl_KPIConfig[KPI Name],0)),"Amber","Red")),"")</f>
        <v/>
      </c>
      <c r="K80" s="14" t="inlineStr"/>
    </row>
    <row r="81">
      <c r="A81" s="7" t="n">
        <v>46181</v>
      </c>
      <c r="B81" s="8">
        <f>IF($A81="","",TEXT($A81,"mmm-yyyy"))</f>
        <v/>
      </c>
      <c r="C81" s="8">
        <f>IF($A81="","","W"&amp;WEEKNUM($A81,2))</f>
        <v/>
      </c>
      <c r="D81" s="8" t="inlineStr">
        <is>
          <t>OEE %</t>
        </is>
      </c>
      <c r="E81" s="8">
        <f>IFERROR(INDEX(Tbl_KPIConfig[Department],MATCH($D81,Tbl_KPIConfig[KPI Name],0)),"")</f>
        <v/>
      </c>
      <c r="F81" s="8">
        <f>IFERROR(INDEX(Tbl_KPIConfig[Unit],MATCH($D81,Tbl_KPIConfig[KPI Name],0)),"")</f>
        <v/>
      </c>
      <c r="G81" s="8">
        <f>IFERROR(INDEX(Tbl_KPIConfig[Target],MATCH($D81,Tbl_KPIConfig[KPI Name],0)),"")</f>
        <v/>
      </c>
      <c r="H81" s="8" t="n">
        <v>0.9732</v>
      </c>
      <c r="I81" s="9">
        <f>IFERROR(IF(INDEX(Tbl_KPIConfig[Direction],MATCH($D81,Tbl_KPIConfig[KPI Name],0))="Lower is Better",IF($H81=0,1,IF($G81=0,0,$G81/$H81)),IF($G81=0,1,$H81/$G81)),0)</f>
        <v/>
      </c>
      <c r="J81" s="8">
        <f>IFERROR(IF($I81&gt;=1,"Green",IF($I81&gt;=INDEX(Tbl_KPIConfig[RAG Threshold %],MATCH($D81,Tbl_KPIConfig[KPI Name],0)),"Amber","Red")),"")</f>
        <v/>
      </c>
      <c r="K81" s="10" t="inlineStr">
        <is>
          <t>Within normal range</t>
        </is>
      </c>
    </row>
    <row r="82">
      <c r="A82" s="11" t="n">
        <v>46181</v>
      </c>
      <c r="B82" s="12">
        <f>IF($A82="","",TEXT($A82,"mmm-yyyy"))</f>
        <v/>
      </c>
      <c r="C82" s="12">
        <f>IF($A82="","","W"&amp;WEEKNUM($A82,2))</f>
        <v/>
      </c>
      <c r="D82" s="12" t="inlineStr">
        <is>
          <t>Defect Rate %</t>
        </is>
      </c>
      <c r="E82" s="12">
        <f>IFERROR(INDEX(Tbl_KPIConfig[Department],MATCH($D82,Tbl_KPIConfig[KPI Name],0)),"")</f>
        <v/>
      </c>
      <c r="F82" s="12">
        <f>IFERROR(INDEX(Tbl_KPIConfig[Unit],MATCH($D82,Tbl_KPIConfig[KPI Name],0)),"")</f>
        <v/>
      </c>
      <c r="G82" s="12">
        <f>IFERROR(INDEX(Tbl_KPIConfig[Target],MATCH($D82,Tbl_KPIConfig[KPI Name],0)),"")</f>
        <v/>
      </c>
      <c r="H82" s="12" t="n">
        <v>0.0205</v>
      </c>
      <c r="I82" s="13">
        <f>IFERROR(IF(INDEX(Tbl_KPIConfig[Direction],MATCH($D82,Tbl_KPIConfig[KPI Name],0))="Lower is Better",IF($H82=0,1,IF($G82=0,0,$G82/$H82)),IF($G82=0,1,$H82/$G82)),0)</f>
        <v/>
      </c>
      <c r="J82" s="12">
        <f>IFERROR(IF($I82&gt;=1,"Green",IF($I82&gt;=INDEX(Tbl_KPIConfig[RAG Threshold %],MATCH($D82,Tbl_KPIConfig[KPI Name],0)),"Amber","Red")),"")</f>
        <v/>
      </c>
      <c r="K82" s="14" t="inlineStr">
        <is>
          <t>Preventive check done</t>
        </is>
      </c>
    </row>
    <row r="83">
      <c r="A83" s="7" t="n">
        <v>46181</v>
      </c>
      <c r="B83" s="8">
        <f>IF($A83="","",TEXT($A83,"mmm-yyyy"))</f>
        <v/>
      </c>
      <c r="C83" s="8">
        <f>IF($A83="","","W"&amp;WEEKNUM($A83,2))</f>
        <v/>
      </c>
      <c r="D83" s="8" t="inlineStr">
        <is>
          <t>Customer Complaints</t>
        </is>
      </c>
      <c r="E83" s="8">
        <f>IFERROR(INDEX(Tbl_KPIConfig[Department],MATCH($D83,Tbl_KPIConfig[KPI Name],0)),"")</f>
        <v/>
      </c>
      <c r="F83" s="8">
        <f>IFERROR(INDEX(Tbl_KPIConfig[Unit],MATCH($D83,Tbl_KPIConfig[KPI Name],0)),"")</f>
        <v/>
      </c>
      <c r="G83" s="8">
        <f>IFERROR(INDEX(Tbl_KPIConfig[Target],MATCH($D83,Tbl_KPIConfig[KPI Name],0)),"")</f>
        <v/>
      </c>
      <c r="H83" s="8" t="n">
        <v>0</v>
      </c>
      <c r="I83" s="9">
        <f>IFERROR(IF(INDEX(Tbl_KPIConfig[Direction],MATCH($D83,Tbl_KPIConfig[KPI Name],0))="Lower is Better",IF($H83=0,1,IF($G83=0,0,$G83/$H83)),IF($G83=0,1,$H83/$G83)),0)</f>
        <v/>
      </c>
      <c r="J83" s="8">
        <f>IFERROR(IF($I83&gt;=1,"Green",IF($I83&gt;=INDEX(Tbl_KPIConfig[RAG Threshold %],MATCH($D83,Tbl_KPIConfig[KPI Name],0)),"Amber","Red")),"")</f>
        <v/>
      </c>
      <c r="K83" s="10" t="inlineStr">
        <is>
          <t>Awaiting spares</t>
        </is>
      </c>
    </row>
    <row r="84">
      <c r="A84" s="11" t="n">
        <v>46181</v>
      </c>
      <c r="B84" s="12">
        <f>IF($A84="","",TEXT($A84,"mmm-yyyy"))</f>
        <v/>
      </c>
      <c r="C84" s="12">
        <f>IF($A84="","","W"&amp;WEEKNUM($A84,2))</f>
        <v/>
      </c>
      <c r="D84" s="12" t="inlineStr">
        <is>
          <t>Unplanned Downtime (Hrs)</t>
        </is>
      </c>
      <c r="E84" s="12">
        <f>IFERROR(INDEX(Tbl_KPIConfig[Department],MATCH($D84,Tbl_KPIConfig[KPI Name],0)),"")</f>
        <v/>
      </c>
      <c r="F84" s="12">
        <f>IFERROR(INDEX(Tbl_KPIConfig[Unit],MATCH($D84,Tbl_KPIConfig[KPI Name],0)),"")</f>
        <v/>
      </c>
      <c r="G84" s="12">
        <f>IFERROR(INDEX(Tbl_KPIConfig[Target],MATCH($D84,Tbl_KPIConfig[KPI Name],0)),"")</f>
        <v/>
      </c>
      <c r="H84" s="12" t="n">
        <v>0.91</v>
      </c>
      <c r="I84" s="13">
        <f>IFERROR(IF(INDEX(Tbl_KPIConfig[Direction],MATCH($D84,Tbl_KPIConfig[KPI Name],0))="Lower is Better",IF($H84=0,1,IF($G84=0,0,$G84/$H84)),IF($G84=0,1,$H84/$G84)),0)</f>
        <v/>
      </c>
      <c r="J84" s="12">
        <f>IFERROR(IF($I84&gt;=1,"Green",IF($I84&gt;=INDEX(Tbl_KPIConfig[RAG Threshold %],MATCH($D84,Tbl_KPIConfig[KPI Name],0)),"Amber","Red")),"")</f>
        <v/>
      </c>
      <c r="K84" s="14" t="inlineStr">
        <is>
          <t>Manpower shortage</t>
        </is>
      </c>
    </row>
    <row r="85">
      <c r="A85" s="7" t="n">
        <v>46181</v>
      </c>
      <c r="B85" s="8">
        <f>IF($A85="","",TEXT($A85,"mmm-yyyy"))</f>
        <v/>
      </c>
      <c r="C85" s="8">
        <f>IF($A85="","","W"&amp;WEEKNUM($A85,2))</f>
        <v/>
      </c>
      <c r="D85" s="8" t="inlineStr">
        <is>
          <t>PM Compliance %</t>
        </is>
      </c>
      <c r="E85" s="8">
        <f>IFERROR(INDEX(Tbl_KPIConfig[Department],MATCH($D85,Tbl_KPIConfig[KPI Name],0)),"")</f>
        <v/>
      </c>
      <c r="F85" s="8">
        <f>IFERROR(INDEX(Tbl_KPIConfig[Unit],MATCH($D85,Tbl_KPIConfig[KPI Name],0)),"")</f>
        <v/>
      </c>
      <c r="G85" s="8">
        <f>IFERROR(INDEX(Tbl_KPIConfig[Target],MATCH($D85,Tbl_KPIConfig[KPI Name],0)),"")</f>
        <v/>
      </c>
      <c r="H85" s="8" t="n">
        <v>0.9693000000000001</v>
      </c>
      <c r="I85" s="9">
        <f>IFERROR(IF(INDEX(Tbl_KPIConfig[Direction],MATCH($D85,Tbl_KPIConfig[KPI Name],0))="Lower is Better",IF($H85=0,1,IF($G85=0,0,$G85/$H85)),IF($G85=0,1,$H85/$G85)),0)</f>
        <v/>
      </c>
      <c r="J85" s="8">
        <f>IFERROR(IF($I85&gt;=1,"Green",IF($I85&gt;=INDEX(Tbl_KPIConfig[RAG Threshold %],MATCH($D85,Tbl_KPIConfig[KPI Name],0)),"Amber","Red")),"")</f>
        <v/>
      </c>
      <c r="K85" s="10" t="inlineStr">
        <is>
          <t>Preventive check done</t>
        </is>
      </c>
    </row>
    <row r="86">
      <c r="A86" s="11" t="n">
        <v>46181</v>
      </c>
      <c r="B86" s="12">
        <f>IF($A86="","",TEXT($A86,"mmm-yyyy"))</f>
        <v/>
      </c>
      <c r="C86" s="12">
        <f>IF($A86="","","W"&amp;WEEKNUM($A86,2))</f>
        <v/>
      </c>
      <c r="D86" s="12" t="inlineStr">
        <is>
          <t>Power Consumption (kWh)</t>
        </is>
      </c>
      <c r="E86" s="12">
        <f>IFERROR(INDEX(Tbl_KPIConfig[Department],MATCH($D86,Tbl_KPIConfig[KPI Name],0)),"")</f>
        <v/>
      </c>
      <c r="F86" s="12">
        <f>IFERROR(INDEX(Tbl_KPIConfig[Unit],MATCH($D86,Tbl_KPIConfig[KPI Name],0)),"")</f>
        <v/>
      </c>
      <c r="G86" s="12">
        <f>IFERROR(INDEX(Tbl_KPIConfig[Target],MATCH($D86,Tbl_KPIConfig[KPI Name],0)),"")</f>
        <v/>
      </c>
      <c r="H86" s="12" t="n">
        <v>3840.32</v>
      </c>
      <c r="I86" s="13">
        <f>IFERROR(IF(INDEX(Tbl_KPIConfig[Direction],MATCH($D86,Tbl_KPIConfig[KPI Name],0))="Lower is Better",IF($H86=0,1,IF($G86=0,0,$G86/$H86)),IF($G86=0,1,$H86/$G86)),0)</f>
        <v/>
      </c>
      <c r="J86" s="12">
        <f>IFERROR(IF($I86&gt;=1,"Green",IF($I86&gt;=INDEX(Tbl_KPIConfig[RAG Threshold %],MATCH($D86,Tbl_KPIConfig[KPI Name],0)),"Amber","Red")),"")</f>
        <v/>
      </c>
      <c r="K86" s="14" t="inlineStr">
        <is>
          <t>Awaiting spares</t>
        </is>
      </c>
    </row>
    <row r="87">
      <c r="A87" s="7" t="n">
        <v>46181</v>
      </c>
      <c r="B87" s="8">
        <f>IF($A87="","",TEXT($A87,"mmm-yyyy"))</f>
        <v/>
      </c>
      <c r="C87" s="8">
        <f>IF($A87="","","W"&amp;WEEKNUM($A87,2))</f>
        <v/>
      </c>
      <c r="D87" s="8" t="inlineStr">
        <is>
          <t>On-Time Dispatch %</t>
        </is>
      </c>
      <c r="E87" s="8">
        <f>IFERROR(INDEX(Tbl_KPIConfig[Department],MATCH($D87,Tbl_KPIConfig[KPI Name],0)),"")</f>
        <v/>
      </c>
      <c r="F87" s="8">
        <f>IFERROR(INDEX(Tbl_KPIConfig[Unit],MATCH($D87,Tbl_KPIConfig[KPI Name],0)),"")</f>
        <v/>
      </c>
      <c r="G87" s="8">
        <f>IFERROR(INDEX(Tbl_KPIConfig[Target],MATCH($D87,Tbl_KPIConfig[KPI Name],0)),"")</f>
        <v/>
      </c>
      <c r="H87" s="8" t="n">
        <v>0.9851</v>
      </c>
      <c r="I87" s="9">
        <f>IFERROR(IF(INDEX(Tbl_KPIConfig[Direction],MATCH($D87,Tbl_KPIConfig[KPI Name],0))="Lower is Better",IF($H87=0,1,IF($G87=0,0,$G87/$H87)),IF($G87=0,1,$H87/$G87)),0)</f>
        <v/>
      </c>
      <c r="J87" s="8">
        <f>IFERROR(IF($I87&gt;=1,"Green",IF($I87&gt;=INDEX(Tbl_KPIConfig[RAG Threshold %],MATCH($D87,Tbl_KPIConfig[KPI Name],0)),"Amber","Red")),"")</f>
        <v/>
      </c>
      <c r="K87" s="10" t="inlineStr"/>
    </row>
    <row r="88">
      <c r="A88" s="11" t="n">
        <v>46181</v>
      </c>
      <c r="B88" s="12">
        <f>IF($A88="","",TEXT($A88,"mmm-yyyy"))</f>
        <v/>
      </c>
      <c r="C88" s="12">
        <f>IF($A88="","","W"&amp;WEEKNUM($A88,2))</f>
        <v/>
      </c>
      <c r="D88" s="12" t="inlineStr">
        <is>
          <t>Inventory Accuracy %</t>
        </is>
      </c>
      <c r="E88" s="12">
        <f>IFERROR(INDEX(Tbl_KPIConfig[Department],MATCH($D88,Tbl_KPIConfig[KPI Name],0)),"")</f>
        <v/>
      </c>
      <c r="F88" s="12">
        <f>IFERROR(INDEX(Tbl_KPIConfig[Unit],MATCH($D88,Tbl_KPIConfig[KPI Name],0)),"")</f>
        <v/>
      </c>
      <c r="G88" s="12">
        <f>IFERROR(INDEX(Tbl_KPIConfig[Target],MATCH($D88,Tbl_KPIConfig[KPI Name],0)),"")</f>
        <v/>
      </c>
      <c r="H88" s="12" t="n">
        <v>1.1918</v>
      </c>
      <c r="I88" s="13">
        <f>IFERROR(IF(INDEX(Tbl_KPIConfig[Direction],MATCH($D88,Tbl_KPIConfig[KPI Name],0))="Lower is Better",IF($H88=0,1,IF($G88=0,0,$G88/$H88)),IF($G88=0,1,$H88/$G88)),0)</f>
        <v/>
      </c>
      <c r="J88" s="12">
        <f>IFERROR(IF($I88&gt;=1,"Green",IF($I88&gt;=INDEX(Tbl_KPIConfig[RAG Threshold %],MATCH($D88,Tbl_KPIConfig[KPI Name],0)),"Amber","Red")),"")</f>
        <v/>
      </c>
      <c r="K88" s="14" t="inlineStr"/>
    </row>
    <row r="89">
      <c r="A89" s="7" t="n">
        <v>46181</v>
      </c>
      <c r="B89" s="8">
        <f>IF($A89="","",TEXT($A89,"mmm-yyyy"))</f>
        <v/>
      </c>
      <c r="C89" s="8">
        <f>IF($A89="","","W"&amp;WEEKNUM($A89,2))</f>
        <v/>
      </c>
      <c r="D89" s="8" t="inlineStr">
        <is>
          <t>Absenteeism %</t>
        </is>
      </c>
      <c r="E89" s="8">
        <f>IFERROR(INDEX(Tbl_KPIConfig[Department],MATCH($D89,Tbl_KPIConfig[KPI Name],0)),"")</f>
        <v/>
      </c>
      <c r="F89" s="8">
        <f>IFERROR(INDEX(Tbl_KPIConfig[Unit],MATCH($D89,Tbl_KPIConfig[KPI Name],0)),"")</f>
        <v/>
      </c>
      <c r="G89" s="8">
        <f>IFERROR(INDEX(Tbl_KPIConfig[Target],MATCH($D89,Tbl_KPIConfig[KPI Name],0)),"")</f>
        <v/>
      </c>
      <c r="H89" s="8" t="n">
        <v>0.0323</v>
      </c>
      <c r="I89" s="9">
        <f>IFERROR(IF(INDEX(Tbl_KPIConfig[Direction],MATCH($D89,Tbl_KPIConfig[KPI Name],0))="Lower is Better",IF($H89=0,1,IF($G89=0,0,$G89/$H89)),IF($G89=0,1,$H89/$G89)),0)</f>
        <v/>
      </c>
      <c r="J89" s="8">
        <f>IFERROR(IF($I89&gt;=1,"Green",IF($I89&gt;=INDEX(Tbl_KPIConfig[RAG Threshold %],MATCH($D89,Tbl_KPIConfig[KPI Name],0)),"Amber","Red")),"")</f>
        <v/>
      </c>
      <c r="K89" s="10" t="inlineStr">
        <is>
          <t>Process improvement in progress</t>
        </is>
      </c>
    </row>
    <row r="90">
      <c r="A90" s="11" t="n">
        <v>46181</v>
      </c>
      <c r="B90" s="12">
        <f>IF($A90="","",TEXT($A90,"mmm-yyyy"))</f>
        <v/>
      </c>
      <c r="C90" s="12">
        <f>IF($A90="","","W"&amp;WEEKNUM($A90,2))</f>
        <v/>
      </c>
      <c r="D90" s="12" t="inlineStr">
        <is>
          <t>Training Hours</t>
        </is>
      </c>
      <c r="E90" s="12">
        <f>IFERROR(INDEX(Tbl_KPIConfig[Department],MATCH($D90,Tbl_KPIConfig[KPI Name],0)),"")</f>
        <v/>
      </c>
      <c r="F90" s="12">
        <f>IFERROR(INDEX(Tbl_KPIConfig[Unit],MATCH($D90,Tbl_KPIConfig[KPI Name],0)),"")</f>
        <v/>
      </c>
      <c r="G90" s="12">
        <f>IFERROR(INDEX(Tbl_KPIConfig[Target],MATCH($D90,Tbl_KPIConfig[KPI Name],0)),"")</f>
        <v/>
      </c>
      <c r="H90" s="12" t="n">
        <v>1.58</v>
      </c>
      <c r="I90" s="13">
        <f>IFERROR(IF(INDEX(Tbl_KPIConfig[Direction],MATCH($D90,Tbl_KPIConfig[KPI Name],0))="Lower is Better",IF($H90=0,1,IF($G90=0,0,$G90/$H90)),IF($G90=0,1,$H90/$G90)),0)</f>
        <v/>
      </c>
      <c r="J90" s="12">
        <f>IFERROR(IF($I90&gt;=1,"Green",IF($I90&gt;=INDEX(Tbl_KPIConfig[RAG Threshold %],MATCH($D90,Tbl_KPIConfig[KPI Name],0)),"Amber","Red")),"")</f>
        <v/>
      </c>
      <c r="K90" s="14" t="inlineStr">
        <is>
          <t>Line changeover impact</t>
        </is>
      </c>
    </row>
    <row r="91">
      <c r="A91" s="7" t="n">
        <v>46181</v>
      </c>
      <c r="B91" s="8">
        <f>IF($A91="","",TEXT($A91,"mmm-yyyy"))</f>
        <v/>
      </c>
      <c r="C91" s="8">
        <f>IF($A91="","","W"&amp;WEEKNUM($A91,2))</f>
        <v/>
      </c>
      <c r="D91" s="8" t="inlineStr">
        <is>
          <t>Milestone Adherence %</t>
        </is>
      </c>
      <c r="E91" s="8">
        <f>IFERROR(INDEX(Tbl_KPIConfig[Department],MATCH($D91,Tbl_KPIConfig[KPI Name],0)),"")</f>
        <v/>
      </c>
      <c r="F91" s="8">
        <f>IFERROR(INDEX(Tbl_KPIConfig[Unit],MATCH($D91,Tbl_KPIConfig[KPI Name],0)),"")</f>
        <v/>
      </c>
      <c r="G91" s="8">
        <f>IFERROR(INDEX(Tbl_KPIConfig[Target],MATCH($D91,Tbl_KPIConfig[KPI Name],0)),"")</f>
        <v/>
      </c>
      <c r="H91" s="8" t="n">
        <v>0.7994</v>
      </c>
      <c r="I91" s="9">
        <f>IFERROR(IF(INDEX(Tbl_KPIConfig[Direction],MATCH($D91,Tbl_KPIConfig[KPI Name],0))="Lower is Better",IF($H91=0,1,IF($G91=0,0,$G91/$H91)),IF($G91=0,1,$H91/$G91)),0)</f>
        <v/>
      </c>
      <c r="J91" s="8">
        <f>IFERROR(IF($I91&gt;=1,"Green",IF($I91&gt;=INDEX(Tbl_KPIConfig[RAG Threshold %],MATCH($D91,Tbl_KPIConfig[KPI Name],0)),"Amber","Red")),"")</f>
        <v/>
      </c>
      <c r="K91" s="10" t="inlineStr">
        <is>
          <t>Awaiting spares</t>
        </is>
      </c>
    </row>
    <row r="92">
      <c r="A92" s="11" t="n">
        <v>46181</v>
      </c>
      <c r="B92" s="12">
        <f>IF($A92="","",TEXT($A92,"mmm-yyyy"))</f>
        <v/>
      </c>
      <c r="C92" s="12">
        <f>IF($A92="","","W"&amp;WEEKNUM($A92,2))</f>
        <v/>
      </c>
      <c r="D92" s="12" t="inlineStr">
        <is>
          <t>Breakdown Resolution (Hrs)</t>
        </is>
      </c>
      <c r="E92" s="12">
        <f>IFERROR(INDEX(Tbl_KPIConfig[Department],MATCH($D92,Tbl_KPIConfig[KPI Name],0)),"")</f>
        <v/>
      </c>
      <c r="F92" s="12">
        <f>IFERROR(INDEX(Tbl_KPIConfig[Unit],MATCH($D92,Tbl_KPIConfig[KPI Name],0)),"")</f>
        <v/>
      </c>
      <c r="G92" s="12">
        <f>IFERROR(INDEX(Tbl_KPIConfig[Target],MATCH($D92,Tbl_KPIConfig[KPI Name],0)),"")</f>
        <v/>
      </c>
      <c r="H92" s="12" t="n">
        <v>2.06</v>
      </c>
      <c r="I92" s="13">
        <f>IFERROR(IF(INDEX(Tbl_KPIConfig[Direction],MATCH($D92,Tbl_KPIConfig[KPI Name],0))="Lower is Better",IF($H92=0,1,IF($G92=0,0,$G92/$H92)),IF($G92=0,1,$H92/$G92)),0)</f>
        <v/>
      </c>
      <c r="J92" s="12">
        <f>IFERROR(IF($I92&gt;=1,"Green",IF($I92&gt;=INDEX(Tbl_KPIConfig[RAG Threshold %],MATCH($D92,Tbl_KPIConfig[KPI Name],0)),"Amber","Red")),"")</f>
        <v/>
      </c>
      <c r="K92" s="14" t="inlineStr">
        <is>
          <t>Vendor delay</t>
        </is>
      </c>
    </row>
    <row r="93">
      <c r="A93" s="7" t="n">
        <v>46182</v>
      </c>
      <c r="B93" s="8">
        <f>IF($A93="","",TEXT($A93,"mmm-yyyy"))</f>
        <v/>
      </c>
      <c r="C93" s="8">
        <f>IF($A93="","","W"&amp;WEEKNUM($A93,2))</f>
        <v/>
      </c>
      <c r="D93" s="8" t="inlineStr">
        <is>
          <t>Safety Incidents (LTI)</t>
        </is>
      </c>
      <c r="E93" s="8">
        <f>IFERROR(INDEX(Tbl_KPIConfig[Department],MATCH($D93,Tbl_KPIConfig[KPI Name],0)),"")</f>
        <v/>
      </c>
      <c r="F93" s="8">
        <f>IFERROR(INDEX(Tbl_KPIConfig[Unit],MATCH($D93,Tbl_KPIConfig[KPI Name],0)),"")</f>
        <v/>
      </c>
      <c r="G93" s="8">
        <f>IFERROR(INDEX(Tbl_KPIConfig[Target],MATCH($D93,Tbl_KPIConfig[KPI Name],0)),"")</f>
        <v/>
      </c>
      <c r="H93" s="8" t="n">
        <v>0</v>
      </c>
      <c r="I93" s="9">
        <f>IFERROR(IF(INDEX(Tbl_KPIConfig[Direction],MATCH($D93,Tbl_KPIConfig[KPI Name],0))="Lower is Better",IF($H93=0,1,IF($G93=0,0,$G93/$H93)),IF($G93=0,1,$H93/$G93)),0)</f>
        <v/>
      </c>
      <c r="J93" s="8">
        <f>IFERROR(IF($I93&gt;=1,"Green",IF($I93&gt;=INDEX(Tbl_KPIConfig[RAG Threshold %],MATCH($D93,Tbl_KPIConfig[KPI Name],0)),"Amber","Red")),"")</f>
        <v/>
      </c>
      <c r="K93" s="10" t="inlineStr">
        <is>
          <t>Preventive check done</t>
        </is>
      </c>
    </row>
    <row r="94">
      <c r="A94" s="11" t="n">
        <v>46182</v>
      </c>
      <c r="B94" s="12">
        <f>IF($A94="","",TEXT($A94,"mmm-yyyy"))</f>
        <v/>
      </c>
      <c r="C94" s="12">
        <f>IF($A94="","","W"&amp;WEEKNUM($A94,2))</f>
        <v/>
      </c>
      <c r="D94" s="12" t="inlineStr">
        <is>
          <t>Near Miss Reports</t>
        </is>
      </c>
      <c r="E94" s="12">
        <f>IFERROR(INDEX(Tbl_KPIConfig[Department],MATCH($D94,Tbl_KPIConfig[KPI Name],0)),"")</f>
        <v/>
      </c>
      <c r="F94" s="12">
        <f>IFERROR(INDEX(Tbl_KPIConfig[Unit],MATCH($D94,Tbl_KPIConfig[KPI Name],0)),"")</f>
        <v/>
      </c>
      <c r="G94" s="12">
        <f>IFERROR(INDEX(Tbl_KPIConfig[Target],MATCH($D94,Tbl_KPIConfig[KPI Name],0)),"")</f>
        <v/>
      </c>
      <c r="H94" s="12" t="n">
        <v>2</v>
      </c>
      <c r="I94" s="13">
        <f>IFERROR(IF(INDEX(Tbl_KPIConfig[Direction],MATCH($D94,Tbl_KPIConfig[KPI Name],0))="Lower is Better",IF($H94=0,1,IF($G94=0,0,$G94/$H94)),IF($G94=0,1,$H94/$G94)),0)</f>
        <v/>
      </c>
      <c r="J94" s="12">
        <f>IFERROR(IF($I94&gt;=1,"Green",IF($I94&gt;=INDEX(Tbl_KPIConfig[RAG Threshold %],MATCH($D94,Tbl_KPIConfig[KPI Name],0)),"Amber","Red")),"")</f>
        <v/>
      </c>
      <c r="K94" s="14" t="inlineStr">
        <is>
          <t>Process improvement in progress</t>
        </is>
      </c>
    </row>
    <row r="95">
      <c r="A95" s="7" t="n">
        <v>46182</v>
      </c>
      <c r="B95" s="8">
        <f>IF($A95="","",TEXT($A95,"mmm-yyyy"))</f>
        <v/>
      </c>
      <c r="C95" s="8">
        <f>IF($A95="","","W"&amp;WEEKNUM($A95,2))</f>
        <v/>
      </c>
      <c r="D95" s="8" t="inlineStr">
        <is>
          <t>Production Output</t>
        </is>
      </c>
      <c r="E95" s="8">
        <f>IFERROR(INDEX(Tbl_KPIConfig[Department],MATCH($D95,Tbl_KPIConfig[KPI Name],0)),"")</f>
        <v/>
      </c>
      <c r="F95" s="8">
        <f>IFERROR(INDEX(Tbl_KPIConfig[Unit],MATCH($D95,Tbl_KPIConfig[KPI Name],0)),"")</f>
        <v/>
      </c>
      <c r="G95" s="8">
        <f>IFERROR(INDEX(Tbl_KPIConfig[Target],MATCH($D95,Tbl_KPIConfig[KPI Name],0)),"")</f>
        <v/>
      </c>
      <c r="H95" s="8" t="n">
        <v>733.1799999999999</v>
      </c>
      <c r="I95" s="9">
        <f>IFERROR(IF(INDEX(Tbl_KPIConfig[Direction],MATCH($D95,Tbl_KPIConfig[KPI Name],0))="Lower is Better",IF($H95=0,1,IF($G95=0,0,$G95/$H95)),IF($G95=0,1,$H95/$G95)),0)</f>
        <v/>
      </c>
      <c r="J95" s="8">
        <f>IFERROR(IF($I95&gt;=1,"Green",IF($I95&gt;=INDEX(Tbl_KPIConfig[RAG Threshold %],MATCH($D95,Tbl_KPIConfig[KPI Name],0)),"Amber","Red")),"")</f>
        <v/>
      </c>
      <c r="K95" s="10" t="inlineStr">
        <is>
          <t>Within normal range</t>
        </is>
      </c>
    </row>
    <row r="96">
      <c r="A96" s="11" t="n">
        <v>46182</v>
      </c>
      <c r="B96" s="12">
        <f>IF($A96="","",TEXT($A96,"mmm-yyyy"))</f>
        <v/>
      </c>
      <c r="C96" s="12">
        <f>IF($A96="","","W"&amp;WEEKNUM($A96,2))</f>
        <v/>
      </c>
      <c r="D96" s="12" t="inlineStr">
        <is>
          <t>OEE %</t>
        </is>
      </c>
      <c r="E96" s="12">
        <f>IFERROR(INDEX(Tbl_KPIConfig[Department],MATCH($D96,Tbl_KPIConfig[KPI Name],0)),"")</f>
        <v/>
      </c>
      <c r="F96" s="12">
        <f>IFERROR(INDEX(Tbl_KPIConfig[Unit],MATCH($D96,Tbl_KPIConfig[KPI Name],0)),"")</f>
        <v/>
      </c>
      <c r="G96" s="12">
        <f>IFERROR(INDEX(Tbl_KPIConfig[Target],MATCH($D96,Tbl_KPIConfig[KPI Name],0)),"")</f>
        <v/>
      </c>
      <c r="H96" s="12" t="n">
        <v>0.9281</v>
      </c>
      <c r="I96" s="13">
        <f>IFERROR(IF(INDEX(Tbl_KPIConfig[Direction],MATCH($D96,Tbl_KPIConfig[KPI Name],0))="Lower is Better",IF($H96=0,1,IF($G96=0,0,$G96/$H96)),IF($G96=0,1,$H96/$G96)),0)</f>
        <v/>
      </c>
      <c r="J96" s="12">
        <f>IFERROR(IF($I96&gt;=1,"Green",IF($I96&gt;=INDEX(Tbl_KPIConfig[RAG Threshold %],MATCH($D96,Tbl_KPIConfig[KPI Name],0)),"Amber","Red")),"")</f>
        <v/>
      </c>
      <c r="K96" s="14" t="inlineStr">
        <is>
          <t>Line changeover impact</t>
        </is>
      </c>
    </row>
    <row r="97">
      <c r="A97" s="7" t="n">
        <v>46182</v>
      </c>
      <c r="B97" s="8">
        <f>IF($A97="","",TEXT($A97,"mmm-yyyy"))</f>
        <v/>
      </c>
      <c r="C97" s="8">
        <f>IF($A97="","","W"&amp;WEEKNUM($A97,2))</f>
        <v/>
      </c>
      <c r="D97" s="8" t="inlineStr">
        <is>
          <t>Defect Rate %</t>
        </is>
      </c>
      <c r="E97" s="8">
        <f>IFERROR(INDEX(Tbl_KPIConfig[Department],MATCH($D97,Tbl_KPIConfig[KPI Name],0)),"")</f>
        <v/>
      </c>
      <c r="F97" s="8">
        <f>IFERROR(INDEX(Tbl_KPIConfig[Unit],MATCH($D97,Tbl_KPIConfig[KPI Name],0)),"")</f>
        <v/>
      </c>
      <c r="G97" s="8">
        <f>IFERROR(INDEX(Tbl_KPIConfig[Target],MATCH($D97,Tbl_KPIConfig[KPI Name],0)),"")</f>
        <v/>
      </c>
      <c r="H97" s="8" t="n">
        <v>0.0189</v>
      </c>
      <c r="I97" s="9">
        <f>IFERROR(IF(INDEX(Tbl_KPIConfig[Direction],MATCH($D97,Tbl_KPIConfig[KPI Name],0))="Lower is Better",IF($H97=0,1,IF($G97=0,0,$G97/$H97)),IF($G97=0,1,$H97/$G97)),0)</f>
        <v/>
      </c>
      <c r="J97" s="8">
        <f>IFERROR(IF($I97&gt;=1,"Green",IF($I97&gt;=INDEX(Tbl_KPIConfig[RAG Threshold %],MATCH($D97,Tbl_KPIConfig[KPI Name],0)),"Amber","Red")),"")</f>
        <v/>
      </c>
      <c r="K97" s="10" t="inlineStr">
        <is>
          <t>Awaiting spares</t>
        </is>
      </c>
    </row>
    <row r="98">
      <c r="A98" s="11" t="n">
        <v>46182</v>
      </c>
      <c r="B98" s="12">
        <f>IF($A98="","",TEXT($A98,"mmm-yyyy"))</f>
        <v/>
      </c>
      <c r="C98" s="12">
        <f>IF($A98="","","W"&amp;WEEKNUM($A98,2))</f>
        <v/>
      </c>
      <c r="D98" s="12" t="inlineStr">
        <is>
          <t>Customer Complaints</t>
        </is>
      </c>
      <c r="E98" s="12">
        <f>IFERROR(INDEX(Tbl_KPIConfig[Department],MATCH($D98,Tbl_KPIConfig[KPI Name],0)),"")</f>
        <v/>
      </c>
      <c r="F98" s="12">
        <f>IFERROR(INDEX(Tbl_KPIConfig[Unit],MATCH($D98,Tbl_KPIConfig[KPI Name],0)),"")</f>
        <v/>
      </c>
      <c r="G98" s="12">
        <f>IFERROR(INDEX(Tbl_KPIConfig[Target],MATCH($D98,Tbl_KPIConfig[KPI Name],0)),"")</f>
        <v/>
      </c>
      <c r="H98" s="12" t="n">
        <v>1</v>
      </c>
      <c r="I98" s="13">
        <f>IFERROR(IF(INDEX(Tbl_KPIConfig[Direction],MATCH($D98,Tbl_KPIConfig[KPI Name],0))="Lower is Better",IF($H98=0,1,IF($G98=0,0,$G98/$H98)),IF($G98=0,1,$H98/$G98)),0)</f>
        <v/>
      </c>
      <c r="J98" s="12">
        <f>IFERROR(IF($I98&gt;=1,"Green",IF($I98&gt;=INDEX(Tbl_KPIConfig[RAG Threshold %],MATCH($D98,Tbl_KPIConfig[KPI Name],0)),"Amber","Red")),"")</f>
        <v/>
      </c>
      <c r="K98" s="14" t="inlineStr">
        <is>
          <t>Vendor delay</t>
        </is>
      </c>
    </row>
    <row r="99">
      <c r="A99" s="7" t="n">
        <v>46182</v>
      </c>
      <c r="B99" s="8">
        <f>IF($A99="","",TEXT($A99,"mmm-yyyy"))</f>
        <v/>
      </c>
      <c r="C99" s="8">
        <f>IF($A99="","","W"&amp;WEEKNUM($A99,2))</f>
        <v/>
      </c>
      <c r="D99" s="8" t="inlineStr">
        <is>
          <t>Unplanned Downtime (Hrs)</t>
        </is>
      </c>
      <c r="E99" s="8">
        <f>IFERROR(INDEX(Tbl_KPIConfig[Department],MATCH($D99,Tbl_KPIConfig[KPI Name],0)),"")</f>
        <v/>
      </c>
      <c r="F99" s="8">
        <f>IFERROR(INDEX(Tbl_KPIConfig[Unit],MATCH($D99,Tbl_KPIConfig[KPI Name],0)),"")</f>
        <v/>
      </c>
      <c r="G99" s="8">
        <f>IFERROR(INDEX(Tbl_KPIConfig[Target],MATCH($D99,Tbl_KPIConfig[KPI Name],0)),"")</f>
        <v/>
      </c>
      <c r="H99" s="8" t="n">
        <v>1.05</v>
      </c>
      <c r="I99" s="9">
        <f>IFERROR(IF(INDEX(Tbl_KPIConfig[Direction],MATCH($D99,Tbl_KPIConfig[KPI Name],0))="Lower is Better",IF($H99=0,1,IF($G99=0,0,$G99/$H99)),IF($G99=0,1,$H99/$G99)),0)</f>
        <v/>
      </c>
      <c r="J99" s="8">
        <f>IFERROR(IF($I99&gt;=1,"Green",IF($I99&gt;=INDEX(Tbl_KPIConfig[RAG Threshold %],MATCH($D99,Tbl_KPIConfig[KPI Name],0)),"Amber","Red")),"")</f>
        <v/>
      </c>
      <c r="K99" s="10" t="inlineStr">
        <is>
          <t>Awaiting spares</t>
        </is>
      </c>
    </row>
    <row r="100">
      <c r="A100" s="11" t="n">
        <v>46182</v>
      </c>
      <c r="B100" s="12">
        <f>IF($A100="","",TEXT($A100,"mmm-yyyy"))</f>
        <v/>
      </c>
      <c r="C100" s="12">
        <f>IF($A100="","","W"&amp;WEEKNUM($A100,2))</f>
        <v/>
      </c>
      <c r="D100" s="12" t="inlineStr">
        <is>
          <t>PM Compliance %</t>
        </is>
      </c>
      <c r="E100" s="12">
        <f>IFERROR(INDEX(Tbl_KPIConfig[Department],MATCH($D100,Tbl_KPIConfig[KPI Name],0)),"")</f>
        <v/>
      </c>
      <c r="F100" s="12">
        <f>IFERROR(INDEX(Tbl_KPIConfig[Unit],MATCH($D100,Tbl_KPIConfig[KPI Name],0)),"")</f>
        <v/>
      </c>
      <c r="G100" s="12">
        <f>IFERROR(INDEX(Tbl_KPIConfig[Target],MATCH($D100,Tbl_KPIConfig[KPI Name],0)),"")</f>
        <v/>
      </c>
      <c r="H100" s="12" t="n">
        <v>1.103</v>
      </c>
      <c r="I100" s="13">
        <f>IFERROR(IF(INDEX(Tbl_KPIConfig[Direction],MATCH($D100,Tbl_KPIConfig[KPI Name],0))="Lower is Better",IF($H100=0,1,IF($G100=0,0,$G100/$H100)),IF($G100=0,1,$H100/$G100)),0)</f>
        <v/>
      </c>
      <c r="J100" s="12">
        <f>IFERROR(IF($I100&gt;=1,"Green",IF($I100&gt;=INDEX(Tbl_KPIConfig[RAG Threshold %],MATCH($D100,Tbl_KPIConfig[KPI Name],0)),"Amber","Red")),"")</f>
        <v/>
      </c>
      <c r="K100" s="14" t="inlineStr">
        <is>
          <t>Within normal range</t>
        </is>
      </c>
    </row>
    <row r="101">
      <c r="A101" s="7" t="n">
        <v>46182</v>
      </c>
      <c r="B101" s="8">
        <f>IF($A101="","",TEXT($A101,"mmm-yyyy"))</f>
        <v/>
      </c>
      <c r="C101" s="8">
        <f>IF($A101="","","W"&amp;WEEKNUM($A101,2))</f>
        <v/>
      </c>
      <c r="D101" s="8" t="inlineStr">
        <is>
          <t>Power Consumption (kWh)</t>
        </is>
      </c>
      <c r="E101" s="8">
        <f>IFERROR(INDEX(Tbl_KPIConfig[Department],MATCH($D101,Tbl_KPIConfig[KPI Name],0)),"")</f>
        <v/>
      </c>
      <c r="F101" s="8">
        <f>IFERROR(INDEX(Tbl_KPIConfig[Unit],MATCH($D101,Tbl_KPIConfig[KPI Name],0)),"")</f>
        <v/>
      </c>
      <c r="G101" s="8">
        <f>IFERROR(INDEX(Tbl_KPIConfig[Target],MATCH($D101,Tbl_KPIConfig[KPI Name],0)),"")</f>
        <v/>
      </c>
      <c r="H101" s="8" t="n">
        <v>3720.88</v>
      </c>
      <c r="I101" s="9">
        <f>IFERROR(IF(INDEX(Tbl_KPIConfig[Direction],MATCH($D101,Tbl_KPIConfig[KPI Name],0))="Lower is Better",IF($H101=0,1,IF($G101=0,0,$G101/$H101)),IF($G101=0,1,$H101/$G101)),0)</f>
        <v/>
      </c>
      <c r="J101" s="8">
        <f>IFERROR(IF($I101&gt;=1,"Green",IF($I101&gt;=INDEX(Tbl_KPIConfig[RAG Threshold %],MATCH($D101,Tbl_KPIConfig[KPI Name],0)),"Amber","Red")),"")</f>
        <v/>
      </c>
      <c r="K101" s="10" t="inlineStr">
        <is>
          <t>Within normal range</t>
        </is>
      </c>
    </row>
    <row r="102">
      <c r="A102" s="11" t="n">
        <v>46182</v>
      </c>
      <c r="B102" s="12">
        <f>IF($A102="","",TEXT($A102,"mmm-yyyy"))</f>
        <v/>
      </c>
      <c r="C102" s="12">
        <f>IF($A102="","","W"&amp;WEEKNUM($A102,2))</f>
        <v/>
      </c>
      <c r="D102" s="12" t="inlineStr">
        <is>
          <t>On-Time Dispatch %</t>
        </is>
      </c>
      <c r="E102" s="12">
        <f>IFERROR(INDEX(Tbl_KPIConfig[Department],MATCH($D102,Tbl_KPIConfig[KPI Name],0)),"")</f>
        <v/>
      </c>
      <c r="F102" s="12">
        <f>IFERROR(INDEX(Tbl_KPIConfig[Unit],MATCH($D102,Tbl_KPIConfig[KPI Name],0)),"")</f>
        <v/>
      </c>
      <c r="G102" s="12">
        <f>IFERROR(INDEX(Tbl_KPIConfig[Target],MATCH($D102,Tbl_KPIConfig[KPI Name],0)),"")</f>
        <v/>
      </c>
      <c r="H102" s="12" t="n">
        <v>0.9713000000000001</v>
      </c>
      <c r="I102" s="13">
        <f>IFERROR(IF(INDEX(Tbl_KPIConfig[Direction],MATCH($D102,Tbl_KPIConfig[KPI Name],0))="Lower is Better",IF($H102=0,1,IF($G102=0,0,$G102/$H102)),IF($G102=0,1,$H102/$G102)),0)</f>
        <v/>
      </c>
      <c r="J102" s="12">
        <f>IFERROR(IF($I102&gt;=1,"Green",IF($I102&gt;=INDEX(Tbl_KPIConfig[RAG Threshold %],MATCH($D102,Tbl_KPIConfig[KPI Name],0)),"Amber","Red")),"")</f>
        <v/>
      </c>
      <c r="K102" s="14" t="inlineStr">
        <is>
          <t>Manpower shortage</t>
        </is>
      </c>
    </row>
    <row r="103">
      <c r="A103" s="7" t="n">
        <v>46182</v>
      </c>
      <c r="B103" s="8">
        <f>IF($A103="","",TEXT($A103,"mmm-yyyy"))</f>
        <v/>
      </c>
      <c r="C103" s="8">
        <f>IF($A103="","","W"&amp;WEEKNUM($A103,2))</f>
        <v/>
      </c>
      <c r="D103" s="8" t="inlineStr">
        <is>
          <t>Inventory Accuracy %</t>
        </is>
      </c>
      <c r="E103" s="8">
        <f>IFERROR(INDEX(Tbl_KPIConfig[Department],MATCH($D103,Tbl_KPIConfig[KPI Name],0)),"")</f>
        <v/>
      </c>
      <c r="F103" s="8">
        <f>IFERROR(INDEX(Tbl_KPIConfig[Unit],MATCH($D103,Tbl_KPIConfig[KPI Name],0)),"")</f>
        <v/>
      </c>
      <c r="G103" s="8">
        <f>IFERROR(INDEX(Tbl_KPIConfig[Target],MATCH($D103,Tbl_KPIConfig[KPI Name],0)),"")</f>
        <v/>
      </c>
      <c r="H103" s="8" t="n">
        <v>0.8426</v>
      </c>
      <c r="I103" s="9">
        <f>IFERROR(IF(INDEX(Tbl_KPIConfig[Direction],MATCH($D103,Tbl_KPIConfig[KPI Name],0))="Lower is Better",IF($H103=0,1,IF($G103=0,0,$G103/$H103)),IF($G103=0,1,$H103/$G103)),0)</f>
        <v/>
      </c>
      <c r="J103" s="8">
        <f>IFERROR(IF($I103&gt;=1,"Green",IF($I103&gt;=INDEX(Tbl_KPIConfig[RAG Threshold %],MATCH($D103,Tbl_KPIConfig[KPI Name],0)),"Amber","Red")),"")</f>
        <v/>
      </c>
      <c r="K103" s="10" t="inlineStr">
        <is>
          <t>Line changeover impact</t>
        </is>
      </c>
    </row>
    <row r="104">
      <c r="A104" s="11" t="n">
        <v>46182</v>
      </c>
      <c r="B104" s="12">
        <f>IF($A104="","",TEXT($A104,"mmm-yyyy"))</f>
        <v/>
      </c>
      <c r="C104" s="12">
        <f>IF($A104="","","W"&amp;WEEKNUM($A104,2))</f>
        <v/>
      </c>
      <c r="D104" s="12" t="inlineStr">
        <is>
          <t>Absenteeism %</t>
        </is>
      </c>
      <c r="E104" s="12">
        <f>IFERROR(INDEX(Tbl_KPIConfig[Department],MATCH($D104,Tbl_KPIConfig[KPI Name],0)),"")</f>
        <v/>
      </c>
      <c r="F104" s="12">
        <f>IFERROR(INDEX(Tbl_KPIConfig[Unit],MATCH($D104,Tbl_KPIConfig[KPI Name],0)),"")</f>
        <v/>
      </c>
      <c r="G104" s="12">
        <f>IFERROR(INDEX(Tbl_KPIConfig[Target],MATCH($D104,Tbl_KPIConfig[KPI Name],0)),"")</f>
        <v/>
      </c>
      <c r="H104" s="12" t="n">
        <v>0.0233</v>
      </c>
      <c r="I104" s="13">
        <f>IFERROR(IF(INDEX(Tbl_KPIConfig[Direction],MATCH($D104,Tbl_KPIConfig[KPI Name],0))="Lower is Better",IF($H104=0,1,IF($G104=0,0,$G104/$H104)),IF($G104=0,1,$H104/$G104)),0)</f>
        <v/>
      </c>
      <c r="J104" s="12">
        <f>IFERROR(IF($I104&gt;=1,"Green",IF($I104&gt;=INDEX(Tbl_KPIConfig[RAG Threshold %],MATCH($D104,Tbl_KPIConfig[KPI Name],0)),"Amber","Red")),"")</f>
        <v/>
      </c>
      <c r="K104" s="14" t="inlineStr">
        <is>
          <t>Preventive check done</t>
        </is>
      </c>
    </row>
    <row r="105">
      <c r="A105" s="7" t="n">
        <v>46182</v>
      </c>
      <c r="B105" s="8">
        <f>IF($A105="","",TEXT($A105,"mmm-yyyy"))</f>
        <v/>
      </c>
      <c r="C105" s="8">
        <f>IF($A105="","","W"&amp;WEEKNUM($A105,2))</f>
        <v/>
      </c>
      <c r="D105" s="8" t="inlineStr">
        <is>
          <t>Training Hours</t>
        </is>
      </c>
      <c r="E105" s="8">
        <f>IFERROR(INDEX(Tbl_KPIConfig[Department],MATCH($D105,Tbl_KPIConfig[KPI Name],0)),"")</f>
        <v/>
      </c>
      <c r="F105" s="8">
        <f>IFERROR(INDEX(Tbl_KPIConfig[Unit],MATCH($D105,Tbl_KPIConfig[KPI Name],0)),"")</f>
        <v/>
      </c>
      <c r="G105" s="8">
        <f>IFERROR(INDEX(Tbl_KPIConfig[Target],MATCH($D105,Tbl_KPIConfig[KPI Name],0)),"")</f>
        <v/>
      </c>
      <c r="H105" s="8" t="n">
        <v>1.85</v>
      </c>
      <c r="I105" s="9">
        <f>IFERROR(IF(INDEX(Tbl_KPIConfig[Direction],MATCH($D105,Tbl_KPIConfig[KPI Name],0))="Lower is Better",IF($H105=0,1,IF($G105=0,0,$G105/$H105)),IF($G105=0,1,$H105/$G105)),0)</f>
        <v/>
      </c>
      <c r="J105" s="8">
        <f>IFERROR(IF($I105&gt;=1,"Green",IF($I105&gt;=INDEX(Tbl_KPIConfig[RAG Threshold %],MATCH($D105,Tbl_KPIConfig[KPI Name],0)),"Amber","Red")),"")</f>
        <v/>
      </c>
      <c r="K105" s="10" t="inlineStr">
        <is>
          <t>Preventive check done</t>
        </is>
      </c>
    </row>
    <row r="106">
      <c r="A106" s="11" t="n">
        <v>46182</v>
      </c>
      <c r="B106" s="12">
        <f>IF($A106="","",TEXT($A106,"mmm-yyyy"))</f>
        <v/>
      </c>
      <c r="C106" s="12">
        <f>IF($A106="","","W"&amp;WEEKNUM($A106,2))</f>
        <v/>
      </c>
      <c r="D106" s="12" t="inlineStr">
        <is>
          <t>Milestone Adherence %</t>
        </is>
      </c>
      <c r="E106" s="12">
        <f>IFERROR(INDEX(Tbl_KPIConfig[Department],MATCH($D106,Tbl_KPIConfig[KPI Name],0)),"")</f>
        <v/>
      </c>
      <c r="F106" s="12">
        <f>IFERROR(INDEX(Tbl_KPIConfig[Unit],MATCH($D106,Tbl_KPIConfig[KPI Name],0)),"")</f>
        <v/>
      </c>
      <c r="G106" s="12">
        <f>IFERROR(INDEX(Tbl_KPIConfig[Target],MATCH($D106,Tbl_KPIConfig[KPI Name],0)),"")</f>
        <v/>
      </c>
      <c r="H106" s="12" t="n">
        <v>0.9093</v>
      </c>
      <c r="I106" s="13">
        <f>IFERROR(IF(INDEX(Tbl_KPIConfig[Direction],MATCH($D106,Tbl_KPIConfig[KPI Name],0))="Lower is Better",IF($H106=0,1,IF($G106=0,0,$G106/$H106)),IF($G106=0,1,$H106/$G106)),0)</f>
        <v/>
      </c>
      <c r="J106" s="12">
        <f>IFERROR(IF($I106&gt;=1,"Green",IF($I106&gt;=INDEX(Tbl_KPIConfig[RAG Threshold %],MATCH($D106,Tbl_KPIConfig[KPI Name],0)),"Amber","Red")),"")</f>
        <v/>
      </c>
      <c r="K106" s="14" t="inlineStr">
        <is>
          <t>Line changeover impact</t>
        </is>
      </c>
    </row>
    <row r="107">
      <c r="A107" s="7" t="n">
        <v>46182</v>
      </c>
      <c r="B107" s="8">
        <f>IF($A107="","",TEXT($A107,"mmm-yyyy"))</f>
        <v/>
      </c>
      <c r="C107" s="8">
        <f>IF($A107="","","W"&amp;WEEKNUM($A107,2))</f>
        <v/>
      </c>
      <c r="D107" s="8" t="inlineStr">
        <is>
          <t>Breakdown Resolution (Hrs)</t>
        </is>
      </c>
      <c r="E107" s="8">
        <f>IFERROR(INDEX(Tbl_KPIConfig[Department],MATCH($D107,Tbl_KPIConfig[KPI Name],0)),"")</f>
        <v/>
      </c>
      <c r="F107" s="8">
        <f>IFERROR(INDEX(Tbl_KPIConfig[Unit],MATCH($D107,Tbl_KPIConfig[KPI Name],0)),"")</f>
        <v/>
      </c>
      <c r="G107" s="8">
        <f>IFERROR(INDEX(Tbl_KPIConfig[Target],MATCH($D107,Tbl_KPIConfig[KPI Name],0)),"")</f>
        <v/>
      </c>
      <c r="H107" s="8" t="n">
        <v>2.2</v>
      </c>
      <c r="I107" s="9">
        <f>IFERROR(IF(INDEX(Tbl_KPIConfig[Direction],MATCH($D107,Tbl_KPIConfig[KPI Name],0))="Lower is Better",IF($H107=0,1,IF($G107=0,0,$G107/$H107)),IF($G107=0,1,$H107/$G107)),0)</f>
        <v/>
      </c>
      <c r="J107" s="8">
        <f>IFERROR(IF($I107&gt;=1,"Green",IF($I107&gt;=INDEX(Tbl_KPIConfig[RAG Threshold %],MATCH($D107,Tbl_KPIConfig[KPI Name],0)),"Amber","Red")),"")</f>
        <v/>
      </c>
      <c r="K107" s="10" t="inlineStr">
        <is>
          <t>Vendor delay</t>
        </is>
      </c>
    </row>
    <row r="108">
      <c r="A108" s="11" t="n">
        <v>46183</v>
      </c>
      <c r="B108" s="12">
        <f>IF($A108="","",TEXT($A108,"mmm-yyyy"))</f>
        <v/>
      </c>
      <c r="C108" s="12">
        <f>IF($A108="","","W"&amp;WEEKNUM($A108,2))</f>
        <v/>
      </c>
      <c r="D108" s="12" t="inlineStr">
        <is>
          <t>Safety Incidents (LTI)</t>
        </is>
      </c>
      <c r="E108" s="12">
        <f>IFERROR(INDEX(Tbl_KPIConfig[Department],MATCH($D108,Tbl_KPIConfig[KPI Name],0)),"")</f>
        <v/>
      </c>
      <c r="F108" s="12">
        <f>IFERROR(INDEX(Tbl_KPIConfig[Unit],MATCH($D108,Tbl_KPIConfig[KPI Name],0)),"")</f>
        <v/>
      </c>
      <c r="G108" s="12">
        <f>IFERROR(INDEX(Tbl_KPIConfig[Target],MATCH($D108,Tbl_KPIConfig[KPI Name],0)),"")</f>
        <v/>
      </c>
      <c r="H108" s="12" t="n">
        <v>0</v>
      </c>
      <c r="I108" s="13">
        <f>IFERROR(IF(INDEX(Tbl_KPIConfig[Direction],MATCH($D108,Tbl_KPIConfig[KPI Name],0))="Lower is Better",IF($H108=0,1,IF($G108=0,0,$G108/$H108)),IF($G108=0,1,$H108/$G108)),0)</f>
        <v/>
      </c>
      <c r="J108" s="12">
        <f>IFERROR(IF($I108&gt;=1,"Green",IF($I108&gt;=INDEX(Tbl_KPIConfig[RAG Threshold %],MATCH($D108,Tbl_KPIConfig[KPI Name],0)),"Amber","Red")),"")</f>
        <v/>
      </c>
      <c r="K108" s="14" t="inlineStr">
        <is>
          <t>Manpower shortage</t>
        </is>
      </c>
    </row>
    <row r="109">
      <c r="A109" s="7" t="n">
        <v>46183</v>
      </c>
      <c r="B109" s="8">
        <f>IF($A109="","",TEXT($A109,"mmm-yyyy"))</f>
        <v/>
      </c>
      <c r="C109" s="8">
        <f>IF($A109="","","W"&amp;WEEKNUM($A109,2))</f>
        <v/>
      </c>
      <c r="D109" s="8" t="inlineStr">
        <is>
          <t>Near Miss Reports</t>
        </is>
      </c>
      <c r="E109" s="8">
        <f>IFERROR(INDEX(Tbl_KPIConfig[Department],MATCH($D109,Tbl_KPIConfig[KPI Name],0)),"")</f>
        <v/>
      </c>
      <c r="F109" s="8">
        <f>IFERROR(INDEX(Tbl_KPIConfig[Unit],MATCH($D109,Tbl_KPIConfig[KPI Name],0)),"")</f>
        <v/>
      </c>
      <c r="G109" s="8">
        <f>IFERROR(INDEX(Tbl_KPIConfig[Target],MATCH($D109,Tbl_KPIConfig[KPI Name],0)),"")</f>
        <v/>
      </c>
      <c r="H109" s="8" t="n">
        <v>2</v>
      </c>
      <c r="I109" s="9">
        <f>IFERROR(IF(INDEX(Tbl_KPIConfig[Direction],MATCH($D109,Tbl_KPIConfig[KPI Name],0))="Lower is Better",IF($H109=0,1,IF($G109=0,0,$G109/$H109)),IF($G109=0,1,$H109/$G109)),0)</f>
        <v/>
      </c>
      <c r="J109" s="8">
        <f>IFERROR(IF($I109&gt;=1,"Green",IF($I109&gt;=INDEX(Tbl_KPIConfig[RAG Threshold %],MATCH($D109,Tbl_KPIConfig[KPI Name],0)),"Amber","Red")),"")</f>
        <v/>
      </c>
      <c r="K109" s="10" t="inlineStr">
        <is>
          <t>Vendor delay</t>
        </is>
      </c>
    </row>
    <row r="110">
      <c r="A110" s="11" t="n">
        <v>46183</v>
      </c>
      <c r="B110" s="12">
        <f>IF($A110="","",TEXT($A110,"mmm-yyyy"))</f>
        <v/>
      </c>
      <c r="C110" s="12">
        <f>IF($A110="","","W"&amp;WEEKNUM($A110,2))</f>
        <v/>
      </c>
      <c r="D110" s="12" t="inlineStr">
        <is>
          <t>Production Output</t>
        </is>
      </c>
      <c r="E110" s="12">
        <f>IFERROR(INDEX(Tbl_KPIConfig[Department],MATCH($D110,Tbl_KPIConfig[KPI Name],0)),"")</f>
        <v/>
      </c>
      <c r="F110" s="12">
        <f>IFERROR(INDEX(Tbl_KPIConfig[Unit],MATCH($D110,Tbl_KPIConfig[KPI Name],0)),"")</f>
        <v/>
      </c>
      <c r="G110" s="12">
        <f>IFERROR(INDEX(Tbl_KPIConfig[Target],MATCH($D110,Tbl_KPIConfig[KPI Name],0)),"")</f>
        <v/>
      </c>
      <c r="H110" s="12" t="n">
        <v>936.75</v>
      </c>
      <c r="I110" s="13">
        <f>IFERROR(IF(INDEX(Tbl_KPIConfig[Direction],MATCH($D110,Tbl_KPIConfig[KPI Name],0))="Lower is Better",IF($H110=0,1,IF($G110=0,0,$G110/$H110)),IF($G110=0,1,$H110/$G110)),0)</f>
        <v/>
      </c>
      <c r="J110" s="12">
        <f>IFERROR(IF($I110&gt;=1,"Green",IF($I110&gt;=INDEX(Tbl_KPIConfig[RAG Threshold %],MATCH($D110,Tbl_KPIConfig[KPI Name],0)),"Amber","Red")),"")</f>
        <v/>
      </c>
      <c r="K110" s="14" t="inlineStr"/>
    </row>
    <row r="111">
      <c r="A111" s="7" t="n">
        <v>46183</v>
      </c>
      <c r="B111" s="8">
        <f>IF($A111="","",TEXT($A111,"mmm-yyyy"))</f>
        <v/>
      </c>
      <c r="C111" s="8">
        <f>IF($A111="","","W"&amp;WEEKNUM($A111,2))</f>
        <v/>
      </c>
      <c r="D111" s="8" t="inlineStr">
        <is>
          <t>OEE %</t>
        </is>
      </c>
      <c r="E111" s="8">
        <f>IFERROR(INDEX(Tbl_KPIConfig[Department],MATCH($D111,Tbl_KPIConfig[KPI Name],0)),"")</f>
        <v/>
      </c>
      <c r="F111" s="8">
        <f>IFERROR(INDEX(Tbl_KPIConfig[Unit],MATCH($D111,Tbl_KPIConfig[KPI Name],0)),"")</f>
        <v/>
      </c>
      <c r="G111" s="8">
        <f>IFERROR(INDEX(Tbl_KPIConfig[Target],MATCH($D111,Tbl_KPIConfig[KPI Name],0)),"")</f>
        <v/>
      </c>
      <c r="H111" s="8" t="n">
        <v>0.9787</v>
      </c>
      <c r="I111" s="9">
        <f>IFERROR(IF(INDEX(Tbl_KPIConfig[Direction],MATCH($D111,Tbl_KPIConfig[KPI Name],0))="Lower is Better",IF($H111=0,1,IF($G111=0,0,$G111/$H111)),IF($G111=0,1,$H111/$G111)),0)</f>
        <v/>
      </c>
      <c r="J111" s="8">
        <f>IFERROR(IF($I111&gt;=1,"Green",IF($I111&gt;=INDEX(Tbl_KPIConfig[RAG Threshold %],MATCH($D111,Tbl_KPIConfig[KPI Name],0)),"Amber","Red")),"")</f>
        <v/>
      </c>
      <c r="K111" s="10" t="inlineStr">
        <is>
          <t>Awaiting spares</t>
        </is>
      </c>
    </row>
    <row r="112">
      <c r="A112" s="11" t="n">
        <v>46183</v>
      </c>
      <c r="B112" s="12">
        <f>IF($A112="","",TEXT($A112,"mmm-yyyy"))</f>
        <v/>
      </c>
      <c r="C112" s="12">
        <f>IF($A112="","","W"&amp;WEEKNUM($A112,2))</f>
        <v/>
      </c>
      <c r="D112" s="12" t="inlineStr">
        <is>
          <t>Defect Rate %</t>
        </is>
      </c>
      <c r="E112" s="12">
        <f>IFERROR(INDEX(Tbl_KPIConfig[Department],MATCH($D112,Tbl_KPIConfig[KPI Name],0)),"")</f>
        <v/>
      </c>
      <c r="F112" s="12">
        <f>IFERROR(INDEX(Tbl_KPIConfig[Unit],MATCH($D112,Tbl_KPIConfig[KPI Name],0)),"")</f>
        <v/>
      </c>
      <c r="G112" s="12">
        <f>IFERROR(INDEX(Tbl_KPIConfig[Target],MATCH($D112,Tbl_KPIConfig[KPI Name],0)),"")</f>
        <v/>
      </c>
      <c r="H112" s="12" t="n">
        <v>0.0242</v>
      </c>
      <c r="I112" s="13">
        <f>IFERROR(IF(INDEX(Tbl_KPIConfig[Direction],MATCH($D112,Tbl_KPIConfig[KPI Name],0))="Lower is Better",IF($H112=0,1,IF($G112=0,0,$G112/$H112)),IF($G112=0,1,$H112/$G112)),0)</f>
        <v/>
      </c>
      <c r="J112" s="12">
        <f>IFERROR(IF($I112&gt;=1,"Green",IF($I112&gt;=INDEX(Tbl_KPIConfig[RAG Threshold %],MATCH($D112,Tbl_KPIConfig[KPI Name],0)),"Amber","Red")),"")</f>
        <v/>
      </c>
      <c r="K112" s="14" t="inlineStr">
        <is>
          <t>Vendor delay</t>
        </is>
      </c>
    </row>
    <row r="113">
      <c r="A113" s="7" t="n">
        <v>46183</v>
      </c>
      <c r="B113" s="8">
        <f>IF($A113="","",TEXT($A113,"mmm-yyyy"))</f>
        <v/>
      </c>
      <c r="C113" s="8">
        <f>IF($A113="","","W"&amp;WEEKNUM($A113,2))</f>
        <v/>
      </c>
      <c r="D113" s="8" t="inlineStr">
        <is>
          <t>Customer Complaints</t>
        </is>
      </c>
      <c r="E113" s="8">
        <f>IFERROR(INDEX(Tbl_KPIConfig[Department],MATCH($D113,Tbl_KPIConfig[KPI Name],0)),"")</f>
        <v/>
      </c>
      <c r="F113" s="8">
        <f>IFERROR(INDEX(Tbl_KPIConfig[Unit],MATCH($D113,Tbl_KPIConfig[KPI Name],0)),"")</f>
        <v/>
      </c>
      <c r="G113" s="8">
        <f>IFERROR(INDEX(Tbl_KPIConfig[Target],MATCH($D113,Tbl_KPIConfig[KPI Name],0)),"")</f>
        <v/>
      </c>
      <c r="H113" s="8" t="n">
        <v>1</v>
      </c>
      <c r="I113" s="9">
        <f>IFERROR(IF(INDEX(Tbl_KPIConfig[Direction],MATCH($D113,Tbl_KPIConfig[KPI Name],0))="Lower is Better",IF($H113=0,1,IF($G113=0,0,$G113/$H113)),IF($G113=0,1,$H113/$G113)),0)</f>
        <v/>
      </c>
      <c r="J113" s="8">
        <f>IFERROR(IF($I113&gt;=1,"Green",IF($I113&gt;=INDEX(Tbl_KPIConfig[RAG Threshold %],MATCH($D113,Tbl_KPIConfig[KPI Name],0)),"Amber","Red")),"")</f>
        <v/>
      </c>
      <c r="K113" s="10" t="inlineStr">
        <is>
          <t>Manpower shortage</t>
        </is>
      </c>
    </row>
    <row r="114">
      <c r="A114" s="11" t="n">
        <v>46183</v>
      </c>
      <c r="B114" s="12">
        <f>IF($A114="","",TEXT($A114,"mmm-yyyy"))</f>
        <v/>
      </c>
      <c r="C114" s="12">
        <f>IF($A114="","","W"&amp;WEEKNUM($A114,2))</f>
        <v/>
      </c>
      <c r="D114" s="12" t="inlineStr">
        <is>
          <t>Unplanned Downtime (Hrs)</t>
        </is>
      </c>
      <c r="E114" s="12">
        <f>IFERROR(INDEX(Tbl_KPIConfig[Department],MATCH($D114,Tbl_KPIConfig[KPI Name],0)),"")</f>
        <v/>
      </c>
      <c r="F114" s="12">
        <f>IFERROR(INDEX(Tbl_KPIConfig[Unit],MATCH($D114,Tbl_KPIConfig[KPI Name],0)),"")</f>
        <v/>
      </c>
      <c r="G114" s="12">
        <f>IFERROR(INDEX(Tbl_KPIConfig[Target],MATCH($D114,Tbl_KPIConfig[KPI Name],0)),"")</f>
        <v/>
      </c>
      <c r="H114" s="12" t="n">
        <v>0.7</v>
      </c>
      <c r="I114" s="13">
        <f>IFERROR(IF(INDEX(Tbl_KPIConfig[Direction],MATCH($D114,Tbl_KPIConfig[KPI Name],0))="Lower is Better",IF($H114=0,1,IF($G114=0,0,$G114/$H114)),IF($G114=0,1,$H114/$G114)),0)</f>
        <v/>
      </c>
      <c r="J114" s="12">
        <f>IFERROR(IF($I114&gt;=1,"Green",IF($I114&gt;=INDEX(Tbl_KPIConfig[RAG Threshold %],MATCH($D114,Tbl_KPIConfig[KPI Name],0)),"Amber","Red")),"")</f>
        <v/>
      </c>
      <c r="K114" s="14" t="inlineStr">
        <is>
          <t>Process improvement in progress</t>
        </is>
      </c>
    </row>
    <row r="115">
      <c r="A115" s="7" t="n">
        <v>46183</v>
      </c>
      <c r="B115" s="8">
        <f>IF($A115="","",TEXT($A115,"mmm-yyyy"))</f>
        <v/>
      </c>
      <c r="C115" s="8">
        <f>IF($A115="","","W"&amp;WEEKNUM($A115,2))</f>
        <v/>
      </c>
      <c r="D115" s="8" t="inlineStr">
        <is>
          <t>PM Compliance %</t>
        </is>
      </c>
      <c r="E115" s="8">
        <f>IFERROR(INDEX(Tbl_KPIConfig[Department],MATCH($D115,Tbl_KPIConfig[KPI Name],0)),"")</f>
        <v/>
      </c>
      <c r="F115" s="8">
        <f>IFERROR(INDEX(Tbl_KPIConfig[Unit],MATCH($D115,Tbl_KPIConfig[KPI Name],0)),"")</f>
        <v/>
      </c>
      <c r="G115" s="8">
        <f>IFERROR(INDEX(Tbl_KPIConfig[Target],MATCH($D115,Tbl_KPIConfig[KPI Name],0)),"")</f>
        <v/>
      </c>
      <c r="H115" s="8" t="n">
        <v>0.8924</v>
      </c>
      <c r="I115" s="9">
        <f>IFERROR(IF(INDEX(Tbl_KPIConfig[Direction],MATCH($D115,Tbl_KPIConfig[KPI Name],0))="Lower is Better",IF($H115=0,1,IF($G115=0,0,$G115/$H115)),IF($G115=0,1,$H115/$G115)),0)</f>
        <v/>
      </c>
      <c r="J115" s="8">
        <f>IFERROR(IF($I115&gt;=1,"Green",IF($I115&gt;=INDEX(Tbl_KPIConfig[RAG Threshold %],MATCH($D115,Tbl_KPIConfig[KPI Name],0)),"Amber","Red")),"")</f>
        <v/>
      </c>
      <c r="K115" s="10" t="inlineStr">
        <is>
          <t>Vendor delay</t>
        </is>
      </c>
    </row>
    <row r="116">
      <c r="A116" s="11" t="n">
        <v>46183</v>
      </c>
      <c r="B116" s="12">
        <f>IF($A116="","",TEXT($A116,"mmm-yyyy"))</f>
        <v/>
      </c>
      <c r="C116" s="12">
        <f>IF($A116="","","W"&amp;WEEKNUM($A116,2))</f>
        <v/>
      </c>
      <c r="D116" s="12" t="inlineStr">
        <is>
          <t>Power Consumption (kWh)</t>
        </is>
      </c>
      <c r="E116" s="12">
        <f>IFERROR(INDEX(Tbl_KPIConfig[Department],MATCH($D116,Tbl_KPIConfig[KPI Name],0)),"")</f>
        <v/>
      </c>
      <c r="F116" s="12">
        <f>IFERROR(INDEX(Tbl_KPIConfig[Unit],MATCH($D116,Tbl_KPIConfig[KPI Name],0)),"")</f>
        <v/>
      </c>
      <c r="G116" s="12">
        <f>IFERROR(INDEX(Tbl_KPIConfig[Target],MATCH($D116,Tbl_KPIConfig[KPI Name],0)),"")</f>
        <v/>
      </c>
      <c r="H116" s="12" t="n">
        <v>4715.32</v>
      </c>
      <c r="I116" s="13">
        <f>IFERROR(IF(INDEX(Tbl_KPIConfig[Direction],MATCH($D116,Tbl_KPIConfig[KPI Name],0))="Lower is Better",IF($H116=0,1,IF($G116=0,0,$G116/$H116)),IF($G116=0,1,$H116/$G116)),0)</f>
        <v/>
      </c>
      <c r="J116" s="12">
        <f>IFERROR(IF($I116&gt;=1,"Green",IF($I116&gt;=INDEX(Tbl_KPIConfig[RAG Threshold %],MATCH($D116,Tbl_KPIConfig[KPI Name],0)),"Amber","Red")),"")</f>
        <v/>
      </c>
      <c r="K116" s="14" t="inlineStr">
        <is>
          <t>Line changeover impact</t>
        </is>
      </c>
    </row>
    <row r="117">
      <c r="A117" s="7" t="n">
        <v>46183</v>
      </c>
      <c r="B117" s="8">
        <f>IF($A117="","",TEXT($A117,"mmm-yyyy"))</f>
        <v/>
      </c>
      <c r="C117" s="8">
        <f>IF($A117="","","W"&amp;WEEKNUM($A117,2))</f>
        <v/>
      </c>
      <c r="D117" s="8" t="inlineStr">
        <is>
          <t>On-Time Dispatch %</t>
        </is>
      </c>
      <c r="E117" s="8">
        <f>IFERROR(INDEX(Tbl_KPIConfig[Department],MATCH($D117,Tbl_KPIConfig[KPI Name],0)),"")</f>
        <v/>
      </c>
      <c r="F117" s="8">
        <f>IFERROR(INDEX(Tbl_KPIConfig[Unit],MATCH($D117,Tbl_KPIConfig[KPI Name],0)),"")</f>
        <v/>
      </c>
      <c r="G117" s="8">
        <f>IFERROR(INDEX(Tbl_KPIConfig[Target],MATCH($D117,Tbl_KPIConfig[KPI Name],0)),"")</f>
        <v/>
      </c>
      <c r="H117" s="8" t="n">
        <v>0.8678</v>
      </c>
      <c r="I117" s="9">
        <f>IFERROR(IF(INDEX(Tbl_KPIConfig[Direction],MATCH($D117,Tbl_KPIConfig[KPI Name],0))="Lower is Better",IF($H117=0,1,IF($G117=0,0,$G117/$H117)),IF($G117=0,1,$H117/$G117)),0)</f>
        <v/>
      </c>
      <c r="J117" s="8">
        <f>IFERROR(IF($I117&gt;=1,"Green",IF($I117&gt;=INDEX(Tbl_KPIConfig[RAG Threshold %],MATCH($D117,Tbl_KPIConfig[KPI Name],0)),"Amber","Red")),"")</f>
        <v/>
      </c>
      <c r="K117" s="10" t="inlineStr">
        <is>
          <t>Preventive check done</t>
        </is>
      </c>
    </row>
    <row r="118">
      <c r="A118" s="11" t="n">
        <v>46183</v>
      </c>
      <c r="B118" s="12">
        <f>IF($A118="","",TEXT($A118,"mmm-yyyy"))</f>
        <v/>
      </c>
      <c r="C118" s="12">
        <f>IF($A118="","","W"&amp;WEEKNUM($A118,2))</f>
        <v/>
      </c>
      <c r="D118" s="12" t="inlineStr">
        <is>
          <t>Inventory Accuracy %</t>
        </is>
      </c>
      <c r="E118" s="12">
        <f>IFERROR(INDEX(Tbl_KPIConfig[Department],MATCH($D118,Tbl_KPIConfig[KPI Name],0)),"")</f>
        <v/>
      </c>
      <c r="F118" s="12">
        <f>IFERROR(INDEX(Tbl_KPIConfig[Unit],MATCH($D118,Tbl_KPIConfig[KPI Name],0)),"")</f>
        <v/>
      </c>
      <c r="G118" s="12">
        <f>IFERROR(INDEX(Tbl_KPIConfig[Target],MATCH($D118,Tbl_KPIConfig[KPI Name],0)),"")</f>
        <v/>
      </c>
      <c r="H118" s="12" t="n">
        <v>0.8638</v>
      </c>
      <c r="I118" s="13">
        <f>IFERROR(IF(INDEX(Tbl_KPIConfig[Direction],MATCH($D118,Tbl_KPIConfig[KPI Name],0))="Lower is Better",IF($H118=0,1,IF($G118=0,0,$G118/$H118)),IF($G118=0,1,$H118/$G118)),0)</f>
        <v/>
      </c>
      <c r="J118" s="12">
        <f>IFERROR(IF($I118&gt;=1,"Green",IF($I118&gt;=INDEX(Tbl_KPIConfig[RAG Threshold %],MATCH($D118,Tbl_KPIConfig[KPI Name],0)),"Amber","Red")),"")</f>
        <v/>
      </c>
      <c r="K118" s="14" t="inlineStr">
        <is>
          <t>Manpower shortage</t>
        </is>
      </c>
    </row>
    <row r="119">
      <c r="A119" s="7" t="n">
        <v>46183</v>
      </c>
      <c r="B119" s="8">
        <f>IF($A119="","",TEXT($A119,"mmm-yyyy"))</f>
        <v/>
      </c>
      <c r="C119" s="8">
        <f>IF($A119="","","W"&amp;WEEKNUM($A119,2))</f>
        <v/>
      </c>
      <c r="D119" s="8" t="inlineStr">
        <is>
          <t>Absenteeism %</t>
        </is>
      </c>
      <c r="E119" s="8">
        <f>IFERROR(INDEX(Tbl_KPIConfig[Department],MATCH($D119,Tbl_KPIConfig[KPI Name],0)),"")</f>
        <v/>
      </c>
      <c r="F119" s="8">
        <f>IFERROR(INDEX(Tbl_KPIConfig[Unit],MATCH($D119,Tbl_KPIConfig[KPI Name],0)),"")</f>
        <v/>
      </c>
      <c r="G119" s="8">
        <f>IFERROR(INDEX(Tbl_KPIConfig[Target],MATCH($D119,Tbl_KPIConfig[KPI Name],0)),"")</f>
        <v/>
      </c>
      <c r="H119" s="8" t="n">
        <v>0.0347</v>
      </c>
      <c r="I119" s="9">
        <f>IFERROR(IF(INDEX(Tbl_KPIConfig[Direction],MATCH($D119,Tbl_KPIConfig[KPI Name],0))="Lower is Better",IF($H119=0,1,IF($G119=0,0,$G119/$H119)),IF($G119=0,1,$H119/$G119)),0)</f>
        <v/>
      </c>
      <c r="J119" s="8">
        <f>IFERROR(IF($I119&gt;=1,"Green",IF($I119&gt;=INDEX(Tbl_KPIConfig[RAG Threshold %],MATCH($D119,Tbl_KPIConfig[KPI Name],0)),"Amber","Red")),"")</f>
        <v/>
      </c>
      <c r="K119" s="10" t="inlineStr"/>
    </row>
    <row r="120">
      <c r="A120" s="11" t="n">
        <v>46183</v>
      </c>
      <c r="B120" s="12">
        <f>IF($A120="","",TEXT($A120,"mmm-yyyy"))</f>
        <v/>
      </c>
      <c r="C120" s="12">
        <f>IF($A120="","","W"&amp;WEEKNUM($A120,2))</f>
        <v/>
      </c>
      <c r="D120" s="12" t="inlineStr">
        <is>
          <t>Training Hours</t>
        </is>
      </c>
      <c r="E120" s="12">
        <f>IFERROR(INDEX(Tbl_KPIConfig[Department],MATCH($D120,Tbl_KPIConfig[KPI Name],0)),"")</f>
        <v/>
      </c>
      <c r="F120" s="12">
        <f>IFERROR(INDEX(Tbl_KPIConfig[Unit],MATCH($D120,Tbl_KPIConfig[KPI Name],0)),"")</f>
        <v/>
      </c>
      <c r="G120" s="12">
        <f>IFERROR(INDEX(Tbl_KPIConfig[Target],MATCH($D120,Tbl_KPIConfig[KPI Name],0)),"")</f>
        <v/>
      </c>
      <c r="H120" s="12" t="n">
        <v>1.68</v>
      </c>
      <c r="I120" s="13">
        <f>IFERROR(IF(INDEX(Tbl_KPIConfig[Direction],MATCH($D120,Tbl_KPIConfig[KPI Name],0))="Lower is Better",IF($H120=0,1,IF($G120=0,0,$G120/$H120)),IF($G120=0,1,$H120/$G120)),0)</f>
        <v/>
      </c>
      <c r="J120" s="12">
        <f>IFERROR(IF($I120&gt;=1,"Green",IF($I120&gt;=INDEX(Tbl_KPIConfig[RAG Threshold %],MATCH($D120,Tbl_KPIConfig[KPI Name],0)),"Amber","Red")),"")</f>
        <v/>
      </c>
      <c r="K120" s="14" t="inlineStr">
        <is>
          <t>Manpower shortage</t>
        </is>
      </c>
    </row>
    <row r="121">
      <c r="A121" s="7" t="n">
        <v>46183</v>
      </c>
      <c r="B121" s="8">
        <f>IF($A121="","",TEXT($A121,"mmm-yyyy"))</f>
        <v/>
      </c>
      <c r="C121" s="8">
        <f>IF($A121="","","W"&amp;WEEKNUM($A121,2))</f>
        <v/>
      </c>
      <c r="D121" s="8" t="inlineStr">
        <is>
          <t>Milestone Adherence %</t>
        </is>
      </c>
      <c r="E121" s="8">
        <f>IFERROR(INDEX(Tbl_KPIConfig[Department],MATCH($D121,Tbl_KPIConfig[KPI Name],0)),"")</f>
        <v/>
      </c>
      <c r="F121" s="8">
        <f>IFERROR(INDEX(Tbl_KPIConfig[Unit],MATCH($D121,Tbl_KPIConfig[KPI Name],0)),"")</f>
        <v/>
      </c>
      <c r="G121" s="8">
        <f>IFERROR(INDEX(Tbl_KPIConfig[Target],MATCH($D121,Tbl_KPIConfig[KPI Name],0)),"")</f>
        <v/>
      </c>
      <c r="H121" s="8" t="n">
        <v>0.8786</v>
      </c>
      <c r="I121" s="9">
        <f>IFERROR(IF(INDEX(Tbl_KPIConfig[Direction],MATCH($D121,Tbl_KPIConfig[KPI Name],0))="Lower is Better",IF($H121=0,1,IF($G121=0,0,$G121/$H121)),IF($G121=0,1,$H121/$G121)),0)</f>
        <v/>
      </c>
      <c r="J121" s="8">
        <f>IFERROR(IF($I121&gt;=1,"Green",IF($I121&gt;=INDEX(Tbl_KPIConfig[RAG Threshold %],MATCH($D121,Tbl_KPIConfig[KPI Name],0)),"Amber","Red")),"")</f>
        <v/>
      </c>
      <c r="K121" s="10" t="inlineStr">
        <is>
          <t>Line changeover impact</t>
        </is>
      </c>
    </row>
    <row r="122">
      <c r="A122" s="11" t="n">
        <v>46183</v>
      </c>
      <c r="B122" s="12">
        <f>IF($A122="","",TEXT($A122,"mmm-yyyy"))</f>
        <v/>
      </c>
      <c r="C122" s="12">
        <f>IF($A122="","","W"&amp;WEEKNUM($A122,2))</f>
        <v/>
      </c>
      <c r="D122" s="12" t="inlineStr">
        <is>
          <t>Breakdown Resolution (Hrs)</t>
        </is>
      </c>
      <c r="E122" s="12">
        <f>IFERROR(INDEX(Tbl_KPIConfig[Department],MATCH($D122,Tbl_KPIConfig[KPI Name],0)),"")</f>
        <v/>
      </c>
      <c r="F122" s="12">
        <f>IFERROR(INDEX(Tbl_KPIConfig[Unit],MATCH($D122,Tbl_KPIConfig[KPI Name],0)),"")</f>
        <v/>
      </c>
      <c r="G122" s="12">
        <f>IFERROR(INDEX(Tbl_KPIConfig[Target],MATCH($D122,Tbl_KPIConfig[KPI Name],0)),"")</f>
        <v/>
      </c>
      <c r="H122" s="12" t="n">
        <v>2.17</v>
      </c>
      <c r="I122" s="13">
        <f>IFERROR(IF(INDEX(Tbl_KPIConfig[Direction],MATCH($D122,Tbl_KPIConfig[KPI Name],0))="Lower is Better",IF($H122=0,1,IF($G122=0,0,$G122/$H122)),IF($G122=0,1,$H122/$G122)),0)</f>
        <v/>
      </c>
      <c r="J122" s="12">
        <f>IFERROR(IF($I122&gt;=1,"Green",IF($I122&gt;=INDEX(Tbl_KPIConfig[RAG Threshold %],MATCH($D122,Tbl_KPIConfig[KPI Name],0)),"Amber","Red")),"")</f>
        <v/>
      </c>
      <c r="K122" s="14" t="inlineStr"/>
    </row>
    <row r="123">
      <c r="A123" s="7" t="n">
        <v>46184</v>
      </c>
      <c r="B123" s="8">
        <f>IF($A123="","",TEXT($A123,"mmm-yyyy"))</f>
        <v/>
      </c>
      <c r="C123" s="8">
        <f>IF($A123="","","W"&amp;WEEKNUM($A123,2))</f>
        <v/>
      </c>
      <c r="D123" s="8" t="inlineStr">
        <is>
          <t>Safety Incidents (LTI)</t>
        </is>
      </c>
      <c r="E123" s="8">
        <f>IFERROR(INDEX(Tbl_KPIConfig[Department],MATCH($D123,Tbl_KPIConfig[KPI Name],0)),"")</f>
        <v/>
      </c>
      <c r="F123" s="8">
        <f>IFERROR(INDEX(Tbl_KPIConfig[Unit],MATCH($D123,Tbl_KPIConfig[KPI Name],0)),"")</f>
        <v/>
      </c>
      <c r="G123" s="8">
        <f>IFERROR(INDEX(Tbl_KPIConfig[Target],MATCH($D123,Tbl_KPIConfig[KPI Name],0)),"")</f>
        <v/>
      </c>
      <c r="H123" s="8" t="n">
        <v>0</v>
      </c>
      <c r="I123" s="9">
        <f>IFERROR(IF(INDEX(Tbl_KPIConfig[Direction],MATCH($D123,Tbl_KPIConfig[KPI Name],0))="Lower is Better",IF($H123=0,1,IF($G123=0,0,$G123/$H123)),IF($G123=0,1,$H123/$G123)),0)</f>
        <v/>
      </c>
      <c r="J123" s="8">
        <f>IFERROR(IF($I123&gt;=1,"Green",IF($I123&gt;=INDEX(Tbl_KPIConfig[RAG Threshold %],MATCH($D123,Tbl_KPIConfig[KPI Name],0)),"Amber","Red")),"")</f>
        <v/>
      </c>
      <c r="K123" s="10" t="inlineStr">
        <is>
          <t>Line changeover impact</t>
        </is>
      </c>
    </row>
    <row r="124">
      <c r="A124" s="11" t="n">
        <v>46184</v>
      </c>
      <c r="B124" s="12">
        <f>IF($A124="","",TEXT($A124,"mmm-yyyy"))</f>
        <v/>
      </c>
      <c r="C124" s="12">
        <f>IF($A124="","","W"&amp;WEEKNUM($A124,2))</f>
        <v/>
      </c>
      <c r="D124" s="12" t="inlineStr">
        <is>
          <t>Near Miss Reports</t>
        </is>
      </c>
      <c r="E124" s="12">
        <f>IFERROR(INDEX(Tbl_KPIConfig[Department],MATCH($D124,Tbl_KPIConfig[KPI Name],0)),"")</f>
        <v/>
      </c>
      <c r="F124" s="12">
        <f>IFERROR(INDEX(Tbl_KPIConfig[Unit],MATCH($D124,Tbl_KPIConfig[KPI Name],0)),"")</f>
        <v/>
      </c>
      <c r="G124" s="12">
        <f>IFERROR(INDEX(Tbl_KPIConfig[Target],MATCH($D124,Tbl_KPIConfig[KPI Name],0)),"")</f>
        <v/>
      </c>
      <c r="H124" s="12" t="n">
        <v>2</v>
      </c>
      <c r="I124" s="13">
        <f>IFERROR(IF(INDEX(Tbl_KPIConfig[Direction],MATCH($D124,Tbl_KPIConfig[KPI Name],0))="Lower is Better",IF($H124=0,1,IF($G124=0,0,$G124/$H124)),IF($G124=0,1,$H124/$G124)),0)</f>
        <v/>
      </c>
      <c r="J124" s="12">
        <f>IFERROR(IF($I124&gt;=1,"Green",IF($I124&gt;=INDEX(Tbl_KPIConfig[RAG Threshold %],MATCH($D124,Tbl_KPIConfig[KPI Name],0)),"Amber","Red")),"")</f>
        <v/>
      </c>
      <c r="K124" s="14" t="inlineStr">
        <is>
          <t>Line changeover impact</t>
        </is>
      </c>
    </row>
    <row r="125">
      <c r="A125" s="7" t="n">
        <v>46184</v>
      </c>
      <c r="B125" s="8">
        <f>IF($A125="","",TEXT($A125,"mmm-yyyy"))</f>
        <v/>
      </c>
      <c r="C125" s="8">
        <f>IF($A125="","","W"&amp;WEEKNUM($A125,2))</f>
        <v/>
      </c>
      <c r="D125" s="8" t="inlineStr">
        <is>
          <t>Production Output</t>
        </is>
      </c>
      <c r="E125" s="8">
        <f>IFERROR(INDEX(Tbl_KPIConfig[Department],MATCH($D125,Tbl_KPIConfig[KPI Name],0)),"")</f>
        <v/>
      </c>
      <c r="F125" s="8">
        <f>IFERROR(INDEX(Tbl_KPIConfig[Unit],MATCH($D125,Tbl_KPIConfig[KPI Name],0)),"")</f>
        <v/>
      </c>
      <c r="G125" s="8">
        <f>IFERROR(INDEX(Tbl_KPIConfig[Target],MATCH($D125,Tbl_KPIConfig[KPI Name],0)),"")</f>
        <v/>
      </c>
      <c r="H125" s="8" t="n">
        <v>846.66</v>
      </c>
      <c r="I125" s="9">
        <f>IFERROR(IF(INDEX(Tbl_KPIConfig[Direction],MATCH($D125,Tbl_KPIConfig[KPI Name],0))="Lower is Better",IF($H125=0,1,IF($G125=0,0,$G125/$H125)),IF($G125=0,1,$H125/$G125)),0)</f>
        <v/>
      </c>
      <c r="J125" s="8">
        <f>IFERROR(IF($I125&gt;=1,"Green",IF($I125&gt;=INDEX(Tbl_KPIConfig[RAG Threshold %],MATCH($D125,Tbl_KPIConfig[KPI Name],0)),"Amber","Red")),"")</f>
        <v/>
      </c>
      <c r="K125" s="10" t="inlineStr">
        <is>
          <t>Preventive check done</t>
        </is>
      </c>
    </row>
    <row r="126">
      <c r="A126" s="11" t="n">
        <v>46184</v>
      </c>
      <c r="B126" s="12">
        <f>IF($A126="","",TEXT($A126,"mmm-yyyy"))</f>
        <v/>
      </c>
      <c r="C126" s="12">
        <f>IF($A126="","","W"&amp;WEEKNUM($A126,2))</f>
        <v/>
      </c>
      <c r="D126" s="12" t="inlineStr">
        <is>
          <t>OEE %</t>
        </is>
      </c>
      <c r="E126" s="12">
        <f>IFERROR(INDEX(Tbl_KPIConfig[Department],MATCH($D126,Tbl_KPIConfig[KPI Name],0)),"")</f>
        <v/>
      </c>
      <c r="F126" s="12">
        <f>IFERROR(INDEX(Tbl_KPIConfig[Unit],MATCH($D126,Tbl_KPIConfig[KPI Name],0)),"")</f>
        <v/>
      </c>
      <c r="G126" s="12">
        <f>IFERROR(INDEX(Tbl_KPIConfig[Target],MATCH($D126,Tbl_KPIConfig[KPI Name],0)),"")</f>
        <v/>
      </c>
      <c r="H126" s="12" t="n">
        <v>0.8851</v>
      </c>
      <c r="I126" s="13">
        <f>IFERROR(IF(INDEX(Tbl_KPIConfig[Direction],MATCH($D126,Tbl_KPIConfig[KPI Name],0))="Lower is Better",IF($H126=0,1,IF($G126=0,0,$G126/$H126)),IF($G126=0,1,$H126/$G126)),0)</f>
        <v/>
      </c>
      <c r="J126" s="12">
        <f>IFERROR(IF($I126&gt;=1,"Green",IF($I126&gt;=INDEX(Tbl_KPIConfig[RAG Threshold %],MATCH($D126,Tbl_KPIConfig[KPI Name],0)),"Amber","Red")),"")</f>
        <v/>
      </c>
      <c r="K126" s="14" t="inlineStr">
        <is>
          <t>Process improvement in progress</t>
        </is>
      </c>
    </row>
    <row r="127">
      <c r="A127" s="7" t="n">
        <v>46184</v>
      </c>
      <c r="B127" s="8">
        <f>IF($A127="","",TEXT($A127,"mmm-yyyy"))</f>
        <v/>
      </c>
      <c r="C127" s="8">
        <f>IF($A127="","","W"&amp;WEEKNUM($A127,2))</f>
        <v/>
      </c>
      <c r="D127" s="8" t="inlineStr">
        <is>
          <t>Defect Rate %</t>
        </is>
      </c>
      <c r="E127" s="8">
        <f>IFERROR(INDEX(Tbl_KPIConfig[Department],MATCH($D127,Tbl_KPIConfig[KPI Name],0)),"")</f>
        <v/>
      </c>
      <c r="F127" s="8">
        <f>IFERROR(INDEX(Tbl_KPIConfig[Unit],MATCH($D127,Tbl_KPIConfig[KPI Name],0)),"")</f>
        <v/>
      </c>
      <c r="G127" s="8">
        <f>IFERROR(INDEX(Tbl_KPIConfig[Target],MATCH($D127,Tbl_KPIConfig[KPI Name],0)),"")</f>
        <v/>
      </c>
      <c r="H127" s="8" t="n">
        <v>0.0225</v>
      </c>
      <c r="I127" s="9">
        <f>IFERROR(IF(INDEX(Tbl_KPIConfig[Direction],MATCH($D127,Tbl_KPIConfig[KPI Name],0))="Lower is Better",IF($H127=0,1,IF($G127=0,0,$G127/$H127)),IF($G127=0,1,$H127/$G127)),0)</f>
        <v/>
      </c>
      <c r="J127" s="8">
        <f>IFERROR(IF($I127&gt;=1,"Green",IF($I127&gt;=INDEX(Tbl_KPIConfig[RAG Threshold %],MATCH($D127,Tbl_KPIConfig[KPI Name],0)),"Amber","Red")),"")</f>
        <v/>
      </c>
      <c r="K127" s="10" t="inlineStr">
        <is>
          <t>Manpower shortage</t>
        </is>
      </c>
    </row>
    <row r="128">
      <c r="A128" s="11" t="n">
        <v>46184</v>
      </c>
      <c r="B128" s="12">
        <f>IF($A128="","",TEXT($A128,"mmm-yyyy"))</f>
        <v/>
      </c>
      <c r="C128" s="12">
        <f>IF($A128="","","W"&amp;WEEKNUM($A128,2))</f>
        <v/>
      </c>
      <c r="D128" s="12" t="inlineStr">
        <is>
          <t>Customer Complaints</t>
        </is>
      </c>
      <c r="E128" s="12">
        <f>IFERROR(INDEX(Tbl_KPIConfig[Department],MATCH($D128,Tbl_KPIConfig[KPI Name],0)),"")</f>
        <v/>
      </c>
      <c r="F128" s="12">
        <f>IFERROR(INDEX(Tbl_KPIConfig[Unit],MATCH($D128,Tbl_KPIConfig[KPI Name],0)),"")</f>
        <v/>
      </c>
      <c r="G128" s="12">
        <f>IFERROR(INDEX(Tbl_KPIConfig[Target],MATCH($D128,Tbl_KPIConfig[KPI Name],0)),"")</f>
        <v/>
      </c>
      <c r="H128" s="12" t="n">
        <v>0</v>
      </c>
      <c r="I128" s="13">
        <f>IFERROR(IF(INDEX(Tbl_KPIConfig[Direction],MATCH($D128,Tbl_KPIConfig[KPI Name],0))="Lower is Better",IF($H128=0,1,IF($G128=0,0,$G128/$H128)),IF($G128=0,1,$H128/$G128)),0)</f>
        <v/>
      </c>
      <c r="J128" s="12">
        <f>IFERROR(IF($I128&gt;=1,"Green",IF($I128&gt;=INDEX(Tbl_KPIConfig[RAG Threshold %],MATCH($D128,Tbl_KPIConfig[KPI Name],0)),"Amber","Red")),"")</f>
        <v/>
      </c>
      <c r="K128" s="14" t="inlineStr">
        <is>
          <t>Vendor delay</t>
        </is>
      </c>
    </row>
    <row r="129">
      <c r="A129" s="7" t="n">
        <v>46184</v>
      </c>
      <c r="B129" s="8">
        <f>IF($A129="","",TEXT($A129,"mmm-yyyy"))</f>
        <v/>
      </c>
      <c r="C129" s="8">
        <f>IF($A129="","","W"&amp;WEEKNUM($A129,2))</f>
        <v/>
      </c>
      <c r="D129" s="8" t="inlineStr">
        <is>
          <t>Unplanned Downtime (Hrs)</t>
        </is>
      </c>
      <c r="E129" s="8">
        <f>IFERROR(INDEX(Tbl_KPIConfig[Department],MATCH($D129,Tbl_KPIConfig[KPI Name],0)),"")</f>
        <v/>
      </c>
      <c r="F129" s="8">
        <f>IFERROR(INDEX(Tbl_KPIConfig[Unit],MATCH($D129,Tbl_KPIConfig[KPI Name],0)),"")</f>
        <v/>
      </c>
      <c r="G129" s="8">
        <f>IFERROR(INDEX(Tbl_KPIConfig[Target],MATCH($D129,Tbl_KPIConfig[KPI Name],0)),"")</f>
        <v/>
      </c>
      <c r="H129" s="8" t="n">
        <v>1.13</v>
      </c>
      <c r="I129" s="9">
        <f>IFERROR(IF(INDEX(Tbl_KPIConfig[Direction],MATCH($D129,Tbl_KPIConfig[KPI Name],0))="Lower is Better",IF($H129=0,1,IF($G129=0,0,$G129/$H129)),IF($G129=0,1,$H129/$G129)),0)</f>
        <v/>
      </c>
      <c r="J129" s="8">
        <f>IFERROR(IF($I129&gt;=1,"Green",IF($I129&gt;=INDEX(Tbl_KPIConfig[RAG Threshold %],MATCH($D129,Tbl_KPIConfig[KPI Name],0)),"Amber","Red")),"")</f>
        <v/>
      </c>
      <c r="K129" s="10" t="inlineStr"/>
    </row>
    <row r="130">
      <c r="A130" s="11" t="n">
        <v>46184</v>
      </c>
      <c r="B130" s="12">
        <f>IF($A130="","",TEXT($A130,"mmm-yyyy"))</f>
        <v/>
      </c>
      <c r="C130" s="12">
        <f>IF($A130="","","W"&amp;WEEKNUM($A130,2))</f>
        <v/>
      </c>
      <c r="D130" s="12" t="inlineStr">
        <is>
          <t>PM Compliance %</t>
        </is>
      </c>
      <c r="E130" s="12">
        <f>IFERROR(INDEX(Tbl_KPIConfig[Department],MATCH($D130,Tbl_KPIConfig[KPI Name],0)),"")</f>
        <v/>
      </c>
      <c r="F130" s="12">
        <f>IFERROR(INDEX(Tbl_KPIConfig[Unit],MATCH($D130,Tbl_KPIConfig[KPI Name],0)),"")</f>
        <v/>
      </c>
      <c r="G130" s="12">
        <f>IFERROR(INDEX(Tbl_KPIConfig[Target],MATCH($D130,Tbl_KPIConfig[KPI Name],0)),"")</f>
        <v/>
      </c>
      <c r="H130" s="12" t="n">
        <v>0.9644</v>
      </c>
      <c r="I130" s="13">
        <f>IFERROR(IF(INDEX(Tbl_KPIConfig[Direction],MATCH($D130,Tbl_KPIConfig[KPI Name],0))="Lower is Better",IF($H130=0,1,IF($G130=0,0,$G130/$H130)),IF($G130=0,1,$H130/$G130)),0)</f>
        <v/>
      </c>
      <c r="J130" s="12">
        <f>IFERROR(IF($I130&gt;=1,"Green",IF($I130&gt;=INDEX(Tbl_KPIConfig[RAG Threshold %],MATCH($D130,Tbl_KPIConfig[KPI Name],0)),"Amber","Red")),"")</f>
        <v/>
      </c>
      <c r="K130" s="14" t="inlineStr"/>
    </row>
    <row r="131">
      <c r="A131" s="7" t="n">
        <v>46184</v>
      </c>
      <c r="B131" s="8">
        <f>IF($A131="","",TEXT($A131,"mmm-yyyy"))</f>
        <v/>
      </c>
      <c r="C131" s="8">
        <f>IF($A131="","","W"&amp;WEEKNUM($A131,2))</f>
        <v/>
      </c>
      <c r="D131" s="8" t="inlineStr">
        <is>
          <t>Power Consumption (kWh)</t>
        </is>
      </c>
      <c r="E131" s="8">
        <f>IFERROR(INDEX(Tbl_KPIConfig[Department],MATCH($D131,Tbl_KPIConfig[KPI Name],0)),"")</f>
        <v/>
      </c>
      <c r="F131" s="8">
        <f>IFERROR(INDEX(Tbl_KPIConfig[Unit],MATCH($D131,Tbl_KPIConfig[KPI Name],0)),"")</f>
        <v/>
      </c>
      <c r="G131" s="8">
        <f>IFERROR(INDEX(Tbl_KPIConfig[Target],MATCH($D131,Tbl_KPIConfig[KPI Name],0)),"")</f>
        <v/>
      </c>
      <c r="H131" s="8" t="n">
        <v>4752.47</v>
      </c>
      <c r="I131" s="9">
        <f>IFERROR(IF(INDEX(Tbl_KPIConfig[Direction],MATCH($D131,Tbl_KPIConfig[KPI Name],0))="Lower is Better",IF($H131=0,1,IF($G131=0,0,$G131/$H131)),IF($G131=0,1,$H131/$G131)),0)</f>
        <v/>
      </c>
      <c r="J131" s="8">
        <f>IFERROR(IF($I131&gt;=1,"Green",IF($I131&gt;=INDEX(Tbl_KPIConfig[RAG Threshold %],MATCH($D131,Tbl_KPIConfig[KPI Name],0)),"Amber","Red")),"")</f>
        <v/>
      </c>
      <c r="K131" s="10" t="inlineStr">
        <is>
          <t>Within normal range</t>
        </is>
      </c>
    </row>
    <row r="132">
      <c r="A132" s="11" t="n">
        <v>46184</v>
      </c>
      <c r="B132" s="12">
        <f>IF($A132="","",TEXT($A132,"mmm-yyyy"))</f>
        <v/>
      </c>
      <c r="C132" s="12">
        <f>IF($A132="","","W"&amp;WEEKNUM($A132,2))</f>
        <v/>
      </c>
      <c r="D132" s="12" t="inlineStr">
        <is>
          <t>On-Time Dispatch %</t>
        </is>
      </c>
      <c r="E132" s="12">
        <f>IFERROR(INDEX(Tbl_KPIConfig[Department],MATCH($D132,Tbl_KPIConfig[KPI Name],0)),"")</f>
        <v/>
      </c>
      <c r="F132" s="12">
        <f>IFERROR(INDEX(Tbl_KPIConfig[Unit],MATCH($D132,Tbl_KPIConfig[KPI Name],0)),"")</f>
        <v/>
      </c>
      <c r="G132" s="12">
        <f>IFERROR(INDEX(Tbl_KPIConfig[Target],MATCH($D132,Tbl_KPIConfig[KPI Name],0)),"")</f>
        <v/>
      </c>
      <c r="H132" s="12" t="n">
        <v>0.8832</v>
      </c>
      <c r="I132" s="13">
        <f>IFERROR(IF(INDEX(Tbl_KPIConfig[Direction],MATCH($D132,Tbl_KPIConfig[KPI Name],0))="Lower is Better",IF($H132=0,1,IF($G132=0,0,$G132/$H132)),IF($G132=0,1,$H132/$G132)),0)</f>
        <v/>
      </c>
      <c r="J132" s="12">
        <f>IFERROR(IF($I132&gt;=1,"Green",IF($I132&gt;=INDEX(Tbl_KPIConfig[RAG Threshold %],MATCH($D132,Tbl_KPIConfig[KPI Name],0)),"Amber","Red")),"")</f>
        <v/>
      </c>
      <c r="K132" s="14" t="inlineStr"/>
    </row>
    <row r="133">
      <c r="A133" s="7" t="n">
        <v>46184</v>
      </c>
      <c r="B133" s="8">
        <f>IF($A133="","",TEXT($A133,"mmm-yyyy"))</f>
        <v/>
      </c>
      <c r="C133" s="8">
        <f>IF($A133="","","W"&amp;WEEKNUM($A133,2))</f>
        <v/>
      </c>
      <c r="D133" s="8" t="inlineStr">
        <is>
          <t>Inventory Accuracy %</t>
        </is>
      </c>
      <c r="E133" s="8">
        <f>IFERROR(INDEX(Tbl_KPIConfig[Department],MATCH($D133,Tbl_KPIConfig[KPI Name],0)),"")</f>
        <v/>
      </c>
      <c r="F133" s="8">
        <f>IFERROR(INDEX(Tbl_KPIConfig[Unit],MATCH($D133,Tbl_KPIConfig[KPI Name],0)),"")</f>
        <v/>
      </c>
      <c r="G133" s="8">
        <f>IFERROR(INDEX(Tbl_KPIConfig[Target],MATCH($D133,Tbl_KPIConfig[KPI Name],0)),"")</f>
        <v/>
      </c>
      <c r="H133" s="8" t="n">
        <v>0.882</v>
      </c>
      <c r="I133" s="9">
        <f>IFERROR(IF(INDEX(Tbl_KPIConfig[Direction],MATCH($D133,Tbl_KPIConfig[KPI Name],0))="Lower is Better",IF($H133=0,1,IF($G133=0,0,$G133/$H133)),IF($G133=0,1,$H133/$G133)),0)</f>
        <v/>
      </c>
      <c r="J133" s="8">
        <f>IFERROR(IF($I133&gt;=1,"Green",IF($I133&gt;=INDEX(Tbl_KPIConfig[RAG Threshold %],MATCH($D133,Tbl_KPIConfig[KPI Name],0)),"Amber","Red")),"")</f>
        <v/>
      </c>
      <c r="K133" s="10" t="inlineStr"/>
    </row>
    <row r="134">
      <c r="A134" s="11" t="n">
        <v>46184</v>
      </c>
      <c r="B134" s="12">
        <f>IF($A134="","",TEXT($A134,"mmm-yyyy"))</f>
        <v/>
      </c>
      <c r="C134" s="12">
        <f>IF($A134="","","W"&amp;WEEKNUM($A134,2))</f>
        <v/>
      </c>
      <c r="D134" s="12" t="inlineStr">
        <is>
          <t>Absenteeism %</t>
        </is>
      </c>
      <c r="E134" s="12">
        <f>IFERROR(INDEX(Tbl_KPIConfig[Department],MATCH($D134,Tbl_KPIConfig[KPI Name],0)),"")</f>
        <v/>
      </c>
      <c r="F134" s="12">
        <f>IFERROR(INDEX(Tbl_KPIConfig[Unit],MATCH($D134,Tbl_KPIConfig[KPI Name],0)),"")</f>
        <v/>
      </c>
      <c r="G134" s="12">
        <f>IFERROR(INDEX(Tbl_KPIConfig[Target],MATCH($D134,Tbl_KPIConfig[KPI Name],0)),"")</f>
        <v/>
      </c>
      <c r="H134" s="12" t="n">
        <v>0.0289</v>
      </c>
      <c r="I134" s="13">
        <f>IFERROR(IF(INDEX(Tbl_KPIConfig[Direction],MATCH($D134,Tbl_KPIConfig[KPI Name],0))="Lower is Better",IF($H134=0,1,IF($G134=0,0,$G134/$H134)),IF($G134=0,1,$H134/$G134)),0)</f>
        <v/>
      </c>
      <c r="J134" s="12">
        <f>IFERROR(IF($I134&gt;=1,"Green",IF($I134&gt;=INDEX(Tbl_KPIConfig[RAG Threshold %],MATCH($D134,Tbl_KPIConfig[KPI Name],0)),"Amber","Red")),"")</f>
        <v/>
      </c>
      <c r="K134" s="14" t="inlineStr">
        <is>
          <t>Vendor delay</t>
        </is>
      </c>
    </row>
    <row r="135">
      <c r="A135" s="7" t="n">
        <v>46184</v>
      </c>
      <c r="B135" s="8">
        <f>IF($A135="","",TEXT($A135,"mmm-yyyy"))</f>
        <v/>
      </c>
      <c r="C135" s="8">
        <f>IF($A135="","","W"&amp;WEEKNUM($A135,2))</f>
        <v/>
      </c>
      <c r="D135" s="8" t="inlineStr">
        <is>
          <t>Training Hours</t>
        </is>
      </c>
      <c r="E135" s="8">
        <f>IFERROR(INDEX(Tbl_KPIConfig[Department],MATCH($D135,Tbl_KPIConfig[KPI Name],0)),"")</f>
        <v/>
      </c>
      <c r="F135" s="8">
        <f>IFERROR(INDEX(Tbl_KPIConfig[Unit],MATCH($D135,Tbl_KPIConfig[KPI Name],0)),"")</f>
        <v/>
      </c>
      <c r="G135" s="8">
        <f>IFERROR(INDEX(Tbl_KPIConfig[Target],MATCH($D135,Tbl_KPIConfig[KPI Name],0)),"")</f>
        <v/>
      </c>
      <c r="H135" s="8" t="n">
        <v>2.02</v>
      </c>
      <c r="I135" s="9">
        <f>IFERROR(IF(INDEX(Tbl_KPIConfig[Direction],MATCH($D135,Tbl_KPIConfig[KPI Name],0))="Lower is Better",IF($H135=0,1,IF($G135=0,0,$G135/$H135)),IF($G135=0,1,$H135/$G135)),0)</f>
        <v/>
      </c>
      <c r="J135" s="8">
        <f>IFERROR(IF($I135&gt;=1,"Green",IF($I135&gt;=INDEX(Tbl_KPIConfig[RAG Threshold %],MATCH($D135,Tbl_KPIConfig[KPI Name],0)),"Amber","Red")),"")</f>
        <v/>
      </c>
      <c r="K135" s="10" t="inlineStr"/>
    </row>
    <row r="136">
      <c r="A136" s="11" t="n">
        <v>46184</v>
      </c>
      <c r="B136" s="12">
        <f>IF($A136="","",TEXT($A136,"mmm-yyyy"))</f>
        <v/>
      </c>
      <c r="C136" s="12">
        <f>IF($A136="","","W"&amp;WEEKNUM($A136,2))</f>
        <v/>
      </c>
      <c r="D136" s="12" t="inlineStr">
        <is>
          <t>Milestone Adherence %</t>
        </is>
      </c>
      <c r="E136" s="12">
        <f>IFERROR(INDEX(Tbl_KPIConfig[Department],MATCH($D136,Tbl_KPIConfig[KPI Name],0)),"")</f>
        <v/>
      </c>
      <c r="F136" s="12">
        <f>IFERROR(INDEX(Tbl_KPIConfig[Unit],MATCH($D136,Tbl_KPIConfig[KPI Name],0)),"")</f>
        <v/>
      </c>
      <c r="G136" s="12">
        <f>IFERROR(INDEX(Tbl_KPIConfig[Target],MATCH($D136,Tbl_KPIConfig[KPI Name],0)),"")</f>
        <v/>
      </c>
      <c r="H136" s="12" t="n">
        <v>0.85</v>
      </c>
      <c r="I136" s="13">
        <f>IFERROR(IF(INDEX(Tbl_KPIConfig[Direction],MATCH($D136,Tbl_KPIConfig[KPI Name],0))="Lower is Better",IF($H136=0,1,IF($G136=0,0,$G136/$H136)),IF($G136=0,1,$H136/$G136)),0)</f>
        <v/>
      </c>
      <c r="J136" s="12">
        <f>IFERROR(IF($I136&gt;=1,"Green",IF($I136&gt;=INDEX(Tbl_KPIConfig[RAG Threshold %],MATCH($D136,Tbl_KPIConfig[KPI Name],0)),"Amber","Red")),"")</f>
        <v/>
      </c>
      <c r="K136" s="14" t="inlineStr">
        <is>
          <t>Manpower shortage</t>
        </is>
      </c>
    </row>
    <row r="137">
      <c r="A137" s="7" t="n">
        <v>46184</v>
      </c>
      <c r="B137" s="8">
        <f>IF($A137="","",TEXT($A137,"mmm-yyyy"))</f>
        <v/>
      </c>
      <c r="C137" s="8">
        <f>IF($A137="","","W"&amp;WEEKNUM($A137,2))</f>
        <v/>
      </c>
      <c r="D137" s="8" t="inlineStr">
        <is>
          <t>Breakdown Resolution (Hrs)</t>
        </is>
      </c>
      <c r="E137" s="8">
        <f>IFERROR(INDEX(Tbl_KPIConfig[Department],MATCH($D137,Tbl_KPIConfig[KPI Name],0)),"")</f>
        <v/>
      </c>
      <c r="F137" s="8">
        <f>IFERROR(INDEX(Tbl_KPIConfig[Unit],MATCH($D137,Tbl_KPIConfig[KPI Name],0)),"")</f>
        <v/>
      </c>
      <c r="G137" s="8">
        <f>IFERROR(INDEX(Tbl_KPIConfig[Target],MATCH($D137,Tbl_KPIConfig[KPI Name],0)),"")</f>
        <v/>
      </c>
      <c r="H137" s="8" t="n">
        <v>1.93</v>
      </c>
      <c r="I137" s="9">
        <f>IFERROR(IF(INDEX(Tbl_KPIConfig[Direction],MATCH($D137,Tbl_KPIConfig[KPI Name],0))="Lower is Better",IF($H137=0,1,IF($G137=0,0,$G137/$H137)),IF($G137=0,1,$H137/$G137)),0)</f>
        <v/>
      </c>
      <c r="J137" s="8">
        <f>IFERROR(IF($I137&gt;=1,"Green",IF($I137&gt;=INDEX(Tbl_KPIConfig[RAG Threshold %],MATCH($D137,Tbl_KPIConfig[KPI Name],0)),"Amber","Red")),"")</f>
        <v/>
      </c>
      <c r="K137" s="10" t="inlineStr"/>
    </row>
    <row r="138">
      <c r="A138" s="11" t="n">
        <v>46185</v>
      </c>
      <c r="B138" s="12">
        <f>IF($A138="","",TEXT($A138,"mmm-yyyy"))</f>
        <v/>
      </c>
      <c r="C138" s="12">
        <f>IF($A138="","","W"&amp;WEEKNUM($A138,2))</f>
        <v/>
      </c>
      <c r="D138" s="12" t="inlineStr">
        <is>
          <t>Safety Incidents (LTI)</t>
        </is>
      </c>
      <c r="E138" s="12">
        <f>IFERROR(INDEX(Tbl_KPIConfig[Department],MATCH($D138,Tbl_KPIConfig[KPI Name],0)),"")</f>
        <v/>
      </c>
      <c r="F138" s="12">
        <f>IFERROR(INDEX(Tbl_KPIConfig[Unit],MATCH($D138,Tbl_KPIConfig[KPI Name],0)),"")</f>
        <v/>
      </c>
      <c r="G138" s="12">
        <f>IFERROR(INDEX(Tbl_KPIConfig[Target],MATCH($D138,Tbl_KPIConfig[KPI Name],0)),"")</f>
        <v/>
      </c>
      <c r="H138" s="12" t="n">
        <v>2</v>
      </c>
      <c r="I138" s="13">
        <f>IFERROR(IF(INDEX(Tbl_KPIConfig[Direction],MATCH($D138,Tbl_KPIConfig[KPI Name],0))="Lower is Better",IF($H138=0,1,IF($G138=0,0,$G138/$H138)),IF($G138=0,1,$H138/$G138)),0)</f>
        <v/>
      </c>
      <c r="J138" s="12">
        <f>IFERROR(IF($I138&gt;=1,"Green",IF($I138&gt;=INDEX(Tbl_KPIConfig[RAG Threshold %],MATCH($D138,Tbl_KPIConfig[KPI Name],0)),"Amber","Red")),"")</f>
        <v/>
      </c>
      <c r="K138" s="14" t="inlineStr">
        <is>
          <t>Vendor delay</t>
        </is>
      </c>
    </row>
    <row r="139">
      <c r="A139" s="7" t="n">
        <v>46185</v>
      </c>
      <c r="B139" s="8">
        <f>IF($A139="","",TEXT($A139,"mmm-yyyy"))</f>
        <v/>
      </c>
      <c r="C139" s="8">
        <f>IF($A139="","","W"&amp;WEEKNUM($A139,2))</f>
        <v/>
      </c>
      <c r="D139" s="8" t="inlineStr">
        <is>
          <t>Near Miss Reports</t>
        </is>
      </c>
      <c r="E139" s="8">
        <f>IFERROR(INDEX(Tbl_KPIConfig[Department],MATCH($D139,Tbl_KPIConfig[KPI Name],0)),"")</f>
        <v/>
      </c>
      <c r="F139" s="8">
        <f>IFERROR(INDEX(Tbl_KPIConfig[Unit],MATCH($D139,Tbl_KPIConfig[KPI Name],0)),"")</f>
        <v/>
      </c>
      <c r="G139" s="8">
        <f>IFERROR(INDEX(Tbl_KPIConfig[Target],MATCH($D139,Tbl_KPIConfig[KPI Name],0)),"")</f>
        <v/>
      </c>
      <c r="H139" s="8" t="n">
        <v>2</v>
      </c>
      <c r="I139" s="9">
        <f>IFERROR(IF(INDEX(Tbl_KPIConfig[Direction],MATCH($D139,Tbl_KPIConfig[KPI Name],0))="Lower is Better",IF($H139=0,1,IF($G139=0,0,$G139/$H139)),IF($G139=0,1,$H139/$G139)),0)</f>
        <v/>
      </c>
      <c r="J139" s="8">
        <f>IFERROR(IF($I139&gt;=1,"Green",IF($I139&gt;=INDEX(Tbl_KPIConfig[RAG Threshold %],MATCH($D139,Tbl_KPIConfig[KPI Name],0)),"Amber","Red")),"")</f>
        <v/>
      </c>
      <c r="K139" s="10" t="inlineStr">
        <is>
          <t>Within normal range</t>
        </is>
      </c>
    </row>
    <row r="140">
      <c r="A140" s="11" t="n">
        <v>46185</v>
      </c>
      <c r="B140" s="12">
        <f>IF($A140="","",TEXT($A140,"mmm-yyyy"))</f>
        <v/>
      </c>
      <c r="C140" s="12">
        <f>IF($A140="","","W"&amp;WEEKNUM($A140,2))</f>
        <v/>
      </c>
      <c r="D140" s="12" t="inlineStr">
        <is>
          <t>Production Output</t>
        </is>
      </c>
      <c r="E140" s="12">
        <f>IFERROR(INDEX(Tbl_KPIConfig[Department],MATCH($D140,Tbl_KPIConfig[KPI Name],0)),"")</f>
        <v/>
      </c>
      <c r="F140" s="12">
        <f>IFERROR(INDEX(Tbl_KPIConfig[Unit],MATCH($D140,Tbl_KPIConfig[KPI Name],0)),"")</f>
        <v/>
      </c>
      <c r="G140" s="12">
        <f>IFERROR(INDEX(Tbl_KPIConfig[Target],MATCH($D140,Tbl_KPIConfig[KPI Name],0)),"")</f>
        <v/>
      </c>
      <c r="H140" s="12" t="n">
        <v>735.65</v>
      </c>
      <c r="I140" s="13">
        <f>IFERROR(IF(INDEX(Tbl_KPIConfig[Direction],MATCH($D140,Tbl_KPIConfig[KPI Name],0))="Lower is Better",IF($H140=0,1,IF($G140=0,0,$G140/$H140)),IF($G140=0,1,$H140/$G140)),0)</f>
        <v/>
      </c>
      <c r="J140" s="12">
        <f>IFERROR(IF($I140&gt;=1,"Green",IF($I140&gt;=INDEX(Tbl_KPIConfig[RAG Threshold %],MATCH($D140,Tbl_KPIConfig[KPI Name],0)),"Amber","Red")),"")</f>
        <v/>
      </c>
      <c r="K140" s="14" t="inlineStr">
        <is>
          <t>Vendor delay</t>
        </is>
      </c>
    </row>
    <row r="141">
      <c r="A141" s="7" t="n">
        <v>46185</v>
      </c>
      <c r="B141" s="8">
        <f>IF($A141="","",TEXT($A141,"mmm-yyyy"))</f>
        <v/>
      </c>
      <c r="C141" s="8">
        <f>IF($A141="","","W"&amp;WEEKNUM($A141,2))</f>
        <v/>
      </c>
      <c r="D141" s="8" t="inlineStr">
        <is>
          <t>OEE %</t>
        </is>
      </c>
      <c r="E141" s="8">
        <f>IFERROR(INDEX(Tbl_KPIConfig[Department],MATCH($D141,Tbl_KPIConfig[KPI Name],0)),"")</f>
        <v/>
      </c>
      <c r="F141" s="8">
        <f>IFERROR(INDEX(Tbl_KPIConfig[Unit],MATCH($D141,Tbl_KPIConfig[KPI Name],0)),"")</f>
        <v/>
      </c>
      <c r="G141" s="8">
        <f>IFERROR(INDEX(Tbl_KPIConfig[Target],MATCH($D141,Tbl_KPIConfig[KPI Name],0)),"")</f>
        <v/>
      </c>
      <c r="H141" s="8" t="n">
        <v>0.7279</v>
      </c>
      <c r="I141" s="9">
        <f>IFERROR(IF(INDEX(Tbl_KPIConfig[Direction],MATCH($D141,Tbl_KPIConfig[KPI Name],0))="Lower is Better",IF($H141=0,1,IF($G141=0,0,$G141/$H141)),IF($G141=0,1,$H141/$G141)),0)</f>
        <v/>
      </c>
      <c r="J141" s="8">
        <f>IFERROR(IF($I141&gt;=1,"Green",IF($I141&gt;=INDEX(Tbl_KPIConfig[RAG Threshold %],MATCH($D141,Tbl_KPIConfig[KPI Name],0)),"Amber","Red")),"")</f>
        <v/>
      </c>
      <c r="K141" s="10" t="inlineStr">
        <is>
          <t>Awaiting spares</t>
        </is>
      </c>
    </row>
    <row r="142">
      <c r="A142" s="11" t="n">
        <v>46185</v>
      </c>
      <c r="B142" s="12">
        <f>IF($A142="","",TEXT($A142,"mmm-yyyy"))</f>
        <v/>
      </c>
      <c r="C142" s="12">
        <f>IF($A142="","","W"&amp;WEEKNUM($A142,2))</f>
        <v/>
      </c>
      <c r="D142" s="12" t="inlineStr">
        <is>
          <t>Defect Rate %</t>
        </is>
      </c>
      <c r="E142" s="12">
        <f>IFERROR(INDEX(Tbl_KPIConfig[Department],MATCH($D142,Tbl_KPIConfig[KPI Name],0)),"")</f>
        <v/>
      </c>
      <c r="F142" s="12">
        <f>IFERROR(INDEX(Tbl_KPIConfig[Unit],MATCH($D142,Tbl_KPIConfig[KPI Name],0)),"")</f>
        <v/>
      </c>
      <c r="G142" s="12">
        <f>IFERROR(INDEX(Tbl_KPIConfig[Target],MATCH($D142,Tbl_KPIConfig[KPI Name],0)),"")</f>
        <v/>
      </c>
      <c r="H142" s="12" t="n">
        <v>0.0199</v>
      </c>
      <c r="I142" s="13">
        <f>IFERROR(IF(INDEX(Tbl_KPIConfig[Direction],MATCH($D142,Tbl_KPIConfig[KPI Name],0))="Lower is Better",IF($H142=0,1,IF($G142=0,0,$G142/$H142)),IF($G142=0,1,$H142/$G142)),0)</f>
        <v/>
      </c>
      <c r="J142" s="12">
        <f>IFERROR(IF($I142&gt;=1,"Green",IF($I142&gt;=INDEX(Tbl_KPIConfig[RAG Threshold %],MATCH($D142,Tbl_KPIConfig[KPI Name],0)),"Amber","Red")),"")</f>
        <v/>
      </c>
      <c r="K142" s="14" t="inlineStr"/>
    </row>
    <row r="143">
      <c r="A143" s="7" t="n">
        <v>46185</v>
      </c>
      <c r="B143" s="8">
        <f>IF($A143="","",TEXT($A143,"mmm-yyyy"))</f>
        <v/>
      </c>
      <c r="C143" s="8">
        <f>IF($A143="","","W"&amp;WEEKNUM($A143,2))</f>
        <v/>
      </c>
      <c r="D143" s="8" t="inlineStr">
        <is>
          <t>Customer Complaints</t>
        </is>
      </c>
      <c r="E143" s="8">
        <f>IFERROR(INDEX(Tbl_KPIConfig[Department],MATCH($D143,Tbl_KPIConfig[KPI Name],0)),"")</f>
        <v/>
      </c>
      <c r="F143" s="8">
        <f>IFERROR(INDEX(Tbl_KPIConfig[Unit],MATCH($D143,Tbl_KPIConfig[KPI Name],0)),"")</f>
        <v/>
      </c>
      <c r="G143" s="8">
        <f>IFERROR(INDEX(Tbl_KPIConfig[Target],MATCH($D143,Tbl_KPIConfig[KPI Name],0)),"")</f>
        <v/>
      </c>
      <c r="H143" s="8" t="n">
        <v>0</v>
      </c>
      <c r="I143" s="9">
        <f>IFERROR(IF(INDEX(Tbl_KPIConfig[Direction],MATCH($D143,Tbl_KPIConfig[KPI Name],0))="Lower is Better",IF($H143=0,1,IF($G143=0,0,$G143/$H143)),IF($G143=0,1,$H143/$G143)),0)</f>
        <v/>
      </c>
      <c r="J143" s="8">
        <f>IFERROR(IF($I143&gt;=1,"Green",IF($I143&gt;=INDEX(Tbl_KPIConfig[RAG Threshold %],MATCH($D143,Tbl_KPIConfig[KPI Name],0)),"Amber","Red")),"")</f>
        <v/>
      </c>
      <c r="K143" s="10" t="inlineStr"/>
    </row>
    <row r="144">
      <c r="A144" s="11" t="n">
        <v>46185</v>
      </c>
      <c r="B144" s="12">
        <f>IF($A144="","",TEXT($A144,"mmm-yyyy"))</f>
        <v/>
      </c>
      <c r="C144" s="12">
        <f>IF($A144="","","W"&amp;WEEKNUM($A144,2))</f>
        <v/>
      </c>
      <c r="D144" s="12" t="inlineStr">
        <is>
          <t>Unplanned Downtime (Hrs)</t>
        </is>
      </c>
      <c r="E144" s="12">
        <f>IFERROR(INDEX(Tbl_KPIConfig[Department],MATCH($D144,Tbl_KPIConfig[KPI Name],0)),"")</f>
        <v/>
      </c>
      <c r="F144" s="12">
        <f>IFERROR(INDEX(Tbl_KPIConfig[Unit],MATCH($D144,Tbl_KPIConfig[KPI Name],0)),"")</f>
        <v/>
      </c>
      <c r="G144" s="12">
        <f>IFERROR(INDEX(Tbl_KPIConfig[Target],MATCH($D144,Tbl_KPIConfig[KPI Name],0)),"")</f>
        <v/>
      </c>
      <c r="H144" s="12" t="n">
        <v>0.97</v>
      </c>
      <c r="I144" s="13">
        <f>IFERROR(IF(INDEX(Tbl_KPIConfig[Direction],MATCH($D144,Tbl_KPIConfig[KPI Name],0))="Lower is Better",IF($H144=0,1,IF($G144=0,0,$G144/$H144)),IF($G144=0,1,$H144/$G144)),0)</f>
        <v/>
      </c>
      <c r="J144" s="12">
        <f>IFERROR(IF($I144&gt;=1,"Green",IF($I144&gt;=INDEX(Tbl_KPIConfig[RAG Threshold %],MATCH($D144,Tbl_KPIConfig[KPI Name],0)),"Amber","Red")),"")</f>
        <v/>
      </c>
      <c r="K144" s="14" t="inlineStr">
        <is>
          <t>Preventive check done</t>
        </is>
      </c>
    </row>
    <row r="145">
      <c r="A145" s="7" t="n">
        <v>46185</v>
      </c>
      <c r="B145" s="8">
        <f>IF($A145="","",TEXT($A145,"mmm-yyyy"))</f>
        <v/>
      </c>
      <c r="C145" s="8">
        <f>IF($A145="","","W"&amp;WEEKNUM($A145,2))</f>
        <v/>
      </c>
      <c r="D145" s="8" t="inlineStr">
        <is>
          <t>PM Compliance %</t>
        </is>
      </c>
      <c r="E145" s="8">
        <f>IFERROR(INDEX(Tbl_KPIConfig[Department],MATCH($D145,Tbl_KPIConfig[KPI Name],0)),"")</f>
        <v/>
      </c>
      <c r="F145" s="8">
        <f>IFERROR(INDEX(Tbl_KPIConfig[Unit],MATCH($D145,Tbl_KPIConfig[KPI Name],0)),"")</f>
        <v/>
      </c>
      <c r="G145" s="8">
        <f>IFERROR(INDEX(Tbl_KPIConfig[Target],MATCH($D145,Tbl_KPIConfig[KPI Name],0)),"")</f>
        <v/>
      </c>
      <c r="H145" s="8" t="n">
        <v>1.1443</v>
      </c>
      <c r="I145" s="9">
        <f>IFERROR(IF(INDEX(Tbl_KPIConfig[Direction],MATCH($D145,Tbl_KPIConfig[KPI Name],0))="Lower is Better",IF($H145=0,1,IF($G145=0,0,$G145/$H145)),IF($G145=0,1,$H145/$G145)),0)</f>
        <v/>
      </c>
      <c r="J145" s="8">
        <f>IFERROR(IF($I145&gt;=1,"Green",IF($I145&gt;=INDEX(Tbl_KPIConfig[RAG Threshold %],MATCH($D145,Tbl_KPIConfig[KPI Name],0)),"Amber","Red")),"")</f>
        <v/>
      </c>
      <c r="K145" s="10" t="inlineStr"/>
    </row>
    <row r="146">
      <c r="A146" s="11" t="n">
        <v>46185</v>
      </c>
      <c r="B146" s="12">
        <f>IF($A146="","",TEXT($A146,"mmm-yyyy"))</f>
        <v/>
      </c>
      <c r="C146" s="12">
        <f>IF($A146="","","W"&amp;WEEKNUM($A146,2))</f>
        <v/>
      </c>
      <c r="D146" s="12" t="inlineStr">
        <is>
          <t>Power Consumption (kWh)</t>
        </is>
      </c>
      <c r="E146" s="12">
        <f>IFERROR(INDEX(Tbl_KPIConfig[Department],MATCH($D146,Tbl_KPIConfig[KPI Name],0)),"")</f>
        <v/>
      </c>
      <c r="F146" s="12">
        <f>IFERROR(INDEX(Tbl_KPIConfig[Unit],MATCH($D146,Tbl_KPIConfig[KPI Name],0)),"")</f>
        <v/>
      </c>
      <c r="G146" s="12">
        <f>IFERROR(INDEX(Tbl_KPIConfig[Target],MATCH($D146,Tbl_KPIConfig[KPI Name],0)),"")</f>
        <v/>
      </c>
      <c r="H146" s="12" t="n">
        <v>3597.14</v>
      </c>
      <c r="I146" s="13">
        <f>IFERROR(IF(INDEX(Tbl_KPIConfig[Direction],MATCH($D146,Tbl_KPIConfig[KPI Name],0))="Lower is Better",IF($H146=0,1,IF($G146=0,0,$G146/$H146)),IF($G146=0,1,$H146/$G146)),0)</f>
        <v/>
      </c>
      <c r="J146" s="12">
        <f>IFERROR(IF($I146&gt;=1,"Green",IF($I146&gt;=INDEX(Tbl_KPIConfig[RAG Threshold %],MATCH($D146,Tbl_KPIConfig[KPI Name],0)),"Amber","Red")),"")</f>
        <v/>
      </c>
      <c r="K146" s="14" t="inlineStr">
        <is>
          <t>Awaiting spares</t>
        </is>
      </c>
    </row>
    <row r="147">
      <c r="A147" s="7" t="n">
        <v>46185</v>
      </c>
      <c r="B147" s="8">
        <f>IF($A147="","",TEXT($A147,"mmm-yyyy"))</f>
        <v/>
      </c>
      <c r="C147" s="8">
        <f>IF($A147="","","W"&amp;WEEKNUM($A147,2))</f>
        <v/>
      </c>
      <c r="D147" s="8" t="inlineStr">
        <is>
          <t>On-Time Dispatch %</t>
        </is>
      </c>
      <c r="E147" s="8">
        <f>IFERROR(INDEX(Tbl_KPIConfig[Department],MATCH($D147,Tbl_KPIConfig[KPI Name],0)),"")</f>
        <v/>
      </c>
      <c r="F147" s="8">
        <f>IFERROR(INDEX(Tbl_KPIConfig[Unit],MATCH($D147,Tbl_KPIConfig[KPI Name],0)),"")</f>
        <v/>
      </c>
      <c r="G147" s="8">
        <f>IFERROR(INDEX(Tbl_KPIConfig[Target],MATCH($D147,Tbl_KPIConfig[KPI Name],0)),"")</f>
        <v/>
      </c>
      <c r="H147" s="8" t="n">
        <v>1.1545</v>
      </c>
      <c r="I147" s="9">
        <f>IFERROR(IF(INDEX(Tbl_KPIConfig[Direction],MATCH($D147,Tbl_KPIConfig[KPI Name],0))="Lower is Better",IF($H147=0,1,IF($G147=0,0,$G147/$H147)),IF($G147=0,1,$H147/$G147)),0)</f>
        <v/>
      </c>
      <c r="J147" s="8">
        <f>IFERROR(IF($I147&gt;=1,"Green",IF($I147&gt;=INDEX(Tbl_KPIConfig[RAG Threshold %],MATCH($D147,Tbl_KPIConfig[KPI Name],0)),"Amber","Red")),"")</f>
        <v/>
      </c>
      <c r="K147" s="10" t="inlineStr">
        <is>
          <t>Process improvement in progress</t>
        </is>
      </c>
    </row>
    <row r="148">
      <c r="A148" s="11" t="n">
        <v>46185</v>
      </c>
      <c r="B148" s="12">
        <f>IF($A148="","",TEXT($A148,"mmm-yyyy"))</f>
        <v/>
      </c>
      <c r="C148" s="12">
        <f>IF($A148="","","W"&amp;WEEKNUM($A148,2))</f>
        <v/>
      </c>
      <c r="D148" s="12" t="inlineStr">
        <is>
          <t>Inventory Accuracy %</t>
        </is>
      </c>
      <c r="E148" s="12">
        <f>IFERROR(INDEX(Tbl_KPIConfig[Department],MATCH($D148,Tbl_KPIConfig[KPI Name],0)),"")</f>
        <v/>
      </c>
      <c r="F148" s="12">
        <f>IFERROR(INDEX(Tbl_KPIConfig[Unit],MATCH($D148,Tbl_KPIConfig[KPI Name],0)),"")</f>
        <v/>
      </c>
      <c r="G148" s="12">
        <f>IFERROR(INDEX(Tbl_KPIConfig[Target],MATCH($D148,Tbl_KPIConfig[KPI Name],0)),"")</f>
        <v/>
      </c>
      <c r="H148" s="12" t="n">
        <v>0.9014</v>
      </c>
      <c r="I148" s="13">
        <f>IFERROR(IF(INDEX(Tbl_KPIConfig[Direction],MATCH($D148,Tbl_KPIConfig[KPI Name],0))="Lower is Better",IF($H148=0,1,IF($G148=0,0,$G148/$H148)),IF($G148=0,1,$H148/$G148)),0)</f>
        <v/>
      </c>
      <c r="J148" s="12">
        <f>IFERROR(IF($I148&gt;=1,"Green",IF($I148&gt;=INDEX(Tbl_KPIConfig[RAG Threshold %],MATCH($D148,Tbl_KPIConfig[KPI Name],0)),"Amber","Red")),"")</f>
        <v/>
      </c>
      <c r="K148" s="14" t="inlineStr">
        <is>
          <t>Process improvement in progress</t>
        </is>
      </c>
    </row>
    <row r="149">
      <c r="A149" s="7" t="n">
        <v>46185</v>
      </c>
      <c r="B149" s="8">
        <f>IF($A149="","",TEXT($A149,"mmm-yyyy"))</f>
        <v/>
      </c>
      <c r="C149" s="8">
        <f>IF($A149="","","W"&amp;WEEKNUM($A149,2))</f>
        <v/>
      </c>
      <c r="D149" s="8" t="inlineStr">
        <is>
          <t>Absenteeism %</t>
        </is>
      </c>
      <c r="E149" s="8">
        <f>IFERROR(INDEX(Tbl_KPIConfig[Department],MATCH($D149,Tbl_KPIConfig[KPI Name],0)),"")</f>
        <v/>
      </c>
      <c r="F149" s="8">
        <f>IFERROR(INDEX(Tbl_KPIConfig[Unit],MATCH($D149,Tbl_KPIConfig[KPI Name],0)),"")</f>
        <v/>
      </c>
      <c r="G149" s="8">
        <f>IFERROR(INDEX(Tbl_KPIConfig[Target],MATCH($D149,Tbl_KPIConfig[KPI Name],0)),"")</f>
        <v/>
      </c>
      <c r="H149" s="8" t="n">
        <v>0.0287</v>
      </c>
      <c r="I149" s="9">
        <f>IFERROR(IF(INDEX(Tbl_KPIConfig[Direction],MATCH($D149,Tbl_KPIConfig[KPI Name],0))="Lower is Better",IF($H149=0,1,IF($G149=0,0,$G149/$H149)),IF($G149=0,1,$H149/$G149)),0)</f>
        <v/>
      </c>
      <c r="J149" s="8">
        <f>IFERROR(IF($I149&gt;=1,"Green",IF($I149&gt;=INDEX(Tbl_KPIConfig[RAG Threshold %],MATCH($D149,Tbl_KPIConfig[KPI Name],0)),"Amber","Red")),"")</f>
        <v/>
      </c>
      <c r="K149" s="10" t="inlineStr">
        <is>
          <t>Line changeover impact</t>
        </is>
      </c>
    </row>
    <row r="150">
      <c r="A150" s="11" t="n">
        <v>46185</v>
      </c>
      <c r="B150" s="12">
        <f>IF($A150="","",TEXT($A150,"mmm-yyyy"))</f>
        <v/>
      </c>
      <c r="C150" s="12">
        <f>IF($A150="","","W"&amp;WEEKNUM($A150,2))</f>
        <v/>
      </c>
      <c r="D150" s="12" t="inlineStr">
        <is>
          <t>Training Hours</t>
        </is>
      </c>
      <c r="E150" s="12">
        <f>IFERROR(INDEX(Tbl_KPIConfig[Department],MATCH($D150,Tbl_KPIConfig[KPI Name],0)),"")</f>
        <v/>
      </c>
      <c r="F150" s="12">
        <f>IFERROR(INDEX(Tbl_KPIConfig[Unit],MATCH($D150,Tbl_KPIConfig[KPI Name],0)),"")</f>
        <v/>
      </c>
      <c r="G150" s="12">
        <f>IFERROR(INDEX(Tbl_KPIConfig[Target],MATCH($D150,Tbl_KPIConfig[KPI Name],0)),"")</f>
        <v/>
      </c>
      <c r="H150" s="12" t="n">
        <v>2.03</v>
      </c>
      <c r="I150" s="13">
        <f>IFERROR(IF(INDEX(Tbl_KPIConfig[Direction],MATCH($D150,Tbl_KPIConfig[KPI Name],0))="Lower is Better",IF($H150=0,1,IF($G150=0,0,$G150/$H150)),IF($G150=0,1,$H150/$G150)),0)</f>
        <v/>
      </c>
      <c r="J150" s="12">
        <f>IFERROR(IF($I150&gt;=1,"Green",IF($I150&gt;=INDEX(Tbl_KPIConfig[RAG Threshold %],MATCH($D150,Tbl_KPIConfig[KPI Name],0)),"Amber","Red")),"")</f>
        <v/>
      </c>
      <c r="K150" s="14" t="inlineStr">
        <is>
          <t>Vendor delay</t>
        </is>
      </c>
    </row>
    <row r="151">
      <c r="A151" s="7" t="n">
        <v>46185</v>
      </c>
      <c r="B151" s="8">
        <f>IF($A151="","",TEXT($A151,"mmm-yyyy"))</f>
        <v/>
      </c>
      <c r="C151" s="8">
        <f>IF($A151="","","W"&amp;WEEKNUM($A151,2))</f>
        <v/>
      </c>
      <c r="D151" s="8" t="inlineStr">
        <is>
          <t>Milestone Adherence %</t>
        </is>
      </c>
      <c r="E151" s="8">
        <f>IFERROR(INDEX(Tbl_KPIConfig[Department],MATCH($D151,Tbl_KPIConfig[KPI Name],0)),"")</f>
        <v/>
      </c>
      <c r="F151" s="8">
        <f>IFERROR(INDEX(Tbl_KPIConfig[Unit],MATCH($D151,Tbl_KPIConfig[KPI Name],0)),"")</f>
        <v/>
      </c>
      <c r="G151" s="8">
        <f>IFERROR(INDEX(Tbl_KPIConfig[Target],MATCH($D151,Tbl_KPIConfig[KPI Name],0)),"")</f>
        <v/>
      </c>
      <c r="H151" s="8" t="n">
        <v>0.8084</v>
      </c>
      <c r="I151" s="9">
        <f>IFERROR(IF(INDEX(Tbl_KPIConfig[Direction],MATCH($D151,Tbl_KPIConfig[KPI Name],0))="Lower is Better",IF($H151=0,1,IF($G151=0,0,$G151/$H151)),IF($G151=0,1,$H151/$G151)),0)</f>
        <v/>
      </c>
      <c r="J151" s="8">
        <f>IFERROR(IF($I151&gt;=1,"Green",IF($I151&gt;=INDEX(Tbl_KPIConfig[RAG Threshold %],MATCH($D151,Tbl_KPIConfig[KPI Name],0)),"Amber","Red")),"")</f>
        <v/>
      </c>
      <c r="K151" s="10" t="inlineStr">
        <is>
          <t>Awaiting spares</t>
        </is>
      </c>
    </row>
    <row r="152">
      <c r="A152" s="11" t="n">
        <v>46185</v>
      </c>
      <c r="B152" s="12">
        <f>IF($A152="","",TEXT($A152,"mmm-yyyy"))</f>
        <v/>
      </c>
      <c r="C152" s="12">
        <f>IF($A152="","","W"&amp;WEEKNUM($A152,2))</f>
        <v/>
      </c>
      <c r="D152" s="12" t="inlineStr">
        <is>
          <t>Breakdown Resolution (Hrs)</t>
        </is>
      </c>
      <c r="E152" s="12">
        <f>IFERROR(INDEX(Tbl_KPIConfig[Department],MATCH($D152,Tbl_KPIConfig[KPI Name],0)),"")</f>
        <v/>
      </c>
      <c r="F152" s="12">
        <f>IFERROR(INDEX(Tbl_KPIConfig[Unit],MATCH($D152,Tbl_KPIConfig[KPI Name],0)),"")</f>
        <v/>
      </c>
      <c r="G152" s="12">
        <f>IFERROR(INDEX(Tbl_KPIConfig[Target],MATCH($D152,Tbl_KPIConfig[KPI Name],0)),"")</f>
        <v/>
      </c>
      <c r="H152" s="12" t="n">
        <v>1.63</v>
      </c>
      <c r="I152" s="13">
        <f>IFERROR(IF(INDEX(Tbl_KPIConfig[Direction],MATCH($D152,Tbl_KPIConfig[KPI Name],0))="Lower is Better",IF($H152=0,1,IF($G152=0,0,$G152/$H152)),IF($G152=0,1,$H152/$G152)),0)</f>
        <v/>
      </c>
      <c r="J152" s="12">
        <f>IFERROR(IF($I152&gt;=1,"Green",IF($I152&gt;=INDEX(Tbl_KPIConfig[RAG Threshold %],MATCH($D152,Tbl_KPIConfig[KPI Name],0)),"Amber","Red")),"")</f>
        <v/>
      </c>
      <c r="K152" s="14" t="inlineStr">
        <is>
          <t>Within normal range</t>
        </is>
      </c>
    </row>
    <row r="153">
      <c r="A153" s="7" t="n">
        <v>46186</v>
      </c>
      <c r="B153" s="8">
        <f>IF($A153="","",TEXT($A153,"mmm-yyyy"))</f>
        <v/>
      </c>
      <c r="C153" s="8">
        <f>IF($A153="","","W"&amp;WEEKNUM($A153,2))</f>
        <v/>
      </c>
      <c r="D153" s="8" t="inlineStr">
        <is>
          <t>Safety Incidents (LTI)</t>
        </is>
      </c>
      <c r="E153" s="8">
        <f>IFERROR(INDEX(Tbl_KPIConfig[Department],MATCH($D153,Tbl_KPIConfig[KPI Name],0)),"")</f>
        <v/>
      </c>
      <c r="F153" s="8">
        <f>IFERROR(INDEX(Tbl_KPIConfig[Unit],MATCH($D153,Tbl_KPIConfig[KPI Name],0)),"")</f>
        <v/>
      </c>
      <c r="G153" s="8">
        <f>IFERROR(INDEX(Tbl_KPIConfig[Target],MATCH($D153,Tbl_KPIConfig[KPI Name],0)),"")</f>
        <v/>
      </c>
      <c r="H153" s="8" t="n">
        <v>0</v>
      </c>
      <c r="I153" s="9">
        <f>IFERROR(IF(INDEX(Tbl_KPIConfig[Direction],MATCH($D153,Tbl_KPIConfig[KPI Name],0))="Lower is Better",IF($H153=0,1,IF($G153=0,0,$G153/$H153)),IF($G153=0,1,$H153/$G153)),0)</f>
        <v/>
      </c>
      <c r="J153" s="8">
        <f>IFERROR(IF($I153&gt;=1,"Green",IF($I153&gt;=INDEX(Tbl_KPIConfig[RAG Threshold %],MATCH($D153,Tbl_KPIConfig[KPI Name],0)),"Amber","Red")),"")</f>
        <v/>
      </c>
      <c r="K153" s="10" t="inlineStr">
        <is>
          <t>Within normal range</t>
        </is>
      </c>
    </row>
    <row r="154">
      <c r="A154" s="11" t="n">
        <v>46186</v>
      </c>
      <c r="B154" s="12">
        <f>IF($A154="","",TEXT($A154,"mmm-yyyy"))</f>
        <v/>
      </c>
      <c r="C154" s="12">
        <f>IF($A154="","","W"&amp;WEEKNUM($A154,2))</f>
        <v/>
      </c>
      <c r="D154" s="12" t="inlineStr">
        <is>
          <t>Near Miss Reports</t>
        </is>
      </c>
      <c r="E154" s="12">
        <f>IFERROR(INDEX(Tbl_KPIConfig[Department],MATCH($D154,Tbl_KPIConfig[KPI Name],0)),"")</f>
        <v/>
      </c>
      <c r="F154" s="12">
        <f>IFERROR(INDEX(Tbl_KPIConfig[Unit],MATCH($D154,Tbl_KPIConfig[KPI Name],0)),"")</f>
        <v/>
      </c>
      <c r="G154" s="12">
        <f>IFERROR(INDEX(Tbl_KPIConfig[Target],MATCH($D154,Tbl_KPIConfig[KPI Name],0)),"")</f>
        <v/>
      </c>
      <c r="H154" s="12" t="n">
        <v>2</v>
      </c>
      <c r="I154" s="13">
        <f>IFERROR(IF(INDEX(Tbl_KPIConfig[Direction],MATCH($D154,Tbl_KPIConfig[KPI Name],0))="Lower is Better",IF($H154=0,1,IF($G154=0,0,$G154/$H154)),IF($G154=0,1,$H154/$G154)),0)</f>
        <v/>
      </c>
      <c r="J154" s="12">
        <f>IFERROR(IF($I154&gt;=1,"Green",IF($I154&gt;=INDEX(Tbl_KPIConfig[RAG Threshold %],MATCH($D154,Tbl_KPIConfig[KPI Name],0)),"Amber","Red")),"")</f>
        <v/>
      </c>
      <c r="K154" s="14" t="inlineStr">
        <is>
          <t>Within normal range</t>
        </is>
      </c>
    </row>
    <row r="155">
      <c r="A155" s="7" t="n">
        <v>46186</v>
      </c>
      <c r="B155" s="8">
        <f>IF($A155="","",TEXT($A155,"mmm-yyyy"))</f>
        <v/>
      </c>
      <c r="C155" s="8">
        <f>IF($A155="","","W"&amp;WEEKNUM($A155,2))</f>
        <v/>
      </c>
      <c r="D155" s="8" t="inlineStr">
        <is>
          <t>Production Output</t>
        </is>
      </c>
      <c r="E155" s="8">
        <f>IFERROR(INDEX(Tbl_KPIConfig[Department],MATCH($D155,Tbl_KPIConfig[KPI Name],0)),"")</f>
        <v/>
      </c>
      <c r="F155" s="8">
        <f>IFERROR(INDEX(Tbl_KPIConfig[Unit],MATCH($D155,Tbl_KPIConfig[KPI Name],0)),"")</f>
        <v/>
      </c>
      <c r="G155" s="8">
        <f>IFERROR(INDEX(Tbl_KPIConfig[Target],MATCH($D155,Tbl_KPIConfig[KPI Name],0)),"")</f>
        <v/>
      </c>
      <c r="H155" s="8" t="n">
        <v>1082.75</v>
      </c>
      <c r="I155" s="9">
        <f>IFERROR(IF(INDEX(Tbl_KPIConfig[Direction],MATCH($D155,Tbl_KPIConfig[KPI Name],0))="Lower is Better",IF($H155=0,1,IF($G155=0,0,$G155/$H155)),IF($G155=0,1,$H155/$G155)),0)</f>
        <v/>
      </c>
      <c r="J155" s="8">
        <f>IFERROR(IF($I155&gt;=1,"Green",IF($I155&gt;=INDEX(Tbl_KPIConfig[RAG Threshold %],MATCH($D155,Tbl_KPIConfig[KPI Name],0)),"Amber","Red")),"")</f>
        <v/>
      </c>
      <c r="K155" s="10" t="inlineStr">
        <is>
          <t>Awaiting spares</t>
        </is>
      </c>
    </row>
    <row r="156">
      <c r="A156" s="11" t="n">
        <v>46186</v>
      </c>
      <c r="B156" s="12">
        <f>IF($A156="","",TEXT($A156,"mmm-yyyy"))</f>
        <v/>
      </c>
      <c r="C156" s="12">
        <f>IF($A156="","","W"&amp;WEEKNUM($A156,2))</f>
        <v/>
      </c>
      <c r="D156" s="12" t="inlineStr">
        <is>
          <t>OEE %</t>
        </is>
      </c>
      <c r="E156" s="12">
        <f>IFERROR(INDEX(Tbl_KPIConfig[Department],MATCH($D156,Tbl_KPIConfig[KPI Name],0)),"")</f>
        <v/>
      </c>
      <c r="F156" s="12">
        <f>IFERROR(INDEX(Tbl_KPIConfig[Unit],MATCH($D156,Tbl_KPIConfig[KPI Name],0)),"")</f>
        <v/>
      </c>
      <c r="G156" s="12">
        <f>IFERROR(INDEX(Tbl_KPIConfig[Target],MATCH($D156,Tbl_KPIConfig[KPI Name],0)),"")</f>
        <v/>
      </c>
      <c r="H156" s="12" t="n">
        <v>0.8355</v>
      </c>
      <c r="I156" s="13">
        <f>IFERROR(IF(INDEX(Tbl_KPIConfig[Direction],MATCH($D156,Tbl_KPIConfig[KPI Name],0))="Lower is Better",IF($H156=0,1,IF($G156=0,0,$G156/$H156)),IF($G156=0,1,$H156/$G156)),0)</f>
        <v/>
      </c>
      <c r="J156" s="12">
        <f>IFERROR(IF($I156&gt;=1,"Green",IF($I156&gt;=INDEX(Tbl_KPIConfig[RAG Threshold %],MATCH($D156,Tbl_KPIConfig[KPI Name],0)),"Amber","Red")),"")</f>
        <v/>
      </c>
      <c r="K156" s="14" t="inlineStr">
        <is>
          <t>Line changeover impact</t>
        </is>
      </c>
    </row>
    <row r="157">
      <c r="A157" s="7" t="n">
        <v>46186</v>
      </c>
      <c r="B157" s="8">
        <f>IF($A157="","",TEXT($A157,"mmm-yyyy"))</f>
        <v/>
      </c>
      <c r="C157" s="8">
        <f>IF($A157="","","W"&amp;WEEKNUM($A157,2))</f>
        <v/>
      </c>
      <c r="D157" s="8" t="inlineStr">
        <is>
          <t>Defect Rate %</t>
        </is>
      </c>
      <c r="E157" s="8">
        <f>IFERROR(INDEX(Tbl_KPIConfig[Department],MATCH($D157,Tbl_KPIConfig[KPI Name],0)),"")</f>
        <v/>
      </c>
      <c r="F157" s="8">
        <f>IFERROR(INDEX(Tbl_KPIConfig[Unit],MATCH($D157,Tbl_KPIConfig[KPI Name],0)),"")</f>
        <v/>
      </c>
      <c r="G157" s="8">
        <f>IFERROR(INDEX(Tbl_KPIConfig[Target],MATCH($D157,Tbl_KPIConfig[KPI Name],0)),"")</f>
        <v/>
      </c>
      <c r="H157" s="8" t="n">
        <v>0.0127</v>
      </c>
      <c r="I157" s="9">
        <f>IFERROR(IF(INDEX(Tbl_KPIConfig[Direction],MATCH($D157,Tbl_KPIConfig[KPI Name],0))="Lower is Better",IF($H157=0,1,IF($G157=0,0,$G157/$H157)),IF($G157=0,1,$H157/$G157)),0)</f>
        <v/>
      </c>
      <c r="J157" s="8">
        <f>IFERROR(IF($I157&gt;=1,"Green",IF($I157&gt;=INDEX(Tbl_KPIConfig[RAG Threshold %],MATCH($D157,Tbl_KPIConfig[KPI Name],0)),"Amber","Red")),"")</f>
        <v/>
      </c>
      <c r="K157" s="10" t="inlineStr"/>
    </row>
    <row r="158">
      <c r="A158" s="11" t="n">
        <v>46186</v>
      </c>
      <c r="B158" s="12">
        <f>IF($A158="","",TEXT($A158,"mmm-yyyy"))</f>
        <v/>
      </c>
      <c r="C158" s="12">
        <f>IF($A158="","","W"&amp;WEEKNUM($A158,2))</f>
        <v/>
      </c>
      <c r="D158" s="12" t="inlineStr">
        <is>
          <t>Customer Complaints</t>
        </is>
      </c>
      <c r="E158" s="12">
        <f>IFERROR(INDEX(Tbl_KPIConfig[Department],MATCH($D158,Tbl_KPIConfig[KPI Name],0)),"")</f>
        <v/>
      </c>
      <c r="F158" s="12">
        <f>IFERROR(INDEX(Tbl_KPIConfig[Unit],MATCH($D158,Tbl_KPIConfig[KPI Name],0)),"")</f>
        <v/>
      </c>
      <c r="G158" s="12">
        <f>IFERROR(INDEX(Tbl_KPIConfig[Target],MATCH($D158,Tbl_KPIConfig[KPI Name],0)),"")</f>
        <v/>
      </c>
      <c r="H158" s="12" t="n">
        <v>0</v>
      </c>
      <c r="I158" s="13">
        <f>IFERROR(IF(INDEX(Tbl_KPIConfig[Direction],MATCH($D158,Tbl_KPIConfig[KPI Name],0))="Lower is Better",IF($H158=0,1,IF($G158=0,0,$G158/$H158)),IF($G158=0,1,$H158/$G158)),0)</f>
        <v/>
      </c>
      <c r="J158" s="12">
        <f>IFERROR(IF($I158&gt;=1,"Green",IF($I158&gt;=INDEX(Tbl_KPIConfig[RAG Threshold %],MATCH($D158,Tbl_KPIConfig[KPI Name],0)),"Amber","Red")),"")</f>
        <v/>
      </c>
      <c r="K158" s="14" t="inlineStr"/>
    </row>
    <row r="159">
      <c r="A159" s="7" t="n">
        <v>46186</v>
      </c>
      <c r="B159" s="8">
        <f>IF($A159="","",TEXT($A159,"mmm-yyyy"))</f>
        <v/>
      </c>
      <c r="C159" s="8">
        <f>IF($A159="","","W"&amp;WEEKNUM($A159,2))</f>
        <v/>
      </c>
      <c r="D159" s="8" t="inlineStr">
        <is>
          <t>Unplanned Downtime (Hrs)</t>
        </is>
      </c>
      <c r="E159" s="8">
        <f>IFERROR(INDEX(Tbl_KPIConfig[Department],MATCH($D159,Tbl_KPIConfig[KPI Name],0)),"")</f>
        <v/>
      </c>
      <c r="F159" s="8">
        <f>IFERROR(INDEX(Tbl_KPIConfig[Unit],MATCH($D159,Tbl_KPIConfig[KPI Name],0)),"")</f>
        <v/>
      </c>
      <c r="G159" s="8">
        <f>IFERROR(INDEX(Tbl_KPIConfig[Target],MATCH($D159,Tbl_KPIConfig[KPI Name],0)),"")</f>
        <v/>
      </c>
      <c r="H159" s="8" t="n">
        <v>0.87</v>
      </c>
      <c r="I159" s="9">
        <f>IFERROR(IF(INDEX(Tbl_KPIConfig[Direction],MATCH($D159,Tbl_KPIConfig[KPI Name],0))="Lower is Better",IF($H159=0,1,IF($G159=0,0,$G159/$H159)),IF($G159=0,1,$H159/$G159)),0)</f>
        <v/>
      </c>
      <c r="J159" s="8">
        <f>IFERROR(IF($I159&gt;=1,"Green",IF($I159&gt;=INDEX(Tbl_KPIConfig[RAG Threshold %],MATCH($D159,Tbl_KPIConfig[KPI Name],0)),"Amber","Red")),"")</f>
        <v/>
      </c>
      <c r="K159" s="10" t="inlineStr">
        <is>
          <t>Vendor delay</t>
        </is>
      </c>
    </row>
    <row r="160">
      <c r="A160" s="11" t="n">
        <v>46186</v>
      </c>
      <c r="B160" s="12">
        <f>IF($A160="","",TEXT($A160,"mmm-yyyy"))</f>
        <v/>
      </c>
      <c r="C160" s="12">
        <f>IF($A160="","","W"&amp;WEEKNUM($A160,2))</f>
        <v/>
      </c>
      <c r="D160" s="12" t="inlineStr">
        <is>
          <t>PM Compliance %</t>
        </is>
      </c>
      <c r="E160" s="12">
        <f>IFERROR(INDEX(Tbl_KPIConfig[Department],MATCH($D160,Tbl_KPIConfig[KPI Name],0)),"")</f>
        <v/>
      </c>
      <c r="F160" s="12">
        <f>IFERROR(INDEX(Tbl_KPIConfig[Unit],MATCH($D160,Tbl_KPIConfig[KPI Name],0)),"")</f>
        <v/>
      </c>
      <c r="G160" s="12">
        <f>IFERROR(INDEX(Tbl_KPIConfig[Target],MATCH($D160,Tbl_KPIConfig[KPI Name],0)),"")</f>
        <v/>
      </c>
      <c r="H160" s="12" t="n">
        <v>1.0073</v>
      </c>
      <c r="I160" s="13">
        <f>IFERROR(IF(INDEX(Tbl_KPIConfig[Direction],MATCH($D160,Tbl_KPIConfig[KPI Name],0))="Lower is Better",IF($H160=0,1,IF($G160=0,0,$G160/$H160)),IF($G160=0,1,$H160/$G160)),0)</f>
        <v/>
      </c>
      <c r="J160" s="12">
        <f>IFERROR(IF($I160&gt;=1,"Green",IF($I160&gt;=INDEX(Tbl_KPIConfig[RAG Threshold %],MATCH($D160,Tbl_KPIConfig[KPI Name],0)),"Amber","Red")),"")</f>
        <v/>
      </c>
      <c r="K160" s="14" t="inlineStr">
        <is>
          <t>Within normal range</t>
        </is>
      </c>
    </row>
    <row r="161">
      <c r="A161" s="7" t="n">
        <v>46186</v>
      </c>
      <c r="B161" s="8">
        <f>IF($A161="","",TEXT($A161,"mmm-yyyy"))</f>
        <v/>
      </c>
      <c r="C161" s="8">
        <f>IF($A161="","","W"&amp;WEEKNUM($A161,2))</f>
        <v/>
      </c>
      <c r="D161" s="8" t="inlineStr">
        <is>
          <t>Power Consumption (kWh)</t>
        </is>
      </c>
      <c r="E161" s="8">
        <f>IFERROR(INDEX(Tbl_KPIConfig[Department],MATCH($D161,Tbl_KPIConfig[KPI Name],0)),"")</f>
        <v/>
      </c>
      <c r="F161" s="8">
        <f>IFERROR(INDEX(Tbl_KPIConfig[Unit],MATCH($D161,Tbl_KPIConfig[KPI Name],0)),"")</f>
        <v/>
      </c>
      <c r="G161" s="8">
        <f>IFERROR(INDEX(Tbl_KPIConfig[Target],MATCH($D161,Tbl_KPIConfig[KPI Name],0)),"")</f>
        <v/>
      </c>
      <c r="H161" s="8" t="n">
        <v>4139.29</v>
      </c>
      <c r="I161" s="9">
        <f>IFERROR(IF(INDEX(Tbl_KPIConfig[Direction],MATCH($D161,Tbl_KPIConfig[KPI Name],0))="Lower is Better",IF($H161=0,1,IF($G161=0,0,$G161/$H161)),IF($G161=0,1,$H161/$G161)),0)</f>
        <v/>
      </c>
      <c r="J161" s="8">
        <f>IFERROR(IF($I161&gt;=1,"Green",IF($I161&gt;=INDEX(Tbl_KPIConfig[RAG Threshold %],MATCH($D161,Tbl_KPIConfig[KPI Name],0)),"Amber","Red")),"")</f>
        <v/>
      </c>
      <c r="K161" s="10" t="inlineStr">
        <is>
          <t>Manpower shortage</t>
        </is>
      </c>
    </row>
    <row r="162">
      <c r="A162" s="11" t="n">
        <v>46186</v>
      </c>
      <c r="B162" s="12">
        <f>IF($A162="","",TEXT($A162,"mmm-yyyy"))</f>
        <v/>
      </c>
      <c r="C162" s="12">
        <f>IF($A162="","","W"&amp;WEEKNUM($A162,2))</f>
        <v/>
      </c>
      <c r="D162" s="12" t="inlineStr">
        <is>
          <t>On-Time Dispatch %</t>
        </is>
      </c>
      <c r="E162" s="12">
        <f>IFERROR(INDEX(Tbl_KPIConfig[Department],MATCH($D162,Tbl_KPIConfig[KPI Name],0)),"")</f>
        <v/>
      </c>
      <c r="F162" s="12">
        <f>IFERROR(INDEX(Tbl_KPIConfig[Unit],MATCH($D162,Tbl_KPIConfig[KPI Name],0)),"")</f>
        <v/>
      </c>
      <c r="G162" s="12">
        <f>IFERROR(INDEX(Tbl_KPIConfig[Target],MATCH($D162,Tbl_KPIConfig[KPI Name],0)),"")</f>
        <v/>
      </c>
      <c r="H162" s="12" t="n">
        <v>0.7842</v>
      </c>
      <c r="I162" s="13">
        <f>IFERROR(IF(INDEX(Tbl_KPIConfig[Direction],MATCH($D162,Tbl_KPIConfig[KPI Name],0))="Lower is Better",IF($H162=0,1,IF($G162=0,0,$G162/$H162)),IF($G162=0,1,$H162/$G162)),0)</f>
        <v/>
      </c>
      <c r="J162" s="12">
        <f>IFERROR(IF($I162&gt;=1,"Green",IF($I162&gt;=INDEX(Tbl_KPIConfig[RAG Threshold %],MATCH($D162,Tbl_KPIConfig[KPI Name],0)),"Amber","Red")),"")</f>
        <v/>
      </c>
      <c r="K162" s="14" t="inlineStr">
        <is>
          <t>Process improvement in progress</t>
        </is>
      </c>
    </row>
    <row r="163">
      <c r="A163" s="7" t="n">
        <v>46186</v>
      </c>
      <c r="B163" s="8">
        <f>IF($A163="","",TEXT($A163,"mmm-yyyy"))</f>
        <v/>
      </c>
      <c r="C163" s="8">
        <f>IF($A163="","","W"&amp;WEEKNUM($A163,2))</f>
        <v/>
      </c>
      <c r="D163" s="8" t="inlineStr">
        <is>
          <t>Inventory Accuracy %</t>
        </is>
      </c>
      <c r="E163" s="8">
        <f>IFERROR(INDEX(Tbl_KPIConfig[Department],MATCH($D163,Tbl_KPIConfig[KPI Name],0)),"")</f>
        <v/>
      </c>
      <c r="F163" s="8">
        <f>IFERROR(INDEX(Tbl_KPIConfig[Unit],MATCH($D163,Tbl_KPIConfig[KPI Name],0)),"")</f>
        <v/>
      </c>
      <c r="G163" s="8">
        <f>IFERROR(INDEX(Tbl_KPIConfig[Target],MATCH($D163,Tbl_KPIConfig[KPI Name],0)),"")</f>
        <v/>
      </c>
      <c r="H163" s="8" t="n">
        <v>0.9591</v>
      </c>
      <c r="I163" s="9">
        <f>IFERROR(IF(INDEX(Tbl_KPIConfig[Direction],MATCH($D163,Tbl_KPIConfig[KPI Name],0))="Lower is Better",IF($H163=0,1,IF($G163=0,0,$G163/$H163)),IF($G163=0,1,$H163/$G163)),0)</f>
        <v/>
      </c>
      <c r="J163" s="8">
        <f>IFERROR(IF($I163&gt;=1,"Green",IF($I163&gt;=INDEX(Tbl_KPIConfig[RAG Threshold %],MATCH($D163,Tbl_KPIConfig[KPI Name],0)),"Amber","Red")),"")</f>
        <v/>
      </c>
      <c r="K163" s="10" t="inlineStr">
        <is>
          <t>Vendor delay</t>
        </is>
      </c>
    </row>
    <row r="164">
      <c r="A164" s="11" t="n">
        <v>46186</v>
      </c>
      <c r="B164" s="12">
        <f>IF($A164="","",TEXT($A164,"mmm-yyyy"))</f>
        <v/>
      </c>
      <c r="C164" s="12">
        <f>IF($A164="","","W"&amp;WEEKNUM($A164,2))</f>
        <v/>
      </c>
      <c r="D164" s="12" t="inlineStr">
        <is>
          <t>Absenteeism %</t>
        </is>
      </c>
      <c r="E164" s="12">
        <f>IFERROR(INDEX(Tbl_KPIConfig[Department],MATCH($D164,Tbl_KPIConfig[KPI Name],0)),"")</f>
        <v/>
      </c>
      <c r="F164" s="12">
        <f>IFERROR(INDEX(Tbl_KPIConfig[Unit],MATCH($D164,Tbl_KPIConfig[KPI Name],0)),"")</f>
        <v/>
      </c>
      <c r="G164" s="12">
        <f>IFERROR(INDEX(Tbl_KPIConfig[Target],MATCH($D164,Tbl_KPIConfig[KPI Name],0)),"")</f>
        <v/>
      </c>
      <c r="H164" s="12" t="n">
        <v>0.0303</v>
      </c>
      <c r="I164" s="13">
        <f>IFERROR(IF(INDEX(Tbl_KPIConfig[Direction],MATCH($D164,Tbl_KPIConfig[KPI Name],0))="Lower is Better",IF($H164=0,1,IF($G164=0,0,$G164/$H164)),IF($G164=0,1,$H164/$G164)),0)</f>
        <v/>
      </c>
      <c r="J164" s="12">
        <f>IFERROR(IF($I164&gt;=1,"Green",IF($I164&gt;=INDEX(Tbl_KPIConfig[RAG Threshold %],MATCH($D164,Tbl_KPIConfig[KPI Name],0)),"Amber","Red")),"")</f>
        <v/>
      </c>
      <c r="K164" s="14" t="inlineStr">
        <is>
          <t>Awaiting spares</t>
        </is>
      </c>
    </row>
    <row r="165">
      <c r="A165" s="7" t="n">
        <v>46186</v>
      </c>
      <c r="B165" s="8">
        <f>IF($A165="","",TEXT($A165,"mmm-yyyy"))</f>
        <v/>
      </c>
      <c r="C165" s="8">
        <f>IF($A165="","","W"&amp;WEEKNUM($A165,2))</f>
        <v/>
      </c>
      <c r="D165" s="8" t="inlineStr">
        <is>
          <t>Training Hours</t>
        </is>
      </c>
      <c r="E165" s="8">
        <f>IFERROR(INDEX(Tbl_KPIConfig[Department],MATCH($D165,Tbl_KPIConfig[KPI Name],0)),"")</f>
        <v/>
      </c>
      <c r="F165" s="8">
        <f>IFERROR(INDEX(Tbl_KPIConfig[Unit],MATCH($D165,Tbl_KPIConfig[KPI Name],0)),"")</f>
        <v/>
      </c>
      <c r="G165" s="8">
        <f>IFERROR(INDEX(Tbl_KPIConfig[Target],MATCH($D165,Tbl_KPIConfig[KPI Name],0)),"")</f>
        <v/>
      </c>
      <c r="H165" s="8" t="n">
        <v>1.91</v>
      </c>
      <c r="I165" s="9">
        <f>IFERROR(IF(INDEX(Tbl_KPIConfig[Direction],MATCH($D165,Tbl_KPIConfig[KPI Name],0))="Lower is Better",IF($H165=0,1,IF($G165=0,0,$G165/$H165)),IF($G165=0,1,$H165/$G165)),0)</f>
        <v/>
      </c>
      <c r="J165" s="8">
        <f>IFERROR(IF($I165&gt;=1,"Green",IF($I165&gt;=INDEX(Tbl_KPIConfig[RAG Threshold %],MATCH($D165,Tbl_KPIConfig[KPI Name],0)),"Amber","Red")),"")</f>
        <v/>
      </c>
      <c r="K165" s="10" t="inlineStr">
        <is>
          <t>Line changeover impact</t>
        </is>
      </c>
    </row>
    <row r="166">
      <c r="A166" s="11" t="n">
        <v>46186</v>
      </c>
      <c r="B166" s="12">
        <f>IF($A166="","",TEXT($A166,"mmm-yyyy"))</f>
        <v/>
      </c>
      <c r="C166" s="12">
        <f>IF($A166="","","W"&amp;WEEKNUM($A166,2))</f>
        <v/>
      </c>
      <c r="D166" s="12" t="inlineStr">
        <is>
          <t>Milestone Adherence %</t>
        </is>
      </c>
      <c r="E166" s="12">
        <f>IFERROR(INDEX(Tbl_KPIConfig[Department],MATCH($D166,Tbl_KPIConfig[KPI Name],0)),"")</f>
        <v/>
      </c>
      <c r="F166" s="12">
        <f>IFERROR(INDEX(Tbl_KPIConfig[Unit],MATCH($D166,Tbl_KPIConfig[KPI Name],0)),"")</f>
        <v/>
      </c>
      <c r="G166" s="12">
        <f>IFERROR(INDEX(Tbl_KPIConfig[Target],MATCH($D166,Tbl_KPIConfig[KPI Name],0)),"")</f>
        <v/>
      </c>
      <c r="H166" s="12" t="n">
        <v>0.897</v>
      </c>
      <c r="I166" s="13">
        <f>IFERROR(IF(INDEX(Tbl_KPIConfig[Direction],MATCH($D166,Tbl_KPIConfig[KPI Name],0))="Lower is Better",IF($H166=0,1,IF($G166=0,0,$G166/$H166)),IF($G166=0,1,$H166/$G166)),0)</f>
        <v/>
      </c>
      <c r="J166" s="12">
        <f>IFERROR(IF($I166&gt;=1,"Green",IF($I166&gt;=INDEX(Tbl_KPIConfig[RAG Threshold %],MATCH($D166,Tbl_KPIConfig[KPI Name],0)),"Amber","Red")),"")</f>
        <v/>
      </c>
      <c r="K166" s="14" t="inlineStr">
        <is>
          <t>Awaiting spares</t>
        </is>
      </c>
    </row>
    <row r="167">
      <c r="A167" s="7" t="n">
        <v>46186</v>
      </c>
      <c r="B167" s="8">
        <f>IF($A167="","",TEXT($A167,"mmm-yyyy"))</f>
        <v/>
      </c>
      <c r="C167" s="8">
        <f>IF($A167="","","W"&amp;WEEKNUM($A167,2))</f>
        <v/>
      </c>
      <c r="D167" s="8" t="inlineStr">
        <is>
          <t>Breakdown Resolution (Hrs)</t>
        </is>
      </c>
      <c r="E167" s="8">
        <f>IFERROR(INDEX(Tbl_KPIConfig[Department],MATCH($D167,Tbl_KPIConfig[KPI Name],0)),"")</f>
        <v/>
      </c>
      <c r="F167" s="8">
        <f>IFERROR(INDEX(Tbl_KPIConfig[Unit],MATCH($D167,Tbl_KPIConfig[KPI Name],0)),"")</f>
        <v/>
      </c>
      <c r="G167" s="8">
        <f>IFERROR(INDEX(Tbl_KPIConfig[Target],MATCH($D167,Tbl_KPIConfig[KPI Name],0)),"")</f>
        <v/>
      </c>
      <c r="H167" s="8" t="n">
        <v>2.11</v>
      </c>
      <c r="I167" s="9">
        <f>IFERROR(IF(INDEX(Tbl_KPIConfig[Direction],MATCH($D167,Tbl_KPIConfig[KPI Name],0))="Lower is Better",IF($H167=0,1,IF($G167=0,0,$G167/$H167)),IF($G167=0,1,$H167/$G167)),0)</f>
        <v/>
      </c>
      <c r="J167" s="8">
        <f>IFERROR(IF($I167&gt;=1,"Green",IF($I167&gt;=INDEX(Tbl_KPIConfig[RAG Threshold %],MATCH($D167,Tbl_KPIConfig[KPI Name],0)),"Amber","Red")),"")</f>
        <v/>
      </c>
      <c r="K167" s="10" t="inlineStr">
        <is>
          <t>Awaiting spares</t>
        </is>
      </c>
    </row>
    <row r="168">
      <c r="A168" s="11" t="n">
        <v>46187</v>
      </c>
      <c r="B168" s="12">
        <f>IF($A168="","",TEXT($A168,"mmm-yyyy"))</f>
        <v/>
      </c>
      <c r="C168" s="12">
        <f>IF($A168="","","W"&amp;WEEKNUM($A168,2))</f>
        <v/>
      </c>
      <c r="D168" s="12" t="inlineStr">
        <is>
          <t>Safety Incidents (LTI)</t>
        </is>
      </c>
      <c r="E168" s="12">
        <f>IFERROR(INDEX(Tbl_KPIConfig[Department],MATCH($D168,Tbl_KPIConfig[KPI Name],0)),"")</f>
        <v/>
      </c>
      <c r="F168" s="12">
        <f>IFERROR(INDEX(Tbl_KPIConfig[Unit],MATCH($D168,Tbl_KPIConfig[KPI Name],0)),"")</f>
        <v/>
      </c>
      <c r="G168" s="12">
        <f>IFERROR(INDEX(Tbl_KPIConfig[Target],MATCH($D168,Tbl_KPIConfig[KPI Name],0)),"")</f>
        <v/>
      </c>
      <c r="H168" s="12" t="n">
        <v>0</v>
      </c>
      <c r="I168" s="13">
        <f>IFERROR(IF(INDEX(Tbl_KPIConfig[Direction],MATCH($D168,Tbl_KPIConfig[KPI Name],0))="Lower is Better",IF($H168=0,1,IF($G168=0,0,$G168/$H168)),IF($G168=0,1,$H168/$G168)),0)</f>
        <v/>
      </c>
      <c r="J168" s="12">
        <f>IFERROR(IF($I168&gt;=1,"Green",IF($I168&gt;=INDEX(Tbl_KPIConfig[RAG Threshold %],MATCH($D168,Tbl_KPIConfig[KPI Name],0)),"Amber","Red")),"")</f>
        <v/>
      </c>
      <c r="K168" s="14" t="inlineStr"/>
    </row>
    <row r="169">
      <c r="A169" s="7" t="n">
        <v>46187</v>
      </c>
      <c r="B169" s="8">
        <f>IF($A169="","",TEXT($A169,"mmm-yyyy"))</f>
        <v/>
      </c>
      <c r="C169" s="8">
        <f>IF($A169="","","W"&amp;WEEKNUM($A169,2))</f>
        <v/>
      </c>
      <c r="D169" s="8" t="inlineStr">
        <is>
          <t>Near Miss Reports</t>
        </is>
      </c>
      <c r="E169" s="8">
        <f>IFERROR(INDEX(Tbl_KPIConfig[Department],MATCH($D169,Tbl_KPIConfig[KPI Name],0)),"")</f>
        <v/>
      </c>
      <c r="F169" s="8">
        <f>IFERROR(INDEX(Tbl_KPIConfig[Unit],MATCH($D169,Tbl_KPIConfig[KPI Name],0)),"")</f>
        <v/>
      </c>
      <c r="G169" s="8">
        <f>IFERROR(INDEX(Tbl_KPIConfig[Target],MATCH($D169,Tbl_KPIConfig[KPI Name],0)),"")</f>
        <v/>
      </c>
      <c r="H169" s="8" t="n">
        <v>2</v>
      </c>
      <c r="I169" s="9">
        <f>IFERROR(IF(INDEX(Tbl_KPIConfig[Direction],MATCH($D169,Tbl_KPIConfig[KPI Name],0))="Lower is Better",IF($H169=0,1,IF($G169=0,0,$G169/$H169)),IF($G169=0,1,$H169/$G169)),0)</f>
        <v/>
      </c>
      <c r="J169" s="8">
        <f>IFERROR(IF($I169&gt;=1,"Green",IF($I169&gt;=INDEX(Tbl_KPIConfig[RAG Threshold %],MATCH($D169,Tbl_KPIConfig[KPI Name],0)),"Amber","Red")),"")</f>
        <v/>
      </c>
      <c r="K169" s="10" t="inlineStr">
        <is>
          <t>Manpower shortage</t>
        </is>
      </c>
    </row>
    <row r="170">
      <c r="A170" s="11" t="n">
        <v>46187</v>
      </c>
      <c r="B170" s="12">
        <f>IF($A170="","",TEXT($A170,"mmm-yyyy"))</f>
        <v/>
      </c>
      <c r="C170" s="12">
        <f>IF($A170="","","W"&amp;WEEKNUM($A170,2))</f>
        <v/>
      </c>
      <c r="D170" s="12" t="inlineStr">
        <is>
          <t>Production Output</t>
        </is>
      </c>
      <c r="E170" s="12">
        <f>IFERROR(INDEX(Tbl_KPIConfig[Department],MATCH($D170,Tbl_KPIConfig[KPI Name],0)),"")</f>
        <v/>
      </c>
      <c r="F170" s="12">
        <f>IFERROR(INDEX(Tbl_KPIConfig[Unit],MATCH($D170,Tbl_KPIConfig[KPI Name],0)),"")</f>
        <v/>
      </c>
      <c r="G170" s="12">
        <f>IFERROR(INDEX(Tbl_KPIConfig[Target],MATCH($D170,Tbl_KPIConfig[KPI Name],0)),"")</f>
        <v/>
      </c>
      <c r="H170" s="12" t="n">
        <v>906.28</v>
      </c>
      <c r="I170" s="13">
        <f>IFERROR(IF(INDEX(Tbl_KPIConfig[Direction],MATCH($D170,Tbl_KPIConfig[KPI Name],0))="Lower is Better",IF($H170=0,1,IF($G170=0,0,$G170/$H170)),IF($G170=0,1,$H170/$G170)),0)</f>
        <v/>
      </c>
      <c r="J170" s="12">
        <f>IFERROR(IF($I170&gt;=1,"Green",IF($I170&gt;=INDEX(Tbl_KPIConfig[RAG Threshold %],MATCH($D170,Tbl_KPIConfig[KPI Name],0)),"Amber","Red")),"")</f>
        <v/>
      </c>
      <c r="K170" s="14" t="inlineStr">
        <is>
          <t>Preventive check done</t>
        </is>
      </c>
    </row>
    <row r="171">
      <c r="A171" s="7" t="n">
        <v>46187</v>
      </c>
      <c r="B171" s="8">
        <f>IF($A171="","",TEXT($A171,"mmm-yyyy"))</f>
        <v/>
      </c>
      <c r="C171" s="8">
        <f>IF($A171="","","W"&amp;WEEKNUM($A171,2))</f>
        <v/>
      </c>
      <c r="D171" s="8" t="inlineStr">
        <is>
          <t>OEE %</t>
        </is>
      </c>
      <c r="E171" s="8">
        <f>IFERROR(INDEX(Tbl_KPIConfig[Department],MATCH($D171,Tbl_KPIConfig[KPI Name],0)),"")</f>
        <v/>
      </c>
      <c r="F171" s="8">
        <f>IFERROR(INDEX(Tbl_KPIConfig[Unit],MATCH($D171,Tbl_KPIConfig[KPI Name],0)),"")</f>
        <v/>
      </c>
      <c r="G171" s="8">
        <f>IFERROR(INDEX(Tbl_KPIConfig[Target],MATCH($D171,Tbl_KPIConfig[KPI Name],0)),"")</f>
        <v/>
      </c>
      <c r="H171" s="8" t="n">
        <v>1.0101</v>
      </c>
      <c r="I171" s="9">
        <f>IFERROR(IF(INDEX(Tbl_KPIConfig[Direction],MATCH($D171,Tbl_KPIConfig[KPI Name],0))="Lower is Better",IF($H171=0,1,IF($G171=0,0,$G171/$H171)),IF($G171=0,1,$H171/$G171)),0)</f>
        <v/>
      </c>
      <c r="J171" s="8">
        <f>IFERROR(IF($I171&gt;=1,"Green",IF($I171&gt;=INDEX(Tbl_KPIConfig[RAG Threshold %],MATCH($D171,Tbl_KPIConfig[KPI Name],0)),"Amber","Red")),"")</f>
        <v/>
      </c>
      <c r="K171" s="10" t="inlineStr">
        <is>
          <t>Process improvement in progress</t>
        </is>
      </c>
    </row>
    <row r="172">
      <c r="A172" s="11" t="n">
        <v>46187</v>
      </c>
      <c r="B172" s="12">
        <f>IF($A172="","",TEXT($A172,"mmm-yyyy"))</f>
        <v/>
      </c>
      <c r="C172" s="12">
        <f>IF($A172="","","W"&amp;WEEKNUM($A172,2))</f>
        <v/>
      </c>
      <c r="D172" s="12" t="inlineStr">
        <is>
          <t>Defect Rate %</t>
        </is>
      </c>
      <c r="E172" s="12">
        <f>IFERROR(INDEX(Tbl_KPIConfig[Department],MATCH($D172,Tbl_KPIConfig[KPI Name],0)),"")</f>
        <v/>
      </c>
      <c r="F172" s="12">
        <f>IFERROR(INDEX(Tbl_KPIConfig[Unit],MATCH($D172,Tbl_KPIConfig[KPI Name],0)),"")</f>
        <v/>
      </c>
      <c r="G172" s="12">
        <f>IFERROR(INDEX(Tbl_KPIConfig[Target],MATCH($D172,Tbl_KPIConfig[KPI Name],0)),"")</f>
        <v/>
      </c>
      <c r="H172" s="12" t="n">
        <v>0.0177</v>
      </c>
      <c r="I172" s="13">
        <f>IFERROR(IF(INDEX(Tbl_KPIConfig[Direction],MATCH($D172,Tbl_KPIConfig[KPI Name],0))="Lower is Better",IF($H172=0,1,IF($G172=0,0,$G172/$H172)),IF($G172=0,1,$H172/$G172)),0)</f>
        <v/>
      </c>
      <c r="J172" s="12">
        <f>IFERROR(IF($I172&gt;=1,"Green",IF($I172&gt;=INDEX(Tbl_KPIConfig[RAG Threshold %],MATCH($D172,Tbl_KPIConfig[KPI Name],0)),"Amber","Red")),"")</f>
        <v/>
      </c>
      <c r="K172" s="14" t="inlineStr">
        <is>
          <t>Awaiting spares</t>
        </is>
      </c>
    </row>
    <row r="173">
      <c r="A173" s="7" t="n">
        <v>46187</v>
      </c>
      <c r="B173" s="8">
        <f>IF($A173="","",TEXT($A173,"mmm-yyyy"))</f>
        <v/>
      </c>
      <c r="C173" s="8">
        <f>IF($A173="","","W"&amp;WEEKNUM($A173,2))</f>
        <v/>
      </c>
      <c r="D173" s="8" t="inlineStr">
        <is>
          <t>Customer Complaints</t>
        </is>
      </c>
      <c r="E173" s="8">
        <f>IFERROR(INDEX(Tbl_KPIConfig[Department],MATCH($D173,Tbl_KPIConfig[KPI Name],0)),"")</f>
        <v/>
      </c>
      <c r="F173" s="8">
        <f>IFERROR(INDEX(Tbl_KPIConfig[Unit],MATCH($D173,Tbl_KPIConfig[KPI Name],0)),"")</f>
        <v/>
      </c>
      <c r="G173" s="8">
        <f>IFERROR(INDEX(Tbl_KPIConfig[Target],MATCH($D173,Tbl_KPIConfig[KPI Name],0)),"")</f>
        <v/>
      </c>
      <c r="H173" s="8" t="n">
        <v>1</v>
      </c>
      <c r="I173" s="9">
        <f>IFERROR(IF(INDEX(Tbl_KPIConfig[Direction],MATCH($D173,Tbl_KPIConfig[KPI Name],0))="Lower is Better",IF($H173=0,1,IF($G173=0,0,$G173/$H173)),IF($G173=0,1,$H173/$G173)),0)</f>
        <v/>
      </c>
      <c r="J173" s="8">
        <f>IFERROR(IF($I173&gt;=1,"Green",IF($I173&gt;=INDEX(Tbl_KPIConfig[RAG Threshold %],MATCH($D173,Tbl_KPIConfig[KPI Name],0)),"Amber","Red")),"")</f>
        <v/>
      </c>
      <c r="K173" s="10" t="inlineStr">
        <is>
          <t>Process improvement in progress</t>
        </is>
      </c>
    </row>
    <row r="174">
      <c r="A174" s="11" t="n">
        <v>46187</v>
      </c>
      <c r="B174" s="12">
        <f>IF($A174="","",TEXT($A174,"mmm-yyyy"))</f>
        <v/>
      </c>
      <c r="C174" s="12">
        <f>IF($A174="","","W"&amp;WEEKNUM($A174,2))</f>
        <v/>
      </c>
      <c r="D174" s="12" t="inlineStr">
        <is>
          <t>Unplanned Downtime (Hrs)</t>
        </is>
      </c>
      <c r="E174" s="12">
        <f>IFERROR(INDEX(Tbl_KPIConfig[Department],MATCH($D174,Tbl_KPIConfig[KPI Name],0)),"")</f>
        <v/>
      </c>
      <c r="F174" s="12">
        <f>IFERROR(INDEX(Tbl_KPIConfig[Unit],MATCH($D174,Tbl_KPIConfig[KPI Name],0)),"")</f>
        <v/>
      </c>
      <c r="G174" s="12">
        <f>IFERROR(INDEX(Tbl_KPIConfig[Target],MATCH($D174,Tbl_KPIConfig[KPI Name],0)),"")</f>
        <v/>
      </c>
      <c r="H174" s="12" t="n">
        <v>0.92</v>
      </c>
      <c r="I174" s="13">
        <f>IFERROR(IF(INDEX(Tbl_KPIConfig[Direction],MATCH($D174,Tbl_KPIConfig[KPI Name],0))="Lower is Better",IF($H174=0,1,IF($G174=0,0,$G174/$H174)),IF($G174=0,1,$H174/$G174)),0)</f>
        <v/>
      </c>
      <c r="J174" s="12">
        <f>IFERROR(IF($I174&gt;=1,"Green",IF($I174&gt;=INDEX(Tbl_KPIConfig[RAG Threshold %],MATCH($D174,Tbl_KPIConfig[KPI Name],0)),"Amber","Red")),"")</f>
        <v/>
      </c>
      <c r="K174" s="14" t="inlineStr">
        <is>
          <t>Preventive check done</t>
        </is>
      </c>
    </row>
    <row r="175">
      <c r="A175" s="7" t="n">
        <v>46187</v>
      </c>
      <c r="B175" s="8">
        <f>IF($A175="","",TEXT($A175,"mmm-yyyy"))</f>
        <v/>
      </c>
      <c r="C175" s="8">
        <f>IF($A175="","","W"&amp;WEEKNUM($A175,2))</f>
        <v/>
      </c>
      <c r="D175" s="8" t="inlineStr">
        <is>
          <t>PM Compliance %</t>
        </is>
      </c>
      <c r="E175" s="8">
        <f>IFERROR(INDEX(Tbl_KPIConfig[Department],MATCH($D175,Tbl_KPIConfig[KPI Name],0)),"")</f>
        <v/>
      </c>
      <c r="F175" s="8">
        <f>IFERROR(INDEX(Tbl_KPIConfig[Unit],MATCH($D175,Tbl_KPIConfig[KPI Name],0)),"")</f>
        <v/>
      </c>
      <c r="G175" s="8">
        <f>IFERROR(INDEX(Tbl_KPIConfig[Target],MATCH($D175,Tbl_KPIConfig[KPI Name],0)),"")</f>
        <v/>
      </c>
      <c r="H175" s="8" t="n">
        <v>0.7872</v>
      </c>
      <c r="I175" s="9">
        <f>IFERROR(IF(INDEX(Tbl_KPIConfig[Direction],MATCH($D175,Tbl_KPIConfig[KPI Name],0))="Lower is Better",IF($H175=0,1,IF($G175=0,0,$G175/$H175)),IF($G175=0,1,$H175/$G175)),0)</f>
        <v/>
      </c>
      <c r="J175" s="8">
        <f>IFERROR(IF($I175&gt;=1,"Green",IF($I175&gt;=INDEX(Tbl_KPIConfig[RAG Threshold %],MATCH($D175,Tbl_KPIConfig[KPI Name],0)),"Amber","Red")),"")</f>
        <v/>
      </c>
      <c r="K175" s="10" t="inlineStr">
        <is>
          <t>Within normal range</t>
        </is>
      </c>
    </row>
    <row r="176">
      <c r="A176" s="11" t="n">
        <v>46187</v>
      </c>
      <c r="B176" s="12">
        <f>IF($A176="","",TEXT($A176,"mmm-yyyy"))</f>
        <v/>
      </c>
      <c r="C176" s="12">
        <f>IF($A176="","","W"&amp;WEEKNUM($A176,2))</f>
        <v/>
      </c>
      <c r="D176" s="12" t="inlineStr">
        <is>
          <t>Power Consumption (kWh)</t>
        </is>
      </c>
      <c r="E176" s="12">
        <f>IFERROR(INDEX(Tbl_KPIConfig[Department],MATCH($D176,Tbl_KPIConfig[KPI Name],0)),"")</f>
        <v/>
      </c>
      <c r="F176" s="12">
        <f>IFERROR(INDEX(Tbl_KPIConfig[Unit],MATCH($D176,Tbl_KPIConfig[KPI Name],0)),"")</f>
        <v/>
      </c>
      <c r="G176" s="12">
        <f>IFERROR(INDEX(Tbl_KPIConfig[Target],MATCH($D176,Tbl_KPIConfig[KPI Name],0)),"")</f>
        <v/>
      </c>
      <c r="H176" s="12" t="n">
        <v>4791.54</v>
      </c>
      <c r="I176" s="13">
        <f>IFERROR(IF(INDEX(Tbl_KPIConfig[Direction],MATCH($D176,Tbl_KPIConfig[KPI Name],0))="Lower is Better",IF($H176=0,1,IF($G176=0,0,$G176/$H176)),IF($G176=0,1,$H176/$G176)),0)</f>
        <v/>
      </c>
      <c r="J176" s="12">
        <f>IFERROR(IF($I176&gt;=1,"Green",IF($I176&gt;=INDEX(Tbl_KPIConfig[RAG Threshold %],MATCH($D176,Tbl_KPIConfig[KPI Name],0)),"Amber","Red")),"")</f>
        <v/>
      </c>
      <c r="K176" s="14" t="inlineStr">
        <is>
          <t>Preventive check done</t>
        </is>
      </c>
    </row>
    <row r="177">
      <c r="A177" s="7" t="n">
        <v>46187</v>
      </c>
      <c r="B177" s="8">
        <f>IF($A177="","",TEXT($A177,"mmm-yyyy"))</f>
        <v/>
      </c>
      <c r="C177" s="8">
        <f>IF($A177="","","W"&amp;WEEKNUM($A177,2))</f>
        <v/>
      </c>
      <c r="D177" s="8" t="inlineStr">
        <is>
          <t>On-Time Dispatch %</t>
        </is>
      </c>
      <c r="E177" s="8">
        <f>IFERROR(INDEX(Tbl_KPIConfig[Department],MATCH($D177,Tbl_KPIConfig[KPI Name],0)),"")</f>
        <v/>
      </c>
      <c r="F177" s="8">
        <f>IFERROR(INDEX(Tbl_KPIConfig[Unit],MATCH($D177,Tbl_KPIConfig[KPI Name],0)),"")</f>
        <v/>
      </c>
      <c r="G177" s="8">
        <f>IFERROR(INDEX(Tbl_KPIConfig[Target],MATCH($D177,Tbl_KPIConfig[KPI Name],0)),"")</f>
        <v/>
      </c>
      <c r="H177" s="8" t="n">
        <v>0.8003</v>
      </c>
      <c r="I177" s="9">
        <f>IFERROR(IF(INDEX(Tbl_KPIConfig[Direction],MATCH($D177,Tbl_KPIConfig[KPI Name],0))="Lower is Better",IF($H177=0,1,IF($G177=0,0,$G177/$H177)),IF($G177=0,1,$H177/$G177)),0)</f>
        <v/>
      </c>
      <c r="J177" s="8">
        <f>IFERROR(IF($I177&gt;=1,"Green",IF($I177&gt;=INDEX(Tbl_KPIConfig[RAG Threshold %],MATCH($D177,Tbl_KPIConfig[KPI Name],0)),"Amber","Red")),"")</f>
        <v/>
      </c>
      <c r="K177" s="10" t="inlineStr">
        <is>
          <t>Preventive check done</t>
        </is>
      </c>
    </row>
    <row r="178">
      <c r="A178" s="11" t="n">
        <v>46187</v>
      </c>
      <c r="B178" s="12">
        <f>IF($A178="","",TEXT($A178,"mmm-yyyy"))</f>
        <v/>
      </c>
      <c r="C178" s="12">
        <f>IF($A178="","","W"&amp;WEEKNUM($A178,2))</f>
        <v/>
      </c>
      <c r="D178" s="12" t="inlineStr">
        <is>
          <t>Inventory Accuracy %</t>
        </is>
      </c>
      <c r="E178" s="12">
        <f>IFERROR(INDEX(Tbl_KPIConfig[Department],MATCH($D178,Tbl_KPIConfig[KPI Name],0)),"")</f>
        <v/>
      </c>
      <c r="F178" s="12">
        <f>IFERROR(INDEX(Tbl_KPIConfig[Unit],MATCH($D178,Tbl_KPIConfig[KPI Name],0)),"")</f>
        <v/>
      </c>
      <c r="G178" s="12">
        <f>IFERROR(INDEX(Tbl_KPIConfig[Target],MATCH($D178,Tbl_KPIConfig[KPI Name],0)),"")</f>
        <v/>
      </c>
      <c r="H178" s="12" t="n">
        <v>0.917</v>
      </c>
      <c r="I178" s="13">
        <f>IFERROR(IF(INDEX(Tbl_KPIConfig[Direction],MATCH($D178,Tbl_KPIConfig[KPI Name],0))="Lower is Better",IF($H178=0,1,IF($G178=0,0,$G178/$H178)),IF($G178=0,1,$H178/$G178)),0)</f>
        <v/>
      </c>
      <c r="J178" s="12">
        <f>IFERROR(IF($I178&gt;=1,"Green",IF($I178&gt;=INDEX(Tbl_KPIConfig[RAG Threshold %],MATCH($D178,Tbl_KPIConfig[KPI Name],0)),"Amber","Red")),"")</f>
        <v/>
      </c>
      <c r="K178" s="14" t="inlineStr">
        <is>
          <t>Awaiting spares</t>
        </is>
      </c>
    </row>
    <row r="179">
      <c r="A179" s="7" t="n">
        <v>46187</v>
      </c>
      <c r="B179" s="8">
        <f>IF($A179="","",TEXT($A179,"mmm-yyyy"))</f>
        <v/>
      </c>
      <c r="C179" s="8">
        <f>IF($A179="","","W"&amp;WEEKNUM($A179,2))</f>
        <v/>
      </c>
      <c r="D179" s="8" t="inlineStr">
        <is>
          <t>Absenteeism %</t>
        </is>
      </c>
      <c r="E179" s="8">
        <f>IFERROR(INDEX(Tbl_KPIConfig[Department],MATCH($D179,Tbl_KPIConfig[KPI Name],0)),"")</f>
        <v/>
      </c>
      <c r="F179" s="8">
        <f>IFERROR(INDEX(Tbl_KPIConfig[Unit],MATCH($D179,Tbl_KPIConfig[KPI Name],0)),"")</f>
        <v/>
      </c>
      <c r="G179" s="8">
        <f>IFERROR(INDEX(Tbl_KPIConfig[Target],MATCH($D179,Tbl_KPIConfig[KPI Name],0)),"")</f>
        <v/>
      </c>
      <c r="H179" s="8" t="n">
        <v>0.0321</v>
      </c>
      <c r="I179" s="9">
        <f>IFERROR(IF(INDEX(Tbl_KPIConfig[Direction],MATCH($D179,Tbl_KPIConfig[KPI Name],0))="Lower is Better",IF($H179=0,1,IF($G179=0,0,$G179/$H179)),IF($G179=0,1,$H179/$G179)),0)</f>
        <v/>
      </c>
      <c r="J179" s="8">
        <f>IFERROR(IF($I179&gt;=1,"Green",IF($I179&gt;=INDEX(Tbl_KPIConfig[RAG Threshold %],MATCH($D179,Tbl_KPIConfig[KPI Name],0)),"Amber","Red")),"")</f>
        <v/>
      </c>
      <c r="K179" s="10" t="inlineStr"/>
    </row>
    <row r="180">
      <c r="A180" s="11" t="n">
        <v>46187</v>
      </c>
      <c r="B180" s="12">
        <f>IF($A180="","",TEXT($A180,"mmm-yyyy"))</f>
        <v/>
      </c>
      <c r="C180" s="12">
        <f>IF($A180="","","W"&amp;WEEKNUM($A180,2))</f>
        <v/>
      </c>
      <c r="D180" s="12" t="inlineStr">
        <is>
          <t>Training Hours</t>
        </is>
      </c>
      <c r="E180" s="12">
        <f>IFERROR(INDEX(Tbl_KPIConfig[Department],MATCH($D180,Tbl_KPIConfig[KPI Name],0)),"")</f>
        <v/>
      </c>
      <c r="F180" s="12">
        <f>IFERROR(INDEX(Tbl_KPIConfig[Unit],MATCH($D180,Tbl_KPIConfig[KPI Name],0)),"")</f>
        <v/>
      </c>
      <c r="G180" s="12">
        <f>IFERROR(INDEX(Tbl_KPIConfig[Target],MATCH($D180,Tbl_KPIConfig[KPI Name],0)),"")</f>
        <v/>
      </c>
      <c r="H180" s="12" t="n">
        <v>1.93</v>
      </c>
      <c r="I180" s="13">
        <f>IFERROR(IF(INDEX(Tbl_KPIConfig[Direction],MATCH($D180,Tbl_KPIConfig[KPI Name],0))="Lower is Better",IF($H180=0,1,IF($G180=0,0,$G180/$H180)),IF($G180=0,1,$H180/$G180)),0)</f>
        <v/>
      </c>
      <c r="J180" s="12">
        <f>IFERROR(IF($I180&gt;=1,"Green",IF($I180&gt;=INDEX(Tbl_KPIConfig[RAG Threshold %],MATCH($D180,Tbl_KPIConfig[KPI Name],0)),"Amber","Red")),"")</f>
        <v/>
      </c>
      <c r="K180" s="14" t="inlineStr">
        <is>
          <t>Process improvement in progress</t>
        </is>
      </c>
    </row>
    <row r="181">
      <c r="A181" s="7" t="n">
        <v>46187</v>
      </c>
      <c r="B181" s="8">
        <f>IF($A181="","",TEXT($A181,"mmm-yyyy"))</f>
        <v/>
      </c>
      <c r="C181" s="8">
        <f>IF($A181="","","W"&amp;WEEKNUM($A181,2))</f>
        <v/>
      </c>
      <c r="D181" s="8" t="inlineStr">
        <is>
          <t>Milestone Adherence %</t>
        </is>
      </c>
      <c r="E181" s="8">
        <f>IFERROR(INDEX(Tbl_KPIConfig[Department],MATCH($D181,Tbl_KPIConfig[KPI Name],0)),"")</f>
        <v/>
      </c>
      <c r="F181" s="8">
        <f>IFERROR(INDEX(Tbl_KPIConfig[Unit],MATCH($D181,Tbl_KPIConfig[KPI Name],0)),"")</f>
        <v/>
      </c>
      <c r="G181" s="8">
        <f>IFERROR(INDEX(Tbl_KPIConfig[Target],MATCH($D181,Tbl_KPIConfig[KPI Name],0)),"")</f>
        <v/>
      </c>
      <c r="H181" s="8" t="n">
        <v>0.8272</v>
      </c>
      <c r="I181" s="9">
        <f>IFERROR(IF(INDEX(Tbl_KPIConfig[Direction],MATCH($D181,Tbl_KPIConfig[KPI Name],0))="Lower is Better",IF($H181=0,1,IF($G181=0,0,$G181/$H181)),IF($G181=0,1,$H181/$G181)),0)</f>
        <v/>
      </c>
      <c r="J181" s="8">
        <f>IFERROR(IF($I181&gt;=1,"Green",IF($I181&gt;=INDEX(Tbl_KPIConfig[RAG Threshold %],MATCH($D181,Tbl_KPIConfig[KPI Name],0)),"Amber","Red")),"")</f>
        <v/>
      </c>
      <c r="K181" s="10" t="inlineStr">
        <is>
          <t>Awaiting spares</t>
        </is>
      </c>
    </row>
    <row r="182">
      <c r="A182" s="11" t="n">
        <v>46187</v>
      </c>
      <c r="B182" s="12">
        <f>IF($A182="","",TEXT($A182,"mmm-yyyy"))</f>
        <v/>
      </c>
      <c r="C182" s="12">
        <f>IF($A182="","","W"&amp;WEEKNUM($A182,2))</f>
        <v/>
      </c>
      <c r="D182" s="12" t="inlineStr">
        <is>
          <t>Breakdown Resolution (Hrs)</t>
        </is>
      </c>
      <c r="E182" s="12">
        <f>IFERROR(INDEX(Tbl_KPIConfig[Department],MATCH($D182,Tbl_KPIConfig[KPI Name],0)),"")</f>
        <v/>
      </c>
      <c r="F182" s="12">
        <f>IFERROR(INDEX(Tbl_KPIConfig[Unit],MATCH($D182,Tbl_KPIConfig[KPI Name],0)),"")</f>
        <v/>
      </c>
      <c r="G182" s="12">
        <f>IFERROR(INDEX(Tbl_KPIConfig[Target],MATCH($D182,Tbl_KPIConfig[KPI Name],0)),"")</f>
        <v/>
      </c>
      <c r="H182" s="12" t="n">
        <v>2.26</v>
      </c>
      <c r="I182" s="13">
        <f>IFERROR(IF(INDEX(Tbl_KPIConfig[Direction],MATCH($D182,Tbl_KPIConfig[KPI Name],0))="Lower is Better",IF($H182=0,1,IF($G182=0,0,$G182/$H182)),IF($G182=0,1,$H182/$G182)),0)</f>
        <v/>
      </c>
      <c r="J182" s="12">
        <f>IFERROR(IF($I182&gt;=1,"Green",IF($I182&gt;=INDEX(Tbl_KPIConfig[RAG Threshold %],MATCH($D182,Tbl_KPIConfig[KPI Name],0)),"Amber","Red")),"")</f>
        <v/>
      </c>
      <c r="K182" s="14" t="inlineStr">
        <is>
          <t>Preventive check done</t>
        </is>
      </c>
    </row>
    <row r="183">
      <c r="A183" s="7" t="n">
        <v>46188</v>
      </c>
      <c r="B183" s="8">
        <f>IF($A183="","",TEXT($A183,"mmm-yyyy"))</f>
        <v/>
      </c>
      <c r="C183" s="8">
        <f>IF($A183="","","W"&amp;WEEKNUM($A183,2))</f>
        <v/>
      </c>
      <c r="D183" s="8" t="inlineStr">
        <is>
          <t>Safety Incidents (LTI)</t>
        </is>
      </c>
      <c r="E183" s="8">
        <f>IFERROR(INDEX(Tbl_KPIConfig[Department],MATCH($D183,Tbl_KPIConfig[KPI Name],0)),"")</f>
        <v/>
      </c>
      <c r="F183" s="8">
        <f>IFERROR(INDEX(Tbl_KPIConfig[Unit],MATCH($D183,Tbl_KPIConfig[KPI Name],0)),"")</f>
        <v/>
      </c>
      <c r="G183" s="8">
        <f>IFERROR(INDEX(Tbl_KPIConfig[Target],MATCH($D183,Tbl_KPIConfig[KPI Name],0)),"")</f>
        <v/>
      </c>
      <c r="H183" s="8" t="n">
        <v>1</v>
      </c>
      <c r="I183" s="9">
        <f>IFERROR(IF(INDEX(Tbl_KPIConfig[Direction],MATCH($D183,Tbl_KPIConfig[KPI Name],0))="Lower is Better",IF($H183=0,1,IF($G183=0,0,$G183/$H183)),IF($G183=0,1,$H183/$G183)),0)</f>
        <v/>
      </c>
      <c r="J183" s="8">
        <f>IFERROR(IF($I183&gt;=1,"Green",IF($I183&gt;=INDEX(Tbl_KPIConfig[RAG Threshold %],MATCH($D183,Tbl_KPIConfig[KPI Name],0)),"Amber","Red")),"")</f>
        <v/>
      </c>
      <c r="K183" s="10" t="inlineStr">
        <is>
          <t>Awaiting spares</t>
        </is>
      </c>
    </row>
    <row r="184">
      <c r="A184" s="11" t="n">
        <v>46188</v>
      </c>
      <c r="B184" s="12">
        <f>IF($A184="","",TEXT($A184,"mmm-yyyy"))</f>
        <v/>
      </c>
      <c r="C184" s="12">
        <f>IF($A184="","","W"&amp;WEEKNUM($A184,2))</f>
        <v/>
      </c>
      <c r="D184" s="12" t="inlineStr">
        <is>
          <t>Near Miss Reports</t>
        </is>
      </c>
      <c r="E184" s="12">
        <f>IFERROR(INDEX(Tbl_KPIConfig[Department],MATCH($D184,Tbl_KPIConfig[KPI Name],0)),"")</f>
        <v/>
      </c>
      <c r="F184" s="12">
        <f>IFERROR(INDEX(Tbl_KPIConfig[Unit],MATCH($D184,Tbl_KPIConfig[KPI Name],0)),"")</f>
        <v/>
      </c>
      <c r="G184" s="12">
        <f>IFERROR(INDEX(Tbl_KPIConfig[Target],MATCH($D184,Tbl_KPIConfig[KPI Name],0)),"")</f>
        <v/>
      </c>
      <c r="H184" s="12" t="n">
        <v>2</v>
      </c>
      <c r="I184" s="13">
        <f>IFERROR(IF(INDEX(Tbl_KPIConfig[Direction],MATCH($D184,Tbl_KPIConfig[KPI Name],0))="Lower is Better",IF($H184=0,1,IF($G184=0,0,$G184/$H184)),IF($G184=0,1,$H184/$G184)),0)</f>
        <v/>
      </c>
      <c r="J184" s="12">
        <f>IFERROR(IF($I184&gt;=1,"Green",IF($I184&gt;=INDEX(Tbl_KPIConfig[RAG Threshold %],MATCH($D184,Tbl_KPIConfig[KPI Name],0)),"Amber","Red")),"")</f>
        <v/>
      </c>
      <c r="K184" s="14" t="inlineStr">
        <is>
          <t>Manpower shortage</t>
        </is>
      </c>
    </row>
    <row r="185">
      <c r="A185" s="7" t="n">
        <v>46188</v>
      </c>
      <c r="B185" s="8">
        <f>IF($A185="","",TEXT($A185,"mmm-yyyy"))</f>
        <v/>
      </c>
      <c r="C185" s="8">
        <f>IF($A185="","","W"&amp;WEEKNUM($A185,2))</f>
        <v/>
      </c>
      <c r="D185" s="8" t="inlineStr">
        <is>
          <t>Production Output</t>
        </is>
      </c>
      <c r="E185" s="8">
        <f>IFERROR(INDEX(Tbl_KPIConfig[Department],MATCH($D185,Tbl_KPIConfig[KPI Name],0)),"")</f>
        <v/>
      </c>
      <c r="F185" s="8">
        <f>IFERROR(INDEX(Tbl_KPIConfig[Unit],MATCH($D185,Tbl_KPIConfig[KPI Name],0)),"")</f>
        <v/>
      </c>
      <c r="G185" s="8">
        <f>IFERROR(INDEX(Tbl_KPIConfig[Target],MATCH($D185,Tbl_KPIConfig[KPI Name],0)),"")</f>
        <v/>
      </c>
      <c r="H185" s="8" t="n">
        <v>979.62</v>
      </c>
      <c r="I185" s="9">
        <f>IFERROR(IF(INDEX(Tbl_KPIConfig[Direction],MATCH($D185,Tbl_KPIConfig[KPI Name],0))="Lower is Better",IF($H185=0,1,IF($G185=0,0,$G185/$H185)),IF($G185=0,1,$H185/$G185)),0)</f>
        <v/>
      </c>
      <c r="J185" s="8">
        <f>IFERROR(IF($I185&gt;=1,"Green",IF($I185&gt;=INDEX(Tbl_KPIConfig[RAG Threshold %],MATCH($D185,Tbl_KPIConfig[KPI Name],0)),"Amber","Red")),"")</f>
        <v/>
      </c>
      <c r="K185" s="10" t="inlineStr"/>
    </row>
    <row r="186">
      <c r="A186" s="11" t="n">
        <v>46188</v>
      </c>
      <c r="B186" s="12">
        <f>IF($A186="","",TEXT($A186,"mmm-yyyy"))</f>
        <v/>
      </c>
      <c r="C186" s="12">
        <f>IF($A186="","","W"&amp;WEEKNUM($A186,2))</f>
        <v/>
      </c>
      <c r="D186" s="12" t="inlineStr">
        <is>
          <t>OEE %</t>
        </is>
      </c>
      <c r="E186" s="12">
        <f>IFERROR(INDEX(Tbl_KPIConfig[Department],MATCH($D186,Tbl_KPIConfig[KPI Name],0)),"")</f>
        <v/>
      </c>
      <c r="F186" s="12">
        <f>IFERROR(INDEX(Tbl_KPIConfig[Unit],MATCH($D186,Tbl_KPIConfig[KPI Name],0)),"")</f>
        <v/>
      </c>
      <c r="G186" s="12">
        <f>IFERROR(INDEX(Tbl_KPIConfig[Target],MATCH($D186,Tbl_KPIConfig[KPI Name],0)),"")</f>
        <v/>
      </c>
      <c r="H186" s="12" t="n">
        <v>0.8779</v>
      </c>
      <c r="I186" s="13">
        <f>IFERROR(IF(INDEX(Tbl_KPIConfig[Direction],MATCH($D186,Tbl_KPIConfig[KPI Name],0))="Lower is Better",IF($H186=0,1,IF($G186=0,0,$G186/$H186)),IF($G186=0,1,$H186/$G186)),0)</f>
        <v/>
      </c>
      <c r="J186" s="12">
        <f>IFERROR(IF($I186&gt;=1,"Green",IF($I186&gt;=INDEX(Tbl_KPIConfig[RAG Threshold %],MATCH($D186,Tbl_KPIConfig[KPI Name],0)),"Amber","Red")),"")</f>
        <v/>
      </c>
      <c r="K186" s="14" t="inlineStr">
        <is>
          <t>Line changeover impact</t>
        </is>
      </c>
    </row>
    <row r="187">
      <c r="A187" s="7" t="n">
        <v>46188</v>
      </c>
      <c r="B187" s="8">
        <f>IF($A187="","",TEXT($A187,"mmm-yyyy"))</f>
        <v/>
      </c>
      <c r="C187" s="8">
        <f>IF($A187="","","W"&amp;WEEKNUM($A187,2))</f>
        <v/>
      </c>
      <c r="D187" s="8" t="inlineStr">
        <is>
          <t>Defect Rate %</t>
        </is>
      </c>
      <c r="E187" s="8">
        <f>IFERROR(INDEX(Tbl_KPIConfig[Department],MATCH($D187,Tbl_KPIConfig[KPI Name],0)),"")</f>
        <v/>
      </c>
      <c r="F187" s="8">
        <f>IFERROR(INDEX(Tbl_KPIConfig[Unit],MATCH($D187,Tbl_KPIConfig[KPI Name],0)),"")</f>
        <v/>
      </c>
      <c r="G187" s="8">
        <f>IFERROR(INDEX(Tbl_KPIConfig[Target],MATCH($D187,Tbl_KPIConfig[KPI Name],0)),"")</f>
        <v/>
      </c>
      <c r="H187" s="8" t="n">
        <v>0.0186</v>
      </c>
      <c r="I187" s="9">
        <f>IFERROR(IF(INDEX(Tbl_KPIConfig[Direction],MATCH($D187,Tbl_KPIConfig[KPI Name],0))="Lower is Better",IF($H187=0,1,IF($G187=0,0,$G187/$H187)),IF($G187=0,1,$H187/$G187)),0)</f>
        <v/>
      </c>
      <c r="J187" s="8">
        <f>IFERROR(IF($I187&gt;=1,"Green",IF($I187&gt;=INDEX(Tbl_KPIConfig[RAG Threshold %],MATCH($D187,Tbl_KPIConfig[KPI Name],0)),"Amber","Red")),"")</f>
        <v/>
      </c>
      <c r="K187" s="10" t="inlineStr">
        <is>
          <t>Awaiting spares</t>
        </is>
      </c>
    </row>
    <row r="188">
      <c r="A188" s="11" t="n">
        <v>46188</v>
      </c>
      <c r="B188" s="12">
        <f>IF($A188="","",TEXT($A188,"mmm-yyyy"))</f>
        <v/>
      </c>
      <c r="C188" s="12">
        <f>IF($A188="","","W"&amp;WEEKNUM($A188,2))</f>
        <v/>
      </c>
      <c r="D188" s="12" t="inlineStr">
        <is>
          <t>Customer Complaints</t>
        </is>
      </c>
      <c r="E188" s="12">
        <f>IFERROR(INDEX(Tbl_KPIConfig[Department],MATCH($D188,Tbl_KPIConfig[KPI Name],0)),"")</f>
        <v/>
      </c>
      <c r="F188" s="12">
        <f>IFERROR(INDEX(Tbl_KPIConfig[Unit],MATCH($D188,Tbl_KPIConfig[KPI Name],0)),"")</f>
        <v/>
      </c>
      <c r="G188" s="12">
        <f>IFERROR(INDEX(Tbl_KPIConfig[Target],MATCH($D188,Tbl_KPIConfig[KPI Name],0)),"")</f>
        <v/>
      </c>
      <c r="H188" s="12" t="n">
        <v>2</v>
      </c>
      <c r="I188" s="13">
        <f>IFERROR(IF(INDEX(Tbl_KPIConfig[Direction],MATCH($D188,Tbl_KPIConfig[KPI Name],0))="Lower is Better",IF($H188=0,1,IF($G188=0,0,$G188/$H188)),IF($G188=0,1,$H188/$G188)),0)</f>
        <v/>
      </c>
      <c r="J188" s="12">
        <f>IFERROR(IF($I188&gt;=1,"Green",IF($I188&gt;=INDEX(Tbl_KPIConfig[RAG Threshold %],MATCH($D188,Tbl_KPIConfig[KPI Name],0)),"Amber","Red")),"")</f>
        <v/>
      </c>
      <c r="K188" s="14" t="inlineStr">
        <is>
          <t>Manpower shortage</t>
        </is>
      </c>
    </row>
    <row r="189">
      <c r="A189" s="7" t="n">
        <v>46188</v>
      </c>
      <c r="B189" s="8">
        <f>IF($A189="","",TEXT($A189,"mmm-yyyy"))</f>
        <v/>
      </c>
      <c r="C189" s="8">
        <f>IF($A189="","","W"&amp;WEEKNUM($A189,2))</f>
        <v/>
      </c>
      <c r="D189" s="8" t="inlineStr">
        <is>
          <t>Unplanned Downtime (Hrs)</t>
        </is>
      </c>
      <c r="E189" s="8">
        <f>IFERROR(INDEX(Tbl_KPIConfig[Department],MATCH($D189,Tbl_KPIConfig[KPI Name],0)),"")</f>
        <v/>
      </c>
      <c r="F189" s="8">
        <f>IFERROR(INDEX(Tbl_KPIConfig[Unit],MATCH($D189,Tbl_KPIConfig[KPI Name],0)),"")</f>
        <v/>
      </c>
      <c r="G189" s="8">
        <f>IFERROR(INDEX(Tbl_KPIConfig[Target],MATCH($D189,Tbl_KPIConfig[KPI Name],0)),"")</f>
        <v/>
      </c>
      <c r="H189" s="8" t="n">
        <v>1.05</v>
      </c>
      <c r="I189" s="9">
        <f>IFERROR(IF(INDEX(Tbl_KPIConfig[Direction],MATCH($D189,Tbl_KPIConfig[KPI Name],0))="Lower is Better",IF($H189=0,1,IF($G189=0,0,$G189/$H189)),IF($G189=0,1,$H189/$G189)),0)</f>
        <v/>
      </c>
      <c r="J189" s="8">
        <f>IFERROR(IF($I189&gt;=1,"Green",IF($I189&gt;=INDEX(Tbl_KPIConfig[RAG Threshold %],MATCH($D189,Tbl_KPIConfig[KPI Name],0)),"Amber","Red")),"")</f>
        <v/>
      </c>
      <c r="K189" s="10" t="inlineStr">
        <is>
          <t>Awaiting spares</t>
        </is>
      </c>
    </row>
    <row r="190">
      <c r="A190" s="11" t="n">
        <v>46188</v>
      </c>
      <c r="B190" s="12">
        <f>IF($A190="","",TEXT($A190,"mmm-yyyy"))</f>
        <v/>
      </c>
      <c r="C190" s="12">
        <f>IF($A190="","","W"&amp;WEEKNUM($A190,2))</f>
        <v/>
      </c>
      <c r="D190" s="12" t="inlineStr">
        <is>
          <t>PM Compliance %</t>
        </is>
      </c>
      <c r="E190" s="12">
        <f>IFERROR(INDEX(Tbl_KPIConfig[Department],MATCH($D190,Tbl_KPIConfig[KPI Name],0)),"")</f>
        <v/>
      </c>
      <c r="F190" s="12">
        <f>IFERROR(INDEX(Tbl_KPIConfig[Unit],MATCH($D190,Tbl_KPIConfig[KPI Name],0)),"")</f>
        <v/>
      </c>
      <c r="G190" s="12">
        <f>IFERROR(INDEX(Tbl_KPIConfig[Target],MATCH($D190,Tbl_KPIConfig[KPI Name],0)),"")</f>
        <v/>
      </c>
      <c r="H190" s="12" t="n">
        <v>0.8554</v>
      </c>
      <c r="I190" s="13">
        <f>IFERROR(IF(INDEX(Tbl_KPIConfig[Direction],MATCH($D190,Tbl_KPIConfig[KPI Name],0))="Lower is Better",IF($H190=0,1,IF($G190=0,0,$G190/$H190)),IF($G190=0,1,$H190/$G190)),0)</f>
        <v/>
      </c>
      <c r="J190" s="12">
        <f>IFERROR(IF($I190&gt;=1,"Green",IF($I190&gt;=INDEX(Tbl_KPIConfig[RAG Threshold %],MATCH($D190,Tbl_KPIConfig[KPI Name],0)),"Amber","Red")),"")</f>
        <v/>
      </c>
      <c r="K190" s="14" t="inlineStr">
        <is>
          <t>Preventive check done</t>
        </is>
      </c>
    </row>
    <row r="191">
      <c r="A191" s="7" t="n">
        <v>46188</v>
      </c>
      <c r="B191" s="8">
        <f>IF($A191="","",TEXT($A191,"mmm-yyyy"))</f>
        <v/>
      </c>
      <c r="C191" s="8">
        <f>IF($A191="","","W"&amp;WEEKNUM($A191,2))</f>
        <v/>
      </c>
      <c r="D191" s="8" t="inlineStr">
        <is>
          <t>Power Consumption (kWh)</t>
        </is>
      </c>
      <c r="E191" s="8">
        <f>IFERROR(INDEX(Tbl_KPIConfig[Department],MATCH($D191,Tbl_KPIConfig[KPI Name],0)),"")</f>
        <v/>
      </c>
      <c r="F191" s="8">
        <f>IFERROR(INDEX(Tbl_KPIConfig[Unit],MATCH($D191,Tbl_KPIConfig[KPI Name],0)),"")</f>
        <v/>
      </c>
      <c r="G191" s="8">
        <f>IFERROR(INDEX(Tbl_KPIConfig[Target],MATCH($D191,Tbl_KPIConfig[KPI Name],0)),"")</f>
        <v/>
      </c>
      <c r="H191" s="8" t="n">
        <v>5373.59</v>
      </c>
      <c r="I191" s="9">
        <f>IFERROR(IF(INDEX(Tbl_KPIConfig[Direction],MATCH($D191,Tbl_KPIConfig[KPI Name],0))="Lower is Better",IF($H191=0,1,IF($G191=0,0,$G191/$H191)),IF($G191=0,1,$H191/$G191)),0)</f>
        <v/>
      </c>
      <c r="J191" s="8">
        <f>IFERROR(IF($I191&gt;=1,"Green",IF($I191&gt;=INDEX(Tbl_KPIConfig[RAG Threshold %],MATCH($D191,Tbl_KPIConfig[KPI Name],0)),"Amber","Red")),"")</f>
        <v/>
      </c>
      <c r="K191" s="10" t="inlineStr">
        <is>
          <t>Vendor delay</t>
        </is>
      </c>
    </row>
    <row r="192">
      <c r="A192" s="11" t="n">
        <v>46188</v>
      </c>
      <c r="B192" s="12">
        <f>IF($A192="","",TEXT($A192,"mmm-yyyy"))</f>
        <v/>
      </c>
      <c r="C192" s="12">
        <f>IF($A192="","","W"&amp;WEEKNUM($A192,2))</f>
        <v/>
      </c>
      <c r="D192" s="12" t="inlineStr">
        <is>
          <t>On-Time Dispatch %</t>
        </is>
      </c>
      <c r="E192" s="12">
        <f>IFERROR(INDEX(Tbl_KPIConfig[Department],MATCH($D192,Tbl_KPIConfig[KPI Name],0)),"")</f>
        <v/>
      </c>
      <c r="F192" s="12">
        <f>IFERROR(INDEX(Tbl_KPIConfig[Unit],MATCH($D192,Tbl_KPIConfig[KPI Name],0)),"")</f>
        <v/>
      </c>
      <c r="G192" s="12">
        <f>IFERROR(INDEX(Tbl_KPIConfig[Target],MATCH($D192,Tbl_KPIConfig[KPI Name],0)),"")</f>
        <v/>
      </c>
      <c r="H192" s="12" t="n">
        <v>0.9678</v>
      </c>
      <c r="I192" s="13">
        <f>IFERROR(IF(INDEX(Tbl_KPIConfig[Direction],MATCH($D192,Tbl_KPIConfig[KPI Name],0))="Lower is Better",IF($H192=0,1,IF($G192=0,0,$G192/$H192)),IF($G192=0,1,$H192/$G192)),0)</f>
        <v/>
      </c>
      <c r="J192" s="12">
        <f>IFERROR(IF($I192&gt;=1,"Green",IF($I192&gt;=INDEX(Tbl_KPIConfig[RAG Threshold %],MATCH($D192,Tbl_KPIConfig[KPI Name],0)),"Amber","Red")),"")</f>
        <v/>
      </c>
      <c r="K192" s="14" t="inlineStr">
        <is>
          <t>Line changeover impact</t>
        </is>
      </c>
    </row>
    <row r="193">
      <c r="A193" s="7" t="n">
        <v>46188</v>
      </c>
      <c r="B193" s="8">
        <f>IF($A193="","",TEXT($A193,"mmm-yyyy"))</f>
        <v/>
      </c>
      <c r="C193" s="8">
        <f>IF($A193="","","W"&amp;WEEKNUM($A193,2))</f>
        <v/>
      </c>
      <c r="D193" s="8" t="inlineStr">
        <is>
          <t>Inventory Accuracy %</t>
        </is>
      </c>
      <c r="E193" s="8">
        <f>IFERROR(INDEX(Tbl_KPIConfig[Department],MATCH($D193,Tbl_KPIConfig[KPI Name],0)),"")</f>
        <v/>
      </c>
      <c r="F193" s="8">
        <f>IFERROR(INDEX(Tbl_KPIConfig[Unit],MATCH($D193,Tbl_KPIConfig[KPI Name],0)),"")</f>
        <v/>
      </c>
      <c r="G193" s="8">
        <f>IFERROR(INDEX(Tbl_KPIConfig[Target],MATCH($D193,Tbl_KPIConfig[KPI Name],0)),"")</f>
        <v/>
      </c>
      <c r="H193" s="8" t="n">
        <v>0.7088</v>
      </c>
      <c r="I193" s="9">
        <f>IFERROR(IF(INDEX(Tbl_KPIConfig[Direction],MATCH($D193,Tbl_KPIConfig[KPI Name],0))="Lower is Better",IF($H193=0,1,IF($G193=0,0,$G193/$H193)),IF($G193=0,1,$H193/$G193)),0)</f>
        <v/>
      </c>
      <c r="J193" s="8">
        <f>IFERROR(IF($I193&gt;=1,"Green",IF($I193&gt;=INDEX(Tbl_KPIConfig[RAG Threshold %],MATCH($D193,Tbl_KPIConfig[KPI Name],0)),"Amber","Red")),"")</f>
        <v/>
      </c>
      <c r="K193" s="10" t="inlineStr">
        <is>
          <t>Within normal range</t>
        </is>
      </c>
    </row>
    <row r="194">
      <c r="A194" s="11" t="n">
        <v>46188</v>
      </c>
      <c r="B194" s="12">
        <f>IF($A194="","",TEXT($A194,"mmm-yyyy"))</f>
        <v/>
      </c>
      <c r="C194" s="12">
        <f>IF($A194="","","W"&amp;WEEKNUM($A194,2))</f>
        <v/>
      </c>
      <c r="D194" s="12" t="inlineStr">
        <is>
          <t>Absenteeism %</t>
        </is>
      </c>
      <c r="E194" s="12">
        <f>IFERROR(INDEX(Tbl_KPIConfig[Department],MATCH($D194,Tbl_KPIConfig[KPI Name],0)),"")</f>
        <v/>
      </c>
      <c r="F194" s="12">
        <f>IFERROR(INDEX(Tbl_KPIConfig[Unit],MATCH($D194,Tbl_KPIConfig[KPI Name],0)),"")</f>
        <v/>
      </c>
      <c r="G194" s="12">
        <f>IFERROR(INDEX(Tbl_KPIConfig[Target],MATCH($D194,Tbl_KPIConfig[KPI Name],0)),"")</f>
        <v/>
      </c>
      <c r="H194" s="12" t="n">
        <v>0.0333</v>
      </c>
      <c r="I194" s="13">
        <f>IFERROR(IF(INDEX(Tbl_KPIConfig[Direction],MATCH($D194,Tbl_KPIConfig[KPI Name],0))="Lower is Better",IF($H194=0,1,IF($G194=0,0,$G194/$H194)),IF($G194=0,1,$H194/$G194)),0)</f>
        <v/>
      </c>
      <c r="J194" s="12">
        <f>IFERROR(IF($I194&gt;=1,"Green",IF($I194&gt;=INDEX(Tbl_KPIConfig[RAG Threshold %],MATCH($D194,Tbl_KPIConfig[KPI Name],0)),"Amber","Red")),"")</f>
        <v/>
      </c>
      <c r="K194" s="14" t="inlineStr">
        <is>
          <t>Process improvement in progress</t>
        </is>
      </c>
    </row>
    <row r="195">
      <c r="A195" s="7" t="n">
        <v>46188</v>
      </c>
      <c r="B195" s="8">
        <f>IF($A195="","",TEXT($A195,"mmm-yyyy"))</f>
        <v/>
      </c>
      <c r="C195" s="8">
        <f>IF($A195="","","W"&amp;WEEKNUM($A195,2))</f>
        <v/>
      </c>
      <c r="D195" s="8" t="inlineStr">
        <is>
          <t>Training Hours</t>
        </is>
      </c>
      <c r="E195" s="8">
        <f>IFERROR(INDEX(Tbl_KPIConfig[Department],MATCH($D195,Tbl_KPIConfig[KPI Name],0)),"")</f>
        <v/>
      </c>
      <c r="F195" s="8">
        <f>IFERROR(INDEX(Tbl_KPIConfig[Unit],MATCH($D195,Tbl_KPIConfig[KPI Name],0)),"")</f>
        <v/>
      </c>
      <c r="G195" s="8">
        <f>IFERROR(INDEX(Tbl_KPIConfig[Target],MATCH($D195,Tbl_KPIConfig[KPI Name],0)),"")</f>
        <v/>
      </c>
      <c r="H195" s="8" t="n">
        <v>1.74</v>
      </c>
      <c r="I195" s="9">
        <f>IFERROR(IF(INDEX(Tbl_KPIConfig[Direction],MATCH($D195,Tbl_KPIConfig[KPI Name],0))="Lower is Better",IF($H195=0,1,IF($G195=0,0,$G195/$H195)),IF($G195=0,1,$H195/$G195)),0)</f>
        <v/>
      </c>
      <c r="J195" s="8">
        <f>IFERROR(IF($I195&gt;=1,"Green",IF($I195&gt;=INDEX(Tbl_KPIConfig[RAG Threshold %],MATCH($D195,Tbl_KPIConfig[KPI Name],0)),"Amber","Red")),"")</f>
        <v/>
      </c>
      <c r="K195" s="10" t="inlineStr">
        <is>
          <t>Process improvement in progress</t>
        </is>
      </c>
    </row>
    <row r="196">
      <c r="A196" s="11" t="n">
        <v>46188</v>
      </c>
      <c r="B196" s="12">
        <f>IF($A196="","",TEXT($A196,"mmm-yyyy"))</f>
        <v/>
      </c>
      <c r="C196" s="12">
        <f>IF($A196="","","W"&amp;WEEKNUM($A196,2))</f>
        <v/>
      </c>
      <c r="D196" s="12" t="inlineStr">
        <is>
          <t>Milestone Adherence %</t>
        </is>
      </c>
      <c r="E196" s="12">
        <f>IFERROR(INDEX(Tbl_KPIConfig[Department],MATCH($D196,Tbl_KPIConfig[KPI Name],0)),"")</f>
        <v/>
      </c>
      <c r="F196" s="12">
        <f>IFERROR(INDEX(Tbl_KPIConfig[Unit],MATCH($D196,Tbl_KPIConfig[KPI Name],0)),"")</f>
        <v/>
      </c>
      <c r="G196" s="12">
        <f>IFERROR(INDEX(Tbl_KPIConfig[Target],MATCH($D196,Tbl_KPIConfig[KPI Name],0)),"")</f>
        <v/>
      </c>
      <c r="H196" s="12" t="n">
        <v>0.9522</v>
      </c>
      <c r="I196" s="13">
        <f>IFERROR(IF(INDEX(Tbl_KPIConfig[Direction],MATCH($D196,Tbl_KPIConfig[KPI Name],0))="Lower is Better",IF($H196=0,1,IF($G196=0,0,$G196/$H196)),IF($G196=0,1,$H196/$G196)),0)</f>
        <v/>
      </c>
      <c r="J196" s="12">
        <f>IFERROR(IF($I196&gt;=1,"Green",IF($I196&gt;=INDEX(Tbl_KPIConfig[RAG Threshold %],MATCH($D196,Tbl_KPIConfig[KPI Name],0)),"Amber","Red")),"")</f>
        <v/>
      </c>
      <c r="K196" s="14" t="inlineStr">
        <is>
          <t>Within normal range</t>
        </is>
      </c>
    </row>
    <row r="197">
      <c r="A197" s="7" t="n">
        <v>46188</v>
      </c>
      <c r="B197" s="8">
        <f>IF($A197="","",TEXT($A197,"mmm-yyyy"))</f>
        <v/>
      </c>
      <c r="C197" s="8">
        <f>IF($A197="","","W"&amp;WEEKNUM($A197,2))</f>
        <v/>
      </c>
      <c r="D197" s="8" t="inlineStr">
        <is>
          <t>Breakdown Resolution (Hrs)</t>
        </is>
      </c>
      <c r="E197" s="8">
        <f>IFERROR(INDEX(Tbl_KPIConfig[Department],MATCH($D197,Tbl_KPIConfig[KPI Name],0)),"")</f>
        <v/>
      </c>
      <c r="F197" s="8">
        <f>IFERROR(INDEX(Tbl_KPIConfig[Unit],MATCH($D197,Tbl_KPIConfig[KPI Name],0)),"")</f>
        <v/>
      </c>
      <c r="G197" s="8">
        <f>IFERROR(INDEX(Tbl_KPIConfig[Target],MATCH($D197,Tbl_KPIConfig[KPI Name],0)),"")</f>
        <v/>
      </c>
      <c r="H197" s="8" t="n">
        <v>1.63</v>
      </c>
      <c r="I197" s="9">
        <f>IFERROR(IF(INDEX(Tbl_KPIConfig[Direction],MATCH($D197,Tbl_KPIConfig[KPI Name],0))="Lower is Better",IF($H197=0,1,IF($G197=0,0,$G197/$H197)),IF($G197=0,1,$H197/$G197)),0)</f>
        <v/>
      </c>
      <c r="J197" s="8">
        <f>IFERROR(IF($I197&gt;=1,"Green",IF($I197&gt;=INDEX(Tbl_KPIConfig[RAG Threshold %],MATCH($D197,Tbl_KPIConfig[KPI Name],0)),"Amber","Red")),"")</f>
        <v/>
      </c>
      <c r="K197" s="10" t="inlineStr">
        <is>
          <t>Process improvement in progress</t>
        </is>
      </c>
    </row>
    <row r="198">
      <c r="A198" s="11" t="n">
        <v>46189</v>
      </c>
      <c r="B198" s="12">
        <f>IF($A198="","",TEXT($A198,"mmm-yyyy"))</f>
        <v/>
      </c>
      <c r="C198" s="12">
        <f>IF($A198="","","W"&amp;WEEKNUM($A198,2))</f>
        <v/>
      </c>
      <c r="D198" s="12" t="inlineStr">
        <is>
          <t>Safety Incidents (LTI)</t>
        </is>
      </c>
      <c r="E198" s="12">
        <f>IFERROR(INDEX(Tbl_KPIConfig[Department],MATCH($D198,Tbl_KPIConfig[KPI Name],0)),"")</f>
        <v/>
      </c>
      <c r="F198" s="12">
        <f>IFERROR(INDEX(Tbl_KPIConfig[Unit],MATCH($D198,Tbl_KPIConfig[KPI Name],0)),"")</f>
        <v/>
      </c>
      <c r="G198" s="12">
        <f>IFERROR(INDEX(Tbl_KPIConfig[Target],MATCH($D198,Tbl_KPIConfig[KPI Name],0)),"")</f>
        <v/>
      </c>
      <c r="H198" s="12" t="n">
        <v>0</v>
      </c>
      <c r="I198" s="13">
        <f>IFERROR(IF(INDEX(Tbl_KPIConfig[Direction],MATCH($D198,Tbl_KPIConfig[KPI Name],0))="Lower is Better",IF($H198=0,1,IF($G198=0,0,$G198/$H198)),IF($G198=0,1,$H198/$G198)),0)</f>
        <v/>
      </c>
      <c r="J198" s="12">
        <f>IFERROR(IF($I198&gt;=1,"Green",IF($I198&gt;=INDEX(Tbl_KPIConfig[RAG Threshold %],MATCH($D198,Tbl_KPIConfig[KPI Name],0)),"Amber","Red")),"")</f>
        <v/>
      </c>
      <c r="K198" s="14" t="inlineStr">
        <is>
          <t>Preventive check done</t>
        </is>
      </c>
    </row>
    <row r="199">
      <c r="A199" s="7" t="n">
        <v>46189</v>
      </c>
      <c r="B199" s="8">
        <f>IF($A199="","",TEXT($A199,"mmm-yyyy"))</f>
        <v/>
      </c>
      <c r="C199" s="8">
        <f>IF($A199="","","W"&amp;WEEKNUM($A199,2))</f>
        <v/>
      </c>
      <c r="D199" s="8" t="inlineStr">
        <is>
          <t>Near Miss Reports</t>
        </is>
      </c>
      <c r="E199" s="8">
        <f>IFERROR(INDEX(Tbl_KPIConfig[Department],MATCH($D199,Tbl_KPIConfig[KPI Name],0)),"")</f>
        <v/>
      </c>
      <c r="F199" s="8">
        <f>IFERROR(INDEX(Tbl_KPIConfig[Unit],MATCH($D199,Tbl_KPIConfig[KPI Name],0)),"")</f>
        <v/>
      </c>
      <c r="G199" s="8">
        <f>IFERROR(INDEX(Tbl_KPIConfig[Target],MATCH($D199,Tbl_KPIConfig[KPI Name],0)),"")</f>
        <v/>
      </c>
      <c r="H199" s="8" t="n">
        <v>2</v>
      </c>
      <c r="I199" s="9">
        <f>IFERROR(IF(INDEX(Tbl_KPIConfig[Direction],MATCH($D199,Tbl_KPIConfig[KPI Name],0))="Lower is Better",IF($H199=0,1,IF($G199=0,0,$G199/$H199)),IF($G199=0,1,$H199/$G199)),0)</f>
        <v/>
      </c>
      <c r="J199" s="8">
        <f>IFERROR(IF($I199&gt;=1,"Green",IF($I199&gt;=INDEX(Tbl_KPIConfig[RAG Threshold %],MATCH($D199,Tbl_KPIConfig[KPI Name],0)),"Amber","Red")),"")</f>
        <v/>
      </c>
      <c r="K199" s="10" t="inlineStr">
        <is>
          <t>Line changeover impact</t>
        </is>
      </c>
    </row>
    <row r="200">
      <c r="A200" s="11" t="n">
        <v>46189</v>
      </c>
      <c r="B200" s="12">
        <f>IF($A200="","",TEXT($A200,"mmm-yyyy"))</f>
        <v/>
      </c>
      <c r="C200" s="12">
        <f>IF($A200="","","W"&amp;WEEKNUM($A200,2))</f>
        <v/>
      </c>
      <c r="D200" s="12" t="inlineStr">
        <is>
          <t>Production Output</t>
        </is>
      </c>
      <c r="E200" s="12">
        <f>IFERROR(INDEX(Tbl_KPIConfig[Department],MATCH($D200,Tbl_KPIConfig[KPI Name],0)),"")</f>
        <v/>
      </c>
      <c r="F200" s="12">
        <f>IFERROR(INDEX(Tbl_KPIConfig[Unit],MATCH($D200,Tbl_KPIConfig[KPI Name],0)),"")</f>
        <v/>
      </c>
      <c r="G200" s="12">
        <f>IFERROR(INDEX(Tbl_KPIConfig[Target],MATCH($D200,Tbl_KPIConfig[KPI Name],0)),"")</f>
        <v/>
      </c>
      <c r="H200" s="12" t="n">
        <v>836.61</v>
      </c>
      <c r="I200" s="13">
        <f>IFERROR(IF(INDEX(Tbl_KPIConfig[Direction],MATCH($D200,Tbl_KPIConfig[KPI Name],0))="Lower is Better",IF($H200=0,1,IF($G200=0,0,$G200/$H200)),IF($G200=0,1,$H200/$G200)),0)</f>
        <v/>
      </c>
      <c r="J200" s="12">
        <f>IFERROR(IF($I200&gt;=1,"Green",IF($I200&gt;=INDEX(Tbl_KPIConfig[RAG Threshold %],MATCH($D200,Tbl_KPIConfig[KPI Name],0)),"Amber","Red")),"")</f>
        <v/>
      </c>
      <c r="K200" s="14" t="inlineStr">
        <is>
          <t>Within normal range</t>
        </is>
      </c>
    </row>
    <row r="201">
      <c r="A201" s="7" t="n">
        <v>46189</v>
      </c>
      <c r="B201" s="8">
        <f>IF($A201="","",TEXT($A201,"mmm-yyyy"))</f>
        <v/>
      </c>
      <c r="C201" s="8">
        <f>IF($A201="","","W"&amp;WEEKNUM($A201,2))</f>
        <v/>
      </c>
      <c r="D201" s="8" t="inlineStr">
        <is>
          <t>OEE %</t>
        </is>
      </c>
      <c r="E201" s="8">
        <f>IFERROR(INDEX(Tbl_KPIConfig[Department],MATCH($D201,Tbl_KPIConfig[KPI Name],0)),"")</f>
        <v/>
      </c>
      <c r="F201" s="8">
        <f>IFERROR(INDEX(Tbl_KPIConfig[Unit],MATCH($D201,Tbl_KPIConfig[KPI Name],0)),"")</f>
        <v/>
      </c>
      <c r="G201" s="8">
        <f>IFERROR(INDEX(Tbl_KPIConfig[Target],MATCH($D201,Tbl_KPIConfig[KPI Name],0)),"")</f>
        <v/>
      </c>
      <c r="H201" s="8" t="n">
        <v>0.8304</v>
      </c>
      <c r="I201" s="9">
        <f>IFERROR(IF(INDEX(Tbl_KPIConfig[Direction],MATCH($D201,Tbl_KPIConfig[KPI Name],0))="Lower is Better",IF($H201=0,1,IF($G201=0,0,$G201/$H201)),IF($G201=0,1,$H201/$G201)),0)</f>
        <v/>
      </c>
      <c r="J201" s="8">
        <f>IFERROR(IF($I201&gt;=1,"Green",IF($I201&gt;=INDEX(Tbl_KPIConfig[RAG Threshold %],MATCH($D201,Tbl_KPIConfig[KPI Name],0)),"Amber","Red")),"")</f>
        <v/>
      </c>
      <c r="K201" s="10" t="inlineStr">
        <is>
          <t>Within normal range</t>
        </is>
      </c>
    </row>
    <row r="202">
      <c r="A202" s="11" t="n">
        <v>46189</v>
      </c>
      <c r="B202" s="12">
        <f>IF($A202="","",TEXT($A202,"mmm-yyyy"))</f>
        <v/>
      </c>
      <c r="C202" s="12">
        <f>IF($A202="","","W"&amp;WEEKNUM($A202,2))</f>
        <v/>
      </c>
      <c r="D202" s="12" t="inlineStr">
        <is>
          <t>Defect Rate %</t>
        </is>
      </c>
      <c r="E202" s="12">
        <f>IFERROR(INDEX(Tbl_KPIConfig[Department],MATCH($D202,Tbl_KPIConfig[KPI Name],0)),"")</f>
        <v/>
      </c>
      <c r="F202" s="12">
        <f>IFERROR(INDEX(Tbl_KPIConfig[Unit],MATCH($D202,Tbl_KPIConfig[KPI Name],0)),"")</f>
        <v/>
      </c>
      <c r="G202" s="12">
        <f>IFERROR(INDEX(Tbl_KPIConfig[Target],MATCH($D202,Tbl_KPIConfig[KPI Name],0)),"")</f>
        <v/>
      </c>
      <c r="H202" s="12" t="n">
        <v>0.0207</v>
      </c>
      <c r="I202" s="13">
        <f>IFERROR(IF(INDEX(Tbl_KPIConfig[Direction],MATCH($D202,Tbl_KPIConfig[KPI Name],0))="Lower is Better",IF($H202=0,1,IF($G202=0,0,$G202/$H202)),IF($G202=0,1,$H202/$G202)),0)</f>
        <v/>
      </c>
      <c r="J202" s="12">
        <f>IFERROR(IF($I202&gt;=1,"Green",IF($I202&gt;=INDEX(Tbl_KPIConfig[RAG Threshold %],MATCH($D202,Tbl_KPIConfig[KPI Name],0)),"Amber","Red")),"")</f>
        <v/>
      </c>
      <c r="K202" s="14" t="inlineStr">
        <is>
          <t>Manpower shortage</t>
        </is>
      </c>
    </row>
    <row r="203">
      <c r="A203" s="7" t="n">
        <v>46189</v>
      </c>
      <c r="B203" s="8">
        <f>IF($A203="","",TEXT($A203,"mmm-yyyy"))</f>
        <v/>
      </c>
      <c r="C203" s="8">
        <f>IF($A203="","","W"&amp;WEEKNUM($A203,2))</f>
        <v/>
      </c>
      <c r="D203" s="8" t="inlineStr">
        <is>
          <t>Customer Complaints</t>
        </is>
      </c>
      <c r="E203" s="8">
        <f>IFERROR(INDEX(Tbl_KPIConfig[Department],MATCH($D203,Tbl_KPIConfig[KPI Name],0)),"")</f>
        <v/>
      </c>
      <c r="F203" s="8">
        <f>IFERROR(INDEX(Tbl_KPIConfig[Unit],MATCH($D203,Tbl_KPIConfig[KPI Name],0)),"")</f>
        <v/>
      </c>
      <c r="G203" s="8">
        <f>IFERROR(INDEX(Tbl_KPIConfig[Target],MATCH($D203,Tbl_KPIConfig[KPI Name],0)),"")</f>
        <v/>
      </c>
      <c r="H203" s="8" t="n">
        <v>0</v>
      </c>
      <c r="I203" s="9">
        <f>IFERROR(IF(INDEX(Tbl_KPIConfig[Direction],MATCH($D203,Tbl_KPIConfig[KPI Name],0))="Lower is Better",IF($H203=0,1,IF($G203=0,0,$G203/$H203)),IF($G203=0,1,$H203/$G203)),0)</f>
        <v/>
      </c>
      <c r="J203" s="8">
        <f>IFERROR(IF($I203&gt;=1,"Green",IF($I203&gt;=INDEX(Tbl_KPIConfig[RAG Threshold %],MATCH($D203,Tbl_KPIConfig[KPI Name],0)),"Amber","Red")),"")</f>
        <v/>
      </c>
      <c r="K203" s="10" t="inlineStr"/>
    </row>
    <row r="204">
      <c r="A204" s="11" t="n">
        <v>46189</v>
      </c>
      <c r="B204" s="12">
        <f>IF($A204="","",TEXT($A204,"mmm-yyyy"))</f>
        <v/>
      </c>
      <c r="C204" s="12">
        <f>IF($A204="","","W"&amp;WEEKNUM($A204,2))</f>
        <v/>
      </c>
      <c r="D204" s="12" t="inlineStr">
        <is>
          <t>Unplanned Downtime (Hrs)</t>
        </is>
      </c>
      <c r="E204" s="12">
        <f>IFERROR(INDEX(Tbl_KPIConfig[Department],MATCH($D204,Tbl_KPIConfig[KPI Name],0)),"")</f>
        <v/>
      </c>
      <c r="F204" s="12">
        <f>IFERROR(INDEX(Tbl_KPIConfig[Unit],MATCH($D204,Tbl_KPIConfig[KPI Name],0)),"")</f>
        <v/>
      </c>
      <c r="G204" s="12">
        <f>IFERROR(INDEX(Tbl_KPIConfig[Target],MATCH($D204,Tbl_KPIConfig[KPI Name],0)),"")</f>
        <v/>
      </c>
      <c r="H204" s="12" t="n">
        <v>0.91</v>
      </c>
      <c r="I204" s="13">
        <f>IFERROR(IF(INDEX(Tbl_KPIConfig[Direction],MATCH($D204,Tbl_KPIConfig[KPI Name],0))="Lower is Better",IF($H204=0,1,IF($G204=0,0,$G204/$H204)),IF($G204=0,1,$H204/$G204)),0)</f>
        <v/>
      </c>
      <c r="J204" s="12">
        <f>IFERROR(IF($I204&gt;=1,"Green",IF($I204&gt;=INDEX(Tbl_KPIConfig[RAG Threshold %],MATCH($D204,Tbl_KPIConfig[KPI Name],0)),"Amber","Red")),"")</f>
        <v/>
      </c>
      <c r="K204" s="14" t="inlineStr">
        <is>
          <t>Within normal range</t>
        </is>
      </c>
    </row>
    <row r="205">
      <c r="A205" s="7" t="n">
        <v>46189</v>
      </c>
      <c r="B205" s="8">
        <f>IF($A205="","",TEXT($A205,"mmm-yyyy"))</f>
        <v/>
      </c>
      <c r="C205" s="8">
        <f>IF($A205="","","W"&amp;WEEKNUM($A205,2))</f>
        <v/>
      </c>
      <c r="D205" s="8" t="inlineStr">
        <is>
          <t>PM Compliance %</t>
        </is>
      </c>
      <c r="E205" s="8">
        <f>IFERROR(INDEX(Tbl_KPIConfig[Department],MATCH($D205,Tbl_KPIConfig[KPI Name],0)),"")</f>
        <v/>
      </c>
      <c r="F205" s="8">
        <f>IFERROR(INDEX(Tbl_KPIConfig[Unit],MATCH($D205,Tbl_KPIConfig[KPI Name],0)),"")</f>
        <v/>
      </c>
      <c r="G205" s="8">
        <f>IFERROR(INDEX(Tbl_KPIConfig[Target],MATCH($D205,Tbl_KPIConfig[KPI Name],0)),"")</f>
        <v/>
      </c>
      <c r="H205" s="8" t="n">
        <v>0.8249</v>
      </c>
      <c r="I205" s="9">
        <f>IFERROR(IF(INDEX(Tbl_KPIConfig[Direction],MATCH($D205,Tbl_KPIConfig[KPI Name],0))="Lower is Better",IF($H205=0,1,IF($G205=0,0,$G205/$H205)),IF($G205=0,1,$H205/$G205)),0)</f>
        <v/>
      </c>
      <c r="J205" s="8">
        <f>IFERROR(IF($I205&gt;=1,"Green",IF($I205&gt;=INDEX(Tbl_KPIConfig[RAG Threshold %],MATCH($D205,Tbl_KPIConfig[KPI Name],0)),"Amber","Red")),"")</f>
        <v/>
      </c>
      <c r="K205" s="10" t="inlineStr">
        <is>
          <t>Process improvement in progress</t>
        </is>
      </c>
    </row>
    <row r="206">
      <c r="A206" s="11" t="n">
        <v>46189</v>
      </c>
      <c r="B206" s="12">
        <f>IF($A206="","",TEXT($A206,"mmm-yyyy"))</f>
        <v/>
      </c>
      <c r="C206" s="12">
        <f>IF($A206="","","W"&amp;WEEKNUM($A206,2))</f>
        <v/>
      </c>
      <c r="D206" s="12" t="inlineStr">
        <is>
          <t>Power Consumption (kWh)</t>
        </is>
      </c>
      <c r="E206" s="12">
        <f>IFERROR(INDEX(Tbl_KPIConfig[Department],MATCH($D206,Tbl_KPIConfig[KPI Name],0)),"")</f>
        <v/>
      </c>
      <c r="F206" s="12">
        <f>IFERROR(INDEX(Tbl_KPIConfig[Unit],MATCH($D206,Tbl_KPIConfig[KPI Name],0)),"")</f>
        <v/>
      </c>
      <c r="G206" s="12">
        <f>IFERROR(INDEX(Tbl_KPIConfig[Target],MATCH($D206,Tbl_KPIConfig[KPI Name],0)),"")</f>
        <v/>
      </c>
      <c r="H206" s="12" t="n">
        <v>3582.76</v>
      </c>
      <c r="I206" s="13">
        <f>IFERROR(IF(INDEX(Tbl_KPIConfig[Direction],MATCH($D206,Tbl_KPIConfig[KPI Name],0))="Lower is Better",IF($H206=0,1,IF($G206=0,0,$G206/$H206)),IF($G206=0,1,$H206/$G206)),0)</f>
        <v/>
      </c>
      <c r="J206" s="12">
        <f>IFERROR(IF($I206&gt;=1,"Green",IF($I206&gt;=INDEX(Tbl_KPIConfig[RAG Threshold %],MATCH($D206,Tbl_KPIConfig[KPI Name],0)),"Amber","Red")),"")</f>
        <v/>
      </c>
      <c r="K206" s="14" t="inlineStr">
        <is>
          <t>Vendor delay</t>
        </is>
      </c>
    </row>
    <row r="207">
      <c r="A207" s="7" t="n">
        <v>46189</v>
      </c>
      <c r="B207" s="8">
        <f>IF($A207="","",TEXT($A207,"mmm-yyyy"))</f>
        <v/>
      </c>
      <c r="C207" s="8">
        <f>IF($A207="","","W"&amp;WEEKNUM($A207,2))</f>
        <v/>
      </c>
      <c r="D207" s="8" t="inlineStr">
        <is>
          <t>On-Time Dispatch %</t>
        </is>
      </c>
      <c r="E207" s="8">
        <f>IFERROR(INDEX(Tbl_KPIConfig[Department],MATCH($D207,Tbl_KPIConfig[KPI Name],0)),"")</f>
        <v/>
      </c>
      <c r="F207" s="8">
        <f>IFERROR(INDEX(Tbl_KPIConfig[Unit],MATCH($D207,Tbl_KPIConfig[KPI Name],0)),"")</f>
        <v/>
      </c>
      <c r="G207" s="8">
        <f>IFERROR(INDEX(Tbl_KPIConfig[Target],MATCH($D207,Tbl_KPIConfig[KPI Name],0)),"")</f>
        <v/>
      </c>
      <c r="H207" s="8" t="n">
        <v>0.9546</v>
      </c>
      <c r="I207" s="9">
        <f>IFERROR(IF(INDEX(Tbl_KPIConfig[Direction],MATCH($D207,Tbl_KPIConfig[KPI Name],0))="Lower is Better",IF($H207=0,1,IF($G207=0,0,$G207/$H207)),IF($G207=0,1,$H207/$G207)),0)</f>
        <v/>
      </c>
      <c r="J207" s="8">
        <f>IFERROR(IF($I207&gt;=1,"Green",IF($I207&gt;=INDEX(Tbl_KPIConfig[RAG Threshold %],MATCH($D207,Tbl_KPIConfig[KPI Name],0)),"Amber","Red")),"")</f>
        <v/>
      </c>
      <c r="K207" s="10" t="inlineStr">
        <is>
          <t>Line changeover impact</t>
        </is>
      </c>
    </row>
    <row r="208">
      <c r="A208" s="11" t="n">
        <v>46189</v>
      </c>
      <c r="B208" s="12">
        <f>IF($A208="","",TEXT($A208,"mmm-yyyy"))</f>
        <v/>
      </c>
      <c r="C208" s="12">
        <f>IF($A208="","","W"&amp;WEEKNUM($A208,2))</f>
        <v/>
      </c>
      <c r="D208" s="12" t="inlineStr">
        <is>
          <t>Inventory Accuracy %</t>
        </is>
      </c>
      <c r="E208" s="12">
        <f>IFERROR(INDEX(Tbl_KPIConfig[Department],MATCH($D208,Tbl_KPIConfig[KPI Name],0)),"")</f>
        <v/>
      </c>
      <c r="F208" s="12">
        <f>IFERROR(INDEX(Tbl_KPIConfig[Unit],MATCH($D208,Tbl_KPIConfig[KPI Name],0)),"")</f>
        <v/>
      </c>
      <c r="G208" s="12">
        <f>IFERROR(INDEX(Tbl_KPIConfig[Target],MATCH($D208,Tbl_KPIConfig[KPI Name],0)),"")</f>
        <v/>
      </c>
      <c r="H208" s="12" t="n">
        <v>1.0778</v>
      </c>
      <c r="I208" s="13">
        <f>IFERROR(IF(INDEX(Tbl_KPIConfig[Direction],MATCH($D208,Tbl_KPIConfig[KPI Name],0))="Lower is Better",IF($H208=0,1,IF($G208=0,0,$G208/$H208)),IF($G208=0,1,$H208/$G208)),0)</f>
        <v/>
      </c>
      <c r="J208" s="12">
        <f>IFERROR(IF($I208&gt;=1,"Green",IF($I208&gt;=INDEX(Tbl_KPIConfig[RAG Threshold %],MATCH($D208,Tbl_KPIConfig[KPI Name],0)),"Amber","Red")),"")</f>
        <v/>
      </c>
      <c r="K208" s="14" t="inlineStr">
        <is>
          <t>Manpower shortage</t>
        </is>
      </c>
    </row>
    <row r="209">
      <c r="A209" s="7" t="n">
        <v>46189</v>
      </c>
      <c r="B209" s="8">
        <f>IF($A209="","",TEXT($A209,"mmm-yyyy"))</f>
        <v/>
      </c>
      <c r="C209" s="8">
        <f>IF($A209="","","W"&amp;WEEKNUM($A209,2))</f>
        <v/>
      </c>
      <c r="D209" s="8" t="inlineStr">
        <is>
          <t>Absenteeism %</t>
        </is>
      </c>
      <c r="E209" s="8">
        <f>IFERROR(INDEX(Tbl_KPIConfig[Department],MATCH($D209,Tbl_KPIConfig[KPI Name],0)),"")</f>
        <v/>
      </c>
      <c r="F209" s="8">
        <f>IFERROR(INDEX(Tbl_KPIConfig[Unit],MATCH($D209,Tbl_KPIConfig[KPI Name],0)),"")</f>
        <v/>
      </c>
      <c r="G209" s="8">
        <f>IFERROR(INDEX(Tbl_KPIConfig[Target],MATCH($D209,Tbl_KPIConfig[KPI Name],0)),"")</f>
        <v/>
      </c>
      <c r="H209" s="8" t="n">
        <v>0.0273</v>
      </c>
      <c r="I209" s="9">
        <f>IFERROR(IF(INDEX(Tbl_KPIConfig[Direction],MATCH($D209,Tbl_KPIConfig[KPI Name],0))="Lower is Better",IF($H209=0,1,IF($G209=0,0,$G209/$H209)),IF($G209=0,1,$H209/$G209)),0)</f>
        <v/>
      </c>
      <c r="J209" s="8">
        <f>IFERROR(IF($I209&gt;=1,"Green",IF($I209&gt;=INDEX(Tbl_KPIConfig[RAG Threshold %],MATCH($D209,Tbl_KPIConfig[KPI Name],0)),"Amber","Red")),"")</f>
        <v/>
      </c>
      <c r="K209" s="10" t="inlineStr">
        <is>
          <t>Within normal range</t>
        </is>
      </c>
    </row>
    <row r="210">
      <c r="A210" s="11" t="n">
        <v>46189</v>
      </c>
      <c r="B210" s="12">
        <f>IF($A210="","",TEXT($A210,"mmm-yyyy"))</f>
        <v/>
      </c>
      <c r="C210" s="12">
        <f>IF($A210="","","W"&amp;WEEKNUM($A210,2))</f>
        <v/>
      </c>
      <c r="D210" s="12" t="inlineStr">
        <is>
          <t>Training Hours</t>
        </is>
      </c>
      <c r="E210" s="12">
        <f>IFERROR(INDEX(Tbl_KPIConfig[Department],MATCH($D210,Tbl_KPIConfig[KPI Name],0)),"")</f>
        <v/>
      </c>
      <c r="F210" s="12">
        <f>IFERROR(INDEX(Tbl_KPIConfig[Unit],MATCH($D210,Tbl_KPIConfig[KPI Name],0)),"")</f>
        <v/>
      </c>
      <c r="G210" s="12">
        <f>IFERROR(INDEX(Tbl_KPIConfig[Target],MATCH($D210,Tbl_KPIConfig[KPI Name],0)),"")</f>
        <v/>
      </c>
      <c r="H210" s="12" t="n">
        <v>2.06</v>
      </c>
      <c r="I210" s="13">
        <f>IFERROR(IF(INDEX(Tbl_KPIConfig[Direction],MATCH($D210,Tbl_KPIConfig[KPI Name],0))="Lower is Better",IF($H210=0,1,IF($G210=0,0,$G210/$H210)),IF($G210=0,1,$H210/$G210)),0)</f>
        <v/>
      </c>
      <c r="J210" s="12">
        <f>IFERROR(IF($I210&gt;=1,"Green",IF($I210&gt;=INDEX(Tbl_KPIConfig[RAG Threshold %],MATCH($D210,Tbl_KPIConfig[KPI Name],0)),"Amber","Red")),"")</f>
        <v/>
      </c>
      <c r="K210" s="14" t="inlineStr"/>
    </row>
    <row r="211">
      <c r="A211" s="7" t="n">
        <v>46189</v>
      </c>
      <c r="B211" s="8">
        <f>IF($A211="","",TEXT($A211,"mmm-yyyy"))</f>
        <v/>
      </c>
      <c r="C211" s="8">
        <f>IF($A211="","","W"&amp;WEEKNUM($A211,2))</f>
        <v/>
      </c>
      <c r="D211" s="8" t="inlineStr">
        <is>
          <t>Milestone Adherence %</t>
        </is>
      </c>
      <c r="E211" s="8">
        <f>IFERROR(INDEX(Tbl_KPIConfig[Department],MATCH($D211,Tbl_KPIConfig[KPI Name],0)),"")</f>
        <v/>
      </c>
      <c r="F211" s="8">
        <f>IFERROR(INDEX(Tbl_KPIConfig[Unit],MATCH($D211,Tbl_KPIConfig[KPI Name],0)),"")</f>
        <v/>
      </c>
      <c r="G211" s="8">
        <f>IFERROR(INDEX(Tbl_KPIConfig[Target],MATCH($D211,Tbl_KPIConfig[KPI Name],0)),"")</f>
        <v/>
      </c>
      <c r="H211" s="8" t="n">
        <v>0.8226</v>
      </c>
      <c r="I211" s="9">
        <f>IFERROR(IF(INDEX(Tbl_KPIConfig[Direction],MATCH($D211,Tbl_KPIConfig[KPI Name],0))="Lower is Better",IF($H211=0,1,IF($G211=0,0,$G211/$H211)),IF($G211=0,1,$H211/$G211)),0)</f>
        <v/>
      </c>
      <c r="J211" s="8">
        <f>IFERROR(IF($I211&gt;=1,"Green",IF($I211&gt;=INDEX(Tbl_KPIConfig[RAG Threshold %],MATCH($D211,Tbl_KPIConfig[KPI Name],0)),"Amber","Red")),"")</f>
        <v/>
      </c>
      <c r="K211" s="10" t="inlineStr">
        <is>
          <t>Vendor delay</t>
        </is>
      </c>
    </row>
    <row r="212">
      <c r="A212" s="11" t="n">
        <v>46189</v>
      </c>
      <c r="B212" s="12">
        <f>IF($A212="","",TEXT($A212,"mmm-yyyy"))</f>
        <v/>
      </c>
      <c r="C212" s="12">
        <f>IF($A212="","","W"&amp;WEEKNUM($A212,2))</f>
        <v/>
      </c>
      <c r="D212" s="12" t="inlineStr">
        <is>
          <t>Breakdown Resolution (Hrs)</t>
        </is>
      </c>
      <c r="E212" s="12">
        <f>IFERROR(INDEX(Tbl_KPIConfig[Department],MATCH($D212,Tbl_KPIConfig[KPI Name],0)),"")</f>
        <v/>
      </c>
      <c r="F212" s="12">
        <f>IFERROR(INDEX(Tbl_KPIConfig[Unit],MATCH($D212,Tbl_KPIConfig[KPI Name],0)),"")</f>
        <v/>
      </c>
      <c r="G212" s="12">
        <f>IFERROR(INDEX(Tbl_KPIConfig[Target],MATCH($D212,Tbl_KPIConfig[KPI Name],0)),"")</f>
        <v/>
      </c>
      <c r="H212" s="12" t="n">
        <v>1.95</v>
      </c>
      <c r="I212" s="13">
        <f>IFERROR(IF(INDEX(Tbl_KPIConfig[Direction],MATCH($D212,Tbl_KPIConfig[KPI Name],0))="Lower is Better",IF($H212=0,1,IF($G212=0,0,$G212/$H212)),IF($G212=0,1,$H212/$G212)),0)</f>
        <v/>
      </c>
      <c r="J212" s="12">
        <f>IFERROR(IF($I212&gt;=1,"Green",IF($I212&gt;=INDEX(Tbl_KPIConfig[RAG Threshold %],MATCH($D212,Tbl_KPIConfig[KPI Name],0)),"Amber","Red")),"")</f>
        <v/>
      </c>
      <c r="K212" s="14" t="inlineStr">
        <is>
          <t>Line changeover impact</t>
        </is>
      </c>
    </row>
    <row r="213">
      <c r="A213" s="7" t="n">
        <v>46190</v>
      </c>
      <c r="B213" s="8">
        <f>IF($A213="","",TEXT($A213,"mmm-yyyy"))</f>
        <v/>
      </c>
      <c r="C213" s="8">
        <f>IF($A213="","","W"&amp;WEEKNUM($A213,2))</f>
        <v/>
      </c>
      <c r="D213" s="8" t="inlineStr">
        <is>
          <t>Safety Incidents (LTI)</t>
        </is>
      </c>
      <c r="E213" s="8">
        <f>IFERROR(INDEX(Tbl_KPIConfig[Department],MATCH($D213,Tbl_KPIConfig[KPI Name],0)),"")</f>
        <v/>
      </c>
      <c r="F213" s="8">
        <f>IFERROR(INDEX(Tbl_KPIConfig[Unit],MATCH($D213,Tbl_KPIConfig[KPI Name],0)),"")</f>
        <v/>
      </c>
      <c r="G213" s="8">
        <f>IFERROR(INDEX(Tbl_KPIConfig[Target],MATCH($D213,Tbl_KPIConfig[KPI Name],0)),"")</f>
        <v/>
      </c>
      <c r="H213" s="8" t="n">
        <v>0</v>
      </c>
      <c r="I213" s="9">
        <f>IFERROR(IF(INDEX(Tbl_KPIConfig[Direction],MATCH($D213,Tbl_KPIConfig[KPI Name],0))="Lower is Better",IF($H213=0,1,IF($G213=0,0,$G213/$H213)),IF($G213=0,1,$H213/$G213)),0)</f>
        <v/>
      </c>
      <c r="J213" s="8">
        <f>IFERROR(IF($I213&gt;=1,"Green",IF($I213&gt;=INDEX(Tbl_KPIConfig[RAG Threshold %],MATCH($D213,Tbl_KPIConfig[KPI Name],0)),"Amber","Red")),"")</f>
        <v/>
      </c>
      <c r="K213" s="10" t="inlineStr">
        <is>
          <t>Vendor delay</t>
        </is>
      </c>
    </row>
    <row r="214">
      <c r="A214" s="11" t="n">
        <v>46190</v>
      </c>
      <c r="B214" s="12">
        <f>IF($A214="","",TEXT($A214,"mmm-yyyy"))</f>
        <v/>
      </c>
      <c r="C214" s="12">
        <f>IF($A214="","","W"&amp;WEEKNUM($A214,2))</f>
        <v/>
      </c>
      <c r="D214" s="12" t="inlineStr">
        <is>
          <t>Near Miss Reports</t>
        </is>
      </c>
      <c r="E214" s="12">
        <f>IFERROR(INDEX(Tbl_KPIConfig[Department],MATCH($D214,Tbl_KPIConfig[KPI Name],0)),"")</f>
        <v/>
      </c>
      <c r="F214" s="12">
        <f>IFERROR(INDEX(Tbl_KPIConfig[Unit],MATCH($D214,Tbl_KPIConfig[KPI Name],0)),"")</f>
        <v/>
      </c>
      <c r="G214" s="12">
        <f>IFERROR(INDEX(Tbl_KPIConfig[Target],MATCH($D214,Tbl_KPIConfig[KPI Name],0)),"")</f>
        <v/>
      </c>
      <c r="H214" s="12" t="n">
        <v>2</v>
      </c>
      <c r="I214" s="13">
        <f>IFERROR(IF(INDEX(Tbl_KPIConfig[Direction],MATCH($D214,Tbl_KPIConfig[KPI Name],0))="Lower is Better",IF($H214=0,1,IF($G214=0,0,$G214/$H214)),IF($G214=0,1,$H214/$G214)),0)</f>
        <v/>
      </c>
      <c r="J214" s="12">
        <f>IFERROR(IF($I214&gt;=1,"Green",IF($I214&gt;=INDEX(Tbl_KPIConfig[RAG Threshold %],MATCH($D214,Tbl_KPIConfig[KPI Name],0)),"Amber","Red")),"")</f>
        <v/>
      </c>
      <c r="K214" s="14" t="inlineStr">
        <is>
          <t>Within normal range</t>
        </is>
      </c>
    </row>
    <row r="215">
      <c r="A215" s="7" t="n">
        <v>46190</v>
      </c>
      <c r="B215" s="8">
        <f>IF($A215="","",TEXT($A215,"mmm-yyyy"))</f>
        <v/>
      </c>
      <c r="C215" s="8">
        <f>IF($A215="","","W"&amp;WEEKNUM($A215,2))</f>
        <v/>
      </c>
      <c r="D215" s="8" t="inlineStr">
        <is>
          <t>Production Output</t>
        </is>
      </c>
      <c r="E215" s="8">
        <f>IFERROR(INDEX(Tbl_KPIConfig[Department],MATCH($D215,Tbl_KPIConfig[KPI Name],0)),"")</f>
        <v/>
      </c>
      <c r="F215" s="8">
        <f>IFERROR(INDEX(Tbl_KPIConfig[Unit],MATCH($D215,Tbl_KPIConfig[KPI Name],0)),"")</f>
        <v/>
      </c>
      <c r="G215" s="8">
        <f>IFERROR(INDEX(Tbl_KPIConfig[Target],MATCH($D215,Tbl_KPIConfig[KPI Name],0)),"")</f>
        <v/>
      </c>
      <c r="H215" s="8" t="n">
        <v>919.63</v>
      </c>
      <c r="I215" s="9">
        <f>IFERROR(IF(INDEX(Tbl_KPIConfig[Direction],MATCH($D215,Tbl_KPIConfig[KPI Name],0))="Lower is Better",IF($H215=0,1,IF($G215=0,0,$G215/$H215)),IF($G215=0,1,$H215/$G215)),0)</f>
        <v/>
      </c>
      <c r="J215" s="8">
        <f>IFERROR(IF($I215&gt;=1,"Green",IF($I215&gt;=INDEX(Tbl_KPIConfig[RAG Threshold %],MATCH($D215,Tbl_KPIConfig[KPI Name],0)),"Amber","Red")),"")</f>
        <v/>
      </c>
      <c r="K215" s="10" t="inlineStr">
        <is>
          <t>Process improvement in progress</t>
        </is>
      </c>
    </row>
    <row r="216">
      <c r="A216" s="11" t="n">
        <v>46190</v>
      </c>
      <c r="B216" s="12">
        <f>IF($A216="","",TEXT($A216,"mmm-yyyy"))</f>
        <v/>
      </c>
      <c r="C216" s="12">
        <f>IF($A216="","","W"&amp;WEEKNUM($A216,2))</f>
        <v/>
      </c>
      <c r="D216" s="12" t="inlineStr">
        <is>
          <t>OEE %</t>
        </is>
      </c>
      <c r="E216" s="12">
        <f>IFERROR(INDEX(Tbl_KPIConfig[Department],MATCH($D216,Tbl_KPIConfig[KPI Name],0)),"")</f>
        <v/>
      </c>
      <c r="F216" s="12">
        <f>IFERROR(INDEX(Tbl_KPIConfig[Unit],MATCH($D216,Tbl_KPIConfig[KPI Name],0)),"")</f>
        <v/>
      </c>
      <c r="G216" s="12">
        <f>IFERROR(INDEX(Tbl_KPIConfig[Target],MATCH($D216,Tbl_KPIConfig[KPI Name],0)),"")</f>
        <v/>
      </c>
      <c r="H216" s="12" t="n">
        <v>0.8488</v>
      </c>
      <c r="I216" s="13">
        <f>IFERROR(IF(INDEX(Tbl_KPIConfig[Direction],MATCH($D216,Tbl_KPIConfig[KPI Name],0))="Lower is Better",IF($H216=0,1,IF($G216=0,0,$G216/$H216)),IF($G216=0,1,$H216/$G216)),0)</f>
        <v/>
      </c>
      <c r="J216" s="12">
        <f>IFERROR(IF($I216&gt;=1,"Green",IF($I216&gt;=INDEX(Tbl_KPIConfig[RAG Threshold %],MATCH($D216,Tbl_KPIConfig[KPI Name],0)),"Amber","Red")),"")</f>
        <v/>
      </c>
      <c r="K216" s="14" t="inlineStr">
        <is>
          <t>Line changeover impact</t>
        </is>
      </c>
    </row>
    <row r="217">
      <c r="A217" s="7" t="n">
        <v>46190</v>
      </c>
      <c r="B217" s="8">
        <f>IF($A217="","",TEXT($A217,"mmm-yyyy"))</f>
        <v/>
      </c>
      <c r="C217" s="8">
        <f>IF($A217="","","W"&amp;WEEKNUM($A217,2))</f>
        <v/>
      </c>
      <c r="D217" s="8" t="inlineStr">
        <is>
          <t>Defect Rate %</t>
        </is>
      </c>
      <c r="E217" s="8">
        <f>IFERROR(INDEX(Tbl_KPIConfig[Department],MATCH($D217,Tbl_KPIConfig[KPI Name],0)),"")</f>
        <v/>
      </c>
      <c r="F217" s="8">
        <f>IFERROR(INDEX(Tbl_KPIConfig[Unit],MATCH($D217,Tbl_KPIConfig[KPI Name],0)),"")</f>
        <v/>
      </c>
      <c r="G217" s="8">
        <f>IFERROR(INDEX(Tbl_KPIConfig[Target],MATCH($D217,Tbl_KPIConfig[KPI Name],0)),"")</f>
        <v/>
      </c>
      <c r="H217" s="8" t="n">
        <v>0.0202</v>
      </c>
      <c r="I217" s="9">
        <f>IFERROR(IF(INDEX(Tbl_KPIConfig[Direction],MATCH($D217,Tbl_KPIConfig[KPI Name],0))="Lower is Better",IF($H217=0,1,IF($G217=0,0,$G217/$H217)),IF($G217=0,1,$H217/$G217)),0)</f>
        <v/>
      </c>
      <c r="J217" s="8">
        <f>IFERROR(IF($I217&gt;=1,"Green",IF($I217&gt;=INDEX(Tbl_KPIConfig[RAG Threshold %],MATCH($D217,Tbl_KPIConfig[KPI Name],0)),"Amber","Red")),"")</f>
        <v/>
      </c>
      <c r="K217" s="10" t="inlineStr">
        <is>
          <t>Within normal range</t>
        </is>
      </c>
    </row>
    <row r="218">
      <c r="A218" s="11" t="n">
        <v>46190</v>
      </c>
      <c r="B218" s="12">
        <f>IF($A218="","",TEXT($A218,"mmm-yyyy"))</f>
        <v/>
      </c>
      <c r="C218" s="12">
        <f>IF($A218="","","W"&amp;WEEKNUM($A218,2))</f>
        <v/>
      </c>
      <c r="D218" s="12" t="inlineStr">
        <is>
          <t>Customer Complaints</t>
        </is>
      </c>
      <c r="E218" s="12">
        <f>IFERROR(INDEX(Tbl_KPIConfig[Department],MATCH($D218,Tbl_KPIConfig[KPI Name],0)),"")</f>
        <v/>
      </c>
      <c r="F218" s="12">
        <f>IFERROR(INDEX(Tbl_KPIConfig[Unit],MATCH($D218,Tbl_KPIConfig[KPI Name],0)),"")</f>
        <v/>
      </c>
      <c r="G218" s="12">
        <f>IFERROR(INDEX(Tbl_KPIConfig[Target],MATCH($D218,Tbl_KPIConfig[KPI Name],0)),"")</f>
        <v/>
      </c>
      <c r="H218" s="12" t="n">
        <v>0</v>
      </c>
      <c r="I218" s="13">
        <f>IFERROR(IF(INDEX(Tbl_KPIConfig[Direction],MATCH($D218,Tbl_KPIConfig[KPI Name],0))="Lower is Better",IF($H218=0,1,IF($G218=0,0,$G218/$H218)),IF($G218=0,1,$H218/$G218)),0)</f>
        <v/>
      </c>
      <c r="J218" s="12">
        <f>IFERROR(IF($I218&gt;=1,"Green",IF($I218&gt;=INDEX(Tbl_KPIConfig[RAG Threshold %],MATCH($D218,Tbl_KPIConfig[KPI Name],0)),"Amber","Red")),"")</f>
        <v/>
      </c>
      <c r="K218" s="14" t="inlineStr">
        <is>
          <t>Awaiting spares</t>
        </is>
      </c>
    </row>
    <row r="219">
      <c r="A219" s="7" t="n">
        <v>46190</v>
      </c>
      <c r="B219" s="8">
        <f>IF($A219="","",TEXT($A219,"mmm-yyyy"))</f>
        <v/>
      </c>
      <c r="C219" s="8">
        <f>IF($A219="","","W"&amp;WEEKNUM($A219,2))</f>
        <v/>
      </c>
      <c r="D219" s="8" t="inlineStr">
        <is>
          <t>Unplanned Downtime (Hrs)</t>
        </is>
      </c>
      <c r="E219" s="8">
        <f>IFERROR(INDEX(Tbl_KPIConfig[Department],MATCH($D219,Tbl_KPIConfig[KPI Name],0)),"")</f>
        <v/>
      </c>
      <c r="F219" s="8">
        <f>IFERROR(INDEX(Tbl_KPIConfig[Unit],MATCH($D219,Tbl_KPIConfig[KPI Name],0)),"")</f>
        <v/>
      </c>
      <c r="G219" s="8">
        <f>IFERROR(INDEX(Tbl_KPIConfig[Target],MATCH($D219,Tbl_KPIConfig[KPI Name],0)),"")</f>
        <v/>
      </c>
      <c r="H219" s="8" t="n">
        <v>1.25</v>
      </c>
      <c r="I219" s="9">
        <f>IFERROR(IF(INDEX(Tbl_KPIConfig[Direction],MATCH($D219,Tbl_KPIConfig[KPI Name],0))="Lower is Better",IF($H219=0,1,IF($G219=0,0,$G219/$H219)),IF($G219=0,1,$H219/$G219)),0)</f>
        <v/>
      </c>
      <c r="J219" s="8">
        <f>IFERROR(IF($I219&gt;=1,"Green",IF($I219&gt;=INDEX(Tbl_KPIConfig[RAG Threshold %],MATCH($D219,Tbl_KPIConfig[KPI Name],0)),"Amber","Red")),"")</f>
        <v/>
      </c>
      <c r="K219" s="10" t="inlineStr">
        <is>
          <t>Vendor delay</t>
        </is>
      </c>
    </row>
    <row r="220">
      <c r="A220" s="11" t="n">
        <v>46190</v>
      </c>
      <c r="B220" s="12">
        <f>IF($A220="","",TEXT($A220,"mmm-yyyy"))</f>
        <v/>
      </c>
      <c r="C220" s="12">
        <f>IF($A220="","","W"&amp;WEEKNUM($A220,2))</f>
        <v/>
      </c>
      <c r="D220" s="12" t="inlineStr">
        <is>
          <t>PM Compliance %</t>
        </is>
      </c>
      <c r="E220" s="12">
        <f>IFERROR(INDEX(Tbl_KPIConfig[Department],MATCH($D220,Tbl_KPIConfig[KPI Name],0)),"")</f>
        <v/>
      </c>
      <c r="F220" s="12">
        <f>IFERROR(INDEX(Tbl_KPIConfig[Unit],MATCH($D220,Tbl_KPIConfig[KPI Name],0)),"")</f>
        <v/>
      </c>
      <c r="G220" s="12">
        <f>IFERROR(INDEX(Tbl_KPIConfig[Target],MATCH($D220,Tbl_KPIConfig[KPI Name],0)),"")</f>
        <v/>
      </c>
      <c r="H220" s="12" t="n">
        <v>0.9637</v>
      </c>
      <c r="I220" s="13">
        <f>IFERROR(IF(INDEX(Tbl_KPIConfig[Direction],MATCH($D220,Tbl_KPIConfig[KPI Name],0))="Lower is Better",IF($H220=0,1,IF($G220=0,0,$G220/$H220)),IF($G220=0,1,$H220/$G220)),0)</f>
        <v/>
      </c>
      <c r="J220" s="12">
        <f>IFERROR(IF($I220&gt;=1,"Green",IF($I220&gt;=INDEX(Tbl_KPIConfig[RAG Threshold %],MATCH($D220,Tbl_KPIConfig[KPI Name],0)),"Amber","Red")),"")</f>
        <v/>
      </c>
      <c r="K220" s="14" t="inlineStr">
        <is>
          <t>Preventive check done</t>
        </is>
      </c>
    </row>
    <row r="221">
      <c r="A221" s="7" t="n">
        <v>46190</v>
      </c>
      <c r="B221" s="8">
        <f>IF($A221="","",TEXT($A221,"mmm-yyyy"))</f>
        <v/>
      </c>
      <c r="C221" s="8">
        <f>IF($A221="","","W"&amp;WEEKNUM($A221,2))</f>
        <v/>
      </c>
      <c r="D221" s="8" t="inlineStr">
        <is>
          <t>Power Consumption (kWh)</t>
        </is>
      </c>
      <c r="E221" s="8">
        <f>IFERROR(INDEX(Tbl_KPIConfig[Department],MATCH($D221,Tbl_KPIConfig[KPI Name],0)),"")</f>
        <v/>
      </c>
      <c r="F221" s="8">
        <f>IFERROR(INDEX(Tbl_KPIConfig[Unit],MATCH($D221,Tbl_KPIConfig[KPI Name],0)),"")</f>
        <v/>
      </c>
      <c r="G221" s="8">
        <f>IFERROR(INDEX(Tbl_KPIConfig[Target],MATCH($D221,Tbl_KPIConfig[KPI Name],0)),"")</f>
        <v/>
      </c>
      <c r="H221" s="8" t="n">
        <v>3615.23</v>
      </c>
      <c r="I221" s="9">
        <f>IFERROR(IF(INDEX(Tbl_KPIConfig[Direction],MATCH($D221,Tbl_KPIConfig[KPI Name],0))="Lower is Better",IF($H221=0,1,IF($G221=0,0,$G221/$H221)),IF($G221=0,1,$H221/$G221)),0)</f>
        <v/>
      </c>
      <c r="J221" s="8">
        <f>IFERROR(IF($I221&gt;=1,"Green",IF($I221&gt;=INDEX(Tbl_KPIConfig[RAG Threshold %],MATCH($D221,Tbl_KPIConfig[KPI Name],0)),"Amber","Red")),"")</f>
        <v/>
      </c>
      <c r="K221" s="10" t="inlineStr">
        <is>
          <t>Preventive check done</t>
        </is>
      </c>
    </row>
    <row r="222">
      <c r="A222" s="11" t="n">
        <v>46190</v>
      </c>
      <c r="B222" s="12">
        <f>IF($A222="","",TEXT($A222,"mmm-yyyy"))</f>
        <v/>
      </c>
      <c r="C222" s="12">
        <f>IF($A222="","","W"&amp;WEEKNUM($A222,2))</f>
        <v/>
      </c>
      <c r="D222" s="12" t="inlineStr">
        <is>
          <t>On-Time Dispatch %</t>
        </is>
      </c>
      <c r="E222" s="12">
        <f>IFERROR(INDEX(Tbl_KPIConfig[Department],MATCH($D222,Tbl_KPIConfig[KPI Name],0)),"")</f>
        <v/>
      </c>
      <c r="F222" s="12">
        <f>IFERROR(INDEX(Tbl_KPIConfig[Unit],MATCH($D222,Tbl_KPIConfig[KPI Name],0)),"")</f>
        <v/>
      </c>
      <c r="G222" s="12">
        <f>IFERROR(INDEX(Tbl_KPIConfig[Target],MATCH($D222,Tbl_KPIConfig[KPI Name],0)),"")</f>
        <v/>
      </c>
      <c r="H222" s="12" t="n">
        <v>0.9154</v>
      </c>
      <c r="I222" s="13">
        <f>IFERROR(IF(INDEX(Tbl_KPIConfig[Direction],MATCH($D222,Tbl_KPIConfig[KPI Name],0))="Lower is Better",IF($H222=0,1,IF($G222=0,0,$G222/$H222)),IF($G222=0,1,$H222/$G222)),0)</f>
        <v/>
      </c>
      <c r="J222" s="12">
        <f>IFERROR(IF($I222&gt;=1,"Green",IF($I222&gt;=INDEX(Tbl_KPIConfig[RAG Threshold %],MATCH($D222,Tbl_KPIConfig[KPI Name],0)),"Amber","Red")),"")</f>
        <v/>
      </c>
      <c r="K222" s="14" t="inlineStr">
        <is>
          <t>Preventive check done</t>
        </is>
      </c>
    </row>
    <row r="223">
      <c r="A223" s="7" t="n">
        <v>46190</v>
      </c>
      <c r="B223" s="8">
        <f>IF($A223="","",TEXT($A223,"mmm-yyyy"))</f>
        <v/>
      </c>
      <c r="C223" s="8">
        <f>IF($A223="","","W"&amp;WEEKNUM($A223,2))</f>
        <v/>
      </c>
      <c r="D223" s="8" t="inlineStr">
        <is>
          <t>Inventory Accuracy %</t>
        </is>
      </c>
      <c r="E223" s="8">
        <f>IFERROR(INDEX(Tbl_KPIConfig[Department],MATCH($D223,Tbl_KPIConfig[KPI Name],0)),"")</f>
        <v/>
      </c>
      <c r="F223" s="8">
        <f>IFERROR(INDEX(Tbl_KPIConfig[Unit],MATCH($D223,Tbl_KPIConfig[KPI Name],0)),"")</f>
        <v/>
      </c>
      <c r="G223" s="8">
        <f>IFERROR(INDEX(Tbl_KPIConfig[Target],MATCH($D223,Tbl_KPIConfig[KPI Name],0)),"")</f>
        <v/>
      </c>
      <c r="H223" s="8" t="n">
        <v>1.0647</v>
      </c>
      <c r="I223" s="9">
        <f>IFERROR(IF(INDEX(Tbl_KPIConfig[Direction],MATCH($D223,Tbl_KPIConfig[KPI Name],0))="Lower is Better",IF($H223=0,1,IF($G223=0,0,$G223/$H223)),IF($G223=0,1,$H223/$G223)),0)</f>
        <v/>
      </c>
      <c r="J223" s="8">
        <f>IFERROR(IF($I223&gt;=1,"Green",IF($I223&gt;=INDEX(Tbl_KPIConfig[RAG Threshold %],MATCH($D223,Tbl_KPIConfig[KPI Name],0)),"Amber","Red")),"")</f>
        <v/>
      </c>
      <c r="K223" s="10" t="inlineStr">
        <is>
          <t>Vendor delay</t>
        </is>
      </c>
    </row>
    <row r="224">
      <c r="A224" s="11" t="n">
        <v>46190</v>
      </c>
      <c r="B224" s="12">
        <f>IF($A224="","",TEXT($A224,"mmm-yyyy"))</f>
        <v/>
      </c>
      <c r="C224" s="12">
        <f>IF($A224="","","W"&amp;WEEKNUM($A224,2))</f>
        <v/>
      </c>
      <c r="D224" s="12" t="inlineStr">
        <is>
          <t>Absenteeism %</t>
        </is>
      </c>
      <c r="E224" s="12">
        <f>IFERROR(INDEX(Tbl_KPIConfig[Department],MATCH($D224,Tbl_KPIConfig[KPI Name],0)),"")</f>
        <v/>
      </c>
      <c r="F224" s="12">
        <f>IFERROR(INDEX(Tbl_KPIConfig[Unit],MATCH($D224,Tbl_KPIConfig[KPI Name],0)),"")</f>
        <v/>
      </c>
      <c r="G224" s="12">
        <f>IFERROR(INDEX(Tbl_KPIConfig[Target],MATCH($D224,Tbl_KPIConfig[KPI Name],0)),"")</f>
        <v/>
      </c>
      <c r="H224" s="12" t="n">
        <v>0.0275</v>
      </c>
      <c r="I224" s="13">
        <f>IFERROR(IF(INDEX(Tbl_KPIConfig[Direction],MATCH($D224,Tbl_KPIConfig[KPI Name],0))="Lower is Better",IF($H224=0,1,IF($G224=0,0,$G224/$H224)),IF($G224=0,1,$H224/$G224)),0)</f>
        <v/>
      </c>
      <c r="J224" s="12">
        <f>IFERROR(IF($I224&gt;=1,"Green",IF($I224&gt;=INDEX(Tbl_KPIConfig[RAG Threshold %],MATCH($D224,Tbl_KPIConfig[KPI Name],0)),"Amber","Red")),"")</f>
        <v/>
      </c>
      <c r="K224" s="14" t="inlineStr">
        <is>
          <t>Process improvement in progress</t>
        </is>
      </c>
    </row>
    <row r="225">
      <c r="A225" s="7" t="n">
        <v>46190</v>
      </c>
      <c r="B225" s="8">
        <f>IF($A225="","",TEXT($A225,"mmm-yyyy"))</f>
        <v/>
      </c>
      <c r="C225" s="8">
        <f>IF($A225="","","W"&amp;WEEKNUM($A225,2))</f>
        <v/>
      </c>
      <c r="D225" s="8" t="inlineStr">
        <is>
          <t>Training Hours</t>
        </is>
      </c>
      <c r="E225" s="8">
        <f>IFERROR(INDEX(Tbl_KPIConfig[Department],MATCH($D225,Tbl_KPIConfig[KPI Name],0)),"")</f>
        <v/>
      </c>
      <c r="F225" s="8">
        <f>IFERROR(INDEX(Tbl_KPIConfig[Unit],MATCH($D225,Tbl_KPIConfig[KPI Name],0)),"")</f>
        <v/>
      </c>
      <c r="G225" s="8">
        <f>IFERROR(INDEX(Tbl_KPIConfig[Target],MATCH($D225,Tbl_KPIConfig[KPI Name],0)),"")</f>
        <v/>
      </c>
      <c r="H225" s="8" t="n">
        <v>2.23</v>
      </c>
      <c r="I225" s="9">
        <f>IFERROR(IF(INDEX(Tbl_KPIConfig[Direction],MATCH($D225,Tbl_KPIConfig[KPI Name],0))="Lower is Better",IF($H225=0,1,IF($G225=0,0,$G225/$H225)),IF($G225=0,1,$H225/$G225)),0)</f>
        <v/>
      </c>
      <c r="J225" s="8">
        <f>IFERROR(IF($I225&gt;=1,"Green",IF($I225&gt;=INDEX(Tbl_KPIConfig[RAG Threshold %],MATCH($D225,Tbl_KPIConfig[KPI Name],0)),"Amber","Red")),"")</f>
        <v/>
      </c>
      <c r="K225" s="10" t="inlineStr">
        <is>
          <t>Within normal range</t>
        </is>
      </c>
    </row>
    <row r="226">
      <c r="A226" s="11" t="n">
        <v>46190</v>
      </c>
      <c r="B226" s="12">
        <f>IF($A226="","",TEXT($A226,"mmm-yyyy"))</f>
        <v/>
      </c>
      <c r="C226" s="12">
        <f>IF($A226="","","W"&amp;WEEKNUM($A226,2))</f>
        <v/>
      </c>
      <c r="D226" s="12" t="inlineStr">
        <is>
          <t>Milestone Adherence %</t>
        </is>
      </c>
      <c r="E226" s="12">
        <f>IFERROR(INDEX(Tbl_KPIConfig[Department],MATCH($D226,Tbl_KPIConfig[KPI Name],0)),"")</f>
        <v/>
      </c>
      <c r="F226" s="12">
        <f>IFERROR(INDEX(Tbl_KPIConfig[Unit],MATCH($D226,Tbl_KPIConfig[KPI Name],0)),"")</f>
        <v/>
      </c>
      <c r="G226" s="12">
        <f>IFERROR(INDEX(Tbl_KPIConfig[Target],MATCH($D226,Tbl_KPIConfig[KPI Name],0)),"")</f>
        <v/>
      </c>
      <c r="H226" s="12" t="n">
        <v>1.0399</v>
      </c>
      <c r="I226" s="13">
        <f>IFERROR(IF(INDEX(Tbl_KPIConfig[Direction],MATCH($D226,Tbl_KPIConfig[KPI Name],0))="Lower is Better",IF($H226=0,1,IF($G226=0,0,$G226/$H226)),IF($G226=0,1,$H226/$G226)),0)</f>
        <v/>
      </c>
      <c r="J226" s="12">
        <f>IFERROR(IF($I226&gt;=1,"Green",IF($I226&gt;=INDEX(Tbl_KPIConfig[RAG Threshold %],MATCH($D226,Tbl_KPIConfig[KPI Name],0)),"Amber","Red")),"")</f>
        <v/>
      </c>
      <c r="K226" s="14" t="inlineStr">
        <is>
          <t>Awaiting spares</t>
        </is>
      </c>
    </row>
    <row r="227">
      <c r="A227" s="7" t="n">
        <v>46190</v>
      </c>
      <c r="B227" s="8">
        <f>IF($A227="","",TEXT($A227,"mmm-yyyy"))</f>
        <v/>
      </c>
      <c r="C227" s="8">
        <f>IF($A227="","","W"&amp;WEEKNUM($A227,2))</f>
        <v/>
      </c>
      <c r="D227" s="8" t="inlineStr">
        <is>
          <t>Breakdown Resolution (Hrs)</t>
        </is>
      </c>
      <c r="E227" s="8">
        <f>IFERROR(INDEX(Tbl_KPIConfig[Department],MATCH($D227,Tbl_KPIConfig[KPI Name],0)),"")</f>
        <v/>
      </c>
      <c r="F227" s="8">
        <f>IFERROR(INDEX(Tbl_KPIConfig[Unit],MATCH($D227,Tbl_KPIConfig[KPI Name],0)),"")</f>
        <v/>
      </c>
      <c r="G227" s="8">
        <f>IFERROR(INDEX(Tbl_KPIConfig[Target],MATCH($D227,Tbl_KPIConfig[KPI Name],0)),"")</f>
        <v/>
      </c>
      <c r="H227" s="8" t="n">
        <v>2.65</v>
      </c>
      <c r="I227" s="9">
        <f>IFERROR(IF(INDEX(Tbl_KPIConfig[Direction],MATCH($D227,Tbl_KPIConfig[KPI Name],0))="Lower is Better",IF($H227=0,1,IF($G227=0,0,$G227/$H227)),IF($G227=0,1,$H227/$G227)),0)</f>
        <v/>
      </c>
      <c r="J227" s="8">
        <f>IFERROR(IF($I227&gt;=1,"Green",IF($I227&gt;=INDEX(Tbl_KPIConfig[RAG Threshold %],MATCH($D227,Tbl_KPIConfig[KPI Name],0)),"Amber","Red")),"")</f>
        <v/>
      </c>
      <c r="K227" s="10" t="inlineStr">
        <is>
          <t>Within normal range</t>
        </is>
      </c>
    </row>
    <row r="228">
      <c r="A228" s="11" t="n">
        <v>46191</v>
      </c>
      <c r="B228" s="12">
        <f>IF($A228="","",TEXT($A228,"mmm-yyyy"))</f>
        <v/>
      </c>
      <c r="C228" s="12">
        <f>IF($A228="","","W"&amp;WEEKNUM($A228,2))</f>
        <v/>
      </c>
      <c r="D228" s="12" t="inlineStr">
        <is>
          <t>Safety Incidents (LTI)</t>
        </is>
      </c>
      <c r="E228" s="12">
        <f>IFERROR(INDEX(Tbl_KPIConfig[Department],MATCH($D228,Tbl_KPIConfig[KPI Name],0)),"")</f>
        <v/>
      </c>
      <c r="F228" s="12">
        <f>IFERROR(INDEX(Tbl_KPIConfig[Unit],MATCH($D228,Tbl_KPIConfig[KPI Name],0)),"")</f>
        <v/>
      </c>
      <c r="G228" s="12">
        <f>IFERROR(INDEX(Tbl_KPIConfig[Target],MATCH($D228,Tbl_KPIConfig[KPI Name],0)),"")</f>
        <v/>
      </c>
      <c r="H228" s="12" t="n">
        <v>0</v>
      </c>
      <c r="I228" s="13">
        <f>IFERROR(IF(INDEX(Tbl_KPIConfig[Direction],MATCH($D228,Tbl_KPIConfig[KPI Name],0))="Lower is Better",IF($H228=0,1,IF($G228=0,0,$G228/$H228)),IF($G228=0,1,$H228/$G228)),0)</f>
        <v/>
      </c>
      <c r="J228" s="12">
        <f>IFERROR(IF($I228&gt;=1,"Green",IF($I228&gt;=INDEX(Tbl_KPIConfig[RAG Threshold %],MATCH($D228,Tbl_KPIConfig[KPI Name],0)),"Amber","Red")),"")</f>
        <v/>
      </c>
      <c r="K228" s="14" t="inlineStr">
        <is>
          <t>Process improvement in progress</t>
        </is>
      </c>
    </row>
    <row r="229">
      <c r="A229" s="7" t="n">
        <v>46191</v>
      </c>
      <c r="B229" s="8">
        <f>IF($A229="","",TEXT($A229,"mmm-yyyy"))</f>
        <v/>
      </c>
      <c r="C229" s="8">
        <f>IF($A229="","","W"&amp;WEEKNUM($A229,2))</f>
        <v/>
      </c>
      <c r="D229" s="8" t="inlineStr">
        <is>
          <t>Near Miss Reports</t>
        </is>
      </c>
      <c r="E229" s="8">
        <f>IFERROR(INDEX(Tbl_KPIConfig[Department],MATCH($D229,Tbl_KPIConfig[KPI Name],0)),"")</f>
        <v/>
      </c>
      <c r="F229" s="8">
        <f>IFERROR(INDEX(Tbl_KPIConfig[Unit],MATCH($D229,Tbl_KPIConfig[KPI Name],0)),"")</f>
        <v/>
      </c>
      <c r="G229" s="8">
        <f>IFERROR(INDEX(Tbl_KPIConfig[Target],MATCH($D229,Tbl_KPIConfig[KPI Name],0)),"")</f>
        <v/>
      </c>
      <c r="H229" s="8" t="n">
        <v>2</v>
      </c>
      <c r="I229" s="9">
        <f>IFERROR(IF(INDEX(Tbl_KPIConfig[Direction],MATCH($D229,Tbl_KPIConfig[KPI Name],0))="Lower is Better",IF($H229=0,1,IF($G229=0,0,$G229/$H229)),IF($G229=0,1,$H229/$G229)),0)</f>
        <v/>
      </c>
      <c r="J229" s="8">
        <f>IFERROR(IF($I229&gt;=1,"Green",IF($I229&gt;=INDEX(Tbl_KPIConfig[RAG Threshold %],MATCH($D229,Tbl_KPIConfig[KPI Name],0)),"Amber","Red")),"")</f>
        <v/>
      </c>
      <c r="K229" s="10" t="inlineStr">
        <is>
          <t>Within normal range</t>
        </is>
      </c>
    </row>
    <row r="230">
      <c r="A230" s="11" t="n">
        <v>46191</v>
      </c>
      <c r="B230" s="12">
        <f>IF($A230="","",TEXT($A230,"mmm-yyyy"))</f>
        <v/>
      </c>
      <c r="C230" s="12">
        <f>IF($A230="","","W"&amp;WEEKNUM($A230,2))</f>
        <v/>
      </c>
      <c r="D230" s="12" t="inlineStr">
        <is>
          <t>Production Output</t>
        </is>
      </c>
      <c r="E230" s="12">
        <f>IFERROR(INDEX(Tbl_KPIConfig[Department],MATCH($D230,Tbl_KPIConfig[KPI Name],0)),"")</f>
        <v/>
      </c>
      <c r="F230" s="12">
        <f>IFERROR(INDEX(Tbl_KPIConfig[Unit],MATCH($D230,Tbl_KPIConfig[KPI Name],0)),"")</f>
        <v/>
      </c>
      <c r="G230" s="12">
        <f>IFERROR(INDEX(Tbl_KPIConfig[Target],MATCH($D230,Tbl_KPIConfig[KPI Name],0)),"")</f>
        <v/>
      </c>
      <c r="H230" s="12" t="n">
        <v>939.23</v>
      </c>
      <c r="I230" s="13">
        <f>IFERROR(IF(INDEX(Tbl_KPIConfig[Direction],MATCH($D230,Tbl_KPIConfig[KPI Name],0))="Lower is Better",IF($H230=0,1,IF($G230=0,0,$G230/$H230)),IF($G230=0,1,$H230/$G230)),0)</f>
        <v/>
      </c>
      <c r="J230" s="12">
        <f>IFERROR(IF($I230&gt;=1,"Green",IF($I230&gt;=INDEX(Tbl_KPIConfig[RAG Threshold %],MATCH($D230,Tbl_KPIConfig[KPI Name],0)),"Amber","Red")),"")</f>
        <v/>
      </c>
      <c r="K230" s="14" t="inlineStr"/>
    </row>
    <row r="231">
      <c r="A231" s="7" t="n">
        <v>46191</v>
      </c>
      <c r="B231" s="8">
        <f>IF($A231="","",TEXT($A231,"mmm-yyyy"))</f>
        <v/>
      </c>
      <c r="C231" s="8">
        <f>IF($A231="","","W"&amp;WEEKNUM($A231,2))</f>
        <v/>
      </c>
      <c r="D231" s="8" t="inlineStr">
        <is>
          <t>OEE %</t>
        </is>
      </c>
      <c r="E231" s="8">
        <f>IFERROR(INDEX(Tbl_KPIConfig[Department],MATCH($D231,Tbl_KPIConfig[KPI Name],0)),"")</f>
        <v/>
      </c>
      <c r="F231" s="8">
        <f>IFERROR(INDEX(Tbl_KPIConfig[Unit],MATCH($D231,Tbl_KPIConfig[KPI Name],0)),"")</f>
        <v/>
      </c>
      <c r="G231" s="8">
        <f>IFERROR(INDEX(Tbl_KPIConfig[Target],MATCH($D231,Tbl_KPIConfig[KPI Name],0)),"")</f>
        <v/>
      </c>
      <c r="H231" s="8" t="n">
        <v>0.9438</v>
      </c>
      <c r="I231" s="9">
        <f>IFERROR(IF(INDEX(Tbl_KPIConfig[Direction],MATCH($D231,Tbl_KPIConfig[KPI Name],0))="Lower is Better",IF($H231=0,1,IF($G231=0,0,$G231/$H231)),IF($G231=0,1,$H231/$G231)),0)</f>
        <v/>
      </c>
      <c r="J231" s="8">
        <f>IFERROR(IF($I231&gt;=1,"Green",IF($I231&gt;=INDEX(Tbl_KPIConfig[RAG Threshold %],MATCH($D231,Tbl_KPIConfig[KPI Name],0)),"Amber","Red")),"")</f>
        <v/>
      </c>
      <c r="K231" s="10" t="inlineStr">
        <is>
          <t>Within normal range</t>
        </is>
      </c>
    </row>
    <row r="232">
      <c r="A232" s="11" t="n">
        <v>46191</v>
      </c>
      <c r="B232" s="12">
        <f>IF($A232="","",TEXT($A232,"mmm-yyyy"))</f>
        <v/>
      </c>
      <c r="C232" s="12">
        <f>IF($A232="","","W"&amp;WEEKNUM($A232,2))</f>
        <v/>
      </c>
      <c r="D232" s="12" t="inlineStr">
        <is>
          <t>Defect Rate %</t>
        </is>
      </c>
      <c r="E232" s="12">
        <f>IFERROR(INDEX(Tbl_KPIConfig[Department],MATCH($D232,Tbl_KPIConfig[KPI Name],0)),"")</f>
        <v/>
      </c>
      <c r="F232" s="12">
        <f>IFERROR(INDEX(Tbl_KPIConfig[Unit],MATCH($D232,Tbl_KPIConfig[KPI Name],0)),"")</f>
        <v/>
      </c>
      <c r="G232" s="12">
        <f>IFERROR(INDEX(Tbl_KPIConfig[Target],MATCH($D232,Tbl_KPIConfig[KPI Name],0)),"")</f>
        <v/>
      </c>
      <c r="H232" s="12" t="n">
        <v>0.0163</v>
      </c>
      <c r="I232" s="13">
        <f>IFERROR(IF(INDEX(Tbl_KPIConfig[Direction],MATCH($D232,Tbl_KPIConfig[KPI Name],0))="Lower is Better",IF($H232=0,1,IF($G232=0,0,$G232/$H232)),IF($G232=0,1,$H232/$G232)),0)</f>
        <v/>
      </c>
      <c r="J232" s="12">
        <f>IFERROR(IF($I232&gt;=1,"Green",IF($I232&gt;=INDEX(Tbl_KPIConfig[RAG Threshold %],MATCH($D232,Tbl_KPIConfig[KPI Name],0)),"Amber","Red")),"")</f>
        <v/>
      </c>
      <c r="K232" s="14" t="inlineStr">
        <is>
          <t>Line changeover impact</t>
        </is>
      </c>
    </row>
    <row r="233">
      <c r="A233" s="7" t="n">
        <v>46191</v>
      </c>
      <c r="B233" s="8">
        <f>IF($A233="","",TEXT($A233,"mmm-yyyy"))</f>
        <v/>
      </c>
      <c r="C233" s="8">
        <f>IF($A233="","","W"&amp;WEEKNUM($A233,2))</f>
        <v/>
      </c>
      <c r="D233" s="8" t="inlineStr">
        <is>
          <t>Customer Complaints</t>
        </is>
      </c>
      <c r="E233" s="8">
        <f>IFERROR(INDEX(Tbl_KPIConfig[Department],MATCH($D233,Tbl_KPIConfig[KPI Name],0)),"")</f>
        <v/>
      </c>
      <c r="F233" s="8">
        <f>IFERROR(INDEX(Tbl_KPIConfig[Unit],MATCH($D233,Tbl_KPIConfig[KPI Name],0)),"")</f>
        <v/>
      </c>
      <c r="G233" s="8">
        <f>IFERROR(INDEX(Tbl_KPIConfig[Target],MATCH($D233,Tbl_KPIConfig[KPI Name],0)),"")</f>
        <v/>
      </c>
      <c r="H233" s="8" t="n">
        <v>1</v>
      </c>
      <c r="I233" s="9">
        <f>IFERROR(IF(INDEX(Tbl_KPIConfig[Direction],MATCH($D233,Tbl_KPIConfig[KPI Name],0))="Lower is Better",IF($H233=0,1,IF($G233=0,0,$G233/$H233)),IF($G233=0,1,$H233/$G233)),0)</f>
        <v/>
      </c>
      <c r="J233" s="8">
        <f>IFERROR(IF($I233&gt;=1,"Green",IF($I233&gt;=INDEX(Tbl_KPIConfig[RAG Threshold %],MATCH($D233,Tbl_KPIConfig[KPI Name],0)),"Amber","Red")),"")</f>
        <v/>
      </c>
      <c r="K233" s="10" t="inlineStr">
        <is>
          <t>Process improvement in progress</t>
        </is>
      </c>
    </row>
    <row r="234">
      <c r="A234" s="11" t="n">
        <v>46191</v>
      </c>
      <c r="B234" s="12">
        <f>IF($A234="","",TEXT($A234,"mmm-yyyy"))</f>
        <v/>
      </c>
      <c r="C234" s="12">
        <f>IF($A234="","","W"&amp;WEEKNUM($A234,2))</f>
        <v/>
      </c>
      <c r="D234" s="12" t="inlineStr">
        <is>
          <t>Unplanned Downtime (Hrs)</t>
        </is>
      </c>
      <c r="E234" s="12">
        <f>IFERROR(INDEX(Tbl_KPIConfig[Department],MATCH($D234,Tbl_KPIConfig[KPI Name],0)),"")</f>
        <v/>
      </c>
      <c r="F234" s="12">
        <f>IFERROR(INDEX(Tbl_KPIConfig[Unit],MATCH($D234,Tbl_KPIConfig[KPI Name],0)),"")</f>
        <v/>
      </c>
      <c r="G234" s="12">
        <f>IFERROR(INDEX(Tbl_KPIConfig[Target],MATCH($D234,Tbl_KPIConfig[KPI Name],0)),"")</f>
        <v/>
      </c>
      <c r="H234" s="12" t="n">
        <v>0.89</v>
      </c>
      <c r="I234" s="13">
        <f>IFERROR(IF(INDEX(Tbl_KPIConfig[Direction],MATCH($D234,Tbl_KPIConfig[KPI Name],0))="Lower is Better",IF($H234=0,1,IF($G234=0,0,$G234/$H234)),IF($G234=0,1,$H234/$G234)),0)</f>
        <v/>
      </c>
      <c r="J234" s="12">
        <f>IFERROR(IF($I234&gt;=1,"Green",IF($I234&gt;=INDEX(Tbl_KPIConfig[RAG Threshold %],MATCH($D234,Tbl_KPIConfig[KPI Name],0)),"Amber","Red")),"")</f>
        <v/>
      </c>
      <c r="K234" s="14" t="inlineStr">
        <is>
          <t>Process improvement in progress</t>
        </is>
      </c>
    </row>
    <row r="235">
      <c r="A235" s="7" t="n">
        <v>46191</v>
      </c>
      <c r="B235" s="8">
        <f>IF($A235="","",TEXT($A235,"mmm-yyyy"))</f>
        <v/>
      </c>
      <c r="C235" s="8">
        <f>IF($A235="","","W"&amp;WEEKNUM($A235,2))</f>
        <v/>
      </c>
      <c r="D235" s="8" t="inlineStr">
        <is>
          <t>PM Compliance %</t>
        </is>
      </c>
      <c r="E235" s="8">
        <f>IFERROR(INDEX(Tbl_KPIConfig[Department],MATCH($D235,Tbl_KPIConfig[KPI Name],0)),"")</f>
        <v/>
      </c>
      <c r="F235" s="8">
        <f>IFERROR(INDEX(Tbl_KPIConfig[Unit],MATCH($D235,Tbl_KPIConfig[KPI Name],0)),"")</f>
        <v/>
      </c>
      <c r="G235" s="8">
        <f>IFERROR(INDEX(Tbl_KPIConfig[Target],MATCH($D235,Tbl_KPIConfig[KPI Name],0)),"")</f>
        <v/>
      </c>
      <c r="H235" s="8" t="n">
        <v>1.0098</v>
      </c>
      <c r="I235" s="9">
        <f>IFERROR(IF(INDEX(Tbl_KPIConfig[Direction],MATCH($D235,Tbl_KPIConfig[KPI Name],0))="Lower is Better",IF($H235=0,1,IF($G235=0,0,$G235/$H235)),IF($G235=0,1,$H235/$G235)),0)</f>
        <v/>
      </c>
      <c r="J235" s="8">
        <f>IFERROR(IF($I235&gt;=1,"Green",IF($I235&gt;=INDEX(Tbl_KPIConfig[RAG Threshold %],MATCH($D235,Tbl_KPIConfig[KPI Name],0)),"Amber","Red")),"")</f>
        <v/>
      </c>
      <c r="K235" s="10" t="inlineStr"/>
    </row>
    <row r="236">
      <c r="A236" s="11" t="n">
        <v>46191</v>
      </c>
      <c r="B236" s="12">
        <f>IF($A236="","",TEXT($A236,"mmm-yyyy"))</f>
        <v/>
      </c>
      <c r="C236" s="12">
        <f>IF($A236="","","W"&amp;WEEKNUM($A236,2))</f>
        <v/>
      </c>
      <c r="D236" s="12" t="inlineStr">
        <is>
          <t>Power Consumption (kWh)</t>
        </is>
      </c>
      <c r="E236" s="12">
        <f>IFERROR(INDEX(Tbl_KPIConfig[Department],MATCH($D236,Tbl_KPIConfig[KPI Name],0)),"")</f>
        <v/>
      </c>
      <c r="F236" s="12">
        <f>IFERROR(INDEX(Tbl_KPIConfig[Unit],MATCH($D236,Tbl_KPIConfig[KPI Name],0)),"")</f>
        <v/>
      </c>
      <c r="G236" s="12">
        <f>IFERROR(INDEX(Tbl_KPIConfig[Target],MATCH($D236,Tbl_KPIConfig[KPI Name],0)),"")</f>
        <v/>
      </c>
      <c r="H236" s="12" t="n">
        <v>4556.15</v>
      </c>
      <c r="I236" s="13">
        <f>IFERROR(IF(INDEX(Tbl_KPIConfig[Direction],MATCH($D236,Tbl_KPIConfig[KPI Name],0))="Lower is Better",IF($H236=0,1,IF($G236=0,0,$G236/$H236)),IF($G236=0,1,$H236/$G236)),0)</f>
        <v/>
      </c>
      <c r="J236" s="12">
        <f>IFERROR(IF($I236&gt;=1,"Green",IF($I236&gt;=INDEX(Tbl_KPIConfig[RAG Threshold %],MATCH($D236,Tbl_KPIConfig[KPI Name],0)),"Amber","Red")),"")</f>
        <v/>
      </c>
      <c r="K236" s="14" t="inlineStr">
        <is>
          <t>Line changeover impact</t>
        </is>
      </c>
    </row>
    <row r="237">
      <c r="A237" s="7" t="n">
        <v>46191</v>
      </c>
      <c r="B237" s="8">
        <f>IF($A237="","",TEXT($A237,"mmm-yyyy"))</f>
        <v/>
      </c>
      <c r="C237" s="8">
        <f>IF($A237="","","W"&amp;WEEKNUM($A237,2))</f>
        <v/>
      </c>
      <c r="D237" s="8" t="inlineStr">
        <is>
          <t>On-Time Dispatch %</t>
        </is>
      </c>
      <c r="E237" s="8">
        <f>IFERROR(INDEX(Tbl_KPIConfig[Department],MATCH($D237,Tbl_KPIConfig[KPI Name],0)),"")</f>
        <v/>
      </c>
      <c r="F237" s="8">
        <f>IFERROR(INDEX(Tbl_KPIConfig[Unit],MATCH($D237,Tbl_KPIConfig[KPI Name],0)),"")</f>
        <v/>
      </c>
      <c r="G237" s="8">
        <f>IFERROR(INDEX(Tbl_KPIConfig[Target],MATCH($D237,Tbl_KPIConfig[KPI Name],0)),"")</f>
        <v/>
      </c>
      <c r="H237" s="8" t="n">
        <v>0.8751</v>
      </c>
      <c r="I237" s="9">
        <f>IFERROR(IF(INDEX(Tbl_KPIConfig[Direction],MATCH($D237,Tbl_KPIConfig[KPI Name],0))="Lower is Better",IF($H237=0,1,IF($G237=0,0,$G237/$H237)),IF($G237=0,1,$H237/$G237)),0)</f>
        <v/>
      </c>
      <c r="J237" s="8">
        <f>IFERROR(IF($I237&gt;=1,"Green",IF($I237&gt;=INDEX(Tbl_KPIConfig[RAG Threshold %],MATCH($D237,Tbl_KPIConfig[KPI Name],0)),"Amber","Red")),"")</f>
        <v/>
      </c>
      <c r="K237" s="10" t="inlineStr">
        <is>
          <t>Within normal range</t>
        </is>
      </c>
    </row>
    <row r="238">
      <c r="A238" s="11" t="n">
        <v>46191</v>
      </c>
      <c r="B238" s="12">
        <f>IF($A238="","",TEXT($A238,"mmm-yyyy"))</f>
        <v/>
      </c>
      <c r="C238" s="12">
        <f>IF($A238="","","W"&amp;WEEKNUM($A238,2))</f>
        <v/>
      </c>
      <c r="D238" s="12" t="inlineStr">
        <is>
          <t>Inventory Accuracy %</t>
        </is>
      </c>
      <c r="E238" s="12">
        <f>IFERROR(INDEX(Tbl_KPIConfig[Department],MATCH($D238,Tbl_KPIConfig[KPI Name],0)),"")</f>
        <v/>
      </c>
      <c r="F238" s="12">
        <f>IFERROR(INDEX(Tbl_KPIConfig[Unit],MATCH($D238,Tbl_KPIConfig[KPI Name],0)),"")</f>
        <v/>
      </c>
      <c r="G238" s="12">
        <f>IFERROR(INDEX(Tbl_KPIConfig[Target],MATCH($D238,Tbl_KPIConfig[KPI Name],0)),"")</f>
        <v/>
      </c>
      <c r="H238" s="12" t="n">
        <v>0.851</v>
      </c>
      <c r="I238" s="13">
        <f>IFERROR(IF(INDEX(Tbl_KPIConfig[Direction],MATCH($D238,Tbl_KPIConfig[KPI Name],0))="Lower is Better",IF($H238=0,1,IF($G238=0,0,$G238/$H238)),IF($G238=0,1,$H238/$G238)),0)</f>
        <v/>
      </c>
      <c r="J238" s="12">
        <f>IFERROR(IF($I238&gt;=1,"Green",IF($I238&gt;=INDEX(Tbl_KPIConfig[RAG Threshold %],MATCH($D238,Tbl_KPIConfig[KPI Name],0)),"Amber","Red")),"")</f>
        <v/>
      </c>
      <c r="K238" s="14" t="inlineStr">
        <is>
          <t>Process improvement in progress</t>
        </is>
      </c>
    </row>
    <row r="239">
      <c r="A239" s="7" t="n">
        <v>46191</v>
      </c>
      <c r="B239" s="8">
        <f>IF($A239="","",TEXT($A239,"mmm-yyyy"))</f>
        <v/>
      </c>
      <c r="C239" s="8">
        <f>IF($A239="","","W"&amp;WEEKNUM($A239,2))</f>
        <v/>
      </c>
      <c r="D239" s="8" t="inlineStr">
        <is>
          <t>Absenteeism %</t>
        </is>
      </c>
      <c r="E239" s="8">
        <f>IFERROR(INDEX(Tbl_KPIConfig[Department],MATCH($D239,Tbl_KPIConfig[KPI Name],0)),"")</f>
        <v/>
      </c>
      <c r="F239" s="8">
        <f>IFERROR(INDEX(Tbl_KPIConfig[Unit],MATCH($D239,Tbl_KPIConfig[KPI Name],0)),"")</f>
        <v/>
      </c>
      <c r="G239" s="8">
        <f>IFERROR(INDEX(Tbl_KPIConfig[Target],MATCH($D239,Tbl_KPIConfig[KPI Name],0)),"")</f>
        <v/>
      </c>
      <c r="H239" s="8" t="n">
        <v>0.0282</v>
      </c>
      <c r="I239" s="9">
        <f>IFERROR(IF(INDEX(Tbl_KPIConfig[Direction],MATCH($D239,Tbl_KPIConfig[KPI Name],0))="Lower is Better",IF($H239=0,1,IF($G239=0,0,$G239/$H239)),IF($G239=0,1,$H239/$G239)),0)</f>
        <v/>
      </c>
      <c r="J239" s="8">
        <f>IFERROR(IF($I239&gt;=1,"Green",IF($I239&gt;=INDEX(Tbl_KPIConfig[RAG Threshold %],MATCH($D239,Tbl_KPIConfig[KPI Name],0)),"Amber","Red")),"")</f>
        <v/>
      </c>
      <c r="K239" s="10" t="inlineStr">
        <is>
          <t>Vendor delay</t>
        </is>
      </c>
    </row>
    <row r="240">
      <c r="A240" s="11" t="n">
        <v>46191</v>
      </c>
      <c r="B240" s="12">
        <f>IF($A240="","",TEXT($A240,"mmm-yyyy"))</f>
        <v/>
      </c>
      <c r="C240" s="12">
        <f>IF($A240="","","W"&amp;WEEKNUM($A240,2))</f>
        <v/>
      </c>
      <c r="D240" s="12" t="inlineStr">
        <is>
          <t>Training Hours</t>
        </is>
      </c>
      <c r="E240" s="12">
        <f>IFERROR(INDEX(Tbl_KPIConfig[Department],MATCH($D240,Tbl_KPIConfig[KPI Name],0)),"")</f>
        <v/>
      </c>
      <c r="F240" s="12">
        <f>IFERROR(INDEX(Tbl_KPIConfig[Unit],MATCH($D240,Tbl_KPIConfig[KPI Name],0)),"")</f>
        <v/>
      </c>
      <c r="G240" s="12">
        <f>IFERROR(INDEX(Tbl_KPIConfig[Target],MATCH($D240,Tbl_KPIConfig[KPI Name],0)),"")</f>
        <v/>
      </c>
      <c r="H240" s="12" t="n">
        <v>1.75</v>
      </c>
      <c r="I240" s="13">
        <f>IFERROR(IF(INDEX(Tbl_KPIConfig[Direction],MATCH($D240,Tbl_KPIConfig[KPI Name],0))="Lower is Better",IF($H240=0,1,IF($G240=0,0,$G240/$H240)),IF($G240=0,1,$H240/$G240)),0)</f>
        <v/>
      </c>
      <c r="J240" s="12">
        <f>IFERROR(IF($I240&gt;=1,"Green",IF($I240&gt;=INDEX(Tbl_KPIConfig[RAG Threshold %],MATCH($D240,Tbl_KPIConfig[KPI Name],0)),"Amber","Red")),"")</f>
        <v/>
      </c>
      <c r="K240" s="14" t="inlineStr"/>
    </row>
    <row r="241">
      <c r="A241" s="7" t="n">
        <v>46191</v>
      </c>
      <c r="B241" s="8">
        <f>IF($A241="","",TEXT($A241,"mmm-yyyy"))</f>
        <v/>
      </c>
      <c r="C241" s="8">
        <f>IF($A241="","","W"&amp;WEEKNUM($A241,2))</f>
        <v/>
      </c>
      <c r="D241" s="8" t="inlineStr">
        <is>
          <t>Milestone Adherence %</t>
        </is>
      </c>
      <c r="E241" s="8">
        <f>IFERROR(INDEX(Tbl_KPIConfig[Department],MATCH($D241,Tbl_KPIConfig[KPI Name],0)),"")</f>
        <v/>
      </c>
      <c r="F241" s="8">
        <f>IFERROR(INDEX(Tbl_KPIConfig[Unit],MATCH($D241,Tbl_KPIConfig[KPI Name],0)),"")</f>
        <v/>
      </c>
      <c r="G241" s="8">
        <f>IFERROR(INDEX(Tbl_KPIConfig[Target],MATCH($D241,Tbl_KPIConfig[KPI Name],0)),"")</f>
        <v/>
      </c>
      <c r="H241" s="8" t="n">
        <v>0.8986</v>
      </c>
      <c r="I241" s="9">
        <f>IFERROR(IF(INDEX(Tbl_KPIConfig[Direction],MATCH($D241,Tbl_KPIConfig[KPI Name],0))="Lower is Better",IF($H241=0,1,IF($G241=0,0,$G241/$H241)),IF($G241=0,1,$H241/$G241)),0)</f>
        <v/>
      </c>
      <c r="J241" s="8">
        <f>IFERROR(IF($I241&gt;=1,"Green",IF($I241&gt;=INDEX(Tbl_KPIConfig[RAG Threshold %],MATCH($D241,Tbl_KPIConfig[KPI Name],0)),"Amber","Red")),"")</f>
        <v/>
      </c>
      <c r="K241" s="10" t="inlineStr">
        <is>
          <t>Process improvement in progress</t>
        </is>
      </c>
    </row>
    <row r="242">
      <c r="A242" s="11" t="n">
        <v>46191</v>
      </c>
      <c r="B242" s="12">
        <f>IF($A242="","",TEXT($A242,"mmm-yyyy"))</f>
        <v/>
      </c>
      <c r="C242" s="12">
        <f>IF($A242="","","W"&amp;WEEKNUM($A242,2))</f>
        <v/>
      </c>
      <c r="D242" s="12" t="inlineStr">
        <is>
          <t>Breakdown Resolution (Hrs)</t>
        </is>
      </c>
      <c r="E242" s="12">
        <f>IFERROR(INDEX(Tbl_KPIConfig[Department],MATCH($D242,Tbl_KPIConfig[KPI Name],0)),"")</f>
        <v/>
      </c>
      <c r="F242" s="12">
        <f>IFERROR(INDEX(Tbl_KPIConfig[Unit],MATCH($D242,Tbl_KPIConfig[KPI Name],0)),"")</f>
        <v/>
      </c>
      <c r="G242" s="12">
        <f>IFERROR(INDEX(Tbl_KPIConfig[Target],MATCH($D242,Tbl_KPIConfig[KPI Name],0)),"")</f>
        <v/>
      </c>
      <c r="H242" s="12" t="n">
        <v>1.72</v>
      </c>
      <c r="I242" s="13">
        <f>IFERROR(IF(INDEX(Tbl_KPIConfig[Direction],MATCH($D242,Tbl_KPIConfig[KPI Name],0))="Lower is Better",IF($H242=0,1,IF($G242=0,0,$G242/$H242)),IF($G242=0,1,$H242/$G242)),0)</f>
        <v/>
      </c>
      <c r="J242" s="12">
        <f>IFERROR(IF($I242&gt;=1,"Green",IF($I242&gt;=INDEX(Tbl_KPIConfig[RAG Threshold %],MATCH($D242,Tbl_KPIConfig[KPI Name],0)),"Amber","Red")),"")</f>
        <v/>
      </c>
      <c r="K242" s="14" t="inlineStr">
        <is>
          <t>Line changeover impact</t>
        </is>
      </c>
    </row>
    <row r="243">
      <c r="A243" s="7" t="n">
        <v>46192</v>
      </c>
      <c r="B243" s="8">
        <f>IF($A243="","",TEXT($A243,"mmm-yyyy"))</f>
        <v/>
      </c>
      <c r="C243" s="8">
        <f>IF($A243="","","W"&amp;WEEKNUM($A243,2))</f>
        <v/>
      </c>
      <c r="D243" s="8" t="inlineStr">
        <is>
          <t>Safety Incidents (LTI)</t>
        </is>
      </c>
      <c r="E243" s="8">
        <f>IFERROR(INDEX(Tbl_KPIConfig[Department],MATCH($D243,Tbl_KPIConfig[KPI Name],0)),"")</f>
        <v/>
      </c>
      <c r="F243" s="8">
        <f>IFERROR(INDEX(Tbl_KPIConfig[Unit],MATCH($D243,Tbl_KPIConfig[KPI Name],0)),"")</f>
        <v/>
      </c>
      <c r="G243" s="8">
        <f>IFERROR(INDEX(Tbl_KPIConfig[Target],MATCH($D243,Tbl_KPIConfig[KPI Name],0)),"")</f>
        <v/>
      </c>
      <c r="H243" s="8" t="n">
        <v>1</v>
      </c>
      <c r="I243" s="9">
        <f>IFERROR(IF(INDEX(Tbl_KPIConfig[Direction],MATCH($D243,Tbl_KPIConfig[KPI Name],0))="Lower is Better",IF($H243=0,1,IF($G243=0,0,$G243/$H243)),IF($G243=0,1,$H243/$G243)),0)</f>
        <v/>
      </c>
      <c r="J243" s="8">
        <f>IFERROR(IF($I243&gt;=1,"Green",IF($I243&gt;=INDEX(Tbl_KPIConfig[RAG Threshold %],MATCH($D243,Tbl_KPIConfig[KPI Name],0)),"Amber","Red")),"")</f>
        <v/>
      </c>
      <c r="K243" s="10" t="inlineStr">
        <is>
          <t>Line changeover impact</t>
        </is>
      </c>
    </row>
    <row r="244">
      <c r="A244" s="11" t="n">
        <v>46192</v>
      </c>
      <c r="B244" s="12">
        <f>IF($A244="","",TEXT($A244,"mmm-yyyy"))</f>
        <v/>
      </c>
      <c r="C244" s="12">
        <f>IF($A244="","","W"&amp;WEEKNUM($A244,2))</f>
        <v/>
      </c>
      <c r="D244" s="12" t="inlineStr">
        <is>
          <t>Near Miss Reports</t>
        </is>
      </c>
      <c r="E244" s="12">
        <f>IFERROR(INDEX(Tbl_KPIConfig[Department],MATCH($D244,Tbl_KPIConfig[KPI Name],0)),"")</f>
        <v/>
      </c>
      <c r="F244" s="12">
        <f>IFERROR(INDEX(Tbl_KPIConfig[Unit],MATCH($D244,Tbl_KPIConfig[KPI Name],0)),"")</f>
        <v/>
      </c>
      <c r="G244" s="12">
        <f>IFERROR(INDEX(Tbl_KPIConfig[Target],MATCH($D244,Tbl_KPIConfig[KPI Name],0)),"")</f>
        <v/>
      </c>
      <c r="H244" s="12" t="n">
        <v>2</v>
      </c>
      <c r="I244" s="13">
        <f>IFERROR(IF(INDEX(Tbl_KPIConfig[Direction],MATCH($D244,Tbl_KPIConfig[KPI Name],0))="Lower is Better",IF($H244=0,1,IF($G244=0,0,$G244/$H244)),IF($G244=0,1,$H244/$G244)),0)</f>
        <v/>
      </c>
      <c r="J244" s="12">
        <f>IFERROR(IF($I244&gt;=1,"Green",IF($I244&gt;=INDEX(Tbl_KPIConfig[RAG Threshold %],MATCH($D244,Tbl_KPIConfig[KPI Name],0)),"Amber","Red")),"")</f>
        <v/>
      </c>
      <c r="K244" s="14" t="inlineStr"/>
    </row>
    <row r="245">
      <c r="A245" s="7" t="n">
        <v>46192</v>
      </c>
      <c r="B245" s="8">
        <f>IF($A245="","",TEXT($A245,"mmm-yyyy"))</f>
        <v/>
      </c>
      <c r="C245" s="8">
        <f>IF($A245="","","W"&amp;WEEKNUM($A245,2))</f>
        <v/>
      </c>
      <c r="D245" s="8" t="inlineStr">
        <is>
          <t>Production Output</t>
        </is>
      </c>
      <c r="E245" s="8">
        <f>IFERROR(INDEX(Tbl_KPIConfig[Department],MATCH($D245,Tbl_KPIConfig[KPI Name],0)),"")</f>
        <v/>
      </c>
      <c r="F245" s="8">
        <f>IFERROR(INDEX(Tbl_KPIConfig[Unit],MATCH($D245,Tbl_KPIConfig[KPI Name],0)),"")</f>
        <v/>
      </c>
      <c r="G245" s="8">
        <f>IFERROR(INDEX(Tbl_KPIConfig[Target],MATCH($D245,Tbl_KPIConfig[KPI Name],0)),"")</f>
        <v/>
      </c>
      <c r="H245" s="8" t="n">
        <v>981.0700000000001</v>
      </c>
      <c r="I245" s="9">
        <f>IFERROR(IF(INDEX(Tbl_KPIConfig[Direction],MATCH($D245,Tbl_KPIConfig[KPI Name],0))="Lower is Better",IF($H245=0,1,IF($G245=0,0,$G245/$H245)),IF($G245=0,1,$H245/$G245)),0)</f>
        <v/>
      </c>
      <c r="J245" s="8">
        <f>IFERROR(IF($I245&gt;=1,"Green",IF($I245&gt;=INDEX(Tbl_KPIConfig[RAG Threshold %],MATCH($D245,Tbl_KPIConfig[KPI Name],0)),"Amber","Red")),"")</f>
        <v/>
      </c>
      <c r="K245" s="10" t="inlineStr">
        <is>
          <t>Manpower shortage</t>
        </is>
      </c>
    </row>
    <row r="246">
      <c r="A246" s="11" t="n">
        <v>46192</v>
      </c>
      <c r="B246" s="12">
        <f>IF($A246="","",TEXT($A246,"mmm-yyyy"))</f>
        <v/>
      </c>
      <c r="C246" s="12">
        <f>IF($A246="","","W"&amp;WEEKNUM($A246,2))</f>
        <v/>
      </c>
      <c r="D246" s="12" t="inlineStr">
        <is>
          <t>OEE %</t>
        </is>
      </c>
      <c r="E246" s="12">
        <f>IFERROR(INDEX(Tbl_KPIConfig[Department],MATCH($D246,Tbl_KPIConfig[KPI Name],0)),"")</f>
        <v/>
      </c>
      <c r="F246" s="12">
        <f>IFERROR(INDEX(Tbl_KPIConfig[Unit],MATCH($D246,Tbl_KPIConfig[KPI Name],0)),"")</f>
        <v/>
      </c>
      <c r="G246" s="12">
        <f>IFERROR(INDEX(Tbl_KPIConfig[Target],MATCH($D246,Tbl_KPIConfig[KPI Name],0)),"")</f>
        <v/>
      </c>
      <c r="H246" s="12" t="n">
        <v>1.0141</v>
      </c>
      <c r="I246" s="13">
        <f>IFERROR(IF(INDEX(Tbl_KPIConfig[Direction],MATCH($D246,Tbl_KPIConfig[KPI Name],0))="Lower is Better",IF($H246=0,1,IF($G246=0,0,$G246/$H246)),IF($G246=0,1,$H246/$G246)),0)</f>
        <v/>
      </c>
      <c r="J246" s="12">
        <f>IFERROR(IF($I246&gt;=1,"Green",IF($I246&gt;=INDEX(Tbl_KPIConfig[RAG Threshold %],MATCH($D246,Tbl_KPIConfig[KPI Name],0)),"Amber","Red")),"")</f>
        <v/>
      </c>
      <c r="K246" s="14" t="inlineStr">
        <is>
          <t>Vendor delay</t>
        </is>
      </c>
    </row>
    <row r="247">
      <c r="A247" s="7" t="n">
        <v>46192</v>
      </c>
      <c r="B247" s="8">
        <f>IF($A247="","",TEXT($A247,"mmm-yyyy"))</f>
        <v/>
      </c>
      <c r="C247" s="8">
        <f>IF($A247="","","W"&amp;WEEKNUM($A247,2))</f>
        <v/>
      </c>
      <c r="D247" s="8" t="inlineStr">
        <is>
          <t>Defect Rate %</t>
        </is>
      </c>
      <c r="E247" s="8">
        <f>IFERROR(INDEX(Tbl_KPIConfig[Department],MATCH($D247,Tbl_KPIConfig[KPI Name],0)),"")</f>
        <v/>
      </c>
      <c r="F247" s="8">
        <f>IFERROR(INDEX(Tbl_KPIConfig[Unit],MATCH($D247,Tbl_KPIConfig[KPI Name],0)),"")</f>
        <v/>
      </c>
      <c r="G247" s="8">
        <f>IFERROR(INDEX(Tbl_KPIConfig[Target],MATCH($D247,Tbl_KPIConfig[KPI Name],0)),"")</f>
        <v/>
      </c>
      <c r="H247" s="8" t="n">
        <v>0.0228</v>
      </c>
      <c r="I247" s="9">
        <f>IFERROR(IF(INDEX(Tbl_KPIConfig[Direction],MATCH($D247,Tbl_KPIConfig[KPI Name],0))="Lower is Better",IF($H247=0,1,IF($G247=0,0,$G247/$H247)),IF($G247=0,1,$H247/$G247)),0)</f>
        <v/>
      </c>
      <c r="J247" s="8">
        <f>IFERROR(IF($I247&gt;=1,"Green",IF($I247&gt;=INDEX(Tbl_KPIConfig[RAG Threshold %],MATCH($D247,Tbl_KPIConfig[KPI Name],0)),"Amber","Red")),"")</f>
        <v/>
      </c>
      <c r="K247" s="10" t="inlineStr">
        <is>
          <t>Within normal range</t>
        </is>
      </c>
    </row>
    <row r="248">
      <c r="A248" s="11" t="n">
        <v>46192</v>
      </c>
      <c r="B248" s="12">
        <f>IF($A248="","",TEXT($A248,"mmm-yyyy"))</f>
        <v/>
      </c>
      <c r="C248" s="12">
        <f>IF($A248="","","W"&amp;WEEKNUM($A248,2))</f>
        <v/>
      </c>
      <c r="D248" s="12" t="inlineStr">
        <is>
          <t>Customer Complaints</t>
        </is>
      </c>
      <c r="E248" s="12">
        <f>IFERROR(INDEX(Tbl_KPIConfig[Department],MATCH($D248,Tbl_KPIConfig[KPI Name],0)),"")</f>
        <v/>
      </c>
      <c r="F248" s="12">
        <f>IFERROR(INDEX(Tbl_KPIConfig[Unit],MATCH($D248,Tbl_KPIConfig[KPI Name],0)),"")</f>
        <v/>
      </c>
      <c r="G248" s="12">
        <f>IFERROR(INDEX(Tbl_KPIConfig[Target],MATCH($D248,Tbl_KPIConfig[KPI Name],0)),"")</f>
        <v/>
      </c>
      <c r="H248" s="12" t="n">
        <v>0</v>
      </c>
      <c r="I248" s="13">
        <f>IFERROR(IF(INDEX(Tbl_KPIConfig[Direction],MATCH($D248,Tbl_KPIConfig[KPI Name],0))="Lower is Better",IF($H248=0,1,IF($G248=0,0,$G248/$H248)),IF($G248=0,1,$H248/$G248)),0)</f>
        <v/>
      </c>
      <c r="J248" s="12">
        <f>IFERROR(IF($I248&gt;=1,"Green",IF($I248&gt;=INDEX(Tbl_KPIConfig[RAG Threshold %],MATCH($D248,Tbl_KPIConfig[KPI Name],0)),"Amber","Red")),"")</f>
        <v/>
      </c>
      <c r="K248" s="14" t="inlineStr">
        <is>
          <t>Process improvement in progress</t>
        </is>
      </c>
    </row>
    <row r="249">
      <c r="A249" s="7" t="n">
        <v>46192</v>
      </c>
      <c r="B249" s="8">
        <f>IF($A249="","",TEXT($A249,"mmm-yyyy"))</f>
        <v/>
      </c>
      <c r="C249" s="8">
        <f>IF($A249="","","W"&amp;WEEKNUM($A249,2))</f>
        <v/>
      </c>
      <c r="D249" s="8" t="inlineStr">
        <is>
          <t>Unplanned Downtime (Hrs)</t>
        </is>
      </c>
      <c r="E249" s="8">
        <f>IFERROR(INDEX(Tbl_KPIConfig[Department],MATCH($D249,Tbl_KPIConfig[KPI Name],0)),"")</f>
        <v/>
      </c>
      <c r="F249" s="8">
        <f>IFERROR(INDEX(Tbl_KPIConfig[Unit],MATCH($D249,Tbl_KPIConfig[KPI Name],0)),"")</f>
        <v/>
      </c>
      <c r="G249" s="8">
        <f>IFERROR(INDEX(Tbl_KPIConfig[Target],MATCH($D249,Tbl_KPIConfig[KPI Name],0)),"")</f>
        <v/>
      </c>
      <c r="H249" s="8" t="n">
        <v>0.92</v>
      </c>
      <c r="I249" s="9">
        <f>IFERROR(IF(INDEX(Tbl_KPIConfig[Direction],MATCH($D249,Tbl_KPIConfig[KPI Name],0))="Lower is Better",IF($H249=0,1,IF($G249=0,0,$G249/$H249)),IF($G249=0,1,$H249/$G249)),0)</f>
        <v/>
      </c>
      <c r="J249" s="8">
        <f>IFERROR(IF($I249&gt;=1,"Green",IF($I249&gt;=INDEX(Tbl_KPIConfig[RAG Threshold %],MATCH($D249,Tbl_KPIConfig[KPI Name],0)),"Amber","Red")),"")</f>
        <v/>
      </c>
      <c r="K249" s="10" t="inlineStr">
        <is>
          <t>Within normal range</t>
        </is>
      </c>
    </row>
    <row r="250">
      <c r="A250" s="11" t="n">
        <v>46192</v>
      </c>
      <c r="B250" s="12">
        <f>IF($A250="","",TEXT($A250,"mmm-yyyy"))</f>
        <v/>
      </c>
      <c r="C250" s="12">
        <f>IF($A250="","","W"&amp;WEEKNUM($A250,2))</f>
        <v/>
      </c>
      <c r="D250" s="12" t="inlineStr">
        <is>
          <t>PM Compliance %</t>
        </is>
      </c>
      <c r="E250" s="12">
        <f>IFERROR(INDEX(Tbl_KPIConfig[Department],MATCH($D250,Tbl_KPIConfig[KPI Name],0)),"")</f>
        <v/>
      </c>
      <c r="F250" s="12">
        <f>IFERROR(INDEX(Tbl_KPIConfig[Unit],MATCH($D250,Tbl_KPIConfig[KPI Name],0)),"")</f>
        <v/>
      </c>
      <c r="G250" s="12">
        <f>IFERROR(INDEX(Tbl_KPIConfig[Target],MATCH($D250,Tbl_KPIConfig[KPI Name],0)),"")</f>
        <v/>
      </c>
      <c r="H250" s="12" t="n">
        <v>0.7721</v>
      </c>
      <c r="I250" s="13">
        <f>IFERROR(IF(INDEX(Tbl_KPIConfig[Direction],MATCH($D250,Tbl_KPIConfig[KPI Name],0))="Lower is Better",IF($H250=0,1,IF($G250=0,0,$G250/$H250)),IF($G250=0,1,$H250/$G250)),0)</f>
        <v/>
      </c>
      <c r="J250" s="12">
        <f>IFERROR(IF($I250&gt;=1,"Green",IF($I250&gt;=INDEX(Tbl_KPIConfig[RAG Threshold %],MATCH($D250,Tbl_KPIConfig[KPI Name],0)),"Amber","Red")),"")</f>
        <v/>
      </c>
      <c r="K250" s="14" t="inlineStr">
        <is>
          <t>Within normal range</t>
        </is>
      </c>
    </row>
    <row r="251">
      <c r="A251" s="7" t="n">
        <v>46192</v>
      </c>
      <c r="B251" s="8">
        <f>IF($A251="","",TEXT($A251,"mmm-yyyy"))</f>
        <v/>
      </c>
      <c r="C251" s="8">
        <f>IF($A251="","","W"&amp;WEEKNUM($A251,2))</f>
        <v/>
      </c>
      <c r="D251" s="8" t="inlineStr">
        <is>
          <t>Power Consumption (kWh)</t>
        </is>
      </c>
      <c r="E251" s="8">
        <f>IFERROR(INDEX(Tbl_KPIConfig[Department],MATCH($D251,Tbl_KPIConfig[KPI Name],0)),"")</f>
        <v/>
      </c>
      <c r="F251" s="8">
        <f>IFERROR(INDEX(Tbl_KPIConfig[Unit],MATCH($D251,Tbl_KPIConfig[KPI Name],0)),"")</f>
        <v/>
      </c>
      <c r="G251" s="8">
        <f>IFERROR(INDEX(Tbl_KPIConfig[Target],MATCH($D251,Tbl_KPIConfig[KPI Name],0)),"")</f>
        <v/>
      </c>
      <c r="H251" s="8" t="n">
        <v>4769.56</v>
      </c>
      <c r="I251" s="9">
        <f>IFERROR(IF(INDEX(Tbl_KPIConfig[Direction],MATCH($D251,Tbl_KPIConfig[KPI Name],0))="Lower is Better",IF($H251=0,1,IF($G251=0,0,$G251/$H251)),IF($G251=0,1,$H251/$G251)),0)</f>
        <v/>
      </c>
      <c r="J251" s="8">
        <f>IFERROR(IF($I251&gt;=1,"Green",IF($I251&gt;=INDEX(Tbl_KPIConfig[RAG Threshold %],MATCH($D251,Tbl_KPIConfig[KPI Name],0)),"Amber","Red")),"")</f>
        <v/>
      </c>
      <c r="K251" s="10" t="inlineStr">
        <is>
          <t>Line changeover impact</t>
        </is>
      </c>
    </row>
    <row r="252">
      <c r="A252" s="11" t="n">
        <v>46192</v>
      </c>
      <c r="B252" s="12">
        <f>IF($A252="","",TEXT($A252,"mmm-yyyy"))</f>
        <v/>
      </c>
      <c r="C252" s="12">
        <f>IF($A252="","","W"&amp;WEEKNUM($A252,2))</f>
        <v/>
      </c>
      <c r="D252" s="12" t="inlineStr">
        <is>
          <t>On-Time Dispatch %</t>
        </is>
      </c>
      <c r="E252" s="12">
        <f>IFERROR(INDEX(Tbl_KPIConfig[Department],MATCH($D252,Tbl_KPIConfig[KPI Name],0)),"")</f>
        <v/>
      </c>
      <c r="F252" s="12">
        <f>IFERROR(INDEX(Tbl_KPIConfig[Unit],MATCH($D252,Tbl_KPIConfig[KPI Name],0)),"")</f>
        <v/>
      </c>
      <c r="G252" s="12">
        <f>IFERROR(INDEX(Tbl_KPIConfig[Target],MATCH($D252,Tbl_KPIConfig[KPI Name],0)),"")</f>
        <v/>
      </c>
      <c r="H252" s="12" t="n">
        <v>0.9801</v>
      </c>
      <c r="I252" s="13">
        <f>IFERROR(IF(INDEX(Tbl_KPIConfig[Direction],MATCH($D252,Tbl_KPIConfig[KPI Name],0))="Lower is Better",IF($H252=0,1,IF($G252=0,0,$G252/$H252)),IF($G252=0,1,$H252/$G252)),0)</f>
        <v/>
      </c>
      <c r="J252" s="12">
        <f>IFERROR(IF($I252&gt;=1,"Green",IF($I252&gt;=INDEX(Tbl_KPIConfig[RAG Threshold %],MATCH($D252,Tbl_KPIConfig[KPI Name],0)),"Amber","Red")),"")</f>
        <v/>
      </c>
      <c r="K252" s="14" t="inlineStr">
        <is>
          <t>Line changeover impact</t>
        </is>
      </c>
    </row>
    <row r="253">
      <c r="A253" s="7" t="n">
        <v>46192</v>
      </c>
      <c r="B253" s="8">
        <f>IF($A253="","",TEXT($A253,"mmm-yyyy"))</f>
        <v/>
      </c>
      <c r="C253" s="8">
        <f>IF($A253="","","W"&amp;WEEKNUM($A253,2))</f>
        <v/>
      </c>
      <c r="D253" s="8" t="inlineStr">
        <is>
          <t>Inventory Accuracy %</t>
        </is>
      </c>
      <c r="E253" s="8">
        <f>IFERROR(INDEX(Tbl_KPIConfig[Department],MATCH($D253,Tbl_KPIConfig[KPI Name],0)),"")</f>
        <v/>
      </c>
      <c r="F253" s="8">
        <f>IFERROR(INDEX(Tbl_KPIConfig[Unit],MATCH($D253,Tbl_KPIConfig[KPI Name],0)),"")</f>
        <v/>
      </c>
      <c r="G253" s="8">
        <f>IFERROR(INDEX(Tbl_KPIConfig[Target],MATCH($D253,Tbl_KPIConfig[KPI Name],0)),"")</f>
        <v/>
      </c>
      <c r="H253" s="8" t="n">
        <v>0.9288999999999999</v>
      </c>
      <c r="I253" s="9">
        <f>IFERROR(IF(INDEX(Tbl_KPIConfig[Direction],MATCH($D253,Tbl_KPIConfig[KPI Name],0))="Lower is Better",IF($H253=0,1,IF($G253=0,0,$G253/$H253)),IF($G253=0,1,$H253/$G253)),0)</f>
        <v/>
      </c>
      <c r="J253" s="8">
        <f>IFERROR(IF($I253&gt;=1,"Green",IF($I253&gt;=INDEX(Tbl_KPIConfig[RAG Threshold %],MATCH($D253,Tbl_KPIConfig[KPI Name],0)),"Amber","Red")),"")</f>
        <v/>
      </c>
      <c r="K253" s="10" t="inlineStr">
        <is>
          <t>Manpower shortage</t>
        </is>
      </c>
    </row>
    <row r="254">
      <c r="A254" s="11" t="n">
        <v>46192</v>
      </c>
      <c r="B254" s="12">
        <f>IF($A254="","",TEXT($A254,"mmm-yyyy"))</f>
        <v/>
      </c>
      <c r="C254" s="12">
        <f>IF($A254="","","W"&amp;WEEKNUM($A254,2))</f>
        <v/>
      </c>
      <c r="D254" s="12" t="inlineStr">
        <is>
          <t>Absenteeism %</t>
        </is>
      </c>
      <c r="E254" s="12">
        <f>IFERROR(INDEX(Tbl_KPIConfig[Department],MATCH($D254,Tbl_KPIConfig[KPI Name],0)),"")</f>
        <v/>
      </c>
      <c r="F254" s="12">
        <f>IFERROR(INDEX(Tbl_KPIConfig[Unit],MATCH($D254,Tbl_KPIConfig[KPI Name],0)),"")</f>
        <v/>
      </c>
      <c r="G254" s="12">
        <f>IFERROR(INDEX(Tbl_KPIConfig[Target],MATCH($D254,Tbl_KPIConfig[KPI Name],0)),"")</f>
        <v/>
      </c>
      <c r="H254" s="12" t="n">
        <v>0.041</v>
      </c>
      <c r="I254" s="13">
        <f>IFERROR(IF(INDEX(Tbl_KPIConfig[Direction],MATCH($D254,Tbl_KPIConfig[KPI Name],0))="Lower is Better",IF($H254=0,1,IF($G254=0,0,$G254/$H254)),IF($G254=0,1,$H254/$G254)),0)</f>
        <v/>
      </c>
      <c r="J254" s="12">
        <f>IFERROR(IF($I254&gt;=1,"Green",IF($I254&gt;=INDEX(Tbl_KPIConfig[RAG Threshold %],MATCH($D254,Tbl_KPIConfig[KPI Name],0)),"Amber","Red")),"")</f>
        <v/>
      </c>
      <c r="K254" s="14" t="inlineStr">
        <is>
          <t>Line changeover impact</t>
        </is>
      </c>
    </row>
    <row r="255">
      <c r="A255" s="7" t="n">
        <v>46192</v>
      </c>
      <c r="B255" s="8">
        <f>IF($A255="","",TEXT($A255,"mmm-yyyy"))</f>
        <v/>
      </c>
      <c r="C255" s="8">
        <f>IF($A255="","","W"&amp;WEEKNUM($A255,2))</f>
        <v/>
      </c>
      <c r="D255" s="8" t="inlineStr">
        <is>
          <t>Training Hours</t>
        </is>
      </c>
      <c r="E255" s="8">
        <f>IFERROR(INDEX(Tbl_KPIConfig[Department],MATCH($D255,Tbl_KPIConfig[KPI Name],0)),"")</f>
        <v/>
      </c>
      <c r="F255" s="8">
        <f>IFERROR(INDEX(Tbl_KPIConfig[Unit],MATCH($D255,Tbl_KPIConfig[KPI Name],0)),"")</f>
        <v/>
      </c>
      <c r="G255" s="8">
        <f>IFERROR(INDEX(Tbl_KPIConfig[Target],MATCH($D255,Tbl_KPIConfig[KPI Name],0)),"")</f>
        <v/>
      </c>
      <c r="H255" s="8" t="n">
        <v>1.96</v>
      </c>
      <c r="I255" s="9">
        <f>IFERROR(IF(INDEX(Tbl_KPIConfig[Direction],MATCH($D255,Tbl_KPIConfig[KPI Name],0))="Lower is Better",IF($H255=0,1,IF($G255=0,0,$G255/$H255)),IF($G255=0,1,$H255/$G255)),0)</f>
        <v/>
      </c>
      <c r="J255" s="8">
        <f>IFERROR(IF($I255&gt;=1,"Green",IF($I255&gt;=INDEX(Tbl_KPIConfig[RAG Threshold %],MATCH($D255,Tbl_KPIConfig[KPI Name],0)),"Amber","Red")),"")</f>
        <v/>
      </c>
      <c r="K255" s="10" t="inlineStr">
        <is>
          <t>Vendor delay</t>
        </is>
      </c>
    </row>
    <row r="256">
      <c r="A256" s="11" t="n">
        <v>46192</v>
      </c>
      <c r="B256" s="12">
        <f>IF($A256="","",TEXT($A256,"mmm-yyyy"))</f>
        <v/>
      </c>
      <c r="C256" s="12">
        <f>IF($A256="","","W"&amp;WEEKNUM($A256,2))</f>
        <v/>
      </c>
      <c r="D256" s="12" t="inlineStr">
        <is>
          <t>Milestone Adherence %</t>
        </is>
      </c>
      <c r="E256" s="12">
        <f>IFERROR(INDEX(Tbl_KPIConfig[Department],MATCH($D256,Tbl_KPIConfig[KPI Name],0)),"")</f>
        <v/>
      </c>
      <c r="F256" s="12">
        <f>IFERROR(INDEX(Tbl_KPIConfig[Unit],MATCH($D256,Tbl_KPIConfig[KPI Name],0)),"")</f>
        <v/>
      </c>
      <c r="G256" s="12">
        <f>IFERROR(INDEX(Tbl_KPIConfig[Target],MATCH($D256,Tbl_KPIConfig[KPI Name],0)),"")</f>
        <v/>
      </c>
      <c r="H256" s="12" t="n">
        <v>1.0601</v>
      </c>
      <c r="I256" s="13">
        <f>IFERROR(IF(INDEX(Tbl_KPIConfig[Direction],MATCH($D256,Tbl_KPIConfig[KPI Name],0))="Lower is Better",IF($H256=0,1,IF($G256=0,0,$G256/$H256)),IF($G256=0,1,$H256/$G256)),0)</f>
        <v/>
      </c>
      <c r="J256" s="12">
        <f>IFERROR(IF($I256&gt;=1,"Green",IF($I256&gt;=INDEX(Tbl_KPIConfig[RAG Threshold %],MATCH($D256,Tbl_KPIConfig[KPI Name],0)),"Amber","Red")),"")</f>
        <v/>
      </c>
      <c r="K256" s="14" t="inlineStr"/>
    </row>
    <row r="257">
      <c r="A257" s="7" t="n">
        <v>46192</v>
      </c>
      <c r="B257" s="8">
        <f>IF($A257="","",TEXT($A257,"mmm-yyyy"))</f>
        <v/>
      </c>
      <c r="C257" s="8">
        <f>IF($A257="","","W"&amp;WEEKNUM($A257,2))</f>
        <v/>
      </c>
      <c r="D257" s="8" t="inlineStr">
        <is>
          <t>Breakdown Resolution (Hrs)</t>
        </is>
      </c>
      <c r="E257" s="8">
        <f>IFERROR(INDEX(Tbl_KPIConfig[Department],MATCH($D257,Tbl_KPIConfig[KPI Name],0)),"")</f>
        <v/>
      </c>
      <c r="F257" s="8">
        <f>IFERROR(INDEX(Tbl_KPIConfig[Unit],MATCH($D257,Tbl_KPIConfig[KPI Name],0)),"")</f>
        <v/>
      </c>
      <c r="G257" s="8">
        <f>IFERROR(INDEX(Tbl_KPIConfig[Target],MATCH($D257,Tbl_KPIConfig[KPI Name],0)),"")</f>
        <v/>
      </c>
      <c r="H257" s="8" t="n">
        <v>1.93</v>
      </c>
      <c r="I257" s="9">
        <f>IFERROR(IF(INDEX(Tbl_KPIConfig[Direction],MATCH($D257,Tbl_KPIConfig[KPI Name],0))="Lower is Better",IF($H257=0,1,IF($G257=0,0,$G257/$H257)),IF($G257=0,1,$H257/$G257)),0)</f>
        <v/>
      </c>
      <c r="J257" s="8">
        <f>IFERROR(IF($I257&gt;=1,"Green",IF($I257&gt;=INDEX(Tbl_KPIConfig[RAG Threshold %],MATCH($D257,Tbl_KPIConfig[KPI Name],0)),"Amber","Red")),"")</f>
        <v/>
      </c>
      <c r="K257" s="10" t="inlineStr">
        <is>
          <t>Within normal range</t>
        </is>
      </c>
    </row>
    <row r="258">
      <c r="A258" s="11" t="n">
        <v>46193</v>
      </c>
      <c r="B258" s="12">
        <f>IF($A258="","",TEXT($A258,"mmm-yyyy"))</f>
        <v/>
      </c>
      <c r="C258" s="12">
        <f>IF($A258="","","W"&amp;WEEKNUM($A258,2))</f>
        <v/>
      </c>
      <c r="D258" s="12" t="inlineStr">
        <is>
          <t>Safety Incidents (LTI)</t>
        </is>
      </c>
      <c r="E258" s="12">
        <f>IFERROR(INDEX(Tbl_KPIConfig[Department],MATCH($D258,Tbl_KPIConfig[KPI Name],0)),"")</f>
        <v/>
      </c>
      <c r="F258" s="12">
        <f>IFERROR(INDEX(Tbl_KPIConfig[Unit],MATCH($D258,Tbl_KPIConfig[KPI Name],0)),"")</f>
        <v/>
      </c>
      <c r="G258" s="12">
        <f>IFERROR(INDEX(Tbl_KPIConfig[Target],MATCH($D258,Tbl_KPIConfig[KPI Name],0)),"")</f>
        <v/>
      </c>
      <c r="H258" s="12" t="n">
        <v>1</v>
      </c>
      <c r="I258" s="13">
        <f>IFERROR(IF(INDEX(Tbl_KPIConfig[Direction],MATCH($D258,Tbl_KPIConfig[KPI Name],0))="Lower is Better",IF($H258=0,1,IF($G258=0,0,$G258/$H258)),IF($G258=0,1,$H258/$G258)),0)</f>
        <v/>
      </c>
      <c r="J258" s="12">
        <f>IFERROR(IF($I258&gt;=1,"Green",IF($I258&gt;=INDEX(Tbl_KPIConfig[RAG Threshold %],MATCH($D258,Tbl_KPIConfig[KPI Name],0)),"Amber","Red")),"")</f>
        <v/>
      </c>
      <c r="K258" s="14" t="inlineStr">
        <is>
          <t>Preventive check done</t>
        </is>
      </c>
    </row>
    <row r="259">
      <c r="A259" s="7" t="n">
        <v>46193</v>
      </c>
      <c r="B259" s="8">
        <f>IF($A259="","",TEXT($A259,"mmm-yyyy"))</f>
        <v/>
      </c>
      <c r="C259" s="8">
        <f>IF($A259="","","W"&amp;WEEKNUM($A259,2))</f>
        <v/>
      </c>
      <c r="D259" s="8" t="inlineStr">
        <is>
          <t>Near Miss Reports</t>
        </is>
      </c>
      <c r="E259" s="8">
        <f>IFERROR(INDEX(Tbl_KPIConfig[Department],MATCH($D259,Tbl_KPIConfig[KPI Name],0)),"")</f>
        <v/>
      </c>
      <c r="F259" s="8">
        <f>IFERROR(INDEX(Tbl_KPIConfig[Unit],MATCH($D259,Tbl_KPIConfig[KPI Name],0)),"")</f>
        <v/>
      </c>
      <c r="G259" s="8">
        <f>IFERROR(INDEX(Tbl_KPIConfig[Target],MATCH($D259,Tbl_KPIConfig[KPI Name],0)),"")</f>
        <v/>
      </c>
      <c r="H259" s="8" t="n">
        <v>2</v>
      </c>
      <c r="I259" s="9">
        <f>IFERROR(IF(INDEX(Tbl_KPIConfig[Direction],MATCH($D259,Tbl_KPIConfig[KPI Name],0))="Lower is Better",IF($H259=0,1,IF($G259=0,0,$G259/$H259)),IF($G259=0,1,$H259/$G259)),0)</f>
        <v/>
      </c>
      <c r="J259" s="8">
        <f>IFERROR(IF($I259&gt;=1,"Green",IF($I259&gt;=INDEX(Tbl_KPIConfig[RAG Threshold %],MATCH($D259,Tbl_KPIConfig[KPI Name],0)),"Amber","Red")),"")</f>
        <v/>
      </c>
      <c r="K259" s="10" t="inlineStr">
        <is>
          <t>Manpower shortage</t>
        </is>
      </c>
    </row>
    <row r="260">
      <c r="A260" s="11" t="n">
        <v>46193</v>
      </c>
      <c r="B260" s="12">
        <f>IF($A260="","",TEXT($A260,"mmm-yyyy"))</f>
        <v/>
      </c>
      <c r="C260" s="12">
        <f>IF($A260="","","W"&amp;WEEKNUM($A260,2))</f>
        <v/>
      </c>
      <c r="D260" s="12" t="inlineStr">
        <is>
          <t>Production Output</t>
        </is>
      </c>
      <c r="E260" s="12">
        <f>IFERROR(INDEX(Tbl_KPIConfig[Department],MATCH($D260,Tbl_KPIConfig[KPI Name],0)),"")</f>
        <v/>
      </c>
      <c r="F260" s="12">
        <f>IFERROR(INDEX(Tbl_KPIConfig[Unit],MATCH($D260,Tbl_KPIConfig[KPI Name],0)),"")</f>
        <v/>
      </c>
      <c r="G260" s="12">
        <f>IFERROR(INDEX(Tbl_KPIConfig[Target],MATCH($D260,Tbl_KPIConfig[KPI Name],0)),"")</f>
        <v/>
      </c>
      <c r="H260" s="12" t="n">
        <v>1172.16</v>
      </c>
      <c r="I260" s="13">
        <f>IFERROR(IF(INDEX(Tbl_KPIConfig[Direction],MATCH($D260,Tbl_KPIConfig[KPI Name],0))="Lower is Better",IF($H260=0,1,IF($G260=0,0,$G260/$H260)),IF($G260=0,1,$H260/$G260)),0)</f>
        <v/>
      </c>
      <c r="J260" s="12">
        <f>IFERROR(IF($I260&gt;=1,"Green",IF($I260&gt;=INDEX(Tbl_KPIConfig[RAG Threshold %],MATCH($D260,Tbl_KPIConfig[KPI Name],0)),"Amber","Red")),"")</f>
        <v/>
      </c>
      <c r="K260" s="14" t="inlineStr"/>
    </row>
    <row r="261">
      <c r="A261" s="7" t="n">
        <v>46193</v>
      </c>
      <c r="B261" s="8">
        <f>IF($A261="","",TEXT($A261,"mmm-yyyy"))</f>
        <v/>
      </c>
      <c r="C261" s="8">
        <f>IF($A261="","","W"&amp;WEEKNUM($A261,2))</f>
        <v/>
      </c>
      <c r="D261" s="8" t="inlineStr">
        <is>
          <t>OEE %</t>
        </is>
      </c>
      <c r="E261" s="8">
        <f>IFERROR(INDEX(Tbl_KPIConfig[Department],MATCH($D261,Tbl_KPIConfig[KPI Name],0)),"")</f>
        <v/>
      </c>
      <c r="F261" s="8">
        <f>IFERROR(INDEX(Tbl_KPIConfig[Unit],MATCH($D261,Tbl_KPIConfig[KPI Name],0)),"")</f>
        <v/>
      </c>
      <c r="G261" s="8">
        <f>IFERROR(INDEX(Tbl_KPIConfig[Target],MATCH($D261,Tbl_KPIConfig[KPI Name],0)),"")</f>
        <v/>
      </c>
      <c r="H261" s="8" t="n">
        <v>0.8677</v>
      </c>
      <c r="I261" s="9">
        <f>IFERROR(IF(INDEX(Tbl_KPIConfig[Direction],MATCH($D261,Tbl_KPIConfig[KPI Name],0))="Lower is Better",IF($H261=0,1,IF($G261=0,0,$G261/$H261)),IF($G261=0,1,$H261/$G261)),0)</f>
        <v/>
      </c>
      <c r="J261" s="8">
        <f>IFERROR(IF($I261&gt;=1,"Green",IF($I261&gt;=INDEX(Tbl_KPIConfig[RAG Threshold %],MATCH($D261,Tbl_KPIConfig[KPI Name],0)),"Amber","Red")),"")</f>
        <v/>
      </c>
      <c r="K261" s="10" t="inlineStr">
        <is>
          <t>Vendor delay</t>
        </is>
      </c>
    </row>
    <row r="262">
      <c r="A262" s="11" t="n">
        <v>46193</v>
      </c>
      <c r="B262" s="12">
        <f>IF($A262="","",TEXT($A262,"mmm-yyyy"))</f>
        <v/>
      </c>
      <c r="C262" s="12">
        <f>IF($A262="","","W"&amp;WEEKNUM($A262,2))</f>
        <v/>
      </c>
      <c r="D262" s="12" t="inlineStr">
        <is>
          <t>Defect Rate %</t>
        </is>
      </c>
      <c r="E262" s="12">
        <f>IFERROR(INDEX(Tbl_KPIConfig[Department],MATCH($D262,Tbl_KPIConfig[KPI Name],0)),"")</f>
        <v/>
      </c>
      <c r="F262" s="12">
        <f>IFERROR(INDEX(Tbl_KPIConfig[Unit],MATCH($D262,Tbl_KPIConfig[KPI Name],0)),"")</f>
        <v/>
      </c>
      <c r="G262" s="12">
        <f>IFERROR(INDEX(Tbl_KPIConfig[Target],MATCH($D262,Tbl_KPIConfig[KPI Name],0)),"")</f>
        <v/>
      </c>
      <c r="H262" s="12" t="n">
        <v>0.0198</v>
      </c>
      <c r="I262" s="13">
        <f>IFERROR(IF(INDEX(Tbl_KPIConfig[Direction],MATCH($D262,Tbl_KPIConfig[KPI Name],0))="Lower is Better",IF($H262=0,1,IF($G262=0,0,$G262/$H262)),IF($G262=0,1,$H262/$G262)),0)</f>
        <v/>
      </c>
      <c r="J262" s="12">
        <f>IFERROR(IF($I262&gt;=1,"Green",IF($I262&gt;=INDEX(Tbl_KPIConfig[RAG Threshold %],MATCH($D262,Tbl_KPIConfig[KPI Name],0)),"Amber","Red")),"")</f>
        <v/>
      </c>
      <c r="K262" s="14" t="inlineStr">
        <is>
          <t>Within normal range</t>
        </is>
      </c>
    </row>
    <row r="263">
      <c r="A263" s="7" t="n">
        <v>46193</v>
      </c>
      <c r="B263" s="8">
        <f>IF($A263="","",TEXT($A263,"mmm-yyyy"))</f>
        <v/>
      </c>
      <c r="C263" s="8">
        <f>IF($A263="","","W"&amp;WEEKNUM($A263,2))</f>
        <v/>
      </c>
      <c r="D263" s="8" t="inlineStr">
        <is>
          <t>Customer Complaints</t>
        </is>
      </c>
      <c r="E263" s="8">
        <f>IFERROR(INDEX(Tbl_KPIConfig[Department],MATCH($D263,Tbl_KPIConfig[KPI Name],0)),"")</f>
        <v/>
      </c>
      <c r="F263" s="8">
        <f>IFERROR(INDEX(Tbl_KPIConfig[Unit],MATCH($D263,Tbl_KPIConfig[KPI Name],0)),"")</f>
        <v/>
      </c>
      <c r="G263" s="8">
        <f>IFERROR(INDEX(Tbl_KPIConfig[Target],MATCH($D263,Tbl_KPIConfig[KPI Name],0)),"")</f>
        <v/>
      </c>
      <c r="H263" s="8" t="n">
        <v>1</v>
      </c>
      <c r="I263" s="9">
        <f>IFERROR(IF(INDEX(Tbl_KPIConfig[Direction],MATCH($D263,Tbl_KPIConfig[KPI Name],0))="Lower is Better",IF($H263=0,1,IF($G263=0,0,$G263/$H263)),IF($G263=0,1,$H263/$G263)),0)</f>
        <v/>
      </c>
      <c r="J263" s="8">
        <f>IFERROR(IF($I263&gt;=1,"Green",IF($I263&gt;=INDEX(Tbl_KPIConfig[RAG Threshold %],MATCH($D263,Tbl_KPIConfig[KPI Name],0)),"Amber","Red")),"")</f>
        <v/>
      </c>
      <c r="K263" s="10" t="inlineStr">
        <is>
          <t>Awaiting spares</t>
        </is>
      </c>
    </row>
    <row r="264">
      <c r="A264" s="11" t="n">
        <v>46193</v>
      </c>
      <c r="B264" s="12">
        <f>IF($A264="","",TEXT($A264,"mmm-yyyy"))</f>
        <v/>
      </c>
      <c r="C264" s="12">
        <f>IF($A264="","","W"&amp;WEEKNUM($A264,2))</f>
        <v/>
      </c>
      <c r="D264" s="12" t="inlineStr">
        <is>
          <t>Unplanned Downtime (Hrs)</t>
        </is>
      </c>
      <c r="E264" s="12">
        <f>IFERROR(INDEX(Tbl_KPIConfig[Department],MATCH($D264,Tbl_KPIConfig[KPI Name],0)),"")</f>
        <v/>
      </c>
      <c r="F264" s="12">
        <f>IFERROR(INDEX(Tbl_KPIConfig[Unit],MATCH($D264,Tbl_KPIConfig[KPI Name],0)),"")</f>
        <v/>
      </c>
      <c r="G264" s="12">
        <f>IFERROR(INDEX(Tbl_KPIConfig[Target],MATCH($D264,Tbl_KPIConfig[KPI Name],0)),"")</f>
        <v/>
      </c>
      <c r="H264" s="12" t="n">
        <v>0.97</v>
      </c>
      <c r="I264" s="13">
        <f>IFERROR(IF(INDEX(Tbl_KPIConfig[Direction],MATCH($D264,Tbl_KPIConfig[KPI Name],0))="Lower is Better",IF($H264=0,1,IF($G264=0,0,$G264/$H264)),IF($G264=0,1,$H264/$G264)),0)</f>
        <v/>
      </c>
      <c r="J264" s="12">
        <f>IFERROR(IF($I264&gt;=1,"Green",IF($I264&gt;=INDEX(Tbl_KPIConfig[RAG Threshold %],MATCH($D264,Tbl_KPIConfig[KPI Name],0)),"Amber","Red")),"")</f>
        <v/>
      </c>
      <c r="K264" s="14" t="inlineStr">
        <is>
          <t>Vendor delay</t>
        </is>
      </c>
    </row>
    <row r="265">
      <c r="A265" s="7" t="n">
        <v>46193</v>
      </c>
      <c r="B265" s="8">
        <f>IF($A265="","",TEXT($A265,"mmm-yyyy"))</f>
        <v/>
      </c>
      <c r="C265" s="8">
        <f>IF($A265="","","W"&amp;WEEKNUM($A265,2))</f>
        <v/>
      </c>
      <c r="D265" s="8" t="inlineStr">
        <is>
          <t>PM Compliance %</t>
        </is>
      </c>
      <c r="E265" s="8">
        <f>IFERROR(INDEX(Tbl_KPIConfig[Department],MATCH($D265,Tbl_KPIConfig[KPI Name],0)),"")</f>
        <v/>
      </c>
      <c r="F265" s="8">
        <f>IFERROR(INDEX(Tbl_KPIConfig[Unit],MATCH($D265,Tbl_KPIConfig[KPI Name],0)),"")</f>
        <v/>
      </c>
      <c r="G265" s="8">
        <f>IFERROR(INDEX(Tbl_KPIConfig[Target],MATCH($D265,Tbl_KPIConfig[KPI Name],0)),"")</f>
        <v/>
      </c>
      <c r="H265" s="8" t="n">
        <v>1.0239</v>
      </c>
      <c r="I265" s="9">
        <f>IFERROR(IF(INDEX(Tbl_KPIConfig[Direction],MATCH($D265,Tbl_KPIConfig[KPI Name],0))="Lower is Better",IF($H265=0,1,IF($G265=0,0,$G265/$H265)),IF($G265=0,1,$H265/$G265)),0)</f>
        <v/>
      </c>
      <c r="J265" s="8">
        <f>IFERROR(IF($I265&gt;=1,"Green",IF($I265&gt;=INDEX(Tbl_KPIConfig[RAG Threshold %],MATCH($D265,Tbl_KPIConfig[KPI Name],0)),"Amber","Red")),"")</f>
        <v/>
      </c>
      <c r="K265" s="10" t="inlineStr">
        <is>
          <t>Line changeover impact</t>
        </is>
      </c>
    </row>
    <row r="266">
      <c r="A266" s="11" t="n">
        <v>46193</v>
      </c>
      <c r="B266" s="12">
        <f>IF($A266="","",TEXT($A266,"mmm-yyyy"))</f>
        <v/>
      </c>
      <c r="C266" s="12">
        <f>IF($A266="","","W"&amp;WEEKNUM($A266,2))</f>
        <v/>
      </c>
      <c r="D266" s="12" t="inlineStr">
        <is>
          <t>Power Consumption (kWh)</t>
        </is>
      </c>
      <c r="E266" s="12">
        <f>IFERROR(INDEX(Tbl_KPIConfig[Department],MATCH($D266,Tbl_KPIConfig[KPI Name],0)),"")</f>
        <v/>
      </c>
      <c r="F266" s="12">
        <f>IFERROR(INDEX(Tbl_KPIConfig[Unit],MATCH($D266,Tbl_KPIConfig[KPI Name],0)),"")</f>
        <v/>
      </c>
      <c r="G266" s="12">
        <f>IFERROR(INDEX(Tbl_KPIConfig[Target],MATCH($D266,Tbl_KPIConfig[KPI Name],0)),"")</f>
        <v/>
      </c>
      <c r="H266" s="12" t="n">
        <v>4375.46</v>
      </c>
      <c r="I266" s="13">
        <f>IFERROR(IF(INDEX(Tbl_KPIConfig[Direction],MATCH($D266,Tbl_KPIConfig[KPI Name],0))="Lower is Better",IF($H266=0,1,IF($G266=0,0,$G266/$H266)),IF($G266=0,1,$H266/$G266)),0)</f>
        <v/>
      </c>
      <c r="J266" s="12">
        <f>IFERROR(IF($I266&gt;=1,"Green",IF($I266&gt;=INDEX(Tbl_KPIConfig[RAG Threshold %],MATCH($D266,Tbl_KPIConfig[KPI Name],0)),"Amber","Red")),"")</f>
        <v/>
      </c>
      <c r="K266" s="14" t="inlineStr">
        <is>
          <t>Preventive check done</t>
        </is>
      </c>
    </row>
    <row r="267">
      <c r="A267" s="7" t="n">
        <v>46193</v>
      </c>
      <c r="B267" s="8">
        <f>IF($A267="","",TEXT($A267,"mmm-yyyy"))</f>
        <v/>
      </c>
      <c r="C267" s="8">
        <f>IF($A267="","","W"&amp;WEEKNUM($A267,2))</f>
        <v/>
      </c>
      <c r="D267" s="8" t="inlineStr">
        <is>
          <t>On-Time Dispatch %</t>
        </is>
      </c>
      <c r="E267" s="8">
        <f>IFERROR(INDEX(Tbl_KPIConfig[Department],MATCH($D267,Tbl_KPIConfig[KPI Name],0)),"")</f>
        <v/>
      </c>
      <c r="F267" s="8">
        <f>IFERROR(INDEX(Tbl_KPIConfig[Unit],MATCH($D267,Tbl_KPIConfig[KPI Name],0)),"")</f>
        <v/>
      </c>
      <c r="G267" s="8">
        <f>IFERROR(INDEX(Tbl_KPIConfig[Target],MATCH($D267,Tbl_KPIConfig[KPI Name],0)),"")</f>
        <v/>
      </c>
      <c r="H267" s="8" t="n">
        <v>0.6716</v>
      </c>
      <c r="I267" s="9">
        <f>IFERROR(IF(INDEX(Tbl_KPIConfig[Direction],MATCH($D267,Tbl_KPIConfig[KPI Name],0))="Lower is Better",IF($H267=0,1,IF($G267=0,0,$G267/$H267)),IF($G267=0,1,$H267/$G267)),0)</f>
        <v/>
      </c>
      <c r="J267" s="8">
        <f>IFERROR(IF($I267&gt;=1,"Green",IF($I267&gt;=INDEX(Tbl_KPIConfig[RAG Threshold %],MATCH($D267,Tbl_KPIConfig[KPI Name],0)),"Amber","Red")),"")</f>
        <v/>
      </c>
      <c r="K267" s="10" t="inlineStr"/>
    </row>
    <row r="268">
      <c r="A268" s="11" t="n">
        <v>46193</v>
      </c>
      <c r="B268" s="12">
        <f>IF($A268="","",TEXT($A268,"mmm-yyyy"))</f>
        <v/>
      </c>
      <c r="C268" s="12">
        <f>IF($A268="","","W"&amp;WEEKNUM($A268,2))</f>
        <v/>
      </c>
      <c r="D268" s="12" t="inlineStr">
        <is>
          <t>Inventory Accuracy %</t>
        </is>
      </c>
      <c r="E268" s="12">
        <f>IFERROR(INDEX(Tbl_KPIConfig[Department],MATCH($D268,Tbl_KPIConfig[KPI Name],0)),"")</f>
        <v/>
      </c>
      <c r="F268" s="12">
        <f>IFERROR(INDEX(Tbl_KPIConfig[Unit],MATCH($D268,Tbl_KPIConfig[KPI Name],0)),"")</f>
        <v/>
      </c>
      <c r="G268" s="12">
        <f>IFERROR(INDEX(Tbl_KPIConfig[Target],MATCH($D268,Tbl_KPIConfig[KPI Name],0)),"")</f>
        <v/>
      </c>
      <c r="H268" s="12" t="n">
        <v>0.9362</v>
      </c>
      <c r="I268" s="13">
        <f>IFERROR(IF(INDEX(Tbl_KPIConfig[Direction],MATCH($D268,Tbl_KPIConfig[KPI Name],0))="Lower is Better",IF($H268=0,1,IF($G268=0,0,$G268/$H268)),IF($G268=0,1,$H268/$G268)),0)</f>
        <v/>
      </c>
      <c r="J268" s="12">
        <f>IFERROR(IF($I268&gt;=1,"Green",IF($I268&gt;=INDEX(Tbl_KPIConfig[RAG Threshold %],MATCH($D268,Tbl_KPIConfig[KPI Name],0)),"Amber","Red")),"")</f>
        <v/>
      </c>
      <c r="K268" s="14" t="inlineStr"/>
    </row>
    <row r="269">
      <c r="A269" s="7" t="n">
        <v>46193</v>
      </c>
      <c r="B269" s="8">
        <f>IF($A269="","",TEXT($A269,"mmm-yyyy"))</f>
        <v/>
      </c>
      <c r="C269" s="8">
        <f>IF($A269="","","W"&amp;WEEKNUM($A269,2))</f>
        <v/>
      </c>
      <c r="D269" s="8" t="inlineStr">
        <is>
          <t>Absenteeism %</t>
        </is>
      </c>
      <c r="E269" s="8">
        <f>IFERROR(INDEX(Tbl_KPIConfig[Department],MATCH($D269,Tbl_KPIConfig[KPI Name],0)),"")</f>
        <v/>
      </c>
      <c r="F269" s="8">
        <f>IFERROR(INDEX(Tbl_KPIConfig[Unit],MATCH($D269,Tbl_KPIConfig[KPI Name],0)),"")</f>
        <v/>
      </c>
      <c r="G269" s="8">
        <f>IFERROR(INDEX(Tbl_KPIConfig[Target],MATCH($D269,Tbl_KPIConfig[KPI Name],0)),"")</f>
        <v/>
      </c>
      <c r="H269" s="8" t="n">
        <v>0.0225</v>
      </c>
      <c r="I269" s="9">
        <f>IFERROR(IF(INDEX(Tbl_KPIConfig[Direction],MATCH($D269,Tbl_KPIConfig[KPI Name],0))="Lower is Better",IF($H269=0,1,IF($G269=0,0,$G269/$H269)),IF($G269=0,1,$H269/$G269)),0)</f>
        <v/>
      </c>
      <c r="J269" s="8">
        <f>IFERROR(IF($I269&gt;=1,"Green",IF($I269&gt;=INDEX(Tbl_KPIConfig[RAG Threshold %],MATCH($D269,Tbl_KPIConfig[KPI Name],0)),"Amber","Red")),"")</f>
        <v/>
      </c>
      <c r="K269" s="10" t="inlineStr">
        <is>
          <t>Preventive check done</t>
        </is>
      </c>
    </row>
    <row r="270">
      <c r="A270" s="11" t="n">
        <v>46193</v>
      </c>
      <c r="B270" s="12">
        <f>IF($A270="","",TEXT($A270,"mmm-yyyy"))</f>
        <v/>
      </c>
      <c r="C270" s="12">
        <f>IF($A270="","","W"&amp;WEEKNUM($A270,2))</f>
        <v/>
      </c>
      <c r="D270" s="12" t="inlineStr">
        <is>
          <t>Training Hours</t>
        </is>
      </c>
      <c r="E270" s="12">
        <f>IFERROR(INDEX(Tbl_KPIConfig[Department],MATCH($D270,Tbl_KPIConfig[KPI Name],0)),"")</f>
        <v/>
      </c>
      <c r="F270" s="12">
        <f>IFERROR(INDEX(Tbl_KPIConfig[Unit],MATCH($D270,Tbl_KPIConfig[KPI Name],0)),"")</f>
        <v/>
      </c>
      <c r="G270" s="12">
        <f>IFERROR(INDEX(Tbl_KPIConfig[Target],MATCH($D270,Tbl_KPIConfig[KPI Name],0)),"")</f>
        <v/>
      </c>
      <c r="H270" s="12" t="n">
        <v>1.97</v>
      </c>
      <c r="I270" s="13">
        <f>IFERROR(IF(INDEX(Tbl_KPIConfig[Direction],MATCH($D270,Tbl_KPIConfig[KPI Name],0))="Lower is Better",IF($H270=0,1,IF($G270=0,0,$G270/$H270)),IF($G270=0,1,$H270/$G270)),0)</f>
        <v/>
      </c>
      <c r="J270" s="12">
        <f>IFERROR(IF($I270&gt;=1,"Green",IF($I270&gt;=INDEX(Tbl_KPIConfig[RAG Threshold %],MATCH($D270,Tbl_KPIConfig[KPI Name],0)),"Amber","Red")),"")</f>
        <v/>
      </c>
      <c r="K270" s="14" t="inlineStr">
        <is>
          <t>Within normal range</t>
        </is>
      </c>
    </row>
    <row r="271">
      <c r="A271" s="7" t="n">
        <v>46193</v>
      </c>
      <c r="B271" s="8">
        <f>IF($A271="","",TEXT($A271,"mmm-yyyy"))</f>
        <v/>
      </c>
      <c r="C271" s="8">
        <f>IF($A271="","","W"&amp;WEEKNUM($A271,2))</f>
        <v/>
      </c>
      <c r="D271" s="8" t="inlineStr">
        <is>
          <t>Milestone Adherence %</t>
        </is>
      </c>
      <c r="E271" s="8">
        <f>IFERROR(INDEX(Tbl_KPIConfig[Department],MATCH($D271,Tbl_KPIConfig[KPI Name],0)),"")</f>
        <v/>
      </c>
      <c r="F271" s="8">
        <f>IFERROR(INDEX(Tbl_KPIConfig[Unit],MATCH($D271,Tbl_KPIConfig[KPI Name],0)),"")</f>
        <v/>
      </c>
      <c r="G271" s="8">
        <f>IFERROR(INDEX(Tbl_KPIConfig[Target],MATCH($D271,Tbl_KPIConfig[KPI Name],0)),"")</f>
        <v/>
      </c>
      <c r="H271" s="8" t="n">
        <v>0.9998</v>
      </c>
      <c r="I271" s="9">
        <f>IFERROR(IF(INDEX(Tbl_KPIConfig[Direction],MATCH($D271,Tbl_KPIConfig[KPI Name],0))="Lower is Better",IF($H271=0,1,IF($G271=0,0,$G271/$H271)),IF($G271=0,1,$H271/$G271)),0)</f>
        <v/>
      </c>
      <c r="J271" s="8">
        <f>IFERROR(IF($I271&gt;=1,"Green",IF($I271&gt;=INDEX(Tbl_KPIConfig[RAG Threshold %],MATCH($D271,Tbl_KPIConfig[KPI Name],0)),"Amber","Red")),"")</f>
        <v/>
      </c>
      <c r="K271" s="10" t="inlineStr">
        <is>
          <t>Within normal range</t>
        </is>
      </c>
    </row>
    <row r="272">
      <c r="A272" s="11" t="n">
        <v>46193</v>
      </c>
      <c r="B272" s="12">
        <f>IF($A272="","",TEXT($A272,"mmm-yyyy"))</f>
        <v/>
      </c>
      <c r="C272" s="12">
        <f>IF($A272="","","W"&amp;WEEKNUM($A272,2))</f>
        <v/>
      </c>
      <c r="D272" s="12" t="inlineStr">
        <is>
          <t>Breakdown Resolution (Hrs)</t>
        </is>
      </c>
      <c r="E272" s="12">
        <f>IFERROR(INDEX(Tbl_KPIConfig[Department],MATCH($D272,Tbl_KPIConfig[KPI Name],0)),"")</f>
        <v/>
      </c>
      <c r="F272" s="12">
        <f>IFERROR(INDEX(Tbl_KPIConfig[Unit],MATCH($D272,Tbl_KPIConfig[KPI Name],0)),"")</f>
        <v/>
      </c>
      <c r="G272" s="12">
        <f>IFERROR(INDEX(Tbl_KPIConfig[Target],MATCH($D272,Tbl_KPIConfig[KPI Name],0)),"")</f>
        <v/>
      </c>
      <c r="H272" s="12" t="n">
        <v>2.41</v>
      </c>
      <c r="I272" s="13">
        <f>IFERROR(IF(INDEX(Tbl_KPIConfig[Direction],MATCH($D272,Tbl_KPIConfig[KPI Name],0))="Lower is Better",IF($H272=0,1,IF($G272=0,0,$G272/$H272)),IF($G272=0,1,$H272/$G272)),0)</f>
        <v/>
      </c>
      <c r="J272" s="12">
        <f>IFERROR(IF($I272&gt;=1,"Green",IF($I272&gt;=INDEX(Tbl_KPIConfig[RAG Threshold %],MATCH($D272,Tbl_KPIConfig[KPI Name],0)),"Amber","Red")),"")</f>
        <v/>
      </c>
      <c r="K272" s="14" t="inlineStr">
        <is>
          <t>Within normal range</t>
        </is>
      </c>
    </row>
    <row r="273">
      <c r="A273" s="7" t="n">
        <v>46194</v>
      </c>
      <c r="B273" s="8">
        <f>IF($A273="","",TEXT($A273,"mmm-yyyy"))</f>
        <v/>
      </c>
      <c r="C273" s="8">
        <f>IF($A273="","","W"&amp;WEEKNUM($A273,2))</f>
        <v/>
      </c>
      <c r="D273" s="8" t="inlineStr">
        <is>
          <t>Safety Incidents (LTI)</t>
        </is>
      </c>
      <c r="E273" s="8">
        <f>IFERROR(INDEX(Tbl_KPIConfig[Department],MATCH($D273,Tbl_KPIConfig[KPI Name],0)),"")</f>
        <v/>
      </c>
      <c r="F273" s="8">
        <f>IFERROR(INDEX(Tbl_KPIConfig[Unit],MATCH($D273,Tbl_KPIConfig[KPI Name],0)),"")</f>
        <v/>
      </c>
      <c r="G273" s="8">
        <f>IFERROR(INDEX(Tbl_KPIConfig[Target],MATCH($D273,Tbl_KPIConfig[KPI Name],0)),"")</f>
        <v/>
      </c>
      <c r="H273" s="8" t="n">
        <v>3</v>
      </c>
      <c r="I273" s="9">
        <f>IFERROR(IF(INDEX(Tbl_KPIConfig[Direction],MATCH($D273,Tbl_KPIConfig[KPI Name],0))="Lower is Better",IF($H273=0,1,IF($G273=0,0,$G273/$H273)),IF($G273=0,1,$H273/$G273)),0)</f>
        <v/>
      </c>
      <c r="J273" s="8">
        <f>IFERROR(IF($I273&gt;=1,"Green",IF($I273&gt;=INDEX(Tbl_KPIConfig[RAG Threshold %],MATCH($D273,Tbl_KPIConfig[KPI Name],0)),"Amber","Red")),"")</f>
        <v/>
      </c>
      <c r="K273" s="10" t="inlineStr">
        <is>
          <t>Within normal range</t>
        </is>
      </c>
    </row>
    <row r="274">
      <c r="A274" s="11" t="n">
        <v>46194</v>
      </c>
      <c r="B274" s="12">
        <f>IF($A274="","",TEXT($A274,"mmm-yyyy"))</f>
        <v/>
      </c>
      <c r="C274" s="12">
        <f>IF($A274="","","W"&amp;WEEKNUM($A274,2))</f>
        <v/>
      </c>
      <c r="D274" s="12" t="inlineStr">
        <is>
          <t>Near Miss Reports</t>
        </is>
      </c>
      <c r="E274" s="12">
        <f>IFERROR(INDEX(Tbl_KPIConfig[Department],MATCH($D274,Tbl_KPIConfig[KPI Name],0)),"")</f>
        <v/>
      </c>
      <c r="F274" s="12">
        <f>IFERROR(INDEX(Tbl_KPIConfig[Unit],MATCH($D274,Tbl_KPIConfig[KPI Name],0)),"")</f>
        <v/>
      </c>
      <c r="G274" s="12">
        <f>IFERROR(INDEX(Tbl_KPIConfig[Target],MATCH($D274,Tbl_KPIConfig[KPI Name],0)),"")</f>
        <v/>
      </c>
      <c r="H274" s="12" t="n">
        <v>2</v>
      </c>
      <c r="I274" s="13">
        <f>IFERROR(IF(INDEX(Tbl_KPIConfig[Direction],MATCH($D274,Tbl_KPIConfig[KPI Name],0))="Lower is Better",IF($H274=0,1,IF($G274=0,0,$G274/$H274)),IF($G274=0,1,$H274/$G274)),0)</f>
        <v/>
      </c>
      <c r="J274" s="12">
        <f>IFERROR(IF($I274&gt;=1,"Green",IF($I274&gt;=INDEX(Tbl_KPIConfig[RAG Threshold %],MATCH($D274,Tbl_KPIConfig[KPI Name],0)),"Amber","Red")),"")</f>
        <v/>
      </c>
      <c r="K274" s="14" t="inlineStr">
        <is>
          <t>Within normal range</t>
        </is>
      </c>
    </row>
    <row r="275">
      <c r="A275" s="7" t="n">
        <v>46194</v>
      </c>
      <c r="B275" s="8">
        <f>IF($A275="","",TEXT($A275,"mmm-yyyy"))</f>
        <v/>
      </c>
      <c r="C275" s="8">
        <f>IF($A275="","","W"&amp;WEEKNUM($A275,2))</f>
        <v/>
      </c>
      <c r="D275" s="8" t="inlineStr">
        <is>
          <t>Production Output</t>
        </is>
      </c>
      <c r="E275" s="8">
        <f>IFERROR(INDEX(Tbl_KPIConfig[Department],MATCH($D275,Tbl_KPIConfig[KPI Name],0)),"")</f>
        <v/>
      </c>
      <c r="F275" s="8">
        <f>IFERROR(INDEX(Tbl_KPIConfig[Unit],MATCH($D275,Tbl_KPIConfig[KPI Name],0)),"")</f>
        <v/>
      </c>
      <c r="G275" s="8">
        <f>IFERROR(INDEX(Tbl_KPIConfig[Target],MATCH($D275,Tbl_KPIConfig[KPI Name],0)),"")</f>
        <v/>
      </c>
      <c r="H275" s="8" t="n">
        <v>941.77</v>
      </c>
      <c r="I275" s="9">
        <f>IFERROR(IF(INDEX(Tbl_KPIConfig[Direction],MATCH($D275,Tbl_KPIConfig[KPI Name],0))="Lower is Better",IF($H275=0,1,IF($G275=0,0,$G275/$H275)),IF($G275=0,1,$H275/$G275)),0)</f>
        <v/>
      </c>
      <c r="J275" s="8">
        <f>IFERROR(IF($I275&gt;=1,"Green",IF($I275&gt;=INDEX(Tbl_KPIConfig[RAG Threshold %],MATCH($D275,Tbl_KPIConfig[KPI Name],0)),"Amber","Red")),"")</f>
        <v/>
      </c>
      <c r="K275" s="10" t="inlineStr">
        <is>
          <t>Line changeover impact</t>
        </is>
      </c>
    </row>
    <row r="276">
      <c r="A276" s="11" t="n">
        <v>46194</v>
      </c>
      <c r="B276" s="12">
        <f>IF($A276="","",TEXT($A276,"mmm-yyyy"))</f>
        <v/>
      </c>
      <c r="C276" s="12">
        <f>IF($A276="","","W"&amp;WEEKNUM($A276,2))</f>
        <v/>
      </c>
      <c r="D276" s="12" t="inlineStr">
        <is>
          <t>OEE %</t>
        </is>
      </c>
      <c r="E276" s="12">
        <f>IFERROR(INDEX(Tbl_KPIConfig[Department],MATCH($D276,Tbl_KPIConfig[KPI Name],0)),"")</f>
        <v/>
      </c>
      <c r="F276" s="12">
        <f>IFERROR(INDEX(Tbl_KPIConfig[Unit],MATCH($D276,Tbl_KPIConfig[KPI Name],0)),"")</f>
        <v/>
      </c>
      <c r="G276" s="12">
        <f>IFERROR(INDEX(Tbl_KPIConfig[Target],MATCH($D276,Tbl_KPIConfig[KPI Name],0)),"")</f>
        <v/>
      </c>
      <c r="H276" s="12" t="n">
        <v>0.9239000000000001</v>
      </c>
      <c r="I276" s="13">
        <f>IFERROR(IF(INDEX(Tbl_KPIConfig[Direction],MATCH($D276,Tbl_KPIConfig[KPI Name],0))="Lower is Better",IF($H276=0,1,IF($G276=0,0,$G276/$H276)),IF($G276=0,1,$H276/$G276)),0)</f>
        <v/>
      </c>
      <c r="J276" s="12">
        <f>IFERROR(IF($I276&gt;=1,"Green",IF($I276&gt;=INDEX(Tbl_KPIConfig[RAG Threshold %],MATCH($D276,Tbl_KPIConfig[KPI Name],0)),"Amber","Red")),"")</f>
        <v/>
      </c>
      <c r="K276" s="14" t="inlineStr">
        <is>
          <t>Process improvement in progress</t>
        </is>
      </c>
    </row>
    <row r="277">
      <c r="A277" s="7" t="n">
        <v>46194</v>
      </c>
      <c r="B277" s="8">
        <f>IF($A277="","",TEXT($A277,"mmm-yyyy"))</f>
        <v/>
      </c>
      <c r="C277" s="8">
        <f>IF($A277="","","W"&amp;WEEKNUM($A277,2))</f>
        <v/>
      </c>
      <c r="D277" s="8" t="inlineStr">
        <is>
          <t>Defect Rate %</t>
        </is>
      </c>
      <c r="E277" s="8">
        <f>IFERROR(INDEX(Tbl_KPIConfig[Department],MATCH($D277,Tbl_KPIConfig[KPI Name],0)),"")</f>
        <v/>
      </c>
      <c r="F277" s="8">
        <f>IFERROR(INDEX(Tbl_KPIConfig[Unit],MATCH($D277,Tbl_KPIConfig[KPI Name],0)),"")</f>
        <v/>
      </c>
      <c r="G277" s="8">
        <f>IFERROR(INDEX(Tbl_KPIConfig[Target],MATCH($D277,Tbl_KPIConfig[KPI Name],0)),"")</f>
        <v/>
      </c>
      <c r="H277" s="8" t="n">
        <v>0.0201</v>
      </c>
      <c r="I277" s="9">
        <f>IFERROR(IF(INDEX(Tbl_KPIConfig[Direction],MATCH($D277,Tbl_KPIConfig[KPI Name],0))="Lower is Better",IF($H277=0,1,IF($G277=0,0,$G277/$H277)),IF($G277=0,1,$H277/$G277)),0)</f>
        <v/>
      </c>
      <c r="J277" s="8">
        <f>IFERROR(IF($I277&gt;=1,"Green",IF($I277&gt;=INDEX(Tbl_KPIConfig[RAG Threshold %],MATCH($D277,Tbl_KPIConfig[KPI Name],0)),"Amber","Red")),"")</f>
        <v/>
      </c>
      <c r="K277" s="10" t="inlineStr">
        <is>
          <t>Preventive check done</t>
        </is>
      </c>
    </row>
    <row r="278">
      <c r="A278" s="11" t="n">
        <v>46194</v>
      </c>
      <c r="B278" s="12">
        <f>IF($A278="","",TEXT($A278,"mmm-yyyy"))</f>
        <v/>
      </c>
      <c r="C278" s="12">
        <f>IF($A278="","","W"&amp;WEEKNUM($A278,2))</f>
        <v/>
      </c>
      <c r="D278" s="12" t="inlineStr">
        <is>
          <t>Customer Complaints</t>
        </is>
      </c>
      <c r="E278" s="12">
        <f>IFERROR(INDEX(Tbl_KPIConfig[Department],MATCH($D278,Tbl_KPIConfig[KPI Name],0)),"")</f>
        <v/>
      </c>
      <c r="F278" s="12">
        <f>IFERROR(INDEX(Tbl_KPIConfig[Unit],MATCH($D278,Tbl_KPIConfig[KPI Name],0)),"")</f>
        <v/>
      </c>
      <c r="G278" s="12">
        <f>IFERROR(INDEX(Tbl_KPIConfig[Target],MATCH($D278,Tbl_KPIConfig[KPI Name],0)),"")</f>
        <v/>
      </c>
      <c r="H278" s="12" t="n">
        <v>0</v>
      </c>
      <c r="I278" s="13">
        <f>IFERROR(IF(INDEX(Tbl_KPIConfig[Direction],MATCH($D278,Tbl_KPIConfig[KPI Name],0))="Lower is Better",IF($H278=0,1,IF($G278=0,0,$G278/$H278)),IF($G278=0,1,$H278/$G278)),0)</f>
        <v/>
      </c>
      <c r="J278" s="12">
        <f>IFERROR(IF($I278&gt;=1,"Green",IF($I278&gt;=INDEX(Tbl_KPIConfig[RAG Threshold %],MATCH($D278,Tbl_KPIConfig[KPI Name],0)),"Amber","Red")),"")</f>
        <v/>
      </c>
      <c r="K278" s="14" t="inlineStr">
        <is>
          <t>Preventive check done</t>
        </is>
      </c>
    </row>
    <row r="279">
      <c r="A279" s="7" t="n">
        <v>46194</v>
      </c>
      <c r="B279" s="8">
        <f>IF($A279="","",TEXT($A279,"mmm-yyyy"))</f>
        <v/>
      </c>
      <c r="C279" s="8">
        <f>IF($A279="","","W"&amp;WEEKNUM($A279,2))</f>
        <v/>
      </c>
      <c r="D279" s="8" t="inlineStr">
        <is>
          <t>Unplanned Downtime (Hrs)</t>
        </is>
      </c>
      <c r="E279" s="8">
        <f>IFERROR(INDEX(Tbl_KPIConfig[Department],MATCH($D279,Tbl_KPIConfig[KPI Name],0)),"")</f>
        <v/>
      </c>
      <c r="F279" s="8">
        <f>IFERROR(INDEX(Tbl_KPIConfig[Unit],MATCH($D279,Tbl_KPIConfig[KPI Name],0)),"")</f>
        <v/>
      </c>
      <c r="G279" s="8">
        <f>IFERROR(INDEX(Tbl_KPIConfig[Target],MATCH($D279,Tbl_KPIConfig[KPI Name],0)),"")</f>
        <v/>
      </c>
      <c r="H279" s="8" t="n">
        <v>0.9399999999999999</v>
      </c>
      <c r="I279" s="9">
        <f>IFERROR(IF(INDEX(Tbl_KPIConfig[Direction],MATCH($D279,Tbl_KPIConfig[KPI Name],0))="Lower is Better",IF($H279=0,1,IF($G279=0,0,$G279/$H279)),IF($G279=0,1,$H279/$G279)),0)</f>
        <v/>
      </c>
      <c r="J279" s="8">
        <f>IFERROR(IF($I279&gt;=1,"Green",IF($I279&gt;=INDEX(Tbl_KPIConfig[RAG Threshold %],MATCH($D279,Tbl_KPIConfig[KPI Name],0)),"Amber","Red")),"")</f>
        <v/>
      </c>
      <c r="K279" s="10" t="inlineStr">
        <is>
          <t>Vendor delay</t>
        </is>
      </c>
    </row>
    <row r="280">
      <c r="A280" s="11" t="n">
        <v>46194</v>
      </c>
      <c r="B280" s="12">
        <f>IF($A280="","",TEXT($A280,"mmm-yyyy"))</f>
        <v/>
      </c>
      <c r="C280" s="12">
        <f>IF($A280="","","W"&amp;WEEKNUM($A280,2))</f>
        <v/>
      </c>
      <c r="D280" s="12" t="inlineStr">
        <is>
          <t>PM Compliance %</t>
        </is>
      </c>
      <c r="E280" s="12">
        <f>IFERROR(INDEX(Tbl_KPIConfig[Department],MATCH($D280,Tbl_KPIConfig[KPI Name],0)),"")</f>
        <v/>
      </c>
      <c r="F280" s="12">
        <f>IFERROR(INDEX(Tbl_KPIConfig[Unit],MATCH($D280,Tbl_KPIConfig[KPI Name],0)),"")</f>
        <v/>
      </c>
      <c r="G280" s="12">
        <f>IFERROR(INDEX(Tbl_KPIConfig[Target],MATCH($D280,Tbl_KPIConfig[KPI Name],0)),"")</f>
        <v/>
      </c>
      <c r="H280" s="12" t="n">
        <v>0.7111</v>
      </c>
      <c r="I280" s="13">
        <f>IFERROR(IF(INDEX(Tbl_KPIConfig[Direction],MATCH($D280,Tbl_KPIConfig[KPI Name],0))="Lower is Better",IF($H280=0,1,IF($G280=0,0,$G280/$H280)),IF($G280=0,1,$H280/$G280)),0)</f>
        <v/>
      </c>
      <c r="J280" s="12">
        <f>IFERROR(IF($I280&gt;=1,"Green",IF($I280&gt;=INDEX(Tbl_KPIConfig[RAG Threshold %],MATCH($D280,Tbl_KPIConfig[KPI Name],0)),"Amber","Red")),"")</f>
        <v/>
      </c>
      <c r="K280" s="14" t="inlineStr"/>
    </row>
    <row r="281">
      <c r="A281" s="7" t="n">
        <v>46194</v>
      </c>
      <c r="B281" s="8">
        <f>IF($A281="","",TEXT($A281,"mmm-yyyy"))</f>
        <v/>
      </c>
      <c r="C281" s="8">
        <f>IF($A281="","","W"&amp;WEEKNUM($A281,2))</f>
        <v/>
      </c>
      <c r="D281" s="8" t="inlineStr">
        <is>
          <t>Power Consumption (kWh)</t>
        </is>
      </c>
      <c r="E281" s="8">
        <f>IFERROR(INDEX(Tbl_KPIConfig[Department],MATCH($D281,Tbl_KPIConfig[KPI Name],0)),"")</f>
        <v/>
      </c>
      <c r="F281" s="8">
        <f>IFERROR(INDEX(Tbl_KPIConfig[Unit],MATCH($D281,Tbl_KPIConfig[KPI Name],0)),"")</f>
        <v/>
      </c>
      <c r="G281" s="8">
        <f>IFERROR(INDEX(Tbl_KPIConfig[Target],MATCH($D281,Tbl_KPIConfig[KPI Name],0)),"")</f>
        <v/>
      </c>
      <c r="H281" s="8" t="n">
        <v>2951.99</v>
      </c>
      <c r="I281" s="9">
        <f>IFERROR(IF(INDEX(Tbl_KPIConfig[Direction],MATCH($D281,Tbl_KPIConfig[KPI Name],0))="Lower is Better",IF($H281=0,1,IF($G281=0,0,$G281/$H281)),IF($G281=0,1,$H281/$G281)),0)</f>
        <v/>
      </c>
      <c r="J281" s="8">
        <f>IFERROR(IF($I281&gt;=1,"Green",IF($I281&gt;=INDEX(Tbl_KPIConfig[RAG Threshold %],MATCH($D281,Tbl_KPIConfig[KPI Name],0)),"Amber","Red")),"")</f>
        <v/>
      </c>
      <c r="K281" s="10" t="inlineStr">
        <is>
          <t>Within normal range</t>
        </is>
      </c>
    </row>
    <row r="282">
      <c r="A282" s="11" t="n">
        <v>46194</v>
      </c>
      <c r="B282" s="12">
        <f>IF($A282="","",TEXT($A282,"mmm-yyyy"))</f>
        <v/>
      </c>
      <c r="C282" s="12">
        <f>IF($A282="","","W"&amp;WEEKNUM($A282,2))</f>
        <v/>
      </c>
      <c r="D282" s="12" t="inlineStr">
        <is>
          <t>On-Time Dispatch %</t>
        </is>
      </c>
      <c r="E282" s="12">
        <f>IFERROR(INDEX(Tbl_KPIConfig[Department],MATCH($D282,Tbl_KPIConfig[KPI Name],0)),"")</f>
        <v/>
      </c>
      <c r="F282" s="12">
        <f>IFERROR(INDEX(Tbl_KPIConfig[Unit],MATCH($D282,Tbl_KPIConfig[KPI Name],0)),"")</f>
        <v/>
      </c>
      <c r="G282" s="12">
        <f>IFERROR(INDEX(Tbl_KPIConfig[Target],MATCH($D282,Tbl_KPIConfig[KPI Name],0)),"")</f>
        <v/>
      </c>
      <c r="H282" s="12" t="n">
        <v>1.2105</v>
      </c>
      <c r="I282" s="13">
        <f>IFERROR(IF(INDEX(Tbl_KPIConfig[Direction],MATCH($D282,Tbl_KPIConfig[KPI Name],0))="Lower is Better",IF($H282=0,1,IF($G282=0,0,$G282/$H282)),IF($G282=0,1,$H282/$G282)),0)</f>
        <v/>
      </c>
      <c r="J282" s="12">
        <f>IFERROR(IF($I282&gt;=1,"Green",IF($I282&gt;=INDEX(Tbl_KPIConfig[RAG Threshold %],MATCH($D282,Tbl_KPIConfig[KPI Name],0)),"Amber","Red")),"")</f>
        <v/>
      </c>
      <c r="K282" s="14" t="inlineStr">
        <is>
          <t>Awaiting spares</t>
        </is>
      </c>
    </row>
    <row r="283">
      <c r="A283" s="7" t="n">
        <v>46194</v>
      </c>
      <c r="B283" s="8">
        <f>IF($A283="","",TEXT($A283,"mmm-yyyy"))</f>
        <v/>
      </c>
      <c r="C283" s="8">
        <f>IF($A283="","","W"&amp;WEEKNUM($A283,2))</f>
        <v/>
      </c>
      <c r="D283" s="8" t="inlineStr">
        <is>
          <t>Inventory Accuracy %</t>
        </is>
      </c>
      <c r="E283" s="8">
        <f>IFERROR(INDEX(Tbl_KPIConfig[Department],MATCH($D283,Tbl_KPIConfig[KPI Name],0)),"")</f>
        <v/>
      </c>
      <c r="F283" s="8">
        <f>IFERROR(INDEX(Tbl_KPIConfig[Unit],MATCH($D283,Tbl_KPIConfig[KPI Name],0)),"")</f>
        <v/>
      </c>
      <c r="G283" s="8">
        <f>IFERROR(INDEX(Tbl_KPIConfig[Target],MATCH($D283,Tbl_KPIConfig[KPI Name],0)),"")</f>
        <v/>
      </c>
      <c r="H283" s="8" t="n">
        <v>0.8951</v>
      </c>
      <c r="I283" s="9">
        <f>IFERROR(IF(INDEX(Tbl_KPIConfig[Direction],MATCH($D283,Tbl_KPIConfig[KPI Name],0))="Lower is Better",IF($H283=0,1,IF($G283=0,0,$G283/$H283)),IF($G283=0,1,$H283/$G283)),0)</f>
        <v/>
      </c>
      <c r="J283" s="8">
        <f>IFERROR(IF($I283&gt;=1,"Green",IF($I283&gt;=INDEX(Tbl_KPIConfig[RAG Threshold %],MATCH($D283,Tbl_KPIConfig[KPI Name],0)),"Amber","Red")),"")</f>
        <v/>
      </c>
      <c r="K283" s="10" t="inlineStr">
        <is>
          <t>Awaiting spares</t>
        </is>
      </c>
    </row>
    <row r="284">
      <c r="A284" s="11" t="n">
        <v>46194</v>
      </c>
      <c r="B284" s="12">
        <f>IF($A284="","",TEXT($A284,"mmm-yyyy"))</f>
        <v/>
      </c>
      <c r="C284" s="12">
        <f>IF($A284="","","W"&amp;WEEKNUM($A284,2))</f>
        <v/>
      </c>
      <c r="D284" s="12" t="inlineStr">
        <is>
          <t>Absenteeism %</t>
        </is>
      </c>
      <c r="E284" s="12">
        <f>IFERROR(INDEX(Tbl_KPIConfig[Department],MATCH($D284,Tbl_KPIConfig[KPI Name],0)),"")</f>
        <v/>
      </c>
      <c r="F284" s="12">
        <f>IFERROR(INDEX(Tbl_KPIConfig[Unit],MATCH($D284,Tbl_KPIConfig[KPI Name],0)),"")</f>
        <v/>
      </c>
      <c r="G284" s="12">
        <f>IFERROR(INDEX(Tbl_KPIConfig[Target],MATCH($D284,Tbl_KPIConfig[KPI Name],0)),"")</f>
        <v/>
      </c>
      <c r="H284" s="12" t="n">
        <v>0.0332</v>
      </c>
      <c r="I284" s="13">
        <f>IFERROR(IF(INDEX(Tbl_KPIConfig[Direction],MATCH($D284,Tbl_KPIConfig[KPI Name],0))="Lower is Better",IF($H284=0,1,IF($G284=0,0,$G284/$H284)),IF($G284=0,1,$H284/$G284)),0)</f>
        <v/>
      </c>
      <c r="J284" s="12">
        <f>IFERROR(IF($I284&gt;=1,"Green",IF($I284&gt;=INDEX(Tbl_KPIConfig[RAG Threshold %],MATCH($D284,Tbl_KPIConfig[KPI Name],0)),"Amber","Red")),"")</f>
        <v/>
      </c>
      <c r="K284" s="14" t="inlineStr"/>
    </row>
    <row r="285">
      <c r="A285" s="7" t="n">
        <v>46194</v>
      </c>
      <c r="B285" s="8">
        <f>IF($A285="","",TEXT($A285,"mmm-yyyy"))</f>
        <v/>
      </c>
      <c r="C285" s="8">
        <f>IF($A285="","","W"&amp;WEEKNUM($A285,2))</f>
        <v/>
      </c>
      <c r="D285" s="8" t="inlineStr">
        <is>
          <t>Training Hours</t>
        </is>
      </c>
      <c r="E285" s="8">
        <f>IFERROR(INDEX(Tbl_KPIConfig[Department],MATCH($D285,Tbl_KPIConfig[KPI Name],0)),"")</f>
        <v/>
      </c>
      <c r="F285" s="8">
        <f>IFERROR(INDEX(Tbl_KPIConfig[Unit],MATCH($D285,Tbl_KPIConfig[KPI Name],0)),"")</f>
        <v/>
      </c>
      <c r="G285" s="8">
        <f>IFERROR(INDEX(Tbl_KPIConfig[Target],MATCH($D285,Tbl_KPIConfig[KPI Name],0)),"")</f>
        <v/>
      </c>
      <c r="H285" s="8" t="n">
        <v>1.9</v>
      </c>
      <c r="I285" s="9">
        <f>IFERROR(IF(INDEX(Tbl_KPIConfig[Direction],MATCH($D285,Tbl_KPIConfig[KPI Name],0))="Lower is Better",IF($H285=0,1,IF($G285=0,0,$G285/$H285)),IF($G285=0,1,$H285/$G285)),0)</f>
        <v/>
      </c>
      <c r="J285" s="8">
        <f>IFERROR(IF($I285&gt;=1,"Green",IF($I285&gt;=INDEX(Tbl_KPIConfig[RAG Threshold %],MATCH($D285,Tbl_KPIConfig[KPI Name],0)),"Amber","Red")),"")</f>
        <v/>
      </c>
      <c r="K285" s="10" t="inlineStr"/>
    </row>
    <row r="286">
      <c r="A286" s="11" t="n">
        <v>46194</v>
      </c>
      <c r="B286" s="12">
        <f>IF($A286="","",TEXT($A286,"mmm-yyyy"))</f>
        <v/>
      </c>
      <c r="C286" s="12">
        <f>IF($A286="","","W"&amp;WEEKNUM($A286,2))</f>
        <v/>
      </c>
      <c r="D286" s="12" t="inlineStr">
        <is>
          <t>Milestone Adherence %</t>
        </is>
      </c>
      <c r="E286" s="12">
        <f>IFERROR(INDEX(Tbl_KPIConfig[Department],MATCH($D286,Tbl_KPIConfig[KPI Name],0)),"")</f>
        <v/>
      </c>
      <c r="F286" s="12">
        <f>IFERROR(INDEX(Tbl_KPIConfig[Unit],MATCH($D286,Tbl_KPIConfig[KPI Name],0)),"")</f>
        <v/>
      </c>
      <c r="G286" s="12">
        <f>IFERROR(INDEX(Tbl_KPIConfig[Target],MATCH($D286,Tbl_KPIConfig[KPI Name],0)),"")</f>
        <v/>
      </c>
      <c r="H286" s="12" t="n">
        <v>0.8237</v>
      </c>
      <c r="I286" s="13">
        <f>IFERROR(IF(INDEX(Tbl_KPIConfig[Direction],MATCH($D286,Tbl_KPIConfig[KPI Name],0))="Lower is Better",IF($H286=0,1,IF($G286=0,0,$G286/$H286)),IF($G286=0,1,$H286/$G286)),0)</f>
        <v/>
      </c>
      <c r="J286" s="12">
        <f>IFERROR(IF($I286&gt;=1,"Green",IF($I286&gt;=INDEX(Tbl_KPIConfig[RAG Threshold %],MATCH($D286,Tbl_KPIConfig[KPI Name],0)),"Amber","Red")),"")</f>
        <v/>
      </c>
      <c r="K286" s="14" t="inlineStr">
        <is>
          <t>Vendor delay</t>
        </is>
      </c>
    </row>
    <row r="287">
      <c r="A287" s="7" t="n">
        <v>46194</v>
      </c>
      <c r="B287" s="8">
        <f>IF($A287="","",TEXT($A287,"mmm-yyyy"))</f>
        <v/>
      </c>
      <c r="C287" s="8">
        <f>IF($A287="","","W"&amp;WEEKNUM($A287,2))</f>
        <v/>
      </c>
      <c r="D287" s="8" t="inlineStr">
        <is>
          <t>Breakdown Resolution (Hrs)</t>
        </is>
      </c>
      <c r="E287" s="8">
        <f>IFERROR(INDEX(Tbl_KPIConfig[Department],MATCH($D287,Tbl_KPIConfig[KPI Name],0)),"")</f>
        <v/>
      </c>
      <c r="F287" s="8">
        <f>IFERROR(INDEX(Tbl_KPIConfig[Unit],MATCH($D287,Tbl_KPIConfig[KPI Name],0)),"")</f>
        <v/>
      </c>
      <c r="G287" s="8">
        <f>IFERROR(INDEX(Tbl_KPIConfig[Target],MATCH($D287,Tbl_KPIConfig[KPI Name],0)),"")</f>
        <v/>
      </c>
      <c r="H287" s="8" t="n">
        <v>1.97</v>
      </c>
      <c r="I287" s="9">
        <f>IFERROR(IF(INDEX(Tbl_KPIConfig[Direction],MATCH($D287,Tbl_KPIConfig[KPI Name],0))="Lower is Better",IF($H287=0,1,IF($G287=0,0,$G287/$H287)),IF($G287=0,1,$H287/$G287)),0)</f>
        <v/>
      </c>
      <c r="J287" s="8">
        <f>IFERROR(IF($I287&gt;=1,"Green",IF($I287&gt;=INDEX(Tbl_KPIConfig[RAG Threshold %],MATCH($D287,Tbl_KPIConfig[KPI Name],0)),"Amber","Red")),"")</f>
        <v/>
      </c>
      <c r="K287" s="10" t="inlineStr">
        <is>
          <t>Vendor delay</t>
        </is>
      </c>
    </row>
    <row r="288">
      <c r="A288" s="11" t="n">
        <v>46195</v>
      </c>
      <c r="B288" s="12">
        <f>IF($A288="","",TEXT($A288,"mmm-yyyy"))</f>
        <v/>
      </c>
      <c r="C288" s="12">
        <f>IF($A288="","","W"&amp;WEEKNUM($A288,2))</f>
        <v/>
      </c>
      <c r="D288" s="12" t="inlineStr">
        <is>
          <t>Safety Incidents (LTI)</t>
        </is>
      </c>
      <c r="E288" s="12">
        <f>IFERROR(INDEX(Tbl_KPIConfig[Department],MATCH($D288,Tbl_KPIConfig[KPI Name],0)),"")</f>
        <v/>
      </c>
      <c r="F288" s="12">
        <f>IFERROR(INDEX(Tbl_KPIConfig[Unit],MATCH($D288,Tbl_KPIConfig[KPI Name],0)),"")</f>
        <v/>
      </c>
      <c r="G288" s="12">
        <f>IFERROR(INDEX(Tbl_KPIConfig[Target],MATCH($D288,Tbl_KPIConfig[KPI Name],0)),"")</f>
        <v/>
      </c>
      <c r="H288" s="12" t="n">
        <v>1</v>
      </c>
      <c r="I288" s="13">
        <f>IFERROR(IF(INDEX(Tbl_KPIConfig[Direction],MATCH($D288,Tbl_KPIConfig[KPI Name],0))="Lower is Better",IF($H288=0,1,IF($G288=0,0,$G288/$H288)),IF($G288=0,1,$H288/$G288)),0)</f>
        <v/>
      </c>
      <c r="J288" s="12">
        <f>IFERROR(IF($I288&gt;=1,"Green",IF($I288&gt;=INDEX(Tbl_KPIConfig[RAG Threshold %],MATCH($D288,Tbl_KPIConfig[KPI Name],0)),"Amber","Red")),"")</f>
        <v/>
      </c>
      <c r="K288" s="14" t="inlineStr">
        <is>
          <t>Line changeover impact</t>
        </is>
      </c>
    </row>
    <row r="289">
      <c r="A289" s="7" t="n">
        <v>46195</v>
      </c>
      <c r="B289" s="8">
        <f>IF($A289="","",TEXT($A289,"mmm-yyyy"))</f>
        <v/>
      </c>
      <c r="C289" s="8">
        <f>IF($A289="","","W"&amp;WEEKNUM($A289,2))</f>
        <v/>
      </c>
      <c r="D289" s="8" t="inlineStr">
        <is>
          <t>Near Miss Reports</t>
        </is>
      </c>
      <c r="E289" s="8">
        <f>IFERROR(INDEX(Tbl_KPIConfig[Department],MATCH($D289,Tbl_KPIConfig[KPI Name],0)),"")</f>
        <v/>
      </c>
      <c r="F289" s="8">
        <f>IFERROR(INDEX(Tbl_KPIConfig[Unit],MATCH($D289,Tbl_KPIConfig[KPI Name],0)),"")</f>
        <v/>
      </c>
      <c r="G289" s="8">
        <f>IFERROR(INDEX(Tbl_KPIConfig[Target],MATCH($D289,Tbl_KPIConfig[KPI Name],0)),"")</f>
        <v/>
      </c>
      <c r="H289" s="8" t="n">
        <v>2</v>
      </c>
      <c r="I289" s="9">
        <f>IFERROR(IF(INDEX(Tbl_KPIConfig[Direction],MATCH($D289,Tbl_KPIConfig[KPI Name],0))="Lower is Better",IF($H289=0,1,IF($G289=0,0,$G289/$H289)),IF($G289=0,1,$H289/$G289)),0)</f>
        <v/>
      </c>
      <c r="J289" s="8">
        <f>IFERROR(IF($I289&gt;=1,"Green",IF($I289&gt;=INDEX(Tbl_KPIConfig[RAG Threshold %],MATCH($D289,Tbl_KPIConfig[KPI Name],0)),"Amber","Red")),"")</f>
        <v/>
      </c>
      <c r="K289" s="10" t="inlineStr">
        <is>
          <t>Awaiting spares</t>
        </is>
      </c>
    </row>
    <row r="290">
      <c r="A290" s="11" t="n">
        <v>46195</v>
      </c>
      <c r="B290" s="12">
        <f>IF($A290="","",TEXT($A290,"mmm-yyyy"))</f>
        <v/>
      </c>
      <c r="C290" s="12">
        <f>IF($A290="","","W"&amp;WEEKNUM($A290,2))</f>
        <v/>
      </c>
      <c r="D290" s="12" t="inlineStr">
        <is>
          <t>Production Output</t>
        </is>
      </c>
      <c r="E290" s="12">
        <f>IFERROR(INDEX(Tbl_KPIConfig[Department],MATCH($D290,Tbl_KPIConfig[KPI Name],0)),"")</f>
        <v/>
      </c>
      <c r="F290" s="12">
        <f>IFERROR(INDEX(Tbl_KPIConfig[Unit],MATCH($D290,Tbl_KPIConfig[KPI Name],0)),"")</f>
        <v/>
      </c>
      <c r="G290" s="12">
        <f>IFERROR(INDEX(Tbl_KPIConfig[Target],MATCH($D290,Tbl_KPIConfig[KPI Name],0)),"")</f>
        <v/>
      </c>
      <c r="H290" s="12" t="n">
        <v>932.23</v>
      </c>
      <c r="I290" s="13">
        <f>IFERROR(IF(INDEX(Tbl_KPIConfig[Direction],MATCH($D290,Tbl_KPIConfig[KPI Name],0))="Lower is Better",IF($H290=0,1,IF($G290=0,0,$G290/$H290)),IF($G290=0,1,$H290/$G290)),0)</f>
        <v/>
      </c>
      <c r="J290" s="12">
        <f>IFERROR(IF($I290&gt;=1,"Green",IF($I290&gt;=INDEX(Tbl_KPIConfig[RAG Threshold %],MATCH($D290,Tbl_KPIConfig[KPI Name],0)),"Amber","Red")),"")</f>
        <v/>
      </c>
      <c r="K290" s="14" t="inlineStr">
        <is>
          <t>Vendor delay</t>
        </is>
      </c>
    </row>
    <row r="291">
      <c r="A291" s="7" t="n">
        <v>46195</v>
      </c>
      <c r="B291" s="8">
        <f>IF($A291="","",TEXT($A291,"mmm-yyyy"))</f>
        <v/>
      </c>
      <c r="C291" s="8">
        <f>IF($A291="","","W"&amp;WEEKNUM($A291,2))</f>
        <v/>
      </c>
      <c r="D291" s="8" t="inlineStr">
        <is>
          <t>OEE %</t>
        </is>
      </c>
      <c r="E291" s="8">
        <f>IFERROR(INDEX(Tbl_KPIConfig[Department],MATCH($D291,Tbl_KPIConfig[KPI Name],0)),"")</f>
        <v/>
      </c>
      <c r="F291" s="8">
        <f>IFERROR(INDEX(Tbl_KPIConfig[Unit],MATCH($D291,Tbl_KPIConfig[KPI Name],0)),"")</f>
        <v/>
      </c>
      <c r="G291" s="8">
        <f>IFERROR(INDEX(Tbl_KPIConfig[Target],MATCH($D291,Tbl_KPIConfig[KPI Name],0)),"")</f>
        <v/>
      </c>
      <c r="H291" s="8" t="n">
        <v>1.0575</v>
      </c>
      <c r="I291" s="9">
        <f>IFERROR(IF(INDEX(Tbl_KPIConfig[Direction],MATCH($D291,Tbl_KPIConfig[KPI Name],0))="Lower is Better",IF($H291=0,1,IF($G291=0,0,$G291/$H291)),IF($G291=0,1,$H291/$G291)),0)</f>
        <v/>
      </c>
      <c r="J291" s="8">
        <f>IFERROR(IF($I291&gt;=1,"Green",IF($I291&gt;=INDEX(Tbl_KPIConfig[RAG Threshold %],MATCH($D291,Tbl_KPIConfig[KPI Name],0)),"Amber","Red")),"")</f>
        <v/>
      </c>
      <c r="K291" s="10" t="inlineStr">
        <is>
          <t>Process improvement in progress</t>
        </is>
      </c>
    </row>
    <row r="292">
      <c r="A292" s="11" t="n">
        <v>46195</v>
      </c>
      <c r="B292" s="12">
        <f>IF($A292="","",TEXT($A292,"mmm-yyyy"))</f>
        <v/>
      </c>
      <c r="C292" s="12">
        <f>IF($A292="","","W"&amp;WEEKNUM($A292,2))</f>
        <v/>
      </c>
      <c r="D292" s="12" t="inlineStr">
        <is>
          <t>Defect Rate %</t>
        </is>
      </c>
      <c r="E292" s="12">
        <f>IFERROR(INDEX(Tbl_KPIConfig[Department],MATCH($D292,Tbl_KPIConfig[KPI Name],0)),"")</f>
        <v/>
      </c>
      <c r="F292" s="12">
        <f>IFERROR(INDEX(Tbl_KPIConfig[Unit],MATCH($D292,Tbl_KPIConfig[KPI Name],0)),"")</f>
        <v/>
      </c>
      <c r="G292" s="12">
        <f>IFERROR(INDEX(Tbl_KPIConfig[Target],MATCH($D292,Tbl_KPIConfig[KPI Name],0)),"")</f>
        <v/>
      </c>
      <c r="H292" s="12" t="n">
        <v>0.017</v>
      </c>
      <c r="I292" s="13">
        <f>IFERROR(IF(INDEX(Tbl_KPIConfig[Direction],MATCH($D292,Tbl_KPIConfig[KPI Name],0))="Lower is Better",IF($H292=0,1,IF($G292=0,0,$G292/$H292)),IF($G292=0,1,$H292/$G292)),0)</f>
        <v/>
      </c>
      <c r="J292" s="12">
        <f>IFERROR(IF($I292&gt;=1,"Green",IF($I292&gt;=INDEX(Tbl_KPIConfig[RAG Threshold %],MATCH($D292,Tbl_KPIConfig[KPI Name],0)),"Amber","Red")),"")</f>
        <v/>
      </c>
      <c r="K292" s="14" t="inlineStr"/>
    </row>
    <row r="293">
      <c r="A293" s="7" t="n">
        <v>46195</v>
      </c>
      <c r="B293" s="8">
        <f>IF($A293="","",TEXT($A293,"mmm-yyyy"))</f>
        <v/>
      </c>
      <c r="C293" s="8">
        <f>IF($A293="","","W"&amp;WEEKNUM($A293,2))</f>
        <v/>
      </c>
      <c r="D293" s="8" t="inlineStr">
        <is>
          <t>Customer Complaints</t>
        </is>
      </c>
      <c r="E293" s="8">
        <f>IFERROR(INDEX(Tbl_KPIConfig[Department],MATCH($D293,Tbl_KPIConfig[KPI Name],0)),"")</f>
        <v/>
      </c>
      <c r="F293" s="8">
        <f>IFERROR(INDEX(Tbl_KPIConfig[Unit],MATCH($D293,Tbl_KPIConfig[KPI Name],0)),"")</f>
        <v/>
      </c>
      <c r="G293" s="8">
        <f>IFERROR(INDEX(Tbl_KPIConfig[Target],MATCH($D293,Tbl_KPIConfig[KPI Name],0)),"")</f>
        <v/>
      </c>
      <c r="H293" s="8" t="n">
        <v>2</v>
      </c>
      <c r="I293" s="9">
        <f>IFERROR(IF(INDEX(Tbl_KPIConfig[Direction],MATCH($D293,Tbl_KPIConfig[KPI Name],0))="Lower is Better",IF($H293=0,1,IF($G293=0,0,$G293/$H293)),IF($G293=0,1,$H293/$G293)),0)</f>
        <v/>
      </c>
      <c r="J293" s="8">
        <f>IFERROR(IF($I293&gt;=1,"Green",IF($I293&gt;=INDEX(Tbl_KPIConfig[RAG Threshold %],MATCH($D293,Tbl_KPIConfig[KPI Name],0)),"Amber","Red")),"")</f>
        <v/>
      </c>
      <c r="K293" s="10" t="inlineStr">
        <is>
          <t>Process improvement in progress</t>
        </is>
      </c>
    </row>
    <row r="294">
      <c r="A294" s="11" t="n">
        <v>46195</v>
      </c>
      <c r="B294" s="12">
        <f>IF($A294="","",TEXT($A294,"mmm-yyyy"))</f>
        <v/>
      </c>
      <c r="C294" s="12">
        <f>IF($A294="","","W"&amp;WEEKNUM($A294,2))</f>
        <v/>
      </c>
      <c r="D294" s="12" t="inlineStr">
        <is>
          <t>Unplanned Downtime (Hrs)</t>
        </is>
      </c>
      <c r="E294" s="12">
        <f>IFERROR(INDEX(Tbl_KPIConfig[Department],MATCH($D294,Tbl_KPIConfig[KPI Name],0)),"")</f>
        <v/>
      </c>
      <c r="F294" s="12">
        <f>IFERROR(INDEX(Tbl_KPIConfig[Unit],MATCH($D294,Tbl_KPIConfig[KPI Name],0)),"")</f>
        <v/>
      </c>
      <c r="G294" s="12">
        <f>IFERROR(INDEX(Tbl_KPIConfig[Target],MATCH($D294,Tbl_KPIConfig[KPI Name],0)),"")</f>
        <v/>
      </c>
      <c r="H294" s="12" t="n">
        <v>1.06</v>
      </c>
      <c r="I294" s="13">
        <f>IFERROR(IF(INDEX(Tbl_KPIConfig[Direction],MATCH($D294,Tbl_KPIConfig[KPI Name],0))="Lower is Better",IF($H294=0,1,IF($G294=0,0,$G294/$H294)),IF($G294=0,1,$H294/$G294)),0)</f>
        <v/>
      </c>
      <c r="J294" s="12">
        <f>IFERROR(IF($I294&gt;=1,"Green",IF($I294&gt;=INDEX(Tbl_KPIConfig[RAG Threshold %],MATCH($D294,Tbl_KPIConfig[KPI Name],0)),"Amber","Red")),"")</f>
        <v/>
      </c>
      <c r="K294" s="14" t="inlineStr"/>
    </row>
    <row r="295">
      <c r="A295" s="7" t="n">
        <v>46195</v>
      </c>
      <c r="B295" s="8">
        <f>IF($A295="","",TEXT($A295,"mmm-yyyy"))</f>
        <v/>
      </c>
      <c r="C295" s="8">
        <f>IF($A295="","","W"&amp;WEEKNUM($A295,2))</f>
        <v/>
      </c>
      <c r="D295" s="8" t="inlineStr">
        <is>
          <t>PM Compliance %</t>
        </is>
      </c>
      <c r="E295" s="8">
        <f>IFERROR(INDEX(Tbl_KPIConfig[Department],MATCH($D295,Tbl_KPIConfig[KPI Name],0)),"")</f>
        <v/>
      </c>
      <c r="F295" s="8">
        <f>IFERROR(INDEX(Tbl_KPIConfig[Unit],MATCH($D295,Tbl_KPIConfig[KPI Name],0)),"")</f>
        <v/>
      </c>
      <c r="G295" s="8">
        <f>IFERROR(INDEX(Tbl_KPIConfig[Target],MATCH($D295,Tbl_KPIConfig[KPI Name],0)),"")</f>
        <v/>
      </c>
      <c r="H295" s="8" t="n">
        <v>0.8924</v>
      </c>
      <c r="I295" s="9">
        <f>IFERROR(IF(INDEX(Tbl_KPIConfig[Direction],MATCH($D295,Tbl_KPIConfig[KPI Name],0))="Lower is Better",IF($H295=0,1,IF($G295=0,0,$G295/$H295)),IF($G295=0,1,$H295/$G295)),0)</f>
        <v/>
      </c>
      <c r="J295" s="8">
        <f>IFERROR(IF($I295&gt;=1,"Green",IF($I295&gt;=INDEX(Tbl_KPIConfig[RAG Threshold %],MATCH($D295,Tbl_KPIConfig[KPI Name],0)),"Amber","Red")),"")</f>
        <v/>
      </c>
      <c r="K295" s="10" t="inlineStr">
        <is>
          <t>Preventive check done</t>
        </is>
      </c>
    </row>
    <row r="296">
      <c r="A296" s="11" t="n">
        <v>46195</v>
      </c>
      <c r="B296" s="12">
        <f>IF($A296="","",TEXT($A296,"mmm-yyyy"))</f>
        <v/>
      </c>
      <c r="C296" s="12">
        <f>IF($A296="","","W"&amp;WEEKNUM($A296,2))</f>
        <v/>
      </c>
      <c r="D296" s="12" t="inlineStr">
        <is>
          <t>Power Consumption (kWh)</t>
        </is>
      </c>
      <c r="E296" s="12">
        <f>IFERROR(INDEX(Tbl_KPIConfig[Department],MATCH($D296,Tbl_KPIConfig[KPI Name],0)),"")</f>
        <v/>
      </c>
      <c r="F296" s="12">
        <f>IFERROR(INDEX(Tbl_KPIConfig[Unit],MATCH($D296,Tbl_KPIConfig[KPI Name],0)),"")</f>
        <v/>
      </c>
      <c r="G296" s="12">
        <f>IFERROR(INDEX(Tbl_KPIConfig[Target],MATCH($D296,Tbl_KPIConfig[KPI Name],0)),"")</f>
        <v/>
      </c>
      <c r="H296" s="12" t="n">
        <v>5373.78</v>
      </c>
      <c r="I296" s="13">
        <f>IFERROR(IF(INDEX(Tbl_KPIConfig[Direction],MATCH($D296,Tbl_KPIConfig[KPI Name],0))="Lower is Better",IF($H296=0,1,IF($G296=0,0,$G296/$H296)),IF($G296=0,1,$H296/$G296)),0)</f>
        <v/>
      </c>
      <c r="J296" s="12">
        <f>IFERROR(IF($I296&gt;=1,"Green",IF($I296&gt;=INDEX(Tbl_KPIConfig[RAG Threshold %],MATCH($D296,Tbl_KPIConfig[KPI Name],0)),"Amber","Red")),"")</f>
        <v/>
      </c>
      <c r="K296" s="14" t="inlineStr">
        <is>
          <t>Awaiting spares</t>
        </is>
      </c>
    </row>
    <row r="297">
      <c r="A297" s="7" t="n">
        <v>46195</v>
      </c>
      <c r="B297" s="8">
        <f>IF($A297="","",TEXT($A297,"mmm-yyyy"))</f>
        <v/>
      </c>
      <c r="C297" s="8">
        <f>IF($A297="","","W"&amp;WEEKNUM($A297,2))</f>
        <v/>
      </c>
      <c r="D297" s="8" t="inlineStr">
        <is>
          <t>On-Time Dispatch %</t>
        </is>
      </c>
      <c r="E297" s="8">
        <f>IFERROR(INDEX(Tbl_KPIConfig[Department],MATCH($D297,Tbl_KPIConfig[KPI Name],0)),"")</f>
        <v/>
      </c>
      <c r="F297" s="8">
        <f>IFERROR(INDEX(Tbl_KPIConfig[Unit],MATCH($D297,Tbl_KPIConfig[KPI Name],0)),"")</f>
        <v/>
      </c>
      <c r="G297" s="8">
        <f>IFERROR(INDEX(Tbl_KPIConfig[Target],MATCH($D297,Tbl_KPIConfig[KPI Name],0)),"")</f>
        <v/>
      </c>
      <c r="H297" s="8" t="n">
        <v>1.0398</v>
      </c>
      <c r="I297" s="9">
        <f>IFERROR(IF(INDEX(Tbl_KPIConfig[Direction],MATCH($D297,Tbl_KPIConfig[KPI Name],0))="Lower is Better",IF($H297=0,1,IF($G297=0,0,$G297/$H297)),IF($G297=0,1,$H297/$G297)),0)</f>
        <v/>
      </c>
      <c r="J297" s="8">
        <f>IFERROR(IF($I297&gt;=1,"Green",IF($I297&gt;=INDEX(Tbl_KPIConfig[RAG Threshold %],MATCH($D297,Tbl_KPIConfig[KPI Name],0)),"Amber","Red")),"")</f>
        <v/>
      </c>
      <c r="K297" s="10" t="inlineStr">
        <is>
          <t>Preventive check done</t>
        </is>
      </c>
    </row>
    <row r="298">
      <c r="A298" s="11" t="n">
        <v>46195</v>
      </c>
      <c r="B298" s="12">
        <f>IF($A298="","",TEXT($A298,"mmm-yyyy"))</f>
        <v/>
      </c>
      <c r="C298" s="12">
        <f>IF($A298="","","W"&amp;WEEKNUM($A298,2))</f>
        <v/>
      </c>
      <c r="D298" s="12" t="inlineStr">
        <is>
          <t>Inventory Accuracy %</t>
        </is>
      </c>
      <c r="E298" s="12">
        <f>IFERROR(INDEX(Tbl_KPIConfig[Department],MATCH($D298,Tbl_KPIConfig[KPI Name],0)),"")</f>
        <v/>
      </c>
      <c r="F298" s="12">
        <f>IFERROR(INDEX(Tbl_KPIConfig[Unit],MATCH($D298,Tbl_KPIConfig[KPI Name],0)),"")</f>
        <v/>
      </c>
      <c r="G298" s="12">
        <f>IFERROR(INDEX(Tbl_KPIConfig[Target],MATCH($D298,Tbl_KPIConfig[KPI Name],0)),"")</f>
        <v/>
      </c>
      <c r="H298" s="12" t="n">
        <v>1.0754</v>
      </c>
      <c r="I298" s="13">
        <f>IFERROR(IF(INDEX(Tbl_KPIConfig[Direction],MATCH($D298,Tbl_KPIConfig[KPI Name],0))="Lower is Better",IF($H298=0,1,IF($G298=0,0,$G298/$H298)),IF($G298=0,1,$H298/$G298)),0)</f>
        <v/>
      </c>
      <c r="J298" s="12">
        <f>IFERROR(IF($I298&gt;=1,"Green",IF($I298&gt;=INDEX(Tbl_KPIConfig[RAG Threshold %],MATCH($D298,Tbl_KPIConfig[KPI Name],0)),"Amber","Red")),"")</f>
        <v/>
      </c>
      <c r="K298" s="14" t="inlineStr">
        <is>
          <t>Preventive check done</t>
        </is>
      </c>
    </row>
    <row r="299">
      <c r="A299" s="7" t="n">
        <v>46195</v>
      </c>
      <c r="B299" s="8">
        <f>IF($A299="","",TEXT($A299,"mmm-yyyy"))</f>
        <v/>
      </c>
      <c r="C299" s="8">
        <f>IF($A299="","","W"&amp;WEEKNUM($A299,2))</f>
        <v/>
      </c>
      <c r="D299" s="8" t="inlineStr">
        <is>
          <t>Absenteeism %</t>
        </is>
      </c>
      <c r="E299" s="8">
        <f>IFERROR(INDEX(Tbl_KPIConfig[Department],MATCH($D299,Tbl_KPIConfig[KPI Name],0)),"")</f>
        <v/>
      </c>
      <c r="F299" s="8">
        <f>IFERROR(INDEX(Tbl_KPIConfig[Unit],MATCH($D299,Tbl_KPIConfig[KPI Name],0)),"")</f>
        <v/>
      </c>
      <c r="G299" s="8">
        <f>IFERROR(INDEX(Tbl_KPIConfig[Target],MATCH($D299,Tbl_KPIConfig[KPI Name],0)),"")</f>
        <v/>
      </c>
      <c r="H299" s="8" t="n">
        <v>0.0293</v>
      </c>
      <c r="I299" s="9">
        <f>IFERROR(IF(INDEX(Tbl_KPIConfig[Direction],MATCH($D299,Tbl_KPIConfig[KPI Name],0))="Lower is Better",IF($H299=0,1,IF($G299=0,0,$G299/$H299)),IF($G299=0,1,$H299/$G299)),0)</f>
        <v/>
      </c>
      <c r="J299" s="8">
        <f>IFERROR(IF($I299&gt;=1,"Green",IF($I299&gt;=INDEX(Tbl_KPIConfig[RAG Threshold %],MATCH($D299,Tbl_KPIConfig[KPI Name],0)),"Amber","Red")),"")</f>
        <v/>
      </c>
      <c r="K299" s="10" t="inlineStr">
        <is>
          <t>Within normal range</t>
        </is>
      </c>
    </row>
    <row r="300">
      <c r="A300" s="11" t="n">
        <v>46195</v>
      </c>
      <c r="B300" s="12">
        <f>IF($A300="","",TEXT($A300,"mmm-yyyy"))</f>
        <v/>
      </c>
      <c r="C300" s="12">
        <f>IF($A300="","","W"&amp;WEEKNUM($A300,2))</f>
        <v/>
      </c>
      <c r="D300" s="12" t="inlineStr">
        <is>
          <t>Training Hours</t>
        </is>
      </c>
      <c r="E300" s="12">
        <f>IFERROR(INDEX(Tbl_KPIConfig[Department],MATCH($D300,Tbl_KPIConfig[KPI Name],0)),"")</f>
        <v/>
      </c>
      <c r="F300" s="12">
        <f>IFERROR(INDEX(Tbl_KPIConfig[Unit],MATCH($D300,Tbl_KPIConfig[KPI Name],0)),"")</f>
        <v/>
      </c>
      <c r="G300" s="12">
        <f>IFERROR(INDEX(Tbl_KPIConfig[Target],MATCH($D300,Tbl_KPIConfig[KPI Name],0)),"")</f>
        <v/>
      </c>
      <c r="H300" s="12" t="n">
        <v>1.34</v>
      </c>
      <c r="I300" s="13">
        <f>IFERROR(IF(INDEX(Tbl_KPIConfig[Direction],MATCH($D300,Tbl_KPIConfig[KPI Name],0))="Lower is Better",IF($H300=0,1,IF($G300=0,0,$G300/$H300)),IF($G300=0,1,$H300/$G300)),0)</f>
        <v/>
      </c>
      <c r="J300" s="12">
        <f>IFERROR(IF($I300&gt;=1,"Green",IF($I300&gt;=INDEX(Tbl_KPIConfig[RAG Threshold %],MATCH($D300,Tbl_KPIConfig[KPI Name],0)),"Amber","Red")),"")</f>
        <v/>
      </c>
      <c r="K300" s="14" t="inlineStr">
        <is>
          <t>Awaiting spares</t>
        </is>
      </c>
    </row>
    <row r="301">
      <c r="A301" s="7" t="n">
        <v>46195</v>
      </c>
      <c r="B301" s="8">
        <f>IF($A301="","",TEXT($A301,"mmm-yyyy"))</f>
        <v/>
      </c>
      <c r="C301" s="8">
        <f>IF($A301="","","W"&amp;WEEKNUM($A301,2))</f>
        <v/>
      </c>
      <c r="D301" s="8" t="inlineStr">
        <is>
          <t>Milestone Adherence %</t>
        </is>
      </c>
      <c r="E301" s="8">
        <f>IFERROR(INDEX(Tbl_KPIConfig[Department],MATCH($D301,Tbl_KPIConfig[KPI Name],0)),"")</f>
        <v/>
      </c>
      <c r="F301" s="8">
        <f>IFERROR(INDEX(Tbl_KPIConfig[Unit],MATCH($D301,Tbl_KPIConfig[KPI Name],0)),"")</f>
        <v/>
      </c>
      <c r="G301" s="8">
        <f>IFERROR(INDEX(Tbl_KPIConfig[Target],MATCH($D301,Tbl_KPIConfig[KPI Name],0)),"")</f>
        <v/>
      </c>
      <c r="H301" s="8" t="n">
        <v>0.8567</v>
      </c>
      <c r="I301" s="9">
        <f>IFERROR(IF(INDEX(Tbl_KPIConfig[Direction],MATCH($D301,Tbl_KPIConfig[KPI Name],0))="Lower is Better",IF($H301=0,1,IF($G301=0,0,$G301/$H301)),IF($G301=0,1,$H301/$G301)),0)</f>
        <v/>
      </c>
      <c r="J301" s="8">
        <f>IFERROR(IF($I301&gt;=1,"Green",IF($I301&gt;=INDEX(Tbl_KPIConfig[RAG Threshold %],MATCH($D301,Tbl_KPIConfig[KPI Name],0)),"Amber","Red")),"")</f>
        <v/>
      </c>
      <c r="K301" s="10" t="inlineStr">
        <is>
          <t>Within normal range</t>
        </is>
      </c>
    </row>
    <row r="302">
      <c r="A302" s="11" t="n">
        <v>46195</v>
      </c>
      <c r="B302" s="12">
        <f>IF($A302="","",TEXT($A302,"mmm-yyyy"))</f>
        <v/>
      </c>
      <c r="C302" s="12">
        <f>IF($A302="","","W"&amp;WEEKNUM($A302,2))</f>
        <v/>
      </c>
      <c r="D302" s="12" t="inlineStr">
        <is>
          <t>Breakdown Resolution (Hrs)</t>
        </is>
      </c>
      <c r="E302" s="12">
        <f>IFERROR(INDEX(Tbl_KPIConfig[Department],MATCH($D302,Tbl_KPIConfig[KPI Name],0)),"")</f>
        <v/>
      </c>
      <c r="F302" s="12">
        <f>IFERROR(INDEX(Tbl_KPIConfig[Unit],MATCH($D302,Tbl_KPIConfig[KPI Name],0)),"")</f>
        <v/>
      </c>
      <c r="G302" s="12">
        <f>IFERROR(INDEX(Tbl_KPIConfig[Target],MATCH($D302,Tbl_KPIConfig[KPI Name],0)),"")</f>
        <v/>
      </c>
      <c r="H302" s="12" t="n">
        <v>2.29</v>
      </c>
      <c r="I302" s="13">
        <f>IFERROR(IF(INDEX(Tbl_KPIConfig[Direction],MATCH($D302,Tbl_KPIConfig[KPI Name],0))="Lower is Better",IF($H302=0,1,IF($G302=0,0,$G302/$H302)),IF($G302=0,1,$H302/$G302)),0)</f>
        <v/>
      </c>
      <c r="J302" s="12">
        <f>IFERROR(IF($I302&gt;=1,"Green",IF($I302&gt;=INDEX(Tbl_KPIConfig[RAG Threshold %],MATCH($D302,Tbl_KPIConfig[KPI Name],0)),"Amber","Red")),"")</f>
        <v/>
      </c>
      <c r="K302" s="14" t="inlineStr">
        <is>
          <t>Vendor delay</t>
        </is>
      </c>
    </row>
    <row r="303">
      <c r="A303" s="7" t="n">
        <v>46196</v>
      </c>
      <c r="B303" s="8">
        <f>IF($A303="","",TEXT($A303,"mmm-yyyy"))</f>
        <v/>
      </c>
      <c r="C303" s="8">
        <f>IF($A303="","","W"&amp;WEEKNUM($A303,2))</f>
        <v/>
      </c>
      <c r="D303" s="8" t="inlineStr">
        <is>
          <t>Safety Incidents (LTI)</t>
        </is>
      </c>
      <c r="E303" s="8">
        <f>IFERROR(INDEX(Tbl_KPIConfig[Department],MATCH($D303,Tbl_KPIConfig[KPI Name],0)),"")</f>
        <v/>
      </c>
      <c r="F303" s="8">
        <f>IFERROR(INDEX(Tbl_KPIConfig[Unit],MATCH($D303,Tbl_KPIConfig[KPI Name],0)),"")</f>
        <v/>
      </c>
      <c r="G303" s="8">
        <f>IFERROR(INDEX(Tbl_KPIConfig[Target],MATCH($D303,Tbl_KPIConfig[KPI Name],0)),"")</f>
        <v/>
      </c>
      <c r="H303" s="8" t="n">
        <v>0</v>
      </c>
      <c r="I303" s="9">
        <f>IFERROR(IF(INDEX(Tbl_KPIConfig[Direction],MATCH($D303,Tbl_KPIConfig[KPI Name],0))="Lower is Better",IF($H303=0,1,IF($G303=0,0,$G303/$H303)),IF($G303=0,1,$H303/$G303)),0)</f>
        <v/>
      </c>
      <c r="J303" s="8">
        <f>IFERROR(IF($I303&gt;=1,"Green",IF($I303&gt;=INDEX(Tbl_KPIConfig[RAG Threshold %],MATCH($D303,Tbl_KPIConfig[KPI Name],0)),"Amber","Red")),"")</f>
        <v/>
      </c>
      <c r="K303" s="10" t="inlineStr">
        <is>
          <t>Preventive check done</t>
        </is>
      </c>
    </row>
    <row r="304">
      <c r="A304" s="11" t="n">
        <v>46196</v>
      </c>
      <c r="B304" s="12">
        <f>IF($A304="","",TEXT($A304,"mmm-yyyy"))</f>
        <v/>
      </c>
      <c r="C304" s="12">
        <f>IF($A304="","","W"&amp;WEEKNUM($A304,2))</f>
        <v/>
      </c>
      <c r="D304" s="12" t="inlineStr">
        <is>
          <t>Near Miss Reports</t>
        </is>
      </c>
      <c r="E304" s="12">
        <f>IFERROR(INDEX(Tbl_KPIConfig[Department],MATCH($D304,Tbl_KPIConfig[KPI Name],0)),"")</f>
        <v/>
      </c>
      <c r="F304" s="12">
        <f>IFERROR(INDEX(Tbl_KPIConfig[Unit],MATCH($D304,Tbl_KPIConfig[KPI Name],0)),"")</f>
        <v/>
      </c>
      <c r="G304" s="12">
        <f>IFERROR(INDEX(Tbl_KPIConfig[Target],MATCH($D304,Tbl_KPIConfig[KPI Name],0)),"")</f>
        <v/>
      </c>
      <c r="H304" s="12" t="n">
        <v>2</v>
      </c>
      <c r="I304" s="13">
        <f>IFERROR(IF(INDEX(Tbl_KPIConfig[Direction],MATCH($D304,Tbl_KPIConfig[KPI Name],0))="Lower is Better",IF($H304=0,1,IF($G304=0,0,$G304/$H304)),IF($G304=0,1,$H304/$G304)),0)</f>
        <v/>
      </c>
      <c r="J304" s="12">
        <f>IFERROR(IF($I304&gt;=1,"Green",IF($I304&gt;=INDEX(Tbl_KPIConfig[RAG Threshold %],MATCH($D304,Tbl_KPIConfig[KPI Name],0)),"Amber","Red")),"")</f>
        <v/>
      </c>
      <c r="K304" s="14" t="inlineStr">
        <is>
          <t>Process improvement in progress</t>
        </is>
      </c>
    </row>
    <row r="305">
      <c r="A305" s="7" t="n">
        <v>46196</v>
      </c>
      <c r="B305" s="8">
        <f>IF($A305="","",TEXT($A305,"mmm-yyyy"))</f>
        <v/>
      </c>
      <c r="C305" s="8">
        <f>IF($A305="","","W"&amp;WEEKNUM($A305,2))</f>
        <v/>
      </c>
      <c r="D305" s="8" t="inlineStr">
        <is>
          <t>Production Output</t>
        </is>
      </c>
      <c r="E305" s="8">
        <f>IFERROR(INDEX(Tbl_KPIConfig[Department],MATCH($D305,Tbl_KPIConfig[KPI Name],0)),"")</f>
        <v/>
      </c>
      <c r="F305" s="8">
        <f>IFERROR(INDEX(Tbl_KPIConfig[Unit],MATCH($D305,Tbl_KPIConfig[KPI Name],0)),"")</f>
        <v/>
      </c>
      <c r="G305" s="8">
        <f>IFERROR(INDEX(Tbl_KPIConfig[Target],MATCH($D305,Tbl_KPIConfig[KPI Name],0)),"")</f>
        <v/>
      </c>
      <c r="H305" s="8" t="n">
        <v>1048.89</v>
      </c>
      <c r="I305" s="9">
        <f>IFERROR(IF(INDEX(Tbl_KPIConfig[Direction],MATCH($D305,Tbl_KPIConfig[KPI Name],0))="Lower is Better",IF($H305=0,1,IF($G305=0,0,$G305/$H305)),IF($G305=0,1,$H305/$G305)),0)</f>
        <v/>
      </c>
      <c r="J305" s="8">
        <f>IFERROR(IF($I305&gt;=1,"Green",IF($I305&gt;=INDEX(Tbl_KPIConfig[RAG Threshold %],MATCH($D305,Tbl_KPIConfig[KPI Name],0)),"Amber","Red")),"")</f>
        <v/>
      </c>
      <c r="K305" s="10" t="inlineStr">
        <is>
          <t>Manpower shortage</t>
        </is>
      </c>
    </row>
    <row r="306">
      <c r="A306" s="11" t="n">
        <v>46196</v>
      </c>
      <c r="B306" s="12">
        <f>IF($A306="","",TEXT($A306,"mmm-yyyy"))</f>
        <v/>
      </c>
      <c r="C306" s="12">
        <f>IF($A306="","","W"&amp;WEEKNUM($A306,2))</f>
        <v/>
      </c>
      <c r="D306" s="12" t="inlineStr">
        <is>
          <t>OEE %</t>
        </is>
      </c>
      <c r="E306" s="12">
        <f>IFERROR(INDEX(Tbl_KPIConfig[Department],MATCH($D306,Tbl_KPIConfig[KPI Name],0)),"")</f>
        <v/>
      </c>
      <c r="F306" s="12">
        <f>IFERROR(INDEX(Tbl_KPIConfig[Unit],MATCH($D306,Tbl_KPIConfig[KPI Name],0)),"")</f>
        <v/>
      </c>
      <c r="G306" s="12">
        <f>IFERROR(INDEX(Tbl_KPIConfig[Target],MATCH($D306,Tbl_KPIConfig[KPI Name],0)),"")</f>
        <v/>
      </c>
      <c r="H306" s="12" t="n">
        <v>1.068</v>
      </c>
      <c r="I306" s="13">
        <f>IFERROR(IF(INDEX(Tbl_KPIConfig[Direction],MATCH($D306,Tbl_KPIConfig[KPI Name],0))="Lower is Better",IF($H306=0,1,IF($G306=0,0,$G306/$H306)),IF($G306=0,1,$H306/$G306)),0)</f>
        <v/>
      </c>
      <c r="J306" s="12">
        <f>IFERROR(IF($I306&gt;=1,"Green",IF($I306&gt;=INDEX(Tbl_KPIConfig[RAG Threshold %],MATCH($D306,Tbl_KPIConfig[KPI Name],0)),"Amber","Red")),"")</f>
        <v/>
      </c>
      <c r="K306" s="14" t="inlineStr">
        <is>
          <t>Process improvement in progress</t>
        </is>
      </c>
    </row>
    <row r="307">
      <c r="A307" s="7" t="n">
        <v>46196</v>
      </c>
      <c r="B307" s="8">
        <f>IF($A307="","",TEXT($A307,"mmm-yyyy"))</f>
        <v/>
      </c>
      <c r="C307" s="8">
        <f>IF($A307="","","W"&amp;WEEKNUM($A307,2))</f>
        <v/>
      </c>
      <c r="D307" s="8" t="inlineStr">
        <is>
          <t>Defect Rate %</t>
        </is>
      </c>
      <c r="E307" s="8">
        <f>IFERROR(INDEX(Tbl_KPIConfig[Department],MATCH($D307,Tbl_KPIConfig[KPI Name],0)),"")</f>
        <v/>
      </c>
      <c r="F307" s="8">
        <f>IFERROR(INDEX(Tbl_KPIConfig[Unit],MATCH($D307,Tbl_KPIConfig[KPI Name],0)),"")</f>
        <v/>
      </c>
      <c r="G307" s="8">
        <f>IFERROR(INDEX(Tbl_KPIConfig[Target],MATCH($D307,Tbl_KPIConfig[KPI Name],0)),"")</f>
        <v/>
      </c>
      <c r="H307" s="8" t="n">
        <v>0.021</v>
      </c>
      <c r="I307" s="9">
        <f>IFERROR(IF(INDEX(Tbl_KPIConfig[Direction],MATCH($D307,Tbl_KPIConfig[KPI Name],0))="Lower is Better",IF($H307=0,1,IF($G307=0,0,$G307/$H307)),IF($G307=0,1,$H307/$G307)),0)</f>
        <v/>
      </c>
      <c r="J307" s="8">
        <f>IFERROR(IF($I307&gt;=1,"Green",IF($I307&gt;=INDEX(Tbl_KPIConfig[RAG Threshold %],MATCH($D307,Tbl_KPIConfig[KPI Name],0)),"Amber","Red")),"")</f>
        <v/>
      </c>
      <c r="K307" s="10" t="inlineStr">
        <is>
          <t>Process improvement in progress</t>
        </is>
      </c>
    </row>
    <row r="308">
      <c r="A308" s="11" t="n">
        <v>46196</v>
      </c>
      <c r="B308" s="12">
        <f>IF($A308="","",TEXT($A308,"mmm-yyyy"))</f>
        <v/>
      </c>
      <c r="C308" s="12">
        <f>IF($A308="","","W"&amp;WEEKNUM($A308,2))</f>
        <v/>
      </c>
      <c r="D308" s="12" t="inlineStr">
        <is>
          <t>Customer Complaints</t>
        </is>
      </c>
      <c r="E308" s="12">
        <f>IFERROR(INDEX(Tbl_KPIConfig[Department],MATCH($D308,Tbl_KPIConfig[KPI Name],0)),"")</f>
        <v/>
      </c>
      <c r="F308" s="12">
        <f>IFERROR(INDEX(Tbl_KPIConfig[Unit],MATCH($D308,Tbl_KPIConfig[KPI Name],0)),"")</f>
        <v/>
      </c>
      <c r="G308" s="12">
        <f>IFERROR(INDEX(Tbl_KPIConfig[Target],MATCH($D308,Tbl_KPIConfig[KPI Name],0)),"")</f>
        <v/>
      </c>
      <c r="H308" s="12" t="n">
        <v>1</v>
      </c>
      <c r="I308" s="13">
        <f>IFERROR(IF(INDEX(Tbl_KPIConfig[Direction],MATCH($D308,Tbl_KPIConfig[KPI Name],0))="Lower is Better",IF($H308=0,1,IF($G308=0,0,$G308/$H308)),IF($G308=0,1,$H308/$G308)),0)</f>
        <v/>
      </c>
      <c r="J308" s="12">
        <f>IFERROR(IF($I308&gt;=1,"Green",IF($I308&gt;=INDEX(Tbl_KPIConfig[RAG Threshold %],MATCH($D308,Tbl_KPIConfig[KPI Name],0)),"Amber","Red")),"")</f>
        <v/>
      </c>
      <c r="K308" s="14" t="inlineStr">
        <is>
          <t>Process improvement in progress</t>
        </is>
      </c>
    </row>
    <row r="309">
      <c r="A309" s="7" t="n">
        <v>46196</v>
      </c>
      <c r="B309" s="8">
        <f>IF($A309="","",TEXT($A309,"mmm-yyyy"))</f>
        <v/>
      </c>
      <c r="C309" s="8">
        <f>IF($A309="","","W"&amp;WEEKNUM($A309,2))</f>
        <v/>
      </c>
      <c r="D309" s="8" t="inlineStr">
        <is>
          <t>Unplanned Downtime (Hrs)</t>
        </is>
      </c>
      <c r="E309" s="8">
        <f>IFERROR(INDEX(Tbl_KPIConfig[Department],MATCH($D309,Tbl_KPIConfig[KPI Name],0)),"")</f>
        <v/>
      </c>
      <c r="F309" s="8">
        <f>IFERROR(INDEX(Tbl_KPIConfig[Unit],MATCH($D309,Tbl_KPIConfig[KPI Name],0)),"")</f>
        <v/>
      </c>
      <c r="G309" s="8">
        <f>IFERROR(INDEX(Tbl_KPIConfig[Target],MATCH($D309,Tbl_KPIConfig[KPI Name],0)),"")</f>
        <v/>
      </c>
      <c r="H309" s="8" t="n">
        <v>1.07</v>
      </c>
      <c r="I309" s="9">
        <f>IFERROR(IF(INDEX(Tbl_KPIConfig[Direction],MATCH($D309,Tbl_KPIConfig[KPI Name],0))="Lower is Better",IF($H309=0,1,IF($G309=0,0,$G309/$H309)),IF($G309=0,1,$H309/$G309)),0)</f>
        <v/>
      </c>
      <c r="J309" s="8">
        <f>IFERROR(IF($I309&gt;=1,"Green",IF($I309&gt;=INDEX(Tbl_KPIConfig[RAG Threshold %],MATCH($D309,Tbl_KPIConfig[KPI Name],0)),"Amber","Red")),"")</f>
        <v/>
      </c>
      <c r="K309" s="10" t="inlineStr">
        <is>
          <t>Manpower shortage</t>
        </is>
      </c>
    </row>
    <row r="310">
      <c r="A310" s="11" t="n">
        <v>46196</v>
      </c>
      <c r="B310" s="12">
        <f>IF($A310="","",TEXT($A310,"mmm-yyyy"))</f>
        <v/>
      </c>
      <c r="C310" s="12">
        <f>IF($A310="","","W"&amp;WEEKNUM($A310,2))</f>
        <v/>
      </c>
      <c r="D310" s="12" t="inlineStr">
        <is>
          <t>PM Compliance %</t>
        </is>
      </c>
      <c r="E310" s="12">
        <f>IFERROR(INDEX(Tbl_KPIConfig[Department],MATCH($D310,Tbl_KPIConfig[KPI Name],0)),"")</f>
        <v/>
      </c>
      <c r="F310" s="12">
        <f>IFERROR(INDEX(Tbl_KPIConfig[Unit],MATCH($D310,Tbl_KPIConfig[KPI Name],0)),"")</f>
        <v/>
      </c>
      <c r="G310" s="12">
        <f>IFERROR(INDEX(Tbl_KPIConfig[Target],MATCH($D310,Tbl_KPIConfig[KPI Name],0)),"")</f>
        <v/>
      </c>
      <c r="H310" s="12" t="n">
        <v>0.9956</v>
      </c>
      <c r="I310" s="13">
        <f>IFERROR(IF(INDEX(Tbl_KPIConfig[Direction],MATCH($D310,Tbl_KPIConfig[KPI Name],0))="Lower is Better",IF($H310=0,1,IF($G310=0,0,$G310/$H310)),IF($G310=0,1,$H310/$G310)),0)</f>
        <v/>
      </c>
      <c r="J310" s="12">
        <f>IFERROR(IF($I310&gt;=1,"Green",IF($I310&gt;=INDEX(Tbl_KPIConfig[RAG Threshold %],MATCH($D310,Tbl_KPIConfig[KPI Name],0)),"Amber","Red")),"")</f>
        <v/>
      </c>
      <c r="K310" s="14" t="inlineStr"/>
    </row>
    <row r="311">
      <c r="A311" s="7" t="n">
        <v>46196</v>
      </c>
      <c r="B311" s="8">
        <f>IF($A311="","",TEXT($A311,"mmm-yyyy"))</f>
        <v/>
      </c>
      <c r="C311" s="8">
        <f>IF($A311="","","W"&amp;WEEKNUM($A311,2))</f>
        <v/>
      </c>
      <c r="D311" s="8" t="inlineStr">
        <is>
          <t>Power Consumption (kWh)</t>
        </is>
      </c>
      <c r="E311" s="8">
        <f>IFERROR(INDEX(Tbl_KPIConfig[Department],MATCH($D311,Tbl_KPIConfig[KPI Name],0)),"")</f>
        <v/>
      </c>
      <c r="F311" s="8">
        <f>IFERROR(INDEX(Tbl_KPIConfig[Unit],MATCH($D311,Tbl_KPIConfig[KPI Name],0)),"")</f>
        <v/>
      </c>
      <c r="G311" s="8">
        <f>IFERROR(INDEX(Tbl_KPIConfig[Target],MATCH($D311,Tbl_KPIConfig[KPI Name],0)),"")</f>
        <v/>
      </c>
      <c r="H311" s="8" t="n">
        <v>5182.48</v>
      </c>
      <c r="I311" s="9">
        <f>IFERROR(IF(INDEX(Tbl_KPIConfig[Direction],MATCH($D311,Tbl_KPIConfig[KPI Name],0))="Lower is Better",IF($H311=0,1,IF($G311=0,0,$G311/$H311)),IF($G311=0,1,$H311/$G311)),0)</f>
        <v/>
      </c>
      <c r="J311" s="8">
        <f>IFERROR(IF($I311&gt;=1,"Green",IF($I311&gt;=INDEX(Tbl_KPIConfig[RAG Threshold %],MATCH($D311,Tbl_KPIConfig[KPI Name],0)),"Amber","Red")),"")</f>
        <v/>
      </c>
      <c r="K311" s="10" t="inlineStr">
        <is>
          <t>Preventive check done</t>
        </is>
      </c>
    </row>
    <row r="312">
      <c r="A312" s="11" t="n">
        <v>46196</v>
      </c>
      <c r="B312" s="12">
        <f>IF($A312="","",TEXT($A312,"mmm-yyyy"))</f>
        <v/>
      </c>
      <c r="C312" s="12">
        <f>IF($A312="","","W"&amp;WEEKNUM($A312,2))</f>
        <v/>
      </c>
      <c r="D312" s="12" t="inlineStr">
        <is>
          <t>On-Time Dispatch %</t>
        </is>
      </c>
      <c r="E312" s="12">
        <f>IFERROR(INDEX(Tbl_KPIConfig[Department],MATCH($D312,Tbl_KPIConfig[KPI Name],0)),"")</f>
        <v/>
      </c>
      <c r="F312" s="12">
        <f>IFERROR(INDEX(Tbl_KPIConfig[Unit],MATCH($D312,Tbl_KPIConfig[KPI Name],0)),"")</f>
        <v/>
      </c>
      <c r="G312" s="12">
        <f>IFERROR(INDEX(Tbl_KPIConfig[Target],MATCH($D312,Tbl_KPIConfig[KPI Name],0)),"")</f>
        <v/>
      </c>
      <c r="H312" s="12" t="n">
        <v>0.8266</v>
      </c>
      <c r="I312" s="13">
        <f>IFERROR(IF(INDEX(Tbl_KPIConfig[Direction],MATCH($D312,Tbl_KPIConfig[KPI Name],0))="Lower is Better",IF($H312=0,1,IF($G312=0,0,$G312/$H312)),IF($G312=0,1,$H312/$G312)),0)</f>
        <v/>
      </c>
      <c r="J312" s="12">
        <f>IFERROR(IF($I312&gt;=1,"Green",IF($I312&gt;=INDEX(Tbl_KPIConfig[RAG Threshold %],MATCH($D312,Tbl_KPIConfig[KPI Name],0)),"Amber","Red")),"")</f>
        <v/>
      </c>
      <c r="K312" s="14" t="inlineStr">
        <is>
          <t>Within normal range</t>
        </is>
      </c>
    </row>
    <row r="313">
      <c r="A313" s="7" t="n">
        <v>46196</v>
      </c>
      <c r="B313" s="8">
        <f>IF($A313="","",TEXT($A313,"mmm-yyyy"))</f>
        <v/>
      </c>
      <c r="C313" s="8">
        <f>IF($A313="","","W"&amp;WEEKNUM($A313,2))</f>
        <v/>
      </c>
      <c r="D313" s="8" t="inlineStr">
        <is>
          <t>Inventory Accuracy %</t>
        </is>
      </c>
      <c r="E313" s="8">
        <f>IFERROR(INDEX(Tbl_KPIConfig[Department],MATCH($D313,Tbl_KPIConfig[KPI Name],0)),"")</f>
        <v/>
      </c>
      <c r="F313" s="8">
        <f>IFERROR(INDEX(Tbl_KPIConfig[Unit],MATCH($D313,Tbl_KPIConfig[KPI Name],0)),"")</f>
        <v/>
      </c>
      <c r="G313" s="8">
        <f>IFERROR(INDEX(Tbl_KPIConfig[Target],MATCH($D313,Tbl_KPIConfig[KPI Name],0)),"")</f>
        <v/>
      </c>
      <c r="H313" s="8" t="n">
        <v>0.8669</v>
      </c>
      <c r="I313" s="9">
        <f>IFERROR(IF(INDEX(Tbl_KPIConfig[Direction],MATCH($D313,Tbl_KPIConfig[KPI Name],0))="Lower is Better",IF($H313=0,1,IF($G313=0,0,$G313/$H313)),IF($G313=0,1,$H313/$G313)),0)</f>
        <v/>
      </c>
      <c r="J313" s="8">
        <f>IFERROR(IF($I313&gt;=1,"Green",IF($I313&gt;=INDEX(Tbl_KPIConfig[RAG Threshold %],MATCH($D313,Tbl_KPIConfig[KPI Name],0)),"Amber","Red")),"")</f>
        <v/>
      </c>
      <c r="K313" s="10" t="inlineStr">
        <is>
          <t>Awaiting spares</t>
        </is>
      </c>
    </row>
    <row r="314">
      <c r="A314" s="11" t="n">
        <v>46196</v>
      </c>
      <c r="B314" s="12">
        <f>IF($A314="","",TEXT($A314,"mmm-yyyy"))</f>
        <v/>
      </c>
      <c r="C314" s="12">
        <f>IF($A314="","","W"&amp;WEEKNUM($A314,2))</f>
        <v/>
      </c>
      <c r="D314" s="12" t="inlineStr">
        <is>
          <t>Absenteeism %</t>
        </is>
      </c>
      <c r="E314" s="12">
        <f>IFERROR(INDEX(Tbl_KPIConfig[Department],MATCH($D314,Tbl_KPIConfig[KPI Name],0)),"")</f>
        <v/>
      </c>
      <c r="F314" s="12">
        <f>IFERROR(INDEX(Tbl_KPIConfig[Unit],MATCH($D314,Tbl_KPIConfig[KPI Name],0)),"")</f>
        <v/>
      </c>
      <c r="G314" s="12">
        <f>IFERROR(INDEX(Tbl_KPIConfig[Target],MATCH($D314,Tbl_KPIConfig[KPI Name],0)),"")</f>
        <v/>
      </c>
      <c r="H314" s="12" t="n">
        <v>0.0295</v>
      </c>
      <c r="I314" s="13">
        <f>IFERROR(IF(INDEX(Tbl_KPIConfig[Direction],MATCH($D314,Tbl_KPIConfig[KPI Name],0))="Lower is Better",IF($H314=0,1,IF($G314=0,0,$G314/$H314)),IF($G314=0,1,$H314/$G314)),0)</f>
        <v/>
      </c>
      <c r="J314" s="12">
        <f>IFERROR(IF($I314&gt;=1,"Green",IF($I314&gt;=INDEX(Tbl_KPIConfig[RAG Threshold %],MATCH($D314,Tbl_KPIConfig[KPI Name],0)),"Amber","Red")),"")</f>
        <v/>
      </c>
      <c r="K314" s="14" t="inlineStr">
        <is>
          <t>Preventive check done</t>
        </is>
      </c>
    </row>
    <row r="315">
      <c r="A315" s="7" t="n">
        <v>46196</v>
      </c>
      <c r="B315" s="8">
        <f>IF($A315="","",TEXT($A315,"mmm-yyyy"))</f>
        <v/>
      </c>
      <c r="C315" s="8">
        <f>IF($A315="","","W"&amp;WEEKNUM($A315,2))</f>
        <v/>
      </c>
      <c r="D315" s="8" t="inlineStr">
        <is>
          <t>Training Hours</t>
        </is>
      </c>
      <c r="E315" s="8">
        <f>IFERROR(INDEX(Tbl_KPIConfig[Department],MATCH($D315,Tbl_KPIConfig[KPI Name],0)),"")</f>
        <v/>
      </c>
      <c r="F315" s="8">
        <f>IFERROR(INDEX(Tbl_KPIConfig[Unit],MATCH($D315,Tbl_KPIConfig[KPI Name],0)),"")</f>
        <v/>
      </c>
      <c r="G315" s="8">
        <f>IFERROR(INDEX(Tbl_KPIConfig[Target],MATCH($D315,Tbl_KPIConfig[KPI Name],0)),"")</f>
        <v/>
      </c>
      <c r="H315" s="8" t="n">
        <v>1.89</v>
      </c>
      <c r="I315" s="9">
        <f>IFERROR(IF(INDEX(Tbl_KPIConfig[Direction],MATCH($D315,Tbl_KPIConfig[KPI Name],0))="Lower is Better",IF($H315=0,1,IF($G315=0,0,$G315/$H315)),IF($G315=0,1,$H315/$G315)),0)</f>
        <v/>
      </c>
      <c r="J315" s="8">
        <f>IFERROR(IF($I315&gt;=1,"Green",IF($I315&gt;=INDEX(Tbl_KPIConfig[RAG Threshold %],MATCH($D315,Tbl_KPIConfig[KPI Name],0)),"Amber","Red")),"")</f>
        <v/>
      </c>
      <c r="K315" s="10" t="inlineStr">
        <is>
          <t>Preventive check done</t>
        </is>
      </c>
    </row>
    <row r="316">
      <c r="A316" s="11" t="n">
        <v>46196</v>
      </c>
      <c r="B316" s="12">
        <f>IF($A316="","",TEXT($A316,"mmm-yyyy"))</f>
        <v/>
      </c>
      <c r="C316" s="12">
        <f>IF($A316="","","W"&amp;WEEKNUM($A316,2))</f>
        <v/>
      </c>
      <c r="D316" s="12" t="inlineStr">
        <is>
          <t>Milestone Adherence %</t>
        </is>
      </c>
      <c r="E316" s="12">
        <f>IFERROR(INDEX(Tbl_KPIConfig[Department],MATCH($D316,Tbl_KPIConfig[KPI Name],0)),"")</f>
        <v/>
      </c>
      <c r="F316" s="12">
        <f>IFERROR(INDEX(Tbl_KPIConfig[Unit],MATCH($D316,Tbl_KPIConfig[KPI Name],0)),"")</f>
        <v/>
      </c>
      <c r="G316" s="12">
        <f>IFERROR(INDEX(Tbl_KPIConfig[Target],MATCH($D316,Tbl_KPIConfig[KPI Name],0)),"")</f>
        <v/>
      </c>
      <c r="H316" s="12" t="n">
        <v>1.1787</v>
      </c>
      <c r="I316" s="13">
        <f>IFERROR(IF(INDEX(Tbl_KPIConfig[Direction],MATCH($D316,Tbl_KPIConfig[KPI Name],0))="Lower is Better",IF($H316=0,1,IF($G316=0,0,$G316/$H316)),IF($G316=0,1,$H316/$G316)),0)</f>
        <v/>
      </c>
      <c r="J316" s="12">
        <f>IFERROR(IF($I316&gt;=1,"Green",IF($I316&gt;=INDEX(Tbl_KPIConfig[RAG Threshold %],MATCH($D316,Tbl_KPIConfig[KPI Name],0)),"Amber","Red")),"")</f>
        <v/>
      </c>
      <c r="K316" s="14" t="inlineStr">
        <is>
          <t>Process improvement in progress</t>
        </is>
      </c>
    </row>
    <row r="317">
      <c r="A317" s="7" t="n">
        <v>46196</v>
      </c>
      <c r="B317" s="8">
        <f>IF($A317="","",TEXT($A317,"mmm-yyyy"))</f>
        <v/>
      </c>
      <c r="C317" s="8">
        <f>IF($A317="","","W"&amp;WEEKNUM($A317,2))</f>
        <v/>
      </c>
      <c r="D317" s="8" t="inlineStr">
        <is>
          <t>Breakdown Resolution (Hrs)</t>
        </is>
      </c>
      <c r="E317" s="8">
        <f>IFERROR(INDEX(Tbl_KPIConfig[Department],MATCH($D317,Tbl_KPIConfig[KPI Name],0)),"")</f>
        <v/>
      </c>
      <c r="F317" s="8">
        <f>IFERROR(INDEX(Tbl_KPIConfig[Unit],MATCH($D317,Tbl_KPIConfig[KPI Name],0)),"")</f>
        <v/>
      </c>
      <c r="G317" s="8">
        <f>IFERROR(INDEX(Tbl_KPIConfig[Target],MATCH($D317,Tbl_KPIConfig[KPI Name],0)),"")</f>
        <v/>
      </c>
      <c r="H317" s="8" t="n">
        <v>1.67</v>
      </c>
      <c r="I317" s="9">
        <f>IFERROR(IF(INDEX(Tbl_KPIConfig[Direction],MATCH($D317,Tbl_KPIConfig[KPI Name],0))="Lower is Better",IF($H317=0,1,IF($G317=0,0,$G317/$H317)),IF($G317=0,1,$H317/$G317)),0)</f>
        <v/>
      </c>
      <c r="J317" s="8">
        <f>IFERROR(IF($I317&gt;=1,"Green",IF($I317&gt;=INDEX(Tbl_KPIConfig[RAG Threshold %],MATCH($D317,Tbl_KPIConfig[KPI Name],0)),"Amber","Red")),"")</f>
        <v/>
      </c>
      <c r="K317" s="10" t="inlineStr">
        <is>
          <t>Vendor delay</t>
        </is>
      </c>
    </row>
    <row r="318">
      <c r="A318" s="11" t="n">
        <v>46197</v>
      </c>
      <c r="B318" s="12">
        <f>IF($A318="","",TEXT($A318,"mmm-yyyy"))</f>
        <v/>
      </c>
      <c r="C318" s="12">
        <f>IF($A318="","","W"&amp;WEEKNUM($A318,2))</f>
        <v/>
      </c>
      <c r="D318" s="12" t="inlineStr">
        <is>
          <t>Safety Incidents (LTI)</t>
        </is>
      </c>
      <c r="E318" s="12">
        <f>IFERROR(INDEX(Tbl_KPIConfig[Department],MATCH($D318,Tbl_KPIConfig[KPI Name],0)),"")</f>
        <v/>
      </c>
      <c r="F318" s="12">
        <f>IFERROR(INDEX(Tbl_KPIConfig[Unit],MATCH($D318,Tbl_KPIConfig[KPI Name],0)),"")</f>
        <v/>
      </c>
      <c r="G318" s="12">
        <f>IFERROR(INDEX(Tbl_KPIConfig[Target],MATCH($D318,Tbl_KPIConfig[KPI Name],0)),"")</f>
        <v/>
      </c>
      <c r="H318" s="12" t="n">
        <v>0</v>
      </c>
      <c r="I318" s="13">
        <f>IFERROR(IF(INDEX(Tbl_KPIConfig[Direction],MATCH($D318,Tbl_KPIConfig[KPI Name],0))="Lower is Better",IF($H318=0,1,IF($G318=0,0,$G318/$H318)),IF($G318=0,1,$H318/$G318)),0)</f>
        <v/>
      </c>
      <c r="J318" s="12">
        <f>IFERROR(IF($I318&gt;=1,"Green",IF($I318&gt;=INDEX(Tbl_KPIConfig[RAG Threshold %],MATCH($D318,Tbl_KPIConfig[KPI Name],0)),"Amber","Red")),"")</f>
        <v/>
      </c>
      <c r="K318" s="14" t="inlineStr">
        <is>
          <t>Within normal range</t>
        </is>
      </c>
    </row>
    <row r="319">
      <c r="A319" s="7" t="n">
        <v>46197</v>
      </c>
      <c r="B319" s="8">
        <f>IF($A319="","",TEXT($A319,"mmm-yyyy"))</f>
        <v/>
      </c>
      <c r="C319" s="8">
        <f>IF($A319="","","W"&amp;WEEKNUM($A319,2))</f>
        <v/>
      </c>
      <c r="D319" s="8" t="inlineStr">
        <is>
          <t>Near Miss Reports</t>
        </is>
      </c>
      <c r="E319" s="8">
        <f>IFERROR(INDEX(Tbl_KPIConfig[Department],MATCH($D319,Tbl_KPIConfig[KPI Name],0)),"")</f>
        <v/>
      </c>
      <c r="F319" s="8">
        <f>IFERROR(INDEX(Tbl_KPIConfig[Unit],MATCH($D319,Tbl_KPIConfig[KPI Name],0)),"")</f>
        <v/>
      </c>
      <c r="G319" s="8">
        <f>IFERROR(INDEX(Tbl_KPIConfig[Target],MATCH($D319,Tbl_KPIConfig[KPI Name],0)),"")</f>
        <v/>
      </c>
      <c r="H319" s="8" t="n">
        <v>2</v>
      </c>
      <c r="I319" s="9">
        <f>IFERROR(IF(INDEX(Tbl_KPIConfig[Direction],MATCH($D319,Tbl_KPIConfig[KPI Name],0))="Lower is Better",IF($H319=0,1,IF($G319=0,0,$G319/$H319)),IF($G319=0,1,$H319/$G319)),0)</f>
        <v/>
      </c>
      <c r="J319" s="8">
        <f>IFERROR(IF($I319&gt;=1,"Green",IF($I319&gt;=INDEX(Tbl_KPIConfig[RAG Threshold %],MATCH($D319,Tbl_KPIConfig[KPI Name],0)),"Amber","Red")),"")</f>
        <v/>
      </c>
      <c r="K319" s="10" t="inlineStr">
        <is>
          <t>Preventive check done</t>
        </is>
      </c>
    </row>
    <row r="320">
      <c r="A320" s="11" t="n">
        <v>46197</v>
      </c>
      <c r="B320" s="12">
        <f>IF($A320="","",TEXT($A320,"mmm-yyyy"))</f>
        <v/>
      </c>
      <c r="C320" s="12">
        <f>IF($A320="","","W"&amp;WEEKNUM($A320,2))</f>
        <v/>
      </c>
      <c r="D320" s="12" t="inlineStr">
        <is>
          <t>Production Output</t>
        </is>
      </c>
      <c r="E320" s="12">
        <f>IFERROR(INDEX(Tbl_KPIConfig[Department],MATCH($D320,Tbl_KPIConfig[KPI Name],0)),"")</f>
        <v/>
      </c>
      <c r="F320" s="12">
        <f>IFERROR(INDEX(Tbl_KPIConfig[Unit],MATCH($D320,Tbl_KPIConfig[KPI Name],0)),"")</f>
        <v/>
      </c>
      <c r="G320" s="12">
        <f>IFERROR(INDEX(Tbl_KPIConfig[Target],MATCH($D320,Tbl_KPIConfig[KPI Name],0)),"")</f>
        <v/>
      </c>
      <c r="H320" s="12" t="n">
        <v>1121.24</v>
      </c>
      <c r="I320" s="13">
        <f>IFERROR(IF(INDEX(Tbl_KPIConfig[Direction],MATCH($D320,Tbl_KPIConfig[KPI Name],0))="Lower is Better",IF($H320=0,1,IF($G320=0,0,$G320/$H320)),IF($G320=0,1,$H320/$G320)),0)</f>
        <v/>
      </c>
      <c r="J320" s="12">
        <f>IFERROR(IF($I320&gt;=1,"Green",IF($I320&gt;=INDEX(Tbl_KPIConfig[RAG Threshold %],MATCH($D320,Tbl_KPIConfig[KPI Name],0)),"Amber","Red")),"")</f>
        <v/>
      </c>
      <c r="K320" s="14" t="inlineStr">
        <is>
          <t>Vendor delay</t>
        </is>
      </c>
    </row>
    <row r="321">
      <c r="A321" s="7" t="n">
        <v>46197</v>
      </c>
      <c r="B321" s="8">
        <f>IF($A321="","",TEXT($A321,"mmm-yyyy"))</f>
        <v/>
      </c>
      <c r="C321" s="8">
        <f>IF($A321="","","W"&amp;WEEKNUM($A321,2))</f>
        <v/>
      </c>
      <c r="D321" s="8" t="inlineStr">
        <is>
          <t>OEE %</t>
        </is>
      </c>
      <c r="E321" s="8">
        <f>IFERROR(INDEX(Tbl_KPIConfig[Department],MATCH($D321,Tbl_KPIConfig[KPI Name],0)),"")</f>
        <v/>
      </c>
      <c r="F321" s="8">
        <f>IFERROR(INDEX(Tbl_KPIConfig[Unit],MATCH($D321,Tbl_KPIConfig[KPI Name],0)),"")</f>
        <v/>
      </c>
      <c r="G321" s="8">
        <f>IFERROR(INDEX(Tbl_KPIConfig[Target],MATCH($D321,Tbl_KPIConfig[KPI Name],0)),"")</f>
        <v/>
      </c>
      <c r="H321" s="8" t="n">
        <v>0.9704</v>
      </c>
      <c r="I321" s="9">
        <f>IFERROR(IF(INDEX(Tbl_KPIConfig[Direction],MATCH($D321,Tbl_KPIConfig[KPI Name],0))="Lower is Better",IF($H321=0,1,IF($G321=0,0,$G321/$H321)),IF($G321=0,1,$H321/$G321)),0)</f>
        <v/>
      </c>
      <c r="J321" s="8">
        <f>IFERROR(IF($I321&gt;=1,"Green",IF($I321&gt;=INDEX(Tbl_KPIConfig[RAG Threshold %],MATCH($D321,Tbl_KPIConfig[KPI Name],0)),"Amber","Red")),"")</f>
        <v/>
      </c>
      <c r="K321" s="10" t="inlineStr">
        <is>
          <t>Vendor delay</t>
        </is>
      </c>
    </row>
    <row r="322">
      <c r="A322" s="11" t="n">
        <v>46197</v>
      </c>
      <c r="B322" s="12">
        <f>IF($A322="","",TEXT($A322,"mmm-yyyy"))</f>
        <v/>
      </c>
      <c r="C322" s="12">
        <f>IF($A322="","","W"&amp;WEEKNUM($A322,2))</f>
        <v/>
      </c>
      <c r="D322" s="12" t="inlineStr">
        <is>
          <t>Defect Rate %</t>
        </is>
      </c>
      <c r="E322" s="12">
        <f>IFERROR(INDEX(Tbl_KPIConfig[Department],MATCH($D322,Tbl_KPIConfig[KPI Name],0)),"")</f>
        <v/>
      </c>
      <c r="F322" s="12">
        <f>IFERROR(INDEX(Tbl_KPIConfig[Unit],MATCH($D322,Tbl_KPIConfig[KPI Name],0)),"")</f>
        <v/>
      </c>
      <c r="G322" s="12">
        <f>IFERROR(INDEX(Tbl_KPIConfig[Target],MATCH($D322,Tbl_KPIConfig[KPI Name],0)),"")</f>
        <v/>
      </c>
      <c r="H322" s="12" t="n">
        <v>0.0299</v>
      </c>
      <c r="I322" s="13">
        <f>IFERROR(IF(INDEX(Tbl_KPIConfig[Direction],MATCH($D322,Tbl_KPIConfig[KPI Name],0))="Lower is Better",IF($H322=0,1,IF($G322=0,0,$G322/$H322)),IF($G322=0,1,$H322/$G322)),0)</f>
        <v/>
      </c>
      <c r="J322" s="12">
        <f>IFERROR(IF($I322&gt;=1,"Green",IF($I322&gt;=INDEX(Tbl_KPIConfig[RAG Threshold %],MATCH($D322,Tbl_KPIConfig[KPI Name],0)),"Amber","Red")),"")</f>
        <v/>
      </c>
      <c r="K322" s="14" t="inlineStr">
        <is>
          <t>Preventive check done</t>
        </is>
      </c>
    </row>
    <row r="323">
      <c r="A323" s="7" t="n">
        <v>46197</v>
      </c>
      <c r="B323" s="8">
        <f>IF($A323="","",TEXT($A323,"mmm-yyyy"))</f>
        <v/>
      </c>
      <c r="C323" s="8">
        <f>IF($A323="","","W"&amp;WEEKNUM($A323,2))</f>
        <v/>
      </c>
      <c r="D323" s="8" t="inlineStr">
        <is>
          <t>Customer Complaints</t>
        </is>
      </c>
      <c r="E323" s="8">
        <f>IFERROR(INDEX(Tbl_KPIConfig[Department],MATCH($D323,Tbl_KPIConfig[KPI Name],0)),"")</f>
        <v/>
      </c>
      <c r="F323" s="8">
        <f>IFERROR(INDEX(Tbl_KPIConfig[Unit],MATCH($D323,Tbl_KPIConfig[KPI Name],0)),"")</f>
        <v/>
      </c>
      <c r="G323" s="8">
        <f>IFERROR(INDEX(Tbl_KPIConfig[Target],MATCH($D323,Tbl_KPIConfig[KPI Name],0)),"")</f>
        <v/>
      </c>
      <c r="H323" s="8" t="n">
        <v>1</v>
      </c>
      <c r="I323" s="9">
        <f>IFERROR(IF(INDEX(Tbl_KPIConfig[Direction],MATCH($D323,Tbl_KPIConfig[KPI Name],0))="Lower is Better",IF($H323=0,1,IF($G323=0,0,$G323/$H323)),IF($G323=0,1,$H323/$G323)),0)</f>
        <v/>
      </c>
      <c r="J323" s="8">
        <f>IFERROR(IF($I323&gt;=1,"Green",IF($I323&gt;=INDEX(Tbl_KPIConfig[RAG Threshold %],MATCH($D323,Tbl_KPIConfig[KPI Name],0)),"Amber","Red")),"")</f>
        <v/>
      </c>
      <c r="K323" s="10" t="inlineStr"/>
    </row>
    <row r="324">
      <c r="A324" s="11" t="n">
        <v>46197</v>
      </c>
      <c r="B324" s="12">
        <f>IF($A324="","",TEXT($A324,"mmm-yyyy"))</f>
        <v/>
      </c>
      <c r="C324" s="12">
        <f>IF($A324="","","W"&amp;WEEKNUM($A324,2))</f>
        <v/>
      </c>
      <c r="D324" s="12" t="inlineStr">
        <is>
          <t>Unplanned Downtime (Hrs)</t>
        </is>
      </c>
      <c r="E324" s="12">
        <f>IFERROR(INDEX(Tbl_KPIConfig[Department],MATCH($D324,Tbl_KPIConfig[KPI Name],0)),"")</f>
        <v/>
      </c>
      <c r="F324" s="12">
        <f>IFERROR(INDEX(Tbl_KPIConfig[Unit],MATCH($D324,Tbl_KPIConfig[KPI Name],0)),"")</f>
        <v/>
      </c>
      <c r="G324" s="12">
        <f>IFERROR(INDEX(Tbl_KPIConfig[Target],MATCH($D324,Tbl_KPIConfig[KPI Name],0)),"")</f>
        <v/>
      </c>
      <c r="H324" s="12" t="n">
        <v>0.75</v>
      </c>
      <c r="I324" s="13">
        <f>IFERROR(IF(INDEX(Tbl_KPIConfig[Direction],MATCH($D324,Tbl_KPIConfig[KPI Name],0))="Lower is Better",IF($H324=0,1,IF($G324=0,0,$G324/$H324)),IF($G324=0,1,$H324/$G324)),0)</f>
        <v/>
      </c>
      <c r="J324" s="12">
        <f>IFERROR(IF($I324&gt;=1,"Green",IF($I324&gt;=INDEX(Tbl_KPIConfig[RAG Threshold %],MATCH($D324,Tbl_KPIConfig[KPI Name],0)),"Amber","Red")),"")</f>
        <v/>
      </c>
      <c r="K324" s="14" t="inlineStr">
        <is>
          <t>Awaiting spares</t>
        </is>
      </c>
    </row>
    <row r="325">
      <c r="A325" s="7" t="n">
        <v>46197</v>
      </c>
      <c r="B325" s="8">
        <f>IF($A325="","",TEXT($A325,"mmm-yyyy"))</f>
        <v/>
      </c>
      <c r="C325" s="8">
        <f>IF($A325="","","W"&amp;WEEKNUM($A325,2))</f>
        <v/>
      </c>
      <c r="D325" s="8" t="inlineStr">
        <is>
          <t>PM Compliance %</t>
        </is>
      </c>
      <c r="E325" s="8">
        <f>IFERROR(INDEX(Tbl_KPIConfig[Department],MATCH($D325,Tbl_KPIConfig[KPI Name],0)),"")</f>
        <v/>
      </c>
      <c r="F325" s="8">
        <f>IFERROR(INDEX(Tbl_KPIConfig[Unit],MATCH($D325,Tbl_KPIConfig[KPI Name],0)),"")</f>
        <v/>
      </c>
      <c r="G325" s="8">
        <f>IFERROR(INDEX(Tbl_KPIConfig[Target],MATCH($D325,Tbl_KPIConfig[KPI Name],0)),"")</f>
        <v/>
      </c>
      <c r="H325" s="8" t="n">
        <v>1.0636</v>
      </c>
      <c r="I325" s="9">
        <f>IFERROR(IF(INDEX(Tbl_KPIConfig[Direction],MATCH($D325,Tbl_KPIConfig[KPI Name],0))="Lower is Better",IF($H325=0,1,IF($G325=0,0,$G325/$H325)),IF($G325=0,1,$H325/$G325)),0)</f>
        <v/>
      </c>
      <c r="J325" s="8">
        <f>IFERROR(IF($I325&gt;=1,"Green",IF($I325&gt;=INDEX(Tbl_KPIConfig[RAG Threshold %],MATCH($D325,Tbl_KPIConfig[KPI Name],0)),"Amber","Red")),"")</f>
        <v/>
      </c>
      <c r="K325" s="10" t="inlineStr">
        <is>
          <t>Line changeover impact</t>
        </is>
      </c>
    </row>
    <row r="326">
      <c r="A326" s="11" t="n">
        <v>46197</v>
      </c>
      <c r="B326" s="12">
        <f>IF($A326="","",TEXT($A326,"mmm-yyyy"))</f>
        <v/>
      </c>
      <c r="C326" s="12">
        <f>IF($A326="","","W"&amp;WEEKNUM($A326,2))</f>
        <v/>
      </c>
      <c r="D326" s="12" t="inlineStr">
        <is>
          <t>Power Consumption (kWh)</t>
        </is>
      </c>
      <c r="E326" s="12">
        <f>IFERROR(INDEX(Tbl_KPIConfig[Department],MATCH($D326,Tbl_KPIConfig[KPI Name],0)),"")</f>
        <v/>
      </c>
      <c r="F326" s="12">
        <f>IFERROR(INDEX(Tbl_KPIConfig[Unit],MATCH($D326,Tbl_KPIConfig[KPI Name],0)),"")</f>
        <v/>
      </c>
      <c r="G326" s="12">
        <f>IFERROR(INDEX(Tbl_KPIConfig[Target],MATCH($D326,Tbl_KPIConfig[KPI Name],0)),"")</f>
        <v/>
      </c>
      <c r="H326" s="12" t="n">
        <v>4500.6</v>
      </c>
      <c r="I326" s="13">
        <f>IFERROR(IF(INDEX(Tbl_KPIConfig[Direction],MATCH($D326,Tbl_KPIConfig[KPI Name],0))="Lower is Better",IF($H326=0,1,IF($G326=0,0,$G326/$H326)),IF($G326=0,1,$H326/$G326)),0)</f>
        <v/>
      </c>
      <c r="J326" s="12">
        <f>IFERROR(IF($I326&gt;=1,"Green",IF($I326&gt;=INDEX(Tbl_KPIConfig[RAG Threshold %],MATCH($D326,Tbl_KPIConfig[KPI Name],0)),"Amber","Red")),"")</f>
        <v/>
      </c>
      <c r="K326" s="14" t="inlineStr"/>
    </row>
    <row r="327">
      <c r="A327" s="7" t="n">
        <v>46197</v>
      </c>
      <c r="B327" s="8">
        <f>IF($A327="","",TEXT($A327,"mmm-yyyy"))</f>
        <v/>
      </c>
      <c r="C327" s="8">
        <f>IF($A327="","","W"&amp;WEEKNUM($A327,2))</f>
        <v/>
      </c>
      <c r="D327" s="8" t="inlineStr">
        <is>
          <t>On-Time Dispatch %</t>
        </is>
      </c>
      <c r="E327" s="8">
        <f>IFERROR(INDEX(Tbl_KPIConfig[Department],MATCH($D327,Tbl_KPIConfig[KPI Name],0)),"")</f>
        <v/>
      </c>
      <c r="F327" s="8">
        <f>IFERROR(INDEX(Tbl_KPIConfig[Unit],MATCH($D327,Tbl_KPIConfig[KPI Name],0)),"")</f>
        <v/>
      </c>
      <c r="G327" s="8">
        <f>IFERROR(INDEX(Tbl_KPIConfig[Target],MATCH($D327,Tbl_KPIConfig[KPI Name],0)),"")</f>
        <v/>
      </c>
      <c r="H327" s="8" t="n">
        <v>1.1378</v>
      </c>
      <c r="I327" s="9">
        <f>IFERROR(IF(INDEX(Tbl_KPIConfig[Direction],MATCH($D327,Tbl_KPIConfig[KPI Name],0))="Lower is Better",IF($H327=0,1,IF($G327=0,0,$G327/$H327)),IF($G327=0,1,$H327/$G327)),0)</f>
        <v/>
      </c>
      <c r="J327" s="8">
        <f>IFERROR(IF($I327&gt;=1,"Green",IF($I327&gt;=INDEX(Tbl_KPIConfig[RAG Threshold %],MATCH($D327,Tbl_KPIConfig[KPI Name],0)),"Amber","Red")),"")</f>
        <v/>
      </c>
      <c r="K327" s="10" t="inlineStr">
        <is>
          <t>Process improvement in progress</t>
        </is>
      </c>
    </row>
    <row r="328">
      <c r="A328" s="11" t="n">
        <v>46197</v>
      </c>
      <c r="B328" s="12">
        <f>IF($A328="","",TEXT($A328,"mmm-yyyy"))</f>
        <v/>
      </c>
      <c r="C328" s="12">
        <f>IF($A328="","","W"&amp;WEEKNUM($A328,2))</f>
        <v/>
      </c>
      <c r="D328" s="12" t="inlineStr">
        <is>
          <t>Inventory Accuracy %</t>
        </is>
      </c>
      <c r="E328" s="12">
        <f>IFERROR(INDEX(Tbl_KPIConfig[Department],MATCH($D328,Tbl_KPIConfig[KPI Name],0)),"")</f>
        <v/>
      </c>
      <c r="F328" s="12">
        <f>IFERROR(INDEX(Tbl_KPIConfig[Unit],MATCH($D328,Tbl_KPIConfig[KPI Name],0)),"")</f>
        <v/>
      </c>
      <c r="G328" s="12">
        <f>IFERROR(INDEX(Tbl_KPIConfig[Target],MATCH($D328,Tbl_KPIConfig[KPI Name],0)),"")</f>
        <v/>
      </c>
      <c r="H328" s="12" t="n">
        <v>0.7318</v>
      </c>
      <c r="I328" s="13">
        <f>IFERROR(IF(INDEX(Tbl_KPIConfig[Direction],MATCH($D328,Tbl_KPIConfig[KPI Name],0))="Lower is Better",IF($H328=0,1,IF($G328=0,0,$G328/$H328)),IF($G328=0,1,$H328/$G328)),0)</f>
        <v/>
      </c>
      <c r="J328" s="12">
        <f>IFERROR(IF($I328&gt;=1,"Green",IF($I328&gt;=INDEX(Tbl_KPIConfig[RAG Threshold %],MATCH($D328,Tbl_KPIConfig[KPI Name],0)),"Amber","Red")),"")</f>
        <v/>
      </c>
      <c r="K328" s="14" t="inlineStr">
        <is>
          <t>Manpower shortage</t>
        </is>
      </c>
    </row>
    <row r="329">
      <c r="A329" s="7" t="n">
        <v>46197</v>
      </c>
      <c r="B329" s="8">
        <f>IF($A329="","",TEXT($A329,"mmm-yyyy"))</f>
        <v/>
      </c>
      <c r="C329" s="8">
        <f>IF($A329="","","W"&amp;WEEKNUM($A329,2))</f>
        <v/>
      </c>
      <c r="D329" s="8" t="inlineStr">
        <is>
          <t>Absenteeism %</t>
        </is>
      </c>
      <c r="E329" s="8">
        <f>IFERROR(INDEX(Tbl_KPIConfig[Department],MATCH($D329,Tbl_KPIConfig[KPI Name],0)),"")</f>
        <v/>
      </c>
      <c r="F329" s="8">
        <f>IFERROR(INDEX(Tbl_KPIConfig[Unit],MATCH($D329,Tbl_KPIConfig[KPI Name],0)),"")</f>
        <v/>
      </c>
      <c r="G329" s="8">
        <f>IFERROR(INDEX(Tbl_KPIConfig[Target],MATCH($D329,Tbl_KPIConfig[KPI Name],0)),"")</f>
        <v/>
      </c>
      <c r="H329" s="8" t="n">
        <v>0.0362</v>
      </c>
      <c r="I329" s="9">
        <f>IFERROR(IF(INDEX(Tbl_KPIConfig[Direction],MATCH($D329,Tbl_KPIConfig[KPI Name],0))="Lower is Better",IF($H329=0,1,IF($G329=0,0,$G329/$H329)),IF($G329=0,1,$H329/$G329)),0)</f>
        <v/>
      </c>
      <c r="J329" s="8">
        <f>IFERROR(IF($I329&gt;=1,"Green",IF($I329&gt;=INDEX(Tbl_KPIConfig[RAG Threshold %],MATCH($D329,Tbl_KPIConfig[KPI Name],0)),"Amber","Red")),"")</f>
        <v/>
      </c>
      <c r="K329" s="10" t="inlineStr">
        <is>
          <t>Manpower shortage</t>
        </is>
      </c>
    </row>
    <row r="330">
      <c r="A330" s="11" t="n">
        <v>46197</v>
      </c>
      <c r="B330" s="12">
        <f>IF($A330="","",TEXT($A330,"mmm-yyyy"))</f>
        <v/>
      </c>
      <c r="C330" s="12">
        <f>IF($A330="","","W"&amp;WEEKNUM($A330,2))</f>
        <v/>
      </c>
      <c r="D330" s="12" t="inlineStr">
        <is>
          <t>Training Hours</t>
        </is>
      </c>
      <c r="E330" s="12">
        <f>IFERROR(INDEX(Tbl_KPIConfig[Department],MATCH($D330,Tbl_KPIConfig[KPI Name],0)),"")</f>
        <v/>
      </c>
      <c r="F330" s="12">
        <f>IFERROR(INDEX(Tbl_KPIConfig[Unit],MATCH($D330,Tbl_KPIConfig[KPI Name],0)),"")</f>
        <v/>
      </c>
      <c r="G330" s="12">
        <f>IFERROR(INDEX(Tbl_KPIConfig[Target],MATCH($D330,Tbl_KPIConfig[KPI Name],0)),"")</f>
        <v/>
      </c>
      <c r="H330" s="12" t="n">
        <v>2.24</v>
      </c>
      <c r="I330" s="13">
        <f>IFERROR(IF(INDEX(Tbl_KPIConfig[Direction],MATCH($D330,Tbl_KPIConfig[KPI Name],0))="Lower is Better",IF($H330=0,1,IF($G330=0,0,$G330/$H330)),IF($G330=0,1,$H330/$G330)),0)</f>
        <v/>
      </c>
      <c r="J330" s="12">
        <f>IFERROR(IF($I330&gt;=1,"Green",IF($I330&gt;=INDEX(Tbl_KPIConfig[RAG Threshold %],MATCH($D330,Tbl_KPIConfig[KPI Name],0)),"Amber","Red")),"")</f>
        <v/>
      </c>
      <c r="K330" s="14" t="inlineStr">
        <is>
          <t>Preventive check done</t>
        </is>
      </c>
    </row>
    <row r="331">
      <c r="A331" s="7" t="n">
        <v>46197</v>
      </c>
      <c r="B331" s="8">
        <f>IF($A331="","",TEXT($A331,"mmm-yyyy"))</f>
        <v/>
      </c>
      <c r="C331" s="8">
        <f>IF($A331="","","W"&amp;WEEKNUM($A331,2))</f>
        <v/>
      </c>
      <c r="D331" s="8" t="inlineStr">
        <is>
          <t>Milestone Adherence %</t>
        </is>
      </c>
      <c r="E331" s="8">
        <f>IFERROR(INDEX(Tbl_KPIConfig[Department],MATCH($D331,Tbl_KPIConfig[KPI Name],0)),"")</f>
        <v/>
      </c>
      <c r="F331" s="8">
        <f>IFERROR(INDEX(Tbl_KPIConfig[Unit],MATCH($D331,Tbl_KPIConfig[KPI Name],0)),"")</f>
        <v/>
      </c>
      <c r="G331" s="8">
        <f>IFERROR(INDEX(Tbl_KPIConfig[Target],MATCH($D331,Tbl_KPIConfig[KPI Name],0)),"")</f>
        <v/>
      </c>
      <c r="H331" s="8" t="n">
        <v>0.8725000000000001</v>
      </c>
      <c r="I331" s="9">
        <f>IFERROR(IF(INDEX(Tbl_KPIConfig[Direction],MATCH($D331,Tbl_KPIConfig[KPI Name],0))="Lower is Better",IF($H331=0,1,IF($G331=0,0,$G331/$H331)),IF($G331=0,1,$H331/$G331)),0)</f>
        <v/>
      </c>
      <c r="J331" s="8">
        <f>IFERROR(IF($I331&gt;=1,"Green",IF($I331&gt;=INDEX(Tbl_KPIConfig[RAG Threshold %],MATCH($D331,Tbl_KPIConfig[KPI Name],0)),"Amber","Red")),"")</f>
        <v/>
      </c>
      <c r="K331" s="10" t="inlineStr">
        <is>
          <t>Within normal range</t>
        </is>
      </c>
    </row>
    <row r="332">
      <c r="A332" s="11" t="n">
        <v>46197</v>
      </c>
      <c r="B332" s="12">
        <f>IF($A332="","",TEXT($A332,"mmm-yyyy"))</f>
        <v/>
      </c>
      <c r="C332" s="12">
        <f>IF($A332="","","W"&amp;WEEKNUM($A332,2))</f>
        <v/>
      </c>
      <c r="D332" s="12" t="inlineStr">
        <is>
          <t>Breakdown Resolution (Hrs)</t>
        </is>
      </c>
      <c r="E332" s="12">
        <f>IFERROR(INDEX(Tbl_KPIConfig[Department],MATCH($D332,Tbl_KPIConfig[KPI Name],0)),"")</f>
        <v/>
      </c>
      <c r="F332" s="12">
        <f>IFERROR(INDEX(Tbl_KPIConfig[Unit],MATCH($D332,Tbl_KPIConfig[KPI Name],0)),"")</f>
        <v/>
      </c>
      <c r="G332" s="12">
        <f>IFERROR(INDEX(Tbl_KPIConfig[Target],MATCH($D332,Tbl_KPIConfig[KPI Name],0)),"")</f>
        <v/>
      </c>
      <c r="H332" s="12" t="n">
        <v>1.66</v>
      </c>
      <c r="I332" s="13">
        <f>IFERROR(IF(INDEX(Tbl_KPIConfig[Direction],MATCH($D332,Tbl_KPIConfig[KPI Name],0))="Lower is Better",IF($H332=0,1,IF($G332=0,0,$G332/$H332)),IF($G332=0,1,$H332/$G332)),0)</f>
        <v/>
      </c>
      <c r="J332" s="12">
        <f>IFERROR(IF($I332&gt;=1,"Green",IF($I332&gt;=INDEX(Tbl_KPIConfig[RAG Threshold %],MATCH($D332,Tbl_KPIConfig[KPI Name],0)),"Amber","Red")),"")</f>
        <v/>
      </c>
      <c r="K332" s="14" t="inlineStr">
        <is>
          <t>Process improvement in progress</t>
        </is>
      </c>
    </row>
    <row r="333">
      <c r="A333" s="7" t="n">
        <v>46198</v>
      </c>
      <c r="B333" s="8">
        <f>IF($A333="","",TEXT($A333,"mmm-yyyy"))</f>
        <v/>
      </c>
      <c r="C333" s="8">
        <f>IF($A333="","","W"&amp;WEEKNUM($A333,2))</f>
        <v/>
      </c>
      <c r="D333" s="8" t="inlineStr">
        <is>
          <t>Safety Incidents (LTI)</t>
        </is>
      </c>
      <c r="E333" s="8">
        <f>IFERROR(INDEX(Tbl_KPIConfig[Department],MATCH($D333,Tbl_KPIConfig[KPI Name],0)),"")</f>
        <v/>
      </c>
      <c r="F333" s="8">
        <f>IFERROR(INDEX(Tbl_KPIConfig[Unit],MATCH($D333,Tbl_KPIConfig[KPI Name],0)),"")</f>
        <v/>
      </c>
      <c r="G333" s="8">
        <f>IFERROR(INDEX(Tbl_KPIConfig[Target],MATCH($D333,Tbl_KPIConfig[KPI Name],0)),"")</f>
        <v/>
      </c>
      <c r="H333" s="8" t="n">
        <v>0</v>
      </c>
      <c r="I333" s="9">
        <f>IFERROR(IF(INDEX(Tbl_KPIConfig[Direction],MATCH($D333,Tbl_KPIConfig[KPI Name],0))="Lower is Better",IF($H333=0,1,IF($G333=0,0,$G333/$H333)),IF($G333=0,1,$H333/$G333)),0)</f>
        <v/>
      </c>
      <c r="J333" s="8">
        <f>IFERROR(IF($I333&gt;=1,"Green",IF($I333&gt;=INDEX(Tbl_KPIConfig[RAG Threshold %],MATCH($D333,Tbl_KPIConfig[KPI Name],0)),"Amber","Red")),"")</f>
        <v/>
      </c>
      <c r="K333" s="10" t="inlineStr"/>
    </row>
    <row r="334">
      <c r="A334" s="11" t="n">
        <v>46198</v>
      </c>
      <c r="B334" s="12">
        <f>IF($A334="","",TEXT($A334,"mmm-yyyy"))</f>
        <v/>
      </c>
      <c r="C334" s="12">
        <f>IF($A334="","","W"&amp;WEEKNUM($A334,2))</f>
        <v/>
      </c>
      <c r="D334" s="12" t="inlineStr">
        <is>
          <t>Near Miss Reports</t>
        </is>
      </c>
      <c r="E334" s="12">
        <f>IFERROR(INDEX(Tbl_KPIConfig[Department],MATCH($D334,Tbl_KPIConfig[KPI Name],0)),"")</f>
        <v/>
      </c>
      <c r="F334" s="12">
        <f>IFERROR(INDEX(Tbl_KPIConfig[Unit],MATCH($D334,Tbl_KPIConfig[KPI Name],0)),"")</f>
        <v/>
      </c>
      <c r="G334" s="12">
        <f>IFERROR(INDEX(Tbl_KPIConfig[Target],MATCH($D334,Tbl_KPIConfig[KPI Name],0)),"")</f>
        <v/>
      </c>
      <c r="H334" s="12" t="n">
        <v>2</v>
      </c>
      <c r="I334" s="13">
        <f>IFERROR(IF(INDEX(Tbl_KPIConfig[Direction],MATCH($D334,Tbl_KPIConfig[KPI Name],0))="Lower is Better",IF($H334=0,1,IF($G334=0,0,$G334/$H334)),IF($G334=0,1,$H334/$G334)),0)</f>
        <v/>
      </c>
      <c r="J334" s="12">
        <f>IFERROR(IF($I334&gt;=1,"Green",IF($I334&gt;=INDEX(Tbl_KPIConfig[RAG Threshold %],MATCH($D334,Tbl_KPIConfig[KPI Name],0)),"Amber","Red")),"")</f>
        <v/>
      </c>
      <c r="K334" s="14" t="inlineStr">
        <is>
          <t>Manpower shortage</t>
        </is>
      </c>
    </row>
    <row r="335">
      <c r="A335" s="7" t="n">
        <v>46198</v>
      </c>
      <c r="B335" s="8">
        <f>IF($A335="","",TEXT($A335,"mmm-yyyy"))</f>
        <v/>
      </c>
      <c r="C335" s="8">
        <f>IF($A335="","","W"&amp;WEEKNUM($A335,2))</f>
        <v/>
      </c>
      <c r="D335" s="8" t="inlineStr">
        <is>
          <t>Production Output</t>
        </is>
      </c>
      <c r="E335" s="8">
        <f>IFERROR(INDEX(Tbl_KPIConfig[Department],MATCH($D335,Tbl_KPIConfig[KPI Name],0)),"")</f>
        <v/>
      </c>
      <c r="F335" s="8">
        <f>IFERROR(INDEX(Tbl_KPIConfig[Unit],MATCH($D335,Tbl_KPIConfig[KPI Name],0)),"")</f>
        <v/>
      </c>
      <c r="G335" s="8">
        <f>IFERROR(INDEX(Tbl_KPIConfig[Target],MATCH($D335,Tbl_KPIConfig[KPI Name],0)),"")</f>
        <v/>
      </c>
      <c r="H335" s="8" t="n">
        <v>1151.4</v>
      </c>
      <c r="I335" s="9">
        <f>IFERROR(IF(INDEX(Tbl_KPIConfig[Direction],MATCH($D335,Tbl_KPIConfig[KPI Name],0))="Lower is Better",IF($H335=0,1,IF($G335=0,0,$G335/$H335)),IF($G335=0,1,$H335/$G335)),0)</f>
        <v/>
      </c>
      <c r="J335" s="8">
        <f>IFERROR(IF($I335&gt;=1,"Green",IF($I335&gt;=INDEX(Tbl_KPIConfig[RAG Threshold %],MATCH($D335,Tbl_KPIConfig[KPI Name],0)),"Amber","Red")),"")</f>
        <v/>
      </c>
      <c r="K335" s="10" t="inlineStr">
        <is>
          <t>Preventive check done</t>
        </is>
      </c>
    </row>
    <row r="336">
      <c r="A336" s="11" t="n">
        <v>46198</v>
      </c>
      <c r="B336" s="12">
        <f>IF($A336="","",TEXT($A336,"mmm-yyyy"))</f>
        <v/>
      </c>
      <c r="C336" s="12">
        <f>IF($A336="","","W"&amp;WEEKNUM($A336,2))</f>
        <v/>
      </c>
      <c r="D336" s="12" t="inlineStr">
        <is>
          <t>OEE %</t>
        </is>
      </c>
      <c r="E336" s="12">
        <f>IFERROR(INDEX(Tbl_KPIConfig[Department],MATCH($D336,Tbl_KPIConfig[KPI Name],0)),"")</f>
        <v/>
      </c>
      <c r="F336" s="12">
        <f>IFERROR(INDEX(Tbl_KPIConfig[Unit],MATCH($D336,Tbl_KPIConfig[KPI Name],0)),"")</f>
        <v/>
      </c>
      <c r="G336" s="12">
        <f>IFERROR(INDEX(Tbl_KPIConfig[Target],MATCH($D336,Tbl_KPIConfig[KPI Name],0)),"")</f>
        <v/>
      </c>
      <c r="H336" s="12" t="n">
        <v>0.7792</v>
      </c>
      <c r="I336" s="13">
        <f>IFERROR(IF(INDEX(Tbl_KPIConfig[Direction],MATCH($D336,Tbl_KPIConfig[KPI Name],0))="Lower is Better",IF($H336=0,1,IF($G336=0,0,$G336/$H336)),IF($G336=0,1,$H336/$G336)),0)</f>
        <v/>
      </c>
      <c r="J336" s="12">
        <f>IFERROR(IF($I336&gt;=1,"Green",IF($I336&gt;=INDEX(Tbl_KPIConfig[RAG Threshold %],MATCH($D336,Tbl_KPIConfig[KPI Name],0)),"Amber","Red")),"")</f>
        <v/>
      </c>
      <c r="K336" s="14" t="inlineStr">
        <is>
          <t>Within normal range</t>
        </is>
      </c>
    </row>
    <row r="337">
      <c r="A337" s="7" t="n">
        <v>46198</v>
      </c>
      <c r="B337" s="8">
        <f>IF($A337="","",TEXT($A337,"mmm-yyyy"))</f>
        <v/>
      </c>
      <c r="C337" s="8">
        <f>IF($A337="","","W"&amp;WEEKNUM($A337,2))</f>
        <v/>
      </c>
      <c r="D337" s="8" t="inlineStr">
        <is>
          <t>Defect Rate %</t>
        </is>
      </c>
      <c r="E337" s="8">
        <f>IFERROR(INDEX(Tbl_KPIConfig[Department],MATCH($D337,Tbl_KPIConfig[KPI Name],0)),"")</f>
        <v/>
      </c>
      <c r="F337" s="8">
        <f>IFERROR(INDEX(Tbl_KPIConfig[Unit],MATCH($D337,Tbl_KPIConfig[KPI Name],0)),"")</f>
        <v/>
      </c>
      <c r="G337" s="8">
        <f>IFERROR(INDEX(Tbl_KPIConfig[Target],MATCH($D337,Tbl_KPIConfig[KPI Name],0)),"")</f>
        <v/>
      </c>
      <c r="H337" s="8" t="n">
        <v>0.02</v>
      </c>
      <c r="I337" s="9">
        <f>IFERROR(IF(INDEX(Tbl_KPIConfig[Direction],MATCH($D337,Tbl_KPIConfig[KPI Name],0))="Lower is Better",IF($H337=0,1,IF($G337=0,0,$G337/$H337)),IF($G337=0,1,$H337/$G337)),0)</f>
        <v/>
      </c>
      <c r="J337" s="8">
        <f>IFERROR(IF($I337&gt;=1,"Green",IF($I337&gt;=INDEX(Tbl_KPIConfig[RAG Threshold %],MATCH($D337,Tbl_KPIConfig[KPI Name],0)),"Amber","Red")),"")</f>
        <v/>
      </c>
      <c r="K337" s="10" t="inlineStr">
        <is>
          <t>Process improvement in progress</t>
        </is>
      </c>
    </row>
    <row r="338">
      <c r="A338" s="11" t="n">
        <v>46198</v>
      </c>
      <c r="B338" s="12">
        <f>IF($A338="","",TEXT($A338,"mmm-yyyy"))</f>
        <v/>
      </c>
      <c r="C338" s="12">
        <f>IF($A338="","","W"&amp;WEEKNUM($A338,2))</f>
        <v/>
      </c>
      <c r="D338" s="12" t="inlineStr">
        <is>
          <t>Customer Complaints</t>
        </is>
      </c>
      <c r="E338" s="12">
        <f>IFERROR(INDEX(Tbl_KPIConfig[Department],MATCH($D338,Tbl_KPIConfig[KPI Name],0)),"")</f>
        <v/>
      </c>
      <c r="F338" s="12">
        <f>IFERROR(INDEX(Tbl_KPIConfig[Unit],MATCH($D338,Tbl_KPIConfig[KPI Name],0)),"")</f>
        <v/>
      </c>
      <c r="G338" s="12">
        <f>IFERROR(INDEX(Tbl_KPIConfig[Target],MATCH($D338,Tbl_KPIConfig[KPI Name],0)),"")</f>
        <v/>
      </c>
      <c r="H338" s="12" t="n">
        <v>1</v>
      </c>
      <c r="I338" s="13">
        <f>IFERROR(IF(INDEX(Tbl_KPIConfig[Direction],MATCH($D338,Tbl_KPIConfig[KPI Name],0))="Lower is Better",IF($H338=0,1,IF($G338=0,0,$G338/$H338)),IF($G338=0,1,$H338/$G338)),0)</f>
        <v/>
      </c>
      <c r="J338" s="12">
        <f>IFERROR(IF($I338&gt;=1,"Green",IF($I338&gt;=INDEX(Tbl_KPIConfig[RAG Threshold %],MATCH($D338,Tbl_KPIConfig[KPI Name],0)),"Amber","Red")),"")</f>
        <v/>
      </c>
      <c r="K338" s="14" t="inlineStr"/>
    </row>
    <row r="339">
      <c r="A339" s="7" t="n">
        <v>46198</v>
      </c>
      <c r="B339" s="8">
        <f>IF($A339="","",TEXT($A339,"mmm-yyyy"))</f>
        <v/>
      </c>
      <c r="C339" s="8">
        <f>IF($A339="","","W"&amp;WEEKNUM($A339,2))</f>
        <v/>
      </c>
      <c r="D339" s="8" t="inlineStr">
        <is>
          <t>Unplanned Downtime (Hrs)</t>
        </is>
      </c>
      <c r="E339" s="8">
        <f>IFERROR(INDEX(Tbl_KPIConfig[Department],MATCH($D339,Tbl_KPIConfig[KPI Name],0)),"")</f>
        <v/>
      </c>
      <c r="F339" s="8">
        <f>IFERROR(INDEX(Tbl_KPIConfig[Unit],MATCH($D339,Tbl_KPIConfig[KPI Name],0)),"")</f>
        <v/>
      </c>
      <c r="G339" s="8">
        <f>IFERROR(INDEX(Tbl_KPIConfig[Target],MATCH($D339,Tbl_KPIConfig[KPI Name],0)),"")</f>
        <v/>
      </c>
      <c r="H339" s="8" t="n">
        <v>1.33</v>
      </c>
      <c r="I339" s="9">
        <f>IFERROR(IF(INDEX(Tbl_KPIConfig[Direction],MATCH($D339,Tbl_KPIConfig[KPI Name],0))="Lower is Better",IF($H339=0,1,IF($G339=0,0,$G339/$H339)),IF($G339=0,1,$H339/$G339)),0)</f>
        <v/>
      </c>
      <c r="J339" s="8">
        <f>IFERROR(IF($I339&gt;=1,"Green",IF($I339&gt;=INDEX(Tbl_KPIConfig[RAG Threshold %],MATCH($D339,Tbl_KPIConfig[KPI Name],0)),"Amber","Red")),"")</f>
        <v/>
      </c>
      <c r="K339" s="10" t="inlineStr">
        <is>
          <t>Line changeover impact</t>
        </is>
      </c>
    </row>
    <row r="340">
      <c r="A340" s="11" t="n">
        <v>46198</v>
      </c>
      <c r="B340" s="12">
        <f>IF($A340="","",TEXT($A340,"mmm-yyyy"))</f>
        <v/>
      </c>
      <c r="C340" s="12">
        <f>IF($A340="","","W"&amp;WEEKNUM($A340,2))</f>
        <v/>
      </c>
      <c r="D340" s="12" t="inlineStr">
        <is>
          <t>PM Compliance %</t>
        </is>
      </c>
      <c r="E340" s="12">
        <f>IFERROR(INDEX(Tbl_KPIConfig[Department],MATCH($D340,Tbl_KPIConfig[KPI Name],0)),"")</f>
        <v/>
      </c>
      <c r="F340" s="12">
        <f>IFERROR(INDEX(Tbl_KPIConfig[Unit],MATCH($D340,Tbl_KPIConfig[KPI Name],0)),"")</f>
        <v/>
      </c>
      <c r="G340" s="12">
        <f>IFERROR(INDEX(Tbl_KPIConfig[Target],MATCH($D340,Tbl_KPIConfig[KPI Name],0)),"")</f>
        <v/>
      </c>
      <c r="H340" s="12" t="n">
        <v>1.0095</v>
      </c>
      <c r="I340" s="13">
        <f>IFERROR(IF(INDEX(Tbl_KPIConfig[Direction],MATCH($D340,Tbl_KPIConfig[KPI Name],0))="Lower is Better",IF($H340=0,1,IF($G340=0,0,$G340/$H340)),IF($G340=0,1,$H340/$G340)),0)</f>
        <v/>
      </c>
      <c r="J340" s="12">
        <f>IFERROR(IF($I340&gt;=1,"Green",IF($I340&gt;=INDEX(Tbl_KPIConfig[RAG Threshold %],MATCH($D340,Tbl_KPIConfig[KPI Name],0)),"Amber","Red")),"")</f>
        <v/>
      </c>
      <c r="K340" s="14" t="inlineStr">
        <is>
          <t>Awaiting spares</t>
        </is>
      </c>
    </row>
    <row r="341">
      <c r="A341" s="7" t="n">
        <v>46198</v>
      </c>
      <c r="B341" s="8">
        <f>IF($A341="","",TEXT($A341,"mmm-yyyy"))</f>
        <v/>
      </c>
      <c r="C341" s="8">
        <f>IF($A341="","","W"&amp;WEEKNUM($A341,2))</f>
        <v/>
      </c>
      <c r="D341" s="8" t="inlineStr">
        <is>
          <t>Power Consumption (kWh)</t>
        </is>
      </c>
      <c r="E341" s="8">
        <f>IFERROR(INDEX(Tbl_KPIConfig[Department],MATCH($D341,Tbl_KPIConfig[KPI Name],0)),"")</f>
        <v/>
      </c>
      <c r="F341" s="8">
        <f>IFERROR(INDEX(Tbl_KPIConfig[Unit],MATCH($D341,Tbl_KPIConfig[KPI Name],0)),"")</f>
        <v/>
      </c>
      <c r="G341" s="8">
        <f>IFERROR(INDEX(Tbl_KPIConfig[Target],MATCH($D341,Tbl_KPIConfig[KPI Name],0)),"")</f>
        <v/>
      </c>
      <c r="H341" s="8" t="n">
        <v>4620.95</v>
      </c>
      <c r="I341" s="9">
        <f>IFERROR(IF(INDEX(Tbl_KPIConfig[Direction],MATCH($D341,Tbl_KPIConfig[KPI Name],0))="Lower is Better",IF($H341=0,1,IF($G341=0,0,$G341/$H341)),IF($G341=0,1,$H341/$G341)),0)</f>
        <v/>
      </c>
      <c r="J341" s="8">
        <f>IFERROR(IF($I341&gt;=1,"Green",IF($I341&gt;=INDEX(Tbl_KPIConfig[RAG Threshold %],MATCH($D341,Tbl_KPIConfig[KPI Name],0)),"Amber","Red")),"")</f>
        <v/>
      </c>
      <c r="K341" s="10" t="inlineStr">
        <is>
          <t>Line changeover impact</t>
        </is>
      </c>
    </row>
    <row r="342">
      <c r="A342" s="11" t="n">
        <v>46198</v>
      </c>
      <c r="B342" s="12">
        <f>IF($A342="","",TEXT($A342,"mmm-yyyy"))</f>
        <v/>
      </c>
      <c r="C342" s="12">
        <f>IF($A342="","","W"&amp;WEEKNUM($A342,2))</f>
        <v/>
      </c>
      <c r="D342" s="12" t="inlineStr">
        <is>
          <t>On-Time Dispatch %</t>
        </is>
      </c>
      <c r="E342" s="12">
        <f>IFERROR(INDEX(Tbl_KPIConfig[Department],MATCH($D342,Tbl_KPIConfig[KPI Name],0)),"")</f>
        <v/>
      </c>
      <c r="F342" s="12">
        <f>IFERROR(INDEX(Tbl_KPIConfig[Unit],MATCH($D342,Tbl_KPIConfig[KPI Name],0)),"")</f>
        <v/>
      </c>
      <c r="G342" s="12">
        <f>IFERROR(INDEX(Tbl_KPIConfig[Target],MATCH($D342,Tbl_KPIConfig[KPI Name],0)),"")</f>
        <v/>
      </c>
      <c r="H342" s="12" t="n">
        <v>0.7976</v>
      </c>
      <c r="I342" s="13">
        <f>IFERROR(IF(INDEX(Tbl_KPIConfig[Direction],MATCH($D342,Tbl_KPIConfig[KPI Name],0))="Lower is Better",IF($H342=0,1,IF($G342=0,0,$G342/$H342)),IF($G342=0,1,$H342/$G342)),0)</f>
        <v/>
      </c>
      <c r="J342" s="12">
        <f>IFERROR(IF($I342&gt;=1,"Green",IF($I342&gt;=INDEX(Tbl_KPIConfig[RAG Threshold %],MATCH($D342,Tbl_KPIConfig[KPI Name],0)),"Amber","Red")),"")</f>
        <v/>
      </c>
      <c r="K342" s="14" t="inlineStr">
        <is>
          <t>Manpower shortage</t>
        </is>
      </c>
    </row>
    <row r="343">
      <c r="A343" s="7" t="n">
        <v>46198</v>
      </c>
      <c r="B343" s="8">
        <f>IF($A343="","",TEXT($A343,"mmm-yyyy"))</f>
        <v/>
      </c>
      <c r="C343" s="8">
        <f>IF($A343="","","W"&amp;WEEKNUM($A343,2))</f>
        <v/>
      </c>
      <c r="D343" s="8" t="inlineStr">
        <is>
          <t>Inventory Accuracy %</t>
        </is>
      </c>
      <c r="E343" s="8">
        <f>IFERROR(INDEX(Tbl_KPIConfig[Department],MATCH($D343,Tbl_KPIConfig[KPI Name],0)),"")</f>
        <v/>
      </c>
      <c r="F343" s="8">
        <f>IFERROR(INDEX(Tbl_KPIConfig[Unit],MATCH($D343,Tbl_KPIConfig[KPI Name],0)),"")</f>
        <v/>
      </c>
      <c r="G343" s="8">
        <f>IFERROR(INDEX(Tbl_KPIConfig[Target],MATCH($D343,Tbl_KPIConfig[KPI Name],0)),"")</f>
        <v/>
      </c>
      <c r="H343" s="8" t="n">
        <v>0.6918</v>
      </c>
      <c r="I343" s="9">
        <f>IFERROR(IF(INDEX(Tbl_KPIConfig[Direction],MATCH($D343,Tbl_KPIConfig[KPI Name],0))="Lower is Better",IF($H343=0,1,IF($G343=0,0,$G343/$H343)),IF($G343=0,1,$H343/$G343)),0)</f>
        <v/>
      </c>
      <c r="J343" s="8">
        <f>IFERROR(IF($I343&gt;=1,"Green",IF($I343&gt;=INDEX(Tbl_KPIConfig[RAG Threshold %],MATCH($D343,Tbl_KPIConfig[KPI Name],0)),"Amber","Red")),"")</f>
        <v/>
      </c>
      <c r="K343" s="10" t="inlineStr">
        <is>
          <t>Process improvement in progress</t>
        </is>
      </c>
    </row>
    <row r="344">
      <c r="A344" s="11" t="n">
        <v>46198</v>
      </c>
      <c r="B344" s="12">
        <f>IF($A344="","",TEXT($A344,"mmm-yyyy"))</f>
        <v/>
      </c>
      <c r="C344" s="12">
        <f>IF($A344="","","W"&amp;WEEKNUM($A344,2))</f>
        <v/>
      </c>
      <c r="D344" s="12" t="inlineStr">
        <is>
          <t>Absenteeism %</t>
        </is>
      </c>
      <c r="E344" s="12">
        <f>IFERROR(INDEX(Tbl_KPIConfig[Department],MATCH($D344,Tbl_KPIConfig[KPI Name],0)),"")</f>
        <v/>
      </c>
      <c r="F344" s="12">
        <f>IFERROR(INDEX(Tbl_KPIConfig[Unit],MATCH($D344,Tbl_KPIConfig[KPI Name],0)),"")</f>
        <v/>
      </c>
      <c r="G344" s="12">
        <f>IFERROR(INDEX(Tbl_KPIConfig[Target],MATCH($D344,Tbl_KPIConfig[KPI Name],0)),"")</f>
        <v/>
      </c>
      <c r="H344" s="12" t="n">
        <v>0.0322</v>
      </c>
      <c r="I344" s="13">
        <f>IFERROR(IF(INDEX(Tbl_KPIConfig[Direction],MATCH($D344,Tbl_KPIConfig[KPI Name],0))="Lower is Better",IF($H344=0,1,IF($G344=0,0,$G344/$H344)),IF($G344=0,1,$H344/$G344)),0)</f>
        <v/>
      </c>
      <c r="J344" s="12">
        <f>IFERROR(IF($I344&gt;=1,"Green",IF($I344&gt;=INDEX(Tbl_KPIConfig[RAG Threshold %],MATCH($D344,Tbl_KPIConfig[KPI Name],0)),"Amber","Red")),"")</f>
        <v/>
      </c>
      <c r="K344" s="14" t="inlineStr">
        <is>
          <t>Preventive check done</t>
        </is>
      </c>
    </row>
    <row r="345">
      <c r="A345" s="7" t="n">
        <v>46198</v>
      </c>
      <c r="B345" s="8">
        <f>IF($A345="","",TEXT($A345,"mmm-yyyy"))</f>
        <v/>
      </c>
      <c r="C345" s="8">
        <f>IF($A345="","","W"&amp;WEEKNUM($A345,2))</f>
        <v/>
      </c>
      <c r="D345" s="8" t="inlineStr">
        <is>
          <t>Training Hours</t>
        </is>
      </c>
      <c r="E345" s="8">
        <f>IFERROR(INDEX(Tbl_KPIConfig[Department],MATCH($D345,Tbl_KPIConfig[KPI Name],0)),"")</f>
        <v/>
      </c>
      <c r="F345" s="8">
        <f>IFERROR(INDEX(Tbl_KPIConfig[Unit],MATCH($D345,Tbl_KPIConfig[KPI Name],0)),"")</f>
        <v/>
      </c>
      <c r="G345" s="8">
        <f>IFERROR(INDEX(Tbl_KPIConfig[Target],MATCH($D345,Tbl_KPIConfig[KPI Name],0)),"")</f>
        <v/>
      </c>
      <c r="H345" s="8" t="n">
        <v>1.83</v>
      </c>
      <c r="I345" s="9">
        <f>IFERROR(IF(INDEX(Tbl_KPIConfig[Direction],MATCH($D345,Tbl_KPIConfig[KPI Name],0))="Lower is Better",IF($H345=0,1,IF($G345=0,0,$G345/$H345)),IF($G345=0,1,$H345/$G345)),0)</f>
        <v/>
      </c>
      <c r="J345" s="8">
        <f>IFERROR(IF($I345&gt;=1,"Green",IF($I345&gt;=INDEX(Tbl_KPIConfig[RAG Threshold %],MATCH($D345,Tbl_KPIConfig[KPI Name],0)),"Amber","Red")),"")</f>
        <v/>
      </c>
      <c r="K345" s="10" t="inlineStr">
        <is>
          <t>Awaiting spares</t>
        </is>
      </c>
    </row>
    <row r="346">
      <c r="A346" s="11" t="n">
        <v>46198</v>
      </c>
      <c r="B346" s="12">
        <f>IF($A346="","",TEXT($A346,"mmm-yyyy"))</f>
        <v/>
      </c>
      <c r="C346" s="12">
        <f>IF($A346="","","W"&amp;WEEKNUM($A346,2))</f>
        <v/>
      </c>
      <c r="D346" s="12" t="inlineStr">
        <is>
          <t>Milestone Adherence %</t>
        </is>
      </c>
      <c r="E346" s="12">
        <f>IFERROR(INDEX(Tbl_KPIConfig[Department],MATCH($D346,Tbl_KPIConfig[KPI Name],0)),"")</f>
        <v/>
      </c>
      <c r="F346" s="12">
        <f>IFERROR(INDEX(Tbl_KPIConfig[Unit],MATCH($D346,Tbl_KPIConfig[KPI Name],0)),"")</f>
        <v/>
      </c>
      <c r="G346" s="12">
        <f>IFERROR(INDEX(Tbl_KPIConfig[Target],MATCH($D346,Tbl_KPIConfig[KPI Name],0)),"")</f>
        <v/>
      </c>
      <c r="H346" s="12" t="n">
        <v>0.9122</v>
      </c>
      <c r="I346" s="13">
        <f>IFERROR(IF(INDEX(Tbl_KPIConfig[Direction],MATCH($D346,Tbl_KPIConfig[KPI Name],0))="Lower is Better",IF($H346=0,1,IF($G346=0,0,$G346/$H346)),IF($G346=0,1,$H346/$G346)),0)</f>
        <v/>
      </c>
      <c r="J346" s="12">
        <f>IFERROR(IF($I346&gt;=1,"Green",IF($I346&gt;=INDEX(Tbl_KPIConfig[RAG Threshold %],MATCH($D346,Tbl_KPIConfig[KPI Name],0)),"Amber","Red")),"")</f>
        <v/>
      </c>
      <c r="K346" s="14" t="inlineStr"/>
    </row>
    <row r="347">
      <c r="A347" s="7" t="n">
        <v>46198</v>
      </c>
      <c r="B347" s="8">
        <f>IF($A347="","",TEXT($A347,"mmm-yyyy"))</f>
        <v/>
      </c>
      <c r="C347" s="8">
        <f>IF($A347="","","W"&amp;WEEKNUM($A347,2))</f>
        <v/>
      </c>
      <c r="D347" s="8" t="inlineStr">
        <is>
          <t>Breakdown Resolution (Hrs)</t>
        </is>
      </c>
      <c r="E347" s="8">
        <f>IFERROR(INDEX(Tbl_KPIConfig[Department],MATCH($D347,Tbl_KPIConfig[KPI Name],0)),"")</f>
        <v/>
      </c>
      <c r="F347" s="8">
        <f>IFERROR(INDEX(Tbl_KPIConfig[Unit],MATCH($D347,Tbl_KPIConfig[KPI Name],0)),"")</f>
        <v/>
      </c>
      <c r="G347" s="8">
        <f>IFERROR(INDEX(Tbl_KPIConfig[Target],MATCH($D347,Tbl_KPIConfig[KPI Name],0)),"")</f>
        <v/>
      </c>
      <c r="H347" s="8" t="n">
        <v>1.94</v>
      </c>
      <c r="I347" s="9">
        <f>IFERROR(IF(INDEX(Tbl_KPIConfig[Direction],MATCH($D347,Tbl_KPIConfig[KPI Name],0))="Lower is Better",IF($H347=0,1,IF($G347=0,0,$G347/$H347)),IF($G347=0,1,$H347/$G347)),0)</f>
        <v/>
      </c>
      <c r="J347" s="8">
        <f>IFERROR(IF($I347&gt;=1,"Green",IF($I347&gt;=INDEX(Tbl_KPIConfig[RAG Threshold %],MATCH($D347,Tbl_KPIConfig[KPI Name],0)),"Amber","Red")),"")</f>
        <v/>
      </c>
      <c r="K347" s="10" t="inlineStr">
        <is>
          <t>Manpower shortage</t>
        </is>
      </c>
    </row>
    <row r="348">
      <c r="A348" s="11" t="n">
        <v>46199</v>
      </c>
      <c r="B348" s="12">
        <f>IF($A348="","",TEXT($A348,"mmm-yyyy"))</f>
        <v/>
      </c>
      <c r="C348" s="12">
        <f>IF($A348="","","W"&amp;WEEKNUM($A348,2))</f>
        <v/>
      </c>
      <c r="D348" s="12" t="inlineStr">
        <is>
          <t>Safety Incidents (LTI)</t>
        </is>
      </c>
      <c r="E348" s="12">
        <f>IFERROR(INDEX(Tbl_KPIConfig[Department],MATCH($D348,Tbl_KPIConfig[KPI Name],0)),"")</f>
        <v/>
      </c>
      <c r="F348" s="12">
        <f>IFERROR(INDEX(Tbl_KPIConfig[Unit],MATCH($D348,Tbl_KPIConfig[KPI Name],0)),"")</f>
        <v/>
      </c>
      <c r="G348" s="12">
        <f>IFERROR(INDEX(Tbl_KPIConfig[Target],MATCH($D348,Tbl_KPIConfig[KPI Name],0)),"")</f>
        <v/>
      </c>
      <c r="H348" s="12" t="n">
        <v>2</v>
      </c>
      <c r="I348" s="13">
        <f>IFERROR(IF(INDEX(Tbl_KPIConfig[Direction],MATCH($D348,Tbl_KPIConfig[KPI Name],0))="Lower is Better",IF($H348=0,1,IF($G348=0,0,$G348/$H348)),IF($G348=0,1,$H348/$G348)),0)</f>
        <v/>
      </c>
      <c r="J348" s="12">
        <f>IFERROR(IF($I348&gt;=1,"Green",IF($I348&gt;=INDEX(Tbl_KPIConfig[RAG Threshold %],MATCH($D348,Tbl_KPIConfig[KPI Name],0)),"Amber","Red")),"")</f>
        <v/>
      </c>
      <c r="K348" s="14" t="inlineStr">
        <is>
          <t>Manpower shortage</t>
        </is>
      </c>
    </row>
    <row r="349">
      <c r="A349" s="7" t="n">
        <v>46199</v>
      </c>
      <c r="B349" s="8">
        <f>IF($A349="","",TEXT($A349,"mmm-yyyy"))</f>
        <v/>
      </c>
      <c r="C349" s="8">
        <f>IF($A349="","","W"&amp;WEEKNUM($A349,2))</f>
        <v/>
      </c>
      <c r="D349" s="8" t="inlineStr">
        <is>
          <t>Near Miss Reports</t>
        </is>
      </c>
      <c r="E349" s="8">
        <f>IFERROR(INDEX(Tbl_KPIConfig[Department],MATCH($D349,Tbl_KPIConfig[KPI Name],0)),"")</f>
        <v/>
      </c>
      <c r="F349" s="8">
        <f>IFERROR(INDEX(Tbl_KPIConfig[Unit],MATCH($D349,Tbl_KPIConfig[KPI Name],0)),"")</f>
        <v/>
      </c>
      <c r="G349" s="8">
        <f>IFERROR(INDEX(Tbl_KPIConfig[Target],MATCH($D349,Tbl_KPIConfig[KPI Name],0)),"")</f>
        <v/>
      </c>
      <c r="H349" s="8" t="n">
        <v>2</v>
      </c>
      <c r="I349" s="9">
        <f>IFERROR(IF(INDEX(Tbl_KPIConfig[Direction],MATCH($D349,Tbl_KPIConfig[KPI Name],0))="Lower is Better",IF($H349=0,1,IF($G349=0,0,$G349/$H349)),IF($G349=0,1,$H349/$G349)),0)</f>
        <v/>
      </c>
      <c r="J349" s="8">
        <f>IFERROR(IF($I349&gt;=1,"Green",IF($I349&gt;=INDEX(Tbl_KPIConfig[RAG Threshold %],MATCH($D349,Tbl_KPIConfig[KPI Name],0)),"Amber","Red")),"")</f>
        <v/>
      </c>
      <c r="K349" s="10" t="inlineStr">
        <is>
          <t>Manpower shortage</t>
        </is>
      </c>
    </row>
    <row r="350">
      <c r="A350" s="11" t="n">
        <v>46199</v>
      </c>
      <c r="B350" s="12">
        <f>IF($A350="","",TEXT($A350,"mmm-yyyy"))</f>
        <v/>
      </c>
      <c r="C350" s="12">
        <f>IF($A350="","","W"&amp;WEEKNUM($A350,2))</f>
        <v/>
      </c>
      <c r="D350" s="12" t="inlineStr">
        <is>
          <t>Production Output</t>
        </is>
      </c>
      <c r="E350" s="12">
        <f>IFERROR(INDEX(Tbl_KPIConfig[Department],MATCH($D350,Tbl_KPIConfig[KPI Name],0)),"")</f>
        <v/>
      </c>
      <c r="F350" s="12">
        <f>IFERROR(INDEX(Tbl_KPIConfig[Unit],MATCH($D350,Tbl_KPIConfig[KPI Name],0)),"")</f>
        <v/>
      </c>
      <c r="G350" s="12">
        <f>IFERROR(INDEX(Tbl_KPIConfig[Target],MATCH($D350,Tbl_KPIConfig[KPI Name],0)),"")</f>
        <v/>
      </c>
      <c r="H350" s="12" t="n">
        <v>888.59</v>
      </c>
      <c r="I350" s="13">
        <f>IFERROR(IF(INDEX(Tbl_KPIConfig[Direction],MATCH($D350,Tbl_KPIConfig[KPI Name],0))="Lower is Better",IF($H350=0,1,IF($G350=0,0,$G350/$H350)),IF($G350=0,1,$H350/$G350)),0)</f>
        <v/>
      </c>
      <c r="J350" s="12">
        <f>IFERROR(IF($I350&gt;=1,"Green",IF($I350&gt;=INDEX(Tbl_KPIConfig[RAG Threshold %],MATCH($D350,Tbl_KPIConfig[KPI Name],0)),"Amber","Red")),"")</f>
        <v/>
      </c>
      <c r="K350" s="14" t="inlineStr">
        <is>
          <t>Manpower shortage</t>
        </is>
      </c>
    </row>
    <row r="351">
      <c r="A351" s="7" t="n">
        <v>46199</v>
      </c>
      <c r="B351" s="8">
        <f>IF($A351="","",TEXT($A351,"mmm-yyyy"))</f>
        <v/>
      </c>
      <c r="C351" s="8">
        <f>IF($A351="","","W"&amp;WEEKNUM($A351,2))</f>
        <v/>
      </c>
      <c r="D351" s="8" t="inlineStr">
        <is>
          <t>OEE %</t>
        </is>
      </c>
      <c r="E351" s="8">
        <f>IFERROR(INDEX(Tbl_KPIConfig[Department],MATCH($D351,Tbl_KPIConfig[KPI Name],0)),"")</f>
        <v/>
      </c>
      <c r="F351" s="8">
        <f>IFERROR(INDEX(Tbl_KPIConfig[Unit],MATCH($D351,Tbl_KPIConfig[KPI Name],0)),"")</f>
        <v/>
      </c>
      <c r="G351" s="8">
        <f>IFERROR(INDEX(Tbl_KPIConfig[Target],MATCH($D351,Tbl_KPIConfig[KPI Name],0)),"")</f>
        <v/>
      </c>
      <c r="H351" s="8" t="n">
        <v>0.9152</v>
      </c>
      <c r="I351" s="9">
        <f>IFERROR(IF(INDEX(Tbl_KPIConfig[Direction],MATCH($D351,Tbl_KPIConfig[KPI Name],0))="Lower is Better",IF($H351=0,1,IF($G351=0,0,$G351/$H351)),IF($G351=0,1,$H351/$G351)),0)</f>
        <v/>
      </c>
      <c r="J351" s="8">
        <f>IFERROR(IF($I351&gt;=1,"Green",IF($I351&gt;=INDEX(Tbl_KPIConfig[RAG Threshold %],MATCH($D351,Tbl_KPIConfig[KPI Name],0)),"Amber","Red")),"")</f>
        <v/>
      </c>
      <c r="K351" s="10" t="inlineStr">
        <is>
          <t>Line changeover impact</t>
        </is>
      </c>
    </row>
    <row r="352">
      <c r="A352" s="11" t="n">
        <v>46199</v>
      </c>
      <c r="B352" s="12">
        <f>IF($A352="","",TEXT($A352,"mmm-yyyy"))</f>
        <v/>
      </c>
      <c r="C352" s="12">
        <f>IF($A352="","","W"&amp;WEEKNUM($A352,2))</f>
        <v/>
      </c>
      <c r="D352" s="12" t="inlineStr">
        <is>
          <t>Defect Rate %</t>
        </is>
      </c>
      <c r="E352" s="12">
        <f>IFERROR(INDEX(Tbl_KPIConfig[Department],MATCH($D352,Tbl_KPIConfig[KPI Name],0)),"")</f>
        <v/>
      </c>
      <c r="F352" s="12">
        <f>IFERROR(INDEX(Tbl_KPIConfig[Unit],MATCH($D352,Tbl_KPIConfig[KPI Name],0)),"")</f>
        <v/>
      </c>
      <c r="G352" s="12">
        <f>IFERROR(INDEX(Tbl_KPIConfig[Target],MATCH($D352,Tbl_KPIConfig[KPI Name],0)),"")</f>
        <v/>
      </c>
      <c r="H352" s="12" t="n">
        <v>0.0219</v>
      </c>
      <c r="I352" s="13">
        <f>IFERROR(IF(INDEX(Tbl_KPIConfig[Direction],MATCH($D352,Tbl_KPIConfig[KPI Name],0))="Lower is Better",IF($H352=0,1,IF($G352=0,0,$G352/$H352)),IF($G352=0,1,$H352/$G352)),0)</f>
        <v/>
      </c>
      <c r="J352" s="12">
        <f>IFERROR(IF($I352&gt;=1,"Green",IF($I352&gt;=INDEX(Tbl_KPIConfig[RAG Threshold %],MATCH($D352,Tbl_KPIConfig[KPI Name],0)),"Amber","Red")),"")</f>
        <v/>
      </c>
      <c r="K352" s="14" t="inlineStr">
        <is>
          <t>Vendor delay</t>
        </is>
      </c>
    </row>
    <row r="353">
      <c r="A353" s="7" t="n">
        <v>46199</v>
      </c>
      <c r="B353" s="8">
        <f>IF($A353="","",TEXT($A353,"mmm-yyyy"))</f>
        <v/>
      </c>
      <c r="C353" s="8">
        <f>IF($A353="","","W"&amp;WEEKNUM($A353,2))</f>
        <v/>
      </c>
      <c r="D353" s="8" t="inlineStr">
        <is>
          <t>Customer Complaints</t>
        </is>
      </c>
      <c r="E353" s="8">
        <f>IFERROR(INDEX(Tbl_KPIConfig[Department],MATCH($D353,Tbl_KPIConfig[KPI Name],0)),"")</f>
        <v/>
      </c>
      <c r="F353" s="8">
        <f>IFERROR(INDEX(Tbl_KPIConfig[Unit],MATCH($D353,Tbl_KPIConfig[KPI Name],0)),"")</f>
        <v/>
      </c>
      <c r="G353" s="8">
        <f>IFERROR(INDEX(Tbl_KPIConfig[Target],MATCH($D353,Tbl_KPIConfig[KPI Name],0)),"")</f>
        <v/>
      </c>
      <c r="H353" s="8" t="n">
        <v>0</v>
      </c>
      <c r="I353" s="9">
        <f>IFERROR(IF(INDEX(Tbl_KPIConfig[Direction],MATCH($D353,Tbl_KPIConfig[KPI Name],0))="Lower is Better",IF($H353=0,1,IF($G353=0,0,$G353/$H353)),IF($G353=0,1,$H353/$G353)),0)</f>
        <v/>
      </c>
      <c r="J353" s="8">
        <f>IFERROR(IF($I353&gt;=1,"Green",IF($I353&gt;=INDEX(Tbl_KPIConfig[RAG Threshold %],MATCH($D353,Tbl_KPIConfig[KPI Name],0)),"Amber","Red")),"")</f>
        <v/>
      </c>
      <c r="K353" s="10" t="inlineStr">
        <is>
          <t>Preventive check done</t>
        </is>
      </c>
    </row>
    <row r="354">
      <c r="A354" s="11" t="n">
        <v>46199</v>
      </c>
      <c r="B354" s="12">
        <f>IF($A354="","",TEXT($A354,"mmm-yyyy"))</f>
        <v/>
      </c>
      <c r="C354" s="12">
        <f>IF($A354="","","W"&amp;WEEKNUM($A354,2))</f>
        <v/>
      </c>
      <c r="D354" s="12" t="inlineStr">
        <is>
          <t>Unplanned Downtime (Hrs)</t>
        </is>
      </c>
      <c r="E354" s="12">
        <f>IFERROR(INDEX(Tbl_KPIConfig[Department],MATCH($D354,Tbl_KPIConfig[KPI Name],0)),"")</f>
        <v/>
      </c>
      <c r="F354" s="12">
        <f>IFERROR(INDEX(Tbl_KPIConfig[Unit],MATCH($D354,Tbl_KPIConfig[KPI Name],0)),"")</f>
        <v/>
      </c>
      <c r="G354" s="12">
        <f>IFERROR(INDEX(Tbl_KPIConfig[Target],MATCH($D354,Tbl_KPIConfig[KPI Name],0)),"")</f>
        <v/>
      </c>
      <c r="H354" s="12" t="n">
        <v>1.09</v>
      </c>
      <c r="I354" s="13">
        <f>IFERROR(IF(INDEX(Tbl_KPIConfig[Direction],MATCH($D354,Tbl_KPIConfig[KPI Name],0))="Lower is Better",IF($H354=0,1,IF($G354=0,0,$G354/$H354)),IF($G354=0,1,$H354/$G354)),0)</f>
        <v/>
      </c>
      <c r="J354" s="12">
        <f>IFERROR(IF($I354&gt;=1,"Green",IF($I354&gt;=INDEX(Tbl_KPIConfig[RAG Threshold %],MATCH($D354,Tbl_KPIConfig[KPI Name],0)),"Amber","Red")),"")</f>
        <v/>
      </c>
      <c r="K354" s="14" t="inlineStr">
        <is>
          <t>Awaiting spares</t>
        </is>
      </c>
    </row>
    <row r="355">
      <c r="A355" s="7" t="n">
        <v>46199</v>
      </c>
      <c r="B355" s="8">
        <f>IF($A355="","",TEXT($A355,"mmm-yyyy"))</f>
        <v/>
      </c>
      <c r="C355" s="8">
        <f>IF($A355="","","W"&amp;WEEKNUM($A355,2))</f>
        <v/>
      </c>
      <c r="D355" s="8" t="inlineStr">
        <is>
          <t>PM Compliance %</t>
        </is>
      </c>
      <c r="E355" s="8">
        <f>IFERROR(INDEX(Tbl_KPIConfig[Department],MATCH($D355,Tbl_KPIConfig[KPI Name],0)),"")</f>
        <v/>
      </c>
      <c r="F355" s="8">
        <f>IFERROR(INDEX(Tbl_KPIConfig[Unit],MATCH($D355,Tbl_KPIConfig[KPI Name],0)),"")</f>
        <v/>
      </c>
      <c r="G355" s="8">
        <f>IFERROR(INDEX(Tbl_KPIConfig[Target],MATCH($D355,Tbl_KPIConfig[KPI Name],0)),"")</f>
        <v/>
      </c>
      <c r="H355" s="8" t="n">
        <v>0.9408</v>
      </c>
      <c r="I355" s="9">
        <f>IFERROR(IF(INDEX(Tbl_KPIConfig[Direction],MATCH($D355,Tbl_KPIConfig[KPI Name],0))="Lower is Better",IF($H355=0,1,IF($G355=0,0,$G355/$H355)),IF($G355=0,1,$H355/$G355)),0)</f>
        <v/>
      </c>
      <c r="J355" s="8">
        <f>IFERROR(IF($I355&gt;=1,"Green",IF($I355&gt;=INDEX(Tbl_KPIConfig[RAG Threshold %],MATCH($D355,Tbl_KPIConfig[KPI Name],0)),"Amber","Red")),"")</f>
        <v/>
      </c>
      <c r="K355" s="10" t="inlineStr">
        <is>
          <t>Awaiting spares</t>
        </is>
      </c>
    </row>
    <row r="356">
      <c r="A356" s="11" t="n">
        <v>46199</v>
      </c>
      <c r="B356" s="12">
        <f>IF($A356="","",TEXT($A356,"mmm-yyyy"))</f>
        <v/>
      </c>
      <c r="C356" s="12">
        <f>IF($A356="","","W"&amp;WEEKNUM($A356,2))</f>
        <v/>
      </c>
      <c r="D356" s="12" t="inlineStr">
        <is>
          <t>Power Consumption (kWh)</t>
        </is>
      </c>
      <c r="E356" s="12">
        <f>IFERROR(INDEX(Tbl_KPIConfig[Department],MATCH($D356,Tbl_KPIConfig[KPI Name],0)),"")</f>
        <v/>
      </c>
      <c r="F356" s="12">
        <f>IFERROR(INDEX(Tbl_KPIConfig[Unit],MATCH($D356,Tbl_KPIConfig[KPI Name],0)),"")</f>
        <v/>
      </c>
      <c r="G356" s="12">
        <f>IFERROR(INDEX(Tbl_KPIConfig[Target],MATCH($D356,Tbl_KPIConfig[KPI Name],0)),"")</f>
        <v/>
      </c>
      <c r="H356" s="12" t="n">
        <v>3861.21</v>
      </c>
      <c r="I356" s="13">
        <f>IFERROR(IF(INDEX(Tbl_KPIConfig[Direction],MATCH($D356,Tbl_KPIConfig[KPI Name],0))="Lower is Better",IF($H356=0,1,IF($G356=0,0,$G356/$H356)),IF($G356=0,1,$H356/$G356)),0)</f>
        <v/>
      </c>
      <c r="J356" s="12">
        <f>IFERROR(IF($I356&gt;=1,"Green",IF($I356&gt;=INDEX(Tbl_KPIConfig[RAG Threshold %],MATCH($D356,Tbl_KPIConfig[KPI Name],0)),"Amber","Red")),"")</f>
        <v/>
      </c>
      <c r="K356" s="14" t="inlineStr">
        <is>
          <t>Process improvement in progress</t>
        </is>
      </c>
    </row>
    <row r="357">
      <c r="A357" s="7" t="n">
        <v>46199</v>
      </c>
      <c r="B357" s="8">
        <f>IF($A357="","",TEXT($A357,"mmm-yyyy"))</f>
        <v/>
      </c>
      <c r="C357" s="8">
        <f>IF($A357="","","W"&amp;WEEKNUM($A357,2))</f>
        <v/>
      </c>
      <c r="D357" s="8" t="inlineStr">
        <is>
          <t>On-Time Dispatch %</t>
        </is>
      </c>
      <c r="E357" s="8">
        <f>IFERROR(INDEX(Tbl_KPIConfig[Department],MATCH($D357,Tbl_KPIConfig[KPI Name],0)),"")</f>
        <v/>
      </c>
      <c r="F357" s="8">
        <f>IFERROR(INDEX(Tbl_KPIConfig[Unit],MATCH($D357,Tbl_KPIConfig[KPI Name],0)),"")</f>
        <v/>
      </c>
      <c r="G357" s="8">
        <f>IFERROR(INDEX(Tbl_KPIConfig[Target],MATCH($D357,Tbl_KPIConfig[KPI Name],0)),"")</f>
        <v/>
      </c>
      <c r="H357" s="8" t="n">
        <v>0.8702</v>
      </c>
      <c r="I357" s="9">
        <f>IFERROR(IF(INDEX(Tbl_KPIConfig[Direction],MATCH($D357,Tbl_KPIConfig[KPI Name],0))="Lower is Better",IF($H357=0,1,IF($G357=0,0,$G357/$H357)),IF($G357=0,1,$H357/$G357)),0)</f>
        <v/>
      </c>
      <c r="J357" s="8">
        <f>IFERROR(IF($I357&gt;=1,"Green",IF($I357&gt;=INDEX(Tbl_KPIConfig[RAG Threshold %],MATCH($D357,Tbl_KPIConfig[KPI Name],0)),"Amber","Red")),"")</f>
        <v/>
      </c>
      <c r="K357" s="10" t="inlineStr">
        <is>
          <t>Vendor delay</t>
        </is>
      </c>
    </row>
    <row r="358">
      <c r="A358" s="11" t="n">
        <v>46199</v>
      </c>
      <c r="B358" s="12">
        <f>IF($A358="","",TEXT($A358,"mmm-yyyy"))</f>
        <v/>
      </c>
      <c r="C358" s="12">
        <f>IF($A358="","","W"&amp;WEEKNUM($A358,2))</f>
        <v/>
      </c>
      <c r="D358" s="12" t="inlineStr">
        <is>
          <t>Inventory Accuracy %</t>
        </is>
      </c>
      <c r="E358" s="12">
        <f>IFERROR(INDEX(Tbl_KPIConfig[Department],MATCH($D358,Tbl_KPIConfig[KPI Name],0)),"")</f>
        <v/>
      </c>
      <c r="F358" s="12">
        <f>IFERROR(INDEX(Tbl_KPIConfig[Unit],MATCH($D358,Tbl_KPIConfig[KPI Name],0)),"")</f>
        <v/>
      </c>
      <c r="G358" s="12">
        <f>IFERROR(INDEX(Tbl_KPIConfig[Target],MATCH($D358,Tbl_KPIConfig[KPI Name],0)),"")</f>
        <v/>
      </c>
      <c r="H358" s="12" t="n">
        <v>1.1816</v>
      </c>
      <c r="I358" s="13">
        <f>IFERROR(IF(INDEX(Tbl_KPIConfig[Direction],MATCH($D358,Tbl_KPIConfig[KPI Name],0))="Lower is Better",IF($H358=0,1,IF($G358=0,0,$G358/$H358)),IF($G358=0,1,$H358/$G358)),0)</f>
        <v/>
      </c>
      <c r="J358" s="12">
        <f>IFERROR(IF($I358&gt;=1,"Green",IF($I358&gt;=INDEX(Tbl_KPIConfig[RAG Threshold %],MATCH($D358,Tbl_KPIConfig[KPI Name],0)),"Amber","Red")),"")</f>
        <v/>
      </c>
      <c r="K358" s="14" t="inlineStr">
        <is>
          <t>Manpower shortage</t>
        </is>
      </c>
    </row>
    <row r="359">
      <c r="A359" s="7" t="n">
        <v>46199</v>
      </c>
      <c r="B359" s="8">
        <f>IF($A359="","",TEXT($A359,"mmm-yyyy"))</f>
        <v/>
      </c>
      <c r="C359" s="8">
        <f>IF($A359="","","W"&amp;WEEKNUM($A359,2))</f>
        <v/>
      </c>
      <c r="D359" s="8" t="inlineStr">
        <is>
          <t>Absenteeism %</t>
        </is>
      </c>
      <c r="E359" s="8">
        <f>IFERROR(INDEX(Tbl_KPIConfig[Department],MATCH($D359,Tbl_KPIConfig[KPI Name],0)),"")</f>
        <v/>
      </c>
      <c r="F359" s="8">
        <f>IFERROR(INDEX(Tbl_KPIConfig[Unit],MATCH($D359,Tbl_KPIConfig[KPI Name],0)),"")</f>
        <v/>
      </c>
      <c r="G359" s="8">
        <f>IFERROR(INDEX(Tbl_KPIConfig[Target],MATCH($D359,Tbl_KPIConfig[KPI Name],0)),"")</f>
        <v/>
      </c>
      <c r="H359" s="8" t="n">
        <v>0.0302</v>
      </c>
      <c r="I359" s="9">
        <f>IFERROR(IF(INDEX(Tbl_KPIConfig[Direction],MATCH($D359,Tbl_KPIConfig[KPI Name],0))="Lower is Better",IF($H359=0,1,IF($G359=0,0,$G359/$H359)),IF($G359=0,1,$H359/$G359)),0)</f>
        <v/>
      </c>
      <c r="J359" s="8">
        <f>IFERROR(IF($I359&gt;=1,"Green",IF($I359&gt;=INDEX(Tbl_KPIConfig[RAG Threshold %],MATCH($D359,Tbl_KPIConfig[KPI Name],0)),"Amber","Red")),"")</f>
        <v/>
      </c>
      <c r="K359" s="10" t="inlineStr">
        <is>
          <t>Within normal range</t>
        </is>
      </c>
    </row>
    <row r="360">
      <c r="A360" s="11" t="n">
        <v>46199</v>
      </c>
      <c r="B360" s="12">
        <f>IF($A360="","",TEXT($A360,"mmm-yyyy"))</f>
        <v/>
      </c>
      <c r="C360" s="12">
        <f>IF($A360="","","W"&amp;WEEKNUM($A360,2))</f>
        <v/>
      </c>
      <c r="D360" s="12" t="inlineStr">
        <is>
          <t>Training Hours</t>
        </is>
      </c>
      <c r="E360" s="12">
        <f>IFERROR(INDEX(Tbl_KPIConfig[Department],MATCH($D360,Tbl_KPIConfig[KPI Name],0)),"")</f>
        <v/>
      </c>
      <c r="F360" s="12">
        <f>IFERROR(INDEX(Tbl_KPIConfig[Unit],MATCH($D360,Tbl_KPIConfig[KPI Name],0)),"")</f>
        <v/>
      </c>
      <c r="G360" s="12">
        <f>IFERROR(INDEX(Tbl_KPIConfig[Target],MATCH($D360,Tbl_KPIConfig[KPI Name],0)),"")</f>
        <v/>
      </c>
      <c r="H360" s="12" t="n">
        <v>1.8</v>
      </c>
      <c r="I360" s="13">
        <f>IFERROR(IF(INDEX(Tbl_KPIConfig[Direction],MATCH($D360,Tbl_KPIConfig[KPI Name],0))="Lower is Better",IF($H360=0,1,IF($G360=0,0,$G360/$H360)),IF($G360=0,1,$H360/$G360)),0)</f>
        <v/>
      </c>
      <c r="J360" s="12">
        <f>IFERROR(IF($I360&gt;=1,"Green",IF($I360&gt;=INDEX(Tbl_KPIConfig[RAG Threshold %],MATCH($D360,Tbl_KPIConfig[KPI Name],0)),"Amber","Red")),"")</f>
        <v/>
      </c>
      <c r="K360" s="14" t="inlineStr"/>
    </row>
    <row r="361">
      <c r="A361" s="7" t="n">
        <v>46199</v>
      </c>
      <c r="B361" s="8">
        <f>IF($A361="","",TEXT($A361,"mmm-yyyy"))</f>
        <v/>
      </c>
      <c r="C361" s="8">
        <f>IF($A361="","","W"&amp;WEEKNUM($A361,2))</f>
        <v/>
      </c>
      <c r="D361" s="8" t="inlineStr">
        <is>
          <t>Milestone Adherence %</t>
        </is>
      </c>
      <c r="E361" s="8">
        <f>IFERROR(INDEX(Tbl_KPIConfig[Department],MATCH($D361,Tbl_KPIConfig[KPI Name],0)),"")</f>
        <v/>
      </c>
      <c r="F361" s="8">
        <f>IFERROR(INDEX(Tbl_KPIConfig[Unit],MATCH($D361,Tbl_KPIConfig[KPI Name],0)),"")</f>
        <v/>
      </c>
      <c r="G361" s="8">
        <f>IFERROR(INDEX(Tbl_KPIConfig[Target],MATCH($D361,Tbl_KPIConfig[KPI Name],0)),"")</f>
        <v/>
      </c>
      <c r="H361" s="8" t="n">
        <v>0.9295</v>
      </c>
      <c r="I361" s="9">
        <f>IFERROR(IF(INDEX(Tbl_KPIConfig[Direction],MATCH($D361,Tbl_KPIConfig[KPI Name],0))="Lower is Better",IF($H361=0,1,IF($G361=0,0,$G361/$H361)),IF($G361=0,1,$H361/$G361)),0)</f>
        <v/>
      </c>
      <c r="J361" s="8">
        <f>IFERROR(IF($I361&gt;=1,"Green",IF($I361&gt;=INDEX(Tbl_KPIConfig[RAG Threshold %],MATCH($D361,Tbl_KPIConfig[KPI Name],0)),"Amber","Red")),"")</f>
        <v/>
      </c>
      <c r="K361" s="10" t="inlineStr">
        <is>
          <t>Awaiting spares</t>
        </is>
      </c>
    </row>
    <row r="362">
      <c r="A362" s="11" t="n">
        <v>46199</v>
      </c>
      <c r="B362" s="12">
        <f>IF($A362="","",TEXT($A362,"mmm-yyyy"))</f>
        <v/>
      </c>
      <c r="C362" s="12">
        <f>IF($A362="","","W"&amp;WEEKNUM($A362,2))</f>
        <v/>
      </c>
      <c r="D362" s="12" t="inlineStr">
        <is>
          <t>Breakdown Resolution (Hrs)</t>
        </is>
      </c>
      <c r="E362" s="12">
        <f>IFERROR(INDEX(Tbl_KPIConfig[Department],MATCH($D362,Tbl_KPIConfig[KPI Name],0)),"")</f>
        <v/>
      </c>
      <c r="F362" s="12">
        <f>IFERROR(INDEX(Tbl_KPIConfig[Unit],MATCH($D362,Tbl_KPIConfig[KPI Name],0)),"")</f>
        <v/>
      </c>
      <c r="G362" s="12">
        <f>IFERROR(INDEX(Tbl_KPIConfig[Target],MATCH($D362,Tbl_KPIConfig[KPI Name],0)),"")</f>
        <v/>
      </c>
      <c r="H362" s="12" t="n">
        <v>2.16</v>
      </c>
      <c r="I362" s="13">
        <f>IFERROR(IF(INDEX(Tbl_KPIConfig[Direction],MATCH($D362,Tbl_KPIConfig[KPI Name],0))="Lower is Better",IF($H362=0,1,IF($G362=0,0,$G362/$H362)),IF($G362=0,1,$H362/$G362)),0)</f>
        <v/>
      </c>
      <c r="J362" s="12">
        <f>IFERROR(IF($I362&gt;=1,"Green",IF($I362&gt;=INDEX(Tbl_KPIConfig[RAG Threshold %],MATCH($D362,Tbl_KPIConfig[KPI Name],0)),"Amber","Red")),"")</f>
        <v/>
      </c>
      <c r="K362" s="14" t="inlineStr">
        <is>
          <t>Line changeover impact</t>
        </is>
      </c>
    </row>
    <row r="363">
      <c r="A363" s="7" t="n">
        <v>46200</v>
      </c>
      <c r="B363" s="8">
        <f>IF($A363="","",TEXT($A363,"mmm-yyyy"))</f>
        <v/>
      </c>
      <c r="C363" s="8">
        <f>IF($A363="","","W"&amp;WEEKNUM($A363,2))</f>
        <v/>
      </c>
      <c r="D363" s="8" t="inlineStr">
        <is>
          <t>Safety Incidents (LTI)</t>
        </is>
      </c>
      <c r="E363" s="8">
        <f>IFERROR(INDEX(Tbl_KPIConfig[Department],MATCH($D363,Tbl_KPIConfig[KPI Name],0)),"")</f>
        <v/>
      </c>
      <c r="F363" s="8">
        <f>IFERROR(INDEX(Tbl_KPIConfig[Unit],MATCH($D363,Tbl_KPIConfig[KPI Name],0)),"")</f>
        <v/>
      </c>
      <c r="G363" s="8">
        <f>IFERROR(INDEX(Tbl_KPIConfig[Target],MATCH($D363,Tbl_KPIConfig[KPI Name],0)),"")</f>
        <v/>
      </c>
      <c r="H363" s="8" t="n">
        <v>1</v>
      </c>
      <c r="I363" s="9">
        <f>IFERROR(IF(INDEX(Tbl_KPIConfig[Direction],MATCH($D363,Tbl_KPIConfig[KPI Name],0))="Lower is Better",IF($H363=0,1,IF($G363=0,0,$G363/$H363)),IF($G363=0,1,$H363/$G363)),0)</f>
        <v/>
      </c>
      <c r="J363" s="8">
        <f>IFERROR(IF($I363&gt;=1,"Green",IF($I363&gt;=INDEX(Tbl_KPIConfig[RAG Threshold %],MATCH($D363,Tbl_KPIConfig[KPI Name],0)),"Amber","Red")),"")</f>
        <v/>
      </c>
      <c r="K363" s="10" t="inlineStr">
        <is>
          <t>Awaiting spares</t>
        </is>
      </c>
    </row>
    <row r="364">
      <c r="A364" s="11" t="n">
        <v>46200</v>
      </c>
      <c r="B364" s="12">
        <f>IF($A364="","",TEXT($A364,"mmm-yyyy"))</f>
        <v/>
      </c>
      <c r="C364" s="12">
        <f>IF($A364="","","W"&amp;WEEKNUM($A364,2))</f>
        <v/>
      </c>
      <c r="D364" s="12" t="inlineStr">
        <is>
          <t>Near Miss Reports</t>
        </is>
      </c>
      <c r="E364" s="12">
        <f>IFERROR(INDEX(Tbl_KPIConfig[Department],MATCH($D364,Tbl_KPIConfig[KPI Name],0)),"")</f>
        <v/>
      </c>
      <c r="F364" s="12">
        <f>IFERROR(INDEX(Tbl_KPIConfig[Unit],MATCH($D364,Tbl_KPIConfig[KPI Name],0)),"")</f>
        <v/>
      </c>
      <c r="G364" s="12">
        <f>IFERROR(INDEX(Tbl_KPIConfig[Target],MATCH($D364,Tbl_KPIConfig[KPI Name],0)),"")</f>
        <v/>
      </c>
      <c r="H364" s="12" t="n">
        <v>2</v>
      </c>
      <c r="I364" s="13">
        <f>IFERROR(IF(INDEX(Tbl_KPIConfig[Direction],MATCH($D364,Tbl_KPIConfig[KPI Name],0))="Lower is Better",IF($H364=0,1,IF($G364=0,0,$G364/$H364)),IF($G364=0,1,$H364/$G364)),0)</f>
        <v/>
      </c>
      <c r="J364" s="12">
        <f>IFERROR(IF($I364&gt;=1,"Green",IF($I364&gt;=INDEX(Tbl_KPIConfig[RAG Threshold %],MATCH($D364,Tbl_KPIConfig[KPI Name],0)),"Amber","Red")),"")</f>
        <v/>
      </c>
      <c r="K364" s="14" t="inlineStr"/>
    </row>
    <row r="365">
      <c r="A365" s="7" t="n">
        <v>46200</v>
      </c>
      <c r="B365" s="8">
        <f>IF($A365="","",TEXT($A365,"mmm-yyyy"))</f>
        <v/>
      </c>
      <c r="C365" s="8">
        <f>IF($A365="","","W"&amp;WEEKNUM($A365,2))</f>
        <v/>
      </c>
      <c r="D365" s="8" t="inlineStr">
        <is>
          <t>Production Output</t>
        </is>
      </c>
      <c r="E365" s="8">
        <f>IFERROR(INDEX(Tbl_KPIConfig[Department],MATCH($D365,Tbl_KPIConfig[KPI Name],0)),"")</f>
        <v/>
      </c>
      <c r="F365" s="8">
        <f>IFERROR(INDEX(Tbl_KPIConfig[Unit],MATCH($D365,Tbl_KPIConfig[KPI Name],0)),"")</f>
        <v/>
      </c>
      <c r="G365" s="8">
        <f>IFERROR(INDEX(Tbl_KPIConfig[Target],MATCH($D365,Tbl_KPIConfig[KPI Name],0)),"")</f>
        <v/>
      </c>
      <c r="H365" s="8" t="n">
        <v>1065.52</v>
      </c>
      <c r="I365" s="9">
        <f>IFERROR(IF(INDEX(Tbl_KPIConfig[Direction],MATCH($D365,Tbl_KPIConfig[KPI Name],0))="Lower is Better",IF($H365=0,1,IF($G365=0,0,$G365/$H365)),IF($G365=0,1,$H365/$G365)),0)</f>
        <v/>
      </c>
      <c r="J365" s="8">
        <f>IFERROR(IF($I365&gt;=1,"Green",IF($I365&gt;=INDEX(Tbl_KPIConfig[RAG Threshold %],MATCH($D365,Tbl_KPIConfig[KPI Name],0)),"Amber","Red")),"")</f>
        <v/>
      </c>
      <c r="K365" s="10" t="inlineStr">
        <is>
          <t>Line changeover impact</t>
        </is>
      </c>
    </row>
    <row r="366">
      <c r="A366" s="11" t="n">
        <v>46200</v>
      </c>
      <c r="B366" s="12">
        <f>IF($A366="","",TEXT($A366,"mmm-yyyy"))</f>
        <v/>
      </c>
      <c r="C366" s="12">
        <f>IF($A366="","","W"&amp;WEEKNUM($A366,2))</f>
        <v/>
      </c>
      <c r="D366" s="12" t="inlineStr">
        <is>
          <t>OEE %</t>
        </is>
      </c>
      <c r="E366" s="12">
        <f>IFERROR(INDEX(Tbl_KPIConfig[Department],MATCH($D366,Tbl_KPIConfig[KPI Name],0)),"")</f>
        <v/>
      </c>
      <c r="F366" s="12">
        <f>IFERROR(INDEX(Tbl_KPIConfig[Unit],MATCH($D366,Tbl_KPIConfig[KPI Name],0)),"")</f>
        <v/>
      </c>
      <c r="G366" s="12">
        <f>IFERROR(INDEX(Tbl_KPIConfig[Target],MATCH($D366,Tbl_KPIConfig[KPI Name],0)),"")</f>
        <v/>
      </c>
      <c r="H366" s="12" t="n">
        <v>0.8409</v>
      </c>
      <c r="I366" s="13">
        <f>IFERROR(IF(INDEX(Tbl_KPIConfig[Direction],MATCH($D366,Tbl_KPIConfig[KPI Name],0))="Lower is Better",IF($H366=0,1,IF($G366=0,0,$G366/$H366)),IF($G366=0,1,$H366/$G366)),0)</f>
        <v/>
      </c>
      <c r="J366" s="12">
        <f>IFERROR(IF($I366&gt;=1,"Green",IF($I366&gt;=INDEX(Tbl_KPIConfig[RAG Threshold %],MATCH($D366,Tbl_KPIConfig[KPI Name],0)),"Amber","Red")),"")</f>
        <v/>
      </c>
      <c r="K366" s="14" t="inlineStr">
        <is>
          <t>Vendor delay</t>
        </is>
      </c>
    </row>
    <row r="367">
      <c r="A367" s="7" t="n">
        <v>46200</v>
      </c>
      <c r="B367" s="8">
        <f>IF($A367="","",TEXT($A367,"mmm-yyyy"))</f>
        <v/>
      </c>
      <c r="C367" s="8">
        <f>IF($A367="","","W"&amp;WEEKNUM($A367,2))</f>
        <v/>
      </c>
      <c r="D367" s="8" t="inlineStr">
        <is>
          <t>Defect Rate %</t>
        </is>
      </c>
      <c r="E367" s="8">
        <f>IFERROR(INDEX(Tbl_KPIConfig[Department],MATCH($D367,Tbl_KPIConfig[KPI Name],0)),"")</f>
        <v/>
      </c>
      <c r="F367" s="8">
        <f>IFERROR(INDEX(Tbl_KPIConfig[Unit],MATCH($D367,Tbl_KPIConfig[KPI Name],0)),"")</f>
        <v/>
      </c>
      <c r="G367" s="8">
        <f>IFERROR(INDEX(Tbl_KPIConfig[Target],MATCH($D367,Tbl_KPIConfig[KPI Name],0)),"")</f>
        <v/>
      </c>
      <c r="H367" s="8" t="n">
        <v>0.0301</v>
      </c>
      <c r="I367" s="9">
        <f>IFERROR(IF(INDEX(Tbl_KPIConfig[Direction],MATCH($D367,Tbl_KPIConfig[KPI Name],0))="Lower is Better",IF($H367=0,1,IF($G367=0,0,$G367/$H367)),IF($G367=0,1,$H367/$G367)),0)</f>
        <v/>
      </c>
      <c r="J367" s="8">
        <f>IFERROR(IF($I367&gt;=1,"Green",IF($I367&gt;=INDEX(Tbl_KPIConfig[RAG Threshold %],MATCH($D367,Tbl_KPIConfig[KPI Name],0)),"Amber","Red")),"")</f>
        <v/>
      </c>
      <c r="K367" s="10" t="inlineStr">
        <is>
          <t>Awaiting spares</t>
        </is>
      </c>
    </row>
    <row r="368">
      <c r="A368" s="11" t="n">
        <v>46200</v>
      </c>
      <c r="B368" s="12">
        <f>IF($A368="","",TEXT($A368,"mmm-yyyy"))</f>
        <v/>
      </c>
      <c r="C368" s="12">
        <f>IF($A368="","","W"&amp;WEEKNUM($A368,2))</f>
        <v/>
      </c>
      <c r="D368" s="12" t="inlineStr">
        <is>
          <t>Customer Complaints</t>
        </is>
      </c>
      <c r="E368" s="12">
        <f>IFERROR(INDEX(Tbl_KPIConfig[Department],MATCH($D368,Tbl_KPIConfig[KPI Name],0)),"")</f>
        <v/>
      </c>
      <c r="F368" s="12">
        <f>IFERROR(INDEX(Tbl_KPIConfig[Unit],MATCH($D368,Tbl_KPIConfig[KPI Name],0)),"")</f>
        <v/>
      </c>
      <c r="G368" s="12">
        <f>IFERROR(INDEX(Tbl_KPIConfig[Target],MATCH($D368,Tbl_KPIConfig[KPI Name],0)),"")</f>
        <v/>
      </c>
      <c r="H368" s="12" t="n">
        <v>1</v>
      </c>
      <c r="I368" s="13">
        <f>IFERROR(IF(INDEX(Tbl_KPIConfig[Direction],MATCH($D368,Tbl_KPIConfig[KPI Name],0))="Lower is Better",IF($H368=0,1,IF($G368=0,0,$G368/$H368)),IF($G368=0,1,$H368/$G368)),0)</f>
        <v/>
      </c>
      <c r="J368" s="12">
        <f>IFERROR(IF($I368&gt;=1,"Green",IF($I368&gt;=INDEX(Tbl_KPIConfig[RAG Threshold %],MATCH($D368,Tbl_KPIConfig[KPI Name],0)),"Amber","Red")),"")</f>
        <v/>
      </c>
      <c r="K368" s="14" t="inlineStr">
        <is>
          <t>Within normal range</t>
        </is>
      </c>
    </row>
    <row r="369">
      <c r="A369" s="7" t="n">
        <v>46200</v>
      </c>
      <c r="B369" s="8">
        <f>IF($A369="","",TEXT($A369,"mmm-yyyy"))</f>
        <v/>
      </c>
      <c r="C369" s="8">
        <f>IF($A369="","","W"&amp;WEEKNUM($A369,2))</f>
        <v/>
      </c>
      <c r="D369" s="8" t="inlineStr">
        <is>
          <t>Unplanned Downtime (Hrs)</t>
        </is>
      </c>
      <c r="E369" s="8">
        <f>IFERROR(INDEX(Tbl_KPIConfig[Department],MATCH($D369,Tbl_KPIConfig[KPI Name],0)),"")</f>
        <v/>
      </c>
      <c r="F369" s="8">
        <f>IFERROR(INDEX(Tbl_KPIConfig[Unit],MATCH($D369,Tbl_KPIConfig[KPI Name],0)),"")</f>
        <v/>
      </c>
      <c r="G369" s="8">
        <f>IFERROR(INDEX(Tbl_KPIConfig[Target],MATCH($D369,Tbl_KPIConfig[KPI Name],0)),"")</f>
        <v/>
      </c>
      <c r="H369" s="8" t="n">
        <v>1.28</v>
      </c>
      <c r="I369" s="9">
        <f>IFERROR(IF(INDEX(Tbl_KPIConfig[Direction],MATCH($D369,Tbl_KPIConfig[KPI Name],0))="Lower is Better",IF($H369=0,1,IF($G369=0,0,$G369/$H369)),IF($G369=0,1,$H369/$G369)),0)</f>
        <v/>
      </c>
      <c r="J369" s="8">
        <f>IFERROR(IF($I369&gt;=1,"Green",IF($I369&gt;=INDEX(Tbl_KPIConfig[RAG Threshold %],MATCH($D369,Tbl_KPIConfig[KPI Name],0)),"Amber","Red")),"")</f>
        <v/>
      </c>
      <c r="K369" s="10" t="inlineStr">
        <is>
          <t>Awaiting spares</t>
        </is>
      </c>
    </row>
    <row r="370">
      <c r="A370" s="11" t="n">
        <v>46200</v>
      </c>
      <c r="B370" s="12">
        <f>IF($A370="","",TEXT($A370,"mmm-yyyy"))</f>
        <v/>
      </c>
      <c r="C370" s="12">
        <f>IF($A370="","","W"&amp;WEEKNUM($A370,2))</f>
        <v/>
      </c>
      <c r="D370" s="12" t="inlineStr">
        <is>
          <t>PM Compliance %</t>
        </is>
      </c>
      <c r="E370" s="12">
        <f>IFERROR(INDEX(Tbl_KPIConfig[Department],MATCH($D370,Tbl_KPIConfig[KPI Name],0)),"")</f>
        <v/>
      </c>
      <c r="F370" s="12">
        <f>IFERROR(INDEX(Tbl_KPIConfig[Unit],MATCH($D370,Tbl_KPIConfig[KPI Name],0)),"")</f>
        <v/>
      </c>
      <c r="G370" s="12">
        <f>IFERROR(INDEX(Tbl_KPIConfig[Target],MATCH($D370,Tbl_KPIConfig[KPI Name],0)),"")</f>
        <v/>
      </c>
      <c r="H370" s="12" t="n">
        <v>0.9459</v>
      </c>
      <c r="I370" s="13">
        <f>IFERROR(IF(INDEX(Tbl_KPIConfig[Direction],MATCH($D370,Tbl_KPIConfig[KPI Name],0))="Lower is Better",IF($H370=0,1,IF($G370=0,0,$G370/$H370)),IF($G370=0,1,$H370/$G370)),0)</f>
        <v/>
      </c>
      <c r="J370" s="12">
        <f>IFERROR(IF($I370&gt;=1,"Green",IF($I370&gt;=INDEX(Tbl_KPIConfig[RAG Threshold %],MATCH($D370,Tbl_KPIConfig[KPI Name],0)),"Amber","Red")),"")</f>
        <v/>
      </c>
      <c r="K370" s="14" t="inlineStr">
        <is>
          <t>Preventive check done</t>
        </is>
      </c>
    </row>
    <row r="371">
      <c r="A371" s="7" t="n">
        <v>46200</v>
      </c>
      <c r="B371" s="8">
        <f>IF($A371="","",TEXT($A371,"mmm-yyyy"))</f>
        <v/>
      </c>
      <c r="C371" s="8">
        <f>IF($A371="","","W"&amp;WEEKNUM($A371,2))</f>
        <v/>
      </c>
      <c r="D371" s="8" t="inlineStr">
        <is>
          <t>Power Consumption (kWh)</t>
        </is>
      </c>
      <c r="E371" s="8">
        <f>IFERROR(INDEX(Tbl_KPIConfig[Department],MATCH($D371,Tbl_KPIConfig[KPI Name],0)),"")</f>
        <v/>
      </c>
      <c r="F371" s="8">
        <f>IFERROR(INDEX(Tbl_KPIConfig[Unit],MATCH($D371,Tbl_KPIConfig[KPI Name],0)),"")</f>
        <v/>
      </c>
      <c r="G371" s="8">
        <f>IFERROR(INDEX(Tbl_KPIConfig[Target],MATCH($D371,Tbl_KPIConfig[KPI Name],0)),"")</f>
        <v/>
      </c>
      <c r="H371" s="8" t="n">
        <v>5322.79</v>
      </c>
      <c r="I371" s="9">
        <f>IFERROR(IF(INDEX(Tbl_KPIConfig[Direction],MATCH($D371,Tbl_KPIConfig[KPI Name],0))="Lower is Better",IF($H371=0,1,IF($G371=0,0,$G371/$H371)),IF($G371=0,1,$H371/$G371)),0)</f>
        <v/>
      </c>
      <c r="J371" s="8">
        <f>IFERROR(IF($I371&gt;=1,"Green",IF($I371&gt;=INDEX(Tbl_KPIConfig[RAG Threshold %],MATCH($D371,Tbl_KPIConfig[KPI Name],0)),"Amber","Red")),"")</f>
        <v/>
      </c>
      <c r="K371" s="10" t="inlineStr">
        <is>
          <t>Within normal range</t>
        </is>
      </c>
    </row>
    <row r="372">
      <c r="A372" s="11" t="n">
        <v>46200</v>
      </c>
      <c r="B372" s="12">
        <f>IF($A372="","",TEXT($A372,"mmm-yyyy"))</f>
        <v/>
      </c>
      <c r="C372" s="12">
        <f>IF($A372="","","W"&amp;WEEKNUM($A372,2))</f>
        <v/>
      </c>
      <c r="D372" s="12" t="inlineStr">
        <is>
          <t>On-Time Dispatch %</t>
        </is>
      </c>
      <c r="E372" s="12">
        <f>IFERROR(INDEX(Tbl_KPIConfig[Department],MATCH($D372,Tbl_KPIConfig[KPI Name],0)),"")</f>
        <v/>
      </c>
      <c r="F372" s="12">
        <f>IFERROR(INDEX(Tbl_KPIConfig[Unit],MATCH($D372,Tbl_KPIConfig[KPI Name],0)),"")</f>
        <v/>
      </c>
      <c r="G372" s="12">
        <f>IFERROR(INDEX(Tbl_KPIConfig[Target],MATCH($D372,Tbl_KPIConfig[KPI Name],0)),"")</f>
        <v/>
      </c>
      <c r="H372" s="12" t="n">
        <v>0.876</v>
      </c>
      <c r="I372" s="13">
        <f>IFERROR(IF(INDEX(Tbl_KPIConfig[Direction],MATCH($D372,Tbl_KPIConfig[KPI Name],0))="Lower is Better",IF($H372=0,1,IF($G372=0,0,$G372/$H372)),IF($G372=0,1,$H372/$G372)),0)</f>
        <v/>
      </c>
      <c r="J372" s="12">
        <f>IFERROR(IF($I372&gt;=1,"Green",IF($I372&gt;=INDEX(Tbl_KPIConfig[RAG Threshold %],MATCH($D372,Tbl_KPIConfig[KPI Name],0)),"Amber","Red")),"")</f>
        <v/>
      </c>
      <c r="K372" s="14" t="inlineStr">
        <is>
          <t>Line changeover impact</t>
        </is>
      </c>
    </row>
    <row r="373">
      <c r="A373" s="7" t="n">
        <v>46200</v>
      </c>
      <c r="B373" s="8">
        <f>IF($A373="","",TEXT($A373,"mmm-yyyy"))</f>
        <v/>
      </c>
      <c r="C373" s="8">
        <f>IF($A373="","","W"&amp;WEEKNUM($A373,2))</f>
        <v/>
      </c>
      <c r="D373" s="8" t="inlineStr">
        <is>
          <t>Inventory Accuracy %</t>
        </is>
      </c>
      <c r="E373" s="8">
        <f>IFERROR(INDEX(Tbl_KPIConfig[Department],MATCH($D373,Tbl_KPIConfig[KPI Name],0)),"")</f>
        <v/>
      </c>
      <c r="F373" s="8">
        <f>IFERROR(INDEX(Tbl_KPIConfig[Unit],MATCH($D373,Tbl_KPIConfig[KPI Name],0)),"")</f>
        <v/>
      </c>
      <c r="G373" s="8">
        <f>IFERROR(INDEX(Tbl_KPIConfig[Target],MATCH($D373,Tbl_KPIConfig[KPI Name],0)),"")</f>
        <v/>
      </c>
      <c r="H373" s="8" t="n">
        <v>0.8977000000000001</v>
      </c>
      <c r="I373" s="9">
        <f>IFERROR(IF(INDEX(Tbl_KPIConfig[Direction],MATCH($D373,Tbl_KPIConfig[KPI Name],0))="Lower is Better",IF($H373=0,1,IF($G373=0,0,$G373/$H373)),IF($G373=0,1,$H373/$G373)),0)</f>
        <v/>
      </c>
      <c r="J373" s="8">
        <f>IFERROR(IF($I373&gt;=1,"Green",IF($I373&gt;=INDEX(Tbl_KPIConfig[RAG Threshold %],MATCH($D373,Tbl_KPIConfig[KPI Name],0)),"Amber","Red")),"")</f>
        <v/>
      </c>
      <c r="K373" s="10" t="inlineStr">
        <is>
          <t>Within normal range</t>
        </is>
      </c>
    </row>
    <row r="374">
      <c r="A374" s="11" t="n">
        <v>46200</v>
      </c>
      <c r="B374" s="12">
        <f>IF($A374="","",TEXT($A374,"mmm-yyyy"))</f>
        <v/>
      </c>
      <c r="C374" s="12">
        <f>IF($A374="","","W"&amp;WEEKNUM($A374,2))</f>
        <v/>
      </c>
      <c r="D374" s="12" t="inlineStr">
        <is>
          <t>Absenteeism %</t>
        </is>
      </c>
      <c r="E374" s="12">
        <f>IFERROR(INDEX(Tbl_KPIConfig[Department],MATCH($D374,Tbl_KPIConfig[KPI Name],0)),"")</f>
        <v/>
      </c>
      <c r="F374" s="12">
        <f>IFERROR(INDEX(Tbl_KPIConfig[Unit],MATCH($D374,Tbl_KPIConfig[KPI Name],0)),"")</f>
        <v/>
      </c>
      <c r="G374" s="12">
        <f>IFERROR(INDEX(Tbl_KPIConfig[Target],MATCH($D374,Tbl_KPIConfig[KPI Name],0)),"")</f>
        <v/>
      </c>
      <c r="H374" s="12" t="n">
        <v>0.0324</v>
      </c>
      <c r="I374" s="13">
        <f>IFERROR(IF(INDEX(Tbl_KPIConfig[Direction],MATCH($D374,Tbl_KPIConfig[KPI Name],0))="Lower is Better",IF($H374=0,1,IF($G374=0,0,$G374/$H374)),IF($G374=0,1,$H374/$G374)),0)</f>
        <v/>
      </c>
      <c r="J374" s="12">
        <f>IFERROR(IF($I374&gt;=1,"Green",IF($I374&gt;=INDEX(Tbl_KPIConfig[RAG Threshold %],MATCH($D374,Tbl_KPIConfig[KPI Name],0)),"Amber","Red")),"")</f>
        <v/>
      </c>
      <c r="K374" s="14" t="inlineStr">
        <is>
          <t>Manpower shortage</t>
        </is>
      </c>
    </row>
    <row r="375">
      <c r="A375" s="7" t="n">
        <v>46200</v>
      </c>
      <c r="B375" s="8">
        <f>IF($A375="","",TEXT($A375,"mmm-yyyy"))</f>
        <v/>
      </c>
      <c r="C375" s="8">
        <f>IF($A375="","","W"&amp;WEEKNUM($A375,2))</f>
        <v/>
      </c>
      <c r="D375" s="8" t="inlineStr">
        <is>
          <t>Training Hours</t>
        </is>
      </c>
      <c r="E375" s="8">
        <f>IFERROR(INDEX(Tbl_KPIConfig[Department],MATCH($D375,Tbl_KPIConfig[KPI Name],0)),"")</f>
        <v/>
      </c>
      <c r="F375" s="8">
        <f>IFERROR(INDEX(Tbl_KPIConfig[Unit],MATCH($D375,Tbl_KPIConfig[KPI Name],0)),"")</f>
        <v/>
      </c>
      <c r="G375" s="8">
        <f>IFERROR(INDEX(Tbl_KPIConfig[Target],MATCH($D375,Tbl_KPIConfig[KPI Name],0)),"")</f>
        <v/>
      </c>
      <c r="H375" s="8" t="n">
        <v>2.19</v>
      </c>
      <c r="I375" s="9">
        <f>IFERROR(IF(INDEX(Tbl_KPIConfig[Direction],MATCH($D375,Tbl_KPIConfig[KPI Name],0))="Lower is Better",IF($H375=0,1,IF($G375=0,0,$G375/$H375)),IF($G375=0,1,$H375/$G375)),0)</f>
        <v/>
      </c>
      <c r="J375" s="8">
        <f>IFERROR(IF($I375&gt;=1,"Green",IF($I375&gt;=INDEX(Tbl_KPIConfig[RAG Threshold %],MATCH($D375,Tbl_KPIConfig[KPI Name],0)),"Amber","Red")),"")</f>
        <v/>
      </c>
      <c r="K375" s="10" t="inlineStr"/>
    </row>
    <row r="376">
      <c r="A376" s="11" t="n">
        <v>46200</v>
      </c>
      <c r="B376" s="12">
        <f>IF($A376="","",TEXT($A376,"mmm-yyyy"))</f>
        <v/>
      </c>
      <c r="C376" s="12">
        <f>IF($A376="","","W"&amp;WEEKNUM($A376,2))</f>
        <v/>
      </c>
      <c r="D376" s="12" t="inlineStr">
        <is>
          <t>Milestone Adherence %</t>
        </is>
      </c>
      <c r="E376" s="12">
        <f>IFERROR(INDEX(Tbl_KPIConfig[Department],MATCH($D376,Tbl_KPIConfig[KPI Name],0)),"")</f>
        <v/>
      </c>
      <c r="F376" s="12">
        <f>IFERROR(INDEX(Tbl_KPIConfig[Unit],MATCH($D376,Tbl_KPIConfig[KPI Name],0)),"")</f>
        <v/>
      </c>
      <c r="G376" s="12">
        <f>IFERROR(INDEX(Tbl_KPIConfig[Target],MATCH($D376,Tbl_KPIConfig[KPI Name],0)),"")</f>
        <v/>
      </c>
      <c r="H376" s="12" t="n">
        <v>0.9016</v>
      </c>
      <c r="I376" s="13">
        <f>IFERROR(IF(INDEX(Tbl_KPIConfig[Direction],MATCH($D376,Tbl_KPIConfig[KPI Name],0))="Lower is Better",IF($H376=0,1,IF($G376=0,0,$G376/$H376)),IF($G376=0,1,$H376/$G376)),0)</f>
        <v/>
      </c>
      <c r="J376" s="12">
        <f>IFERROR(IF($I376&gt;=1,"Green",IF($I376&gt;=INDEX(Tbl_KPIConfig[RAG Threshold %],MATCH($D376,Tbl_KPIConfig[KPI Name],0)),"Amber","Red")),"")</f>
        <v/>
      </c>
      <c r="K376" s="14" t="inlineStr">
        <is>
          <t>Manpower shortage</t>
        </is>
      </c>
    </row>
    <row r="377">
      <c r="A377" s="7" t="n">
        <v>46200</v>
      </c>
      <c r="B377" s="8">
        <f>IF($A377="","",TEXT($A377,"mmm-yyyy"))</f>
        <v/>
      </c>
      <c r="C377" s="8">
        <f>IF($A377="","","W"&amp;WEEKNUM($A377,2))</f>
        <v/>
      </c>
      <c r="D377" s="8" t="inlineStr">
        <is>
          <t>Breakdown Resolution (Hrs)</t>
        </is>
      </c>
      <c r="E377" s="8">
        <f>IFERROR(INDEX(Tbl_KPIConfig[Department],MATCH($D377,Tbl_KPIConfig[KPI Name],0)),"")</f>
        <v/>
      </c>
      <c r="F377" s="8">
        <f>IFERROR(INDEX(Tbl_KPIConfig[Unit],MATCH($D377,Tbl_KPIConfig[KPI Name],0)),"")</f>
        <v/>
      </c>
      <c r="G377" s="8">
        <f>IFERROR(INDEX(Tbl_KPIConfig[Target],MATCH($D377,Tbl_KPIConfig[KPI Name],0)),"")</f>
        <v/>
      </c>
      <c r="H377" s="8" t="n">
        <v>2.44</v>
      </c>
      <c r="I377" s="9">
        <f>IFERROR(IF(INDEX(Tbl_KPIConfig[Direction],MATCH($D377,Tbl_KPIConfig[KPI Name],0))="Lower is Better",IF($H377=0,1,IF($G377=0,0,$G377/$H377)),IF($G377=0,1,$H377/$G377)),0)</f>
        <v/>
      </c>
      <c r="J377" s="8">
        <f>IFERROR(IF($I377&gt;=1,"Green",IF($I377&gt;=INDEX(Tbl_KPIConfig[RAG Threshold %],MATCH($D377,Tbl_KPIConfig[KPI Name],0)),"Amber","Red")),"")</f>
        <v/>
      </c>
      <c r="K377" s="10" t="inlineStr">
        <is>
          <t>Preventive check done</t>
        </is>
      </c>
    </row>
    <row r="378">
      <c r="A378" s="11" t="n">
        <v>46201</v>
      </c>
      <c r="B378" s="12">
        <f>IF($A378="","",TEXT($A378,"mmm-yyyy"))</f>
        <v/>
      </c>
      <c r="C378" s="12">
        <f>IF($A378="","","W"&amp;WEEKNUM($A378,2))</f>
        <v/>
      </c>
      <c r="D378" s="12" t="inlineStr">
        <is>
          <t>Safety Incidents (LTI)</t>
        </is>
      </c>
      <c r="E378" s="12">
        <f>IFERROR(INDEX(Tbl_KPIConfig[Department],MATCH($D378,Tbl_KPIConfig[KPI Name],0)),"")</f>
        <v/>
      </c>
      <c r="F378" s="12">
        <f>IFERROR(INDEX(Tbl_KPIConfig[Unit],MATCH($D378,Tbl_KPIConfig[KPI Name],0)),"")</f>
        <v/>
      </c>
      <c r="G378" s="12">
        <f>IFERROR(INDEX(Tbl_KPIConfig[Target],MATCH($D378,Tbl_KPIConfig[KPI Name],0)),"")</f>
        <v/>
      </c>
      <c r="H378" s="12" t="n">
        <v>2</v>
      </c>
      <c r="I378" s="13">
        <f>IFERROR(IF(INDEX(Tbl_KPIConfig[Direction],MATCH($D378,Tbl_KPIConfig[KPI Name],0))="Lower is Better",IF($H378=0,1,IF($G378=0,0,$G378/$H378)),IF($G378=0,1,$H378/$G378)),0)</f>
        <v/>
      </c>
      <c r="J378" s="12">
        <f>IFERROR(IF($I378&gt;=1,"Green",IF($I378&gt;=INDEX(Tbl_KPIConfig[RAG Threshold %],MATCH($D378,Tbl_KPIConfig[KPI Name],0)),"Amber","Red")),"")</f>
        <v/>
      </c>
      <c r="K378" s="14" t="inlineStr">
        <is>
          <t>Preventive check done</t>
        </is>
      </c>
    </row>
    <row r="379">
      <c r="A379" s="7" t="n">
        <v>46201</v>
      </c>
      <c r="B379" s="8">
        <f>IF($A379="","",TEXT($A379,"mmm-yyyy"))</f>
        <v/>
      </c>
      <c r="C379" s="8">
        <f>IF($A379="","","W"&amp;WEEKNUM($A379,2))</f>
        <v/>
      </c>
      <c r="D379" s="8" t="inlineStr">
        <is>
          <t>Near Miss Reports</t>
        </is>
      </c>
      <c r="E379" s="8">
        <f>IFERROR(INDEX(Tbl_KPIConfig[Department],MATCH($D379,Tbl_KPIConfig[KPI Name],0)),"")</f>
        <v/>
      </c>
      <c r="F379" s="8">
        <f>IFERROR(INDEX(Tbl_KPIConfig[Unit],MATCH($D379,Tbl_KPIConfig[KPI Name],0)),"")</f>
        <v/>
      </c>
      <c r="G379" s="8">
        <f>IFERROR(INDEX(Tbl_KPIConfig[Target],MATCH($D379,Tbl_KPIConfig[KPI Name],0)),"")</f>
        <v/>
      </c>
      <c r="H379" s="8" t="n">
        <v>2</v>
      </c>
      <c r="I379" s="9">
        <f>IFERROR(IF(INDEX(Tbl_KPIConfig[Direction],MATCH($D379,Tbl_KPIConfig[KPI Name],0))="Lower is Better",IF($H379=0,1,IF($G379=0,0,$G379/$H379)),IF($G379=0,1,$H379/$G379)),0)</f>
        <v/>
      </c>
      <c r="J379" s="8">
        <f>IFERROR(IF($I379&gt;=1,"Green",IF($I379&gt;=INDEX(Tbl_KPIConfig[RAG Threshold %],MATCH($D379,Tbl_KPIConfig[KPI Name],0)),"Amber","Red")),"")</f>
        <v/>
      </c>
      <c r="K379" s="10" t="inlineStr">
        <is>
          <t>Process improvement in progress</t>
        </is>
      </c>
    </row>
    <row r="380">
      <c r="A380" s="11" t="n">
        <v>46201</v>
      </c>
      <c r="B380" s="12">
        <f>IF($A380="","",TEXT($A380,"mmm-yyyy"))</f>
        <v/>
      </c>
      <c r="C380" s="12">
        <f>IF($A380="","","W"&amp;WEEKNUM($A380,2))</f>
        <v/>
      </c>
      <c r="D380" s="12" t="inlineStr">
        <is>
          <t>Production Output</t>
        </is>
      </c>
      <c r="E380" s="12">
        <f>IFERROR(INDEX(Tbl_KPIConfig[Department],MATCH($D380,Tbl_KPIConfig[KPI Name],0)),"")</f>
        <v/>
      </c>
      <c r="F380" s="12">
        <f>IFERROR(INDEX(Tbl_KPIConfig[Unit],MATCH($D380,Tbl_KPIConfig[KPI Name],0)),"")</f>
        <v/>
      </c>
      <c r="G380" s="12">
        <f>IFERROR(INDEX(Tbl_KPIConfig[Target],MATCH($D380,Tbl_KPIConfig[KPI Name],0)),"")</f>
        <v/>
      </c>
      <c r="H380" s="12" t="n">
        <v>799.21</v>
      </c>
      <c r="I380" s="13">
        <f>IFERROR(IF(INDEX(Tbl_KPIConfig[Direction],MATCH($D380,Tbl_KPIConfig[KPI Name],0))="Lower is Better",IF($H380=0,1,IF($G380=0,0,$G380/$H380)),IF($G380=0,1,$H380/$G380)),0)</f>
        <v/>
      </c>
      <c r="J380" s="12">
        <f>IFERROR(IF($I380&gt;=1,"Green",IF($I380&gt;=INDEX(Tbl_KPIConfig[RAG Threshold %],MATCH($D380,Tbl_KPIConfig[KPI Name],0)),"Amber","Red")),"")</f>
        <v/>
      </c>
      <c r="K380" s="14" t="inlineStr">
        <is>
          <t>Line changeover impact</t>
        </is>
      </c>
    </row>
    <row r="381">
      <c r="A381" s="7" t="n">
        <v>46201</v>
      </c>
      <c r="B381" s="8">
        <f>IF($A381="","",TEXT($A381,"mmm-yyyy"))</f>
        <v/>
      </c>
      <c r="C381" s="8">
        <f>IF($A381="","","W"&amp;WEEKNUM($A381,2))</f>
        <v/>
      </c>
      <c r="D381" s="8" t="inlineStr">
        <is>
          <t>OEE %</t>
        </is>
      </c>
      <c r="E381" s="8">
        <f>IFERROR(INDEX(Tbl_KPIConfig[Department],MATCH($D381,Tbl_KPIConfig[KPI Name],0)),"")</f>
        <v/>
      </c>
      <c r="F381" s="8">
        <f>IFERROR(INDEX(Tbl_KPIConfig[Unit],MATCH($D381,Tbl_KPIConfig[KPI Name],0)),"")</f>
        <v/>
      </c>
      <c r="G381" s="8">
        <f>IFERROR(INDEX(Tbl_KPIConfig[Target],MATCH($D381,Tbl_KPIConfig[KPI Name],0)),"")</f>
        <v/>
      </c>
      <c r="H381" s="8" t="n">
        <v>0.7529</v>
      </c>
      <c r="I381" s="9">
        <f>IFERROR(IF(INDEX(Tbl_KPIConfig[Direction],MATCH($D381,Tbl_KPIConfig[KPI Name],0))="Lower is Better",IF($H381=0,1,IF($G381=0,0,$G381/$H381)),IF($G381=0,1,$H381/$G381)),0)</f>
        <v/>
      </c>
      <c r="J381" s="8">
        <f>IFERROR(IF($I381&gt;=1,"Green",IF($I381&gt;=INDEX(Tbl_KPIConfig[RAG Threshold %],MATCH($D381,Tbl_KPIConfig[KPI Name],0)),"Amber","Red")),"")</f>
        <v/>
      </c>
      <c r="K381" s="10" t="inlineStr"/>
    </row>
    <row r="382">
      <c r="A382" s="11" t="n">
        <v>46201</v>
      </c>
      <c r="B382" s="12">
        <f>IF($A382="","",TEXT($A382,"mmm-yyyy"))</f>
        <v/>
      </c>
      <c r="C382" s="12">
        <f>IF($A382="","","W"&amp;WEEKNUM($A382,2))</f>
        <v/>
      </c>
      <c r="D382" s="12" t="inlineStr">
        <is>
          <t>Defect Rate %</t>
        </is>
      </c>
      <c r="E382" s="12">
        <f>IFERROR(INDEX(Tbl_KPIConfig[Department],MATCH($D382,Tbl_KPIConfig[KPI Name],0)),"")</f>
        <v/>
      </c>
      <c r="F382" s="12">
        <f>IFERROR(INDEX(Tbl_KPIConfig[Unit],MATCH($D382,Tbl_KPIConfig[KPI Name],0)),"")</f>
        <v/>
      </c>
      <c r="G382" s="12">
        <f>IFERROR(INDEX(Tbl_KPIConfig[Target],MATCH($D382,Tbl_KPIConfig[KPI Name],0)),"")</f>
        <v/>
      </c>
      <c r="H382" s="12" t="n">
        <v>0.0204</v>
      </c>
      <c r="I382" s="13">
        <f>IFERROR(IF(INDEX(Tbl_KPIConfig[Direction],MATCH($D382,Tbl_KPIConfig[KPI Name],0))="Lower is Better",IF($H382=0,1,IF($G382=0,0,$G382/$H382)),IF($G382=0,1,$H382/$G382)),0)</f>
        <v/>
      </c>
      <c r="J382" s="12">
        <f>IFERROR(IF($I382&gt;=1,"Green",IF($I382&gt;=INDEX(Tbl_KPIConfig[RAG Threshold %],MATCH($D382,Tbl_KPIConfig[KPI Name],0)),"Amber","Red")),"")</f>
        <v/>
      </c>
      <c r="K382" s="14" t="inlineStr">
        <is>
          <t>Vendor delay</t>
        </is>
      </c>
    </row>
    <row r="383">
      <c r="A383" s="7" t="n">
        <v>46201</v>
      </c>
      <c r="B383" s="8">
        <f>IF($A383="","",TEXT($A383,"mmm-yyyy"))</f>
        <v/>
      </c>
      <c r="C383" s="8">
        <f>IF($A383="","","W"&amp;WEEKNUM($A383,2))</f>
        <v/>
      </c>
      <c r="D383" s="8" t="inlineStr">
        <is>
          <t>Customer Complaints</t>
        </is>
      </c>
      <c r="E383" s="8">
        <f>IFERROR(INDEX(Tbl_KPIConfig[Department],MATCH($D383,Tbl_KPIConfig[KPI Name],0)),"")</f>
        <v/>
      </c>
      <c r="F383" s="8">
        <f>IFERROR(INDEX(Tbl_KPIConfig[Unit],MATCH($D383,Tbl_KPIConfig[KPI Name],0)),"")</f>
        <v/>
      </c>
      <c r="G383" s="8">
        <f>IFERROR(INDEX(Tbl_KPIConfig[Target],MATCH($D383,Tbl_KPIConfig[KPI Name],0)),"")</f>
        <v/>
      </c>
      <c r="H383" s="8" t="n">
        <v>0</v>
      </c>
      <c r="I383" s="9">
        <f>IFERROR(IF(INDEX(Tbl_KPIConfig[Direction],MATCH($D383,Tbl_KPIConfig[KPI Name],0))="Lower is Better",IF($H383=0,1,IF($G383=0,0,$G383/$H383)),IF($G383=0,1,$H383/$G383)),0)</f>
        <v/>
      </c>
      <c r="J383" s="8">
        <f>IFERROR(IF($I383&gt;=1,"Green",IF($I383&gt;=INDEX(Tbl_KPIConfig[RAG Threshold %],MATCH($D383,Tbl_KPIConfig[KPI Name],0)),"Amber","Red")),"")</f>
        <v/>
      </c>
      <c r="K383" s="10" t="inlineStr">
        <is>
          <t>Preventive check done</t>
        </is>
      </c>
    </row>
    <row r="384">
      <c r="A384" s="11" t="n">
        <v>46201</v>
      </c>
      <c r="B384" s="12">
        <f>IF($A384="","",TEXT($A384,"mmm-yyyy"))</f>
        <v/>
      </c>
      <c r="C384" s="12">
        <f>IF($A384="","","W"&amp;WEEKNUM($A384,2))</f>
        <v/>
      </c>
      <c r="D384" s="12" t="inlineStr">
        <is>
          <t>Unplanned Downtime (Hrs)</t>
        </is>
      </c>
      <c r="E384" s="12">
        <f>IFERROR(INDEX(Tbl_KPIConfig[Department],MATCH($D384,Tbl_KPIConfig[KPI Name],0)),"")</f>
        <v/>
      </c>
      <c r="F384" s="12">
        <f>IFERROR(INDEX(Tbl_KPIConfig[Unit],MATCH($D384,Tbl_KPIConfig[KPI Name],0)),"")</f>
        <v/>
      </c>
      <c r="G384" s="12">
        <f>IFERROR(INDEX(Tbl_KPIConfig[Target],MATCH($D384,Tbl_KPIConfig[KPI Name],0)),"")</f>
        <v/>
      </c>
      <c r="H384" s="12" t="n">
        <v>1.48</v>
      </c>
      <c r="I384" s="13">
        <f>IFERROR(IF(INDEX(Tbl_KPIConfig[Direction],MATCH($D384,Tbl_KPIConfig[KPI Name],0))="Lower is Better",IF($H384=0,1,IF($G384=0,0,$G384/$H384)),IF($G384=0,1,$H384/$G384)),0)</f>
        <v/>
      </c>
      <c r="J384" s="12">
        <f>IFERROR(IF($I384&gt;=1,"Green",IF($I384&gt;=INDEX(Tbl_KPIConfig[RAG Threshold %],MATCH($D384,Tbl_KPIConfig[KPI Name],0)),"Amber","Red")),"")</f>
        <v/>
      </c>
      <c r="K384" s="14" t="inlineStr">
        <is>
          <t>Within normal range</t>
        </is>
      </c>
    </row>
    <row r="385">
      <c r="A385" s="7" t="n">
        <v>46201</v>
      </c>
      <c r="B385" s="8">
        <f>IF($A385="","",TEXT($A385,"mmm-yyyy"))</f>
        <v/>
      </c>
      <c r="C385" s="8">
        <f>IF($A385="","","W"&amp;WEEKNUM($A385,2))</f>
        <v/>
      </c>
      <c r="D385" s="8" t="inlineStr">
        <is>
          <t>PM Compliance %</t>
        </is>
      </c>
      <c r="E385" s="8">
        <f>IFERROR(INDEX(Tbl_KPIConfig[Department],MATCH($D385,Tbl_KPIConfig[KPI Name],0)),"")</f>
        <v/>
      </c>
      <c r="F385" s="8">
        <f>IFERROR(INDEX(Tbl_KPIConfig[Unit],MATCH($D385,Tbl_KPIConfig[KPI Name],0)),"")</f>
        <v/>
      </c>
      <c r="G385" s="8">
        <f>IFERROR(INDEX(Tbl_KPIConfig[Target],MATCH($D385,Tbl_KPIConfig[KPI Name],0)),"")</f>
        <v/>
      </c>
      <c r="H385" s="8" t="n">
        <v>1.0237</v>
      </c>
      <c r="I385" s="9">
        <f>IFERROR(IF(INDEX(Tbl_KPIConfig[Direction],MATCH($D385,Tbl_KPIConfig[KPI Name],0))="Lower is Better",IF($H385=0,1,IF($G385=0,0,$G385/$H385)),IF($G385=0,1,$H385/$G385)),0)</f>
        <v/>
      </c>
      <c r="J385" s="8">
        <f>IFERROR(IF($I385&gt;=1,"Green",IF($I385&gt;=INDEX(Tbl_KPIConfig[RAG Threshold %],MATCH($D385,Tbl_KPIConfig[KPI Name],0)),"Amber","Red")),"")</f>
        <v/>
      </c>
      <c r="K385" s="10" t="inlineStr">
        <is>
          <t>Awaiting spares</t>
        </is>
      </c>
    </row>
    <row r="386">
      <c r="A386" s="11" t="n">
        <v>46201</v>
      </c>
      <c r="B386" s="12">
        <f>IF($A386="","",TEXT($A386,"mmm-yyyy"))</f>
        <v/>
      </c>
      <c r="C386" s="12">
        <f>IF($A386="","","W"&amp;WEEKNUM($A386,2))</f>
        <v/>
      </c>
      <c r="D386" s="12" t="inlineStr">
        <is>
          <t>Power Consumption (kWh)</t>
        </is>
      </c>
      <c r="E386" s="12">
        <f>IFERROR(INDEX(Tbl_KPIConfig[Department],MATCH($D386,Tbl_KPIConfig[KPI Name],0)),"")</f>
        <v/>
      </c>
      <c r="F386" s="12">
        <f>IFERROR(INDEX(Tbl_KPIConfig[Unit],MATCH($D386,Tbl_KPIConfig[KPI Name],0)),"")</f>
        <v/>
      </c>
      <c r="G386" s="12">
        <f>IFERROR(INDEX(Tbl_KPIConfig[Target],MATCH($D386,Tbl_KPIConfig[KPI Name],0)),"")</f>
        <v/>
      </c>
      <c r="H386" s="12" t="n">
        <v>6631.56</v>
      </c>
      <c r="I386" s="13">
        <f>IFERROR(IF(INDEX(Tbl_KPIConfig[Direction],MATCH($D386,Tbl_KPIConfig[KPI Name],0))="Lower is Better",IF($H386=0,1,IF($G386=0,0,$G386/$H386)),IF($G386=0,1,$H386/$G386)),0)</f>
        <v/>
      </c>
      <c r="J386" s="12">
        <f>IFERROR(IF($I386&gt;=1,"Green",IF($I386&gt;=INDEX(Tbl_KPIConfig[RAG Threshold %],MATCH($D386,Tbl_KPIConfig[KPI Name],0)),"Amber","Red")),"")</f>
        <v/>
      </c>
      <c r="K386" s="14" t="inlineStr">
        <is>
          <t>Manpower shortage</t>
        </is>
      </c>
    </row>
    <row r="387">
      <c r="A387" s="7" t="n">
        <v>46201</v>
      </c>
      <c r="B387" s="8">
        <f>IF($A387="","",TEXT($A387,"mmm-yyyy"))</f>
        <v/>
      </c>
      <c r="C387" s="8">
        <f>IF($A387="","","W"&amp;WEEKNUM($A387,2))</f>
        <v/>
      </c>
      <c r="D387" s="8" t="inlineStr">
        <is>
          <t>On-Time Dispatch %</t>
        </is>
      </c>
      <c r="E387" s="8">
        <f>IFERROR(INDEX(Tbl_KPIConfig[Department],MATCH($D387,Tbl_KPIConfig[KPI Name],0)),"")</f>
        <v/>
      </c>
      <c r="F387" s="8">
        <f>IFERROR(INDEX(Tbl_KPIConfig[Unit],MATCH($D387,Tbl_KPIConfig[KPI Name],0)),"")</f>
        <v/>
      </c>
      <c r="G387" s="8">
        <f>IFERROR(INDEX(Tbl_KPIConfig[Target],MATCH($D387,Tbl_KPIConfig[KPI Name],0)),"")</f>
        <v/>
      </c>
      <c r="H387" s="8" t="n">
        <v>0.7133</v>
      </c>
      <c r="I387" s="9">
        <f>IFERROR(IF(INDEX(Tbl_KPIConfig[Direction],MATCH($D387,Tbl_KPIConfig[KPI Name],0))="Lower is Better",IF($H387=0,1,IF($G387=0,0,$G387/$H387)),IF($G387=0,1,$H387/$G387)),0)</f>
        <v/>
      </c>
      <c r="J387" s="8">
        <f>IFERROR(IF($I387&gt;=1,"Green",IF($I387&gt;=INDEX(Tbl_KPIConfig[RAG Threshold %],MATCH($D387,Tbl_KPIConfig[KPI Name],0)),"Amber","Red")),"")</f>
        <v/>
      </c>
      <c r="K387" s="10" t="inlineStr">
        <is>
          <t>Vendor delay</t>
        </is>
      </c>
    </row>
    <row r="388">
      <c r="A388" s="11" t="n">
        <v>46201</v>
      </c>
      <c r="B388" s="12">
        <f>IF($A388="","",TEXT($A388,"mmm-yyyy"))</f>
        <v/>
      </c>
      <c r="C388" s="12">
        <f>IF($A388="","","W"&amp;WEEKNUM($A388,2))</f>
        <v/>
      </c>
      <c r="D388" s="12" t="inlineStr">
        <is>
          <t>Inventory Accuracy %</t>
        </is>
      </c>
      <c r="E388" s="12">
        <f>IFERROR(INDEX(Tbl_KPIConfig[Department],MATCH($D388,Tbl_KPIConfig[KPI Name],0)),"")</f>
        <v/>
      </c>
      <c r="F388" s="12">
        <f>IFERROR(INDEX(Tbl_KPIConfig[Unit],MATCH($D388,Tbl_KPIConfig[KPI Name],0)),"")</f>
        <v/>
      </c>
      <c r="G388" s="12">
        <f>IFERROR(INDEX(Tbl_KPIConfig[Target],MATCH($D388,Tbl_KPIConfig[KPI Name],0)),"")</f>
        <v/>
      </c>
      <c r="H388" s="12" t="n">
        <v>1.0813</v>
      </c>
      <c r="I388" s="13">
        <f>IFERROR(IF(INDEX(Tbl_KPIConfig[Direction],MATCH($D388,Tbl_KPIConfig[KPI Name],0))="Lower is Better",IF($H388=0,1,IF($G388=0,0,$G388/$H388)),IF($G388=0,1,$H388/$G388)),0)</f>
        <v/>
      </c>
      <c r="J388" s="12">
        <f>IFERROR(IF($I388&gt;=1,"Green",IF($I388&gt;=INDEX(Tbl_KPIConfig[RAG Threshold %],MATCH($D388,Tbl_KPIConfig[KPI Name],0)),"Amber","Red")),"")</f>
        <v/>
      </c>
      <c r="K388" s="14" t="inlineStr">
        <is>
          <t>Process improvement in progress</t>
        </is>
      </c>
    </row>
    <row r="389">
      <c r="A389" s="7" t="n">
        <v>46201</v>
      </c>
      <c r="B389" s="8">
        <f>IF($A389="","",TEXT($A389,"mmm-yyyy"))</f>
        <v/>
      </c>
      <c r="C389" s="8">
        <f>IF($A389="","","W"&amp;WEEKNUM($A389,2))</f>
        <v/>
      </c>
      <c r="D389" s="8" t="inlineStr">
        <is>
          <t>Absenteeism %</t>
        </is>
      </c>
      <c r="E389" s="8">
        <f>IFERROR(INDEX(Tbl_KPIConfig[Department],MATCH($D389,Tbl_KPIConfig[KPI Name],0)),"")</f>
        <v/>
      </c>
      <c r="F389" s="8">
        <f>IFERROR(INDEX(Tbl_KPIConfig[Unit],MATCH($D389,Tbl_KPIConfig[KPI Name],0)),"")</f>
        <v/>
      </c>
      <c r="G389" s="8">
        <f>IFERROR(INDEX(Tbl_KPIConfig[Target],MATCH($D389,Tbl_KPIConfig[KPI Name],0)),"")</f>
        <v/>
      </c>
      <c r="H389" s="8" t="n">
        <v>0.0326</v>
      </c>
      <c r="I389" s="9">
        <f>IFERROR(IF(INDEX(Tbl_KPIConfig[Direction],MATCH($D389,Tbl_KPIConfig[KPI Name],0))="Lower is Better",IF($H389=0,1,IF($G389=0,0,$G389/$H389)),IF($G389=0,1,$H389/$G389)),0)</f>
        <v/>
      </c>
      <c r="J389" s="8">
        <f>IFERROR(IF($I389&gt;=1,"Green",IF($I389&gt;=INDEX(Tbl_KPIConfig[RAG Threshold %],MATCH($D389,Tbl_KPIConfig[KPI Name],0)),"Amber","Red")),"")</f>
        <v/>
      </c>
      <c r="K389" s="10" t="inlineStr">
        <is>
          <t>Line changeover impact</t>
        </is>
      </c>
    </row>
    <row r="390">
      <c r="A390" s="11" t="n">
        <v>46201</v>
      </c>
      <c r="B390" s="12">
        <f>IF($A390="","",TEXT($A390,"mmm-yyyy"))</f>
        <v/>
      </c>
      <c r="C390" s="12">
        <f>IF($A390="","","W"&amp;WEEKNUM($A390,2))</f>
        <v/>
      </c>
      <c r="D390" s="12" t="inlineStr">
        <is>
          <t>Training Hours</t>
        </is>
      </c>
      <c r="E390" s="12">
        <f>IFERROR(INDEX(Tbl_KPIConfig[Department],MATCH($D390,Tbl_KPIConfig[KPI Name],0)),"")</f>
        <v/>
      </c>
      <c r="F390" s="12">
        <f>IFERROR(INDEX(Tbl_KPIConfig[Unit],MATCH($D390,Tbl_KPIConfig[KPI Name],0)),"")</f>
        <v/>
      </c>
      <c r="G390" s="12">
        <f>IFERROR(INDEX(Tbl_KPIConfig[Target],MATCH($D390,Tbl_KPIConfig[KPI Name],0)),"")</f>
        <v/>
      </c>
      <c r="H390" s="12" t="n">
        <v>1.87</v>
      </c>
      <c r="I390" s="13">
        <f>IFERROR(IF(INDEX(Tbl_KPIConfig[Direction],MATCH($D390,Tbl_KPIConfig[KPI Name],0))="Lower is Better",IF($H390=0,1,IF($G390=0,0,$G390/$H390)),IF($G390=0,1,$H390/$G390)),0)</f>
        <v/>
      </c>
      <c r="J390" s="12">
        <f>IFERROR(IF($I390&gt;=1,"Green",IF($I390&gt;=INDEX(Tbl_KPIConfig[RAG Threshold %],MATCH($D390,Tbl_KPIConfig[KPI Name],0)),"Amber","Red")),"")</f>
        <v/>
      </c>
      <c r="K390" s="14" t="inlineStr">
        <is>
          <t>Within normal range</t>
        </is>
      </c>
    </row>
    <row r="391">
      <c r="A391" s="7" t="n">
        <v>46201</v>
      </c>
      <c r="B391" s="8">
        <f>IF($A391="","",TEXT($A391,"mmm-yyyy"))</f>
        <v/>
      </c>
      <c r="C391" s="8">
        <f>IF($A391="","","W"&amp;WEEKNUM($A391,2))</f>
        <v/>
      </c>
      <c r="D391" s="8" t="inlineStr">
        <is>
          <t>Milestone Adherence %</t>
        </is>
      </c>
      <c r="E391" s="8">
        <f>IFERROR(INDEX(Tbl_KPIConfig[Department],MATCH($D391,Tbl_KPIConfig[KPI Name],0)),"")</f>
        <v/>
      </c>
      <c r="F391" s="8">
        <f>IFERROR(INDEX(Tbl_KPIConfig[Unit],MATCH($D391,Tbl_KPIConfig[KPI Name],0)),"")</f>
        <v/>
      </c>
      <c r="G391" s="8">
        <f>IFERROR(INDEX(Tbl_KPIConfig[Target],MATCH($D391,Tbl_KPIConfig[KPI Name],0)),"")</f>
        <v/>
      </c>
      <c r="H391" s="8" t="n">
        <v>0.8375</v>
      </c>
      <c r="I391" s="9">
        <f>IFERROR(IF(INDEX(Tbl_KPIConfig[Direction],MATCH($D391,Tbl_KPIConfig[KPI Name],0))="Lower is Better",IF($H391=0,1,IF($G391=0,0,$G391/$H391)),IF($G391=0,1,$H391/$G391)),0)</f>
        <v/>
      </c>
      <c r="J391" s="8">
        <f>IFERROR(IF($I391&gt;=1,"Green",IF($I391&gt;=INDEX(Tbl_KPIConfig[RAG Threshold %],MATCH($D391,Tbl_KPIConfig[KPI Name],0)),"Amber","Red")),"")</f>
        <v/>
      </c>
      <c r="K391" s="10" t="inlineStr">
        <is>
          <t>Within normal range</t>
        </is>
      </c>
    </row>
    <row r="392">
      <c r="A392" s="11" t="n">
        <v>46201</v>
      </c>
      <c r="B392" s="12">
        <f>IF($A392="","",TEXT($A392,"mmm-yyyy"))</f>
        <v/>
      </c>
      <c r="C392" s="12">
        <f>IF($A392="","","W"&amp;WEEKNUM($A392,2))</f>
        <v/>
      </c>
      <c r="D392" s="12" t="inlineStr">
        <is>
          <t>Breakdown Resolution (Hrs)</t>
        </is>
      </c>
      <c r="E392" s="12">
        <f>IFERROR(INDEX(Tbl_KPIConfig[Department],MATCH($D392,Tbl_KPIConfig[KPI Name],0)),"")</f>
        <v/>
      </c>
      <c r="F392" s="12">
        <f>IFERROR(INDEX(Tbl_KPIConfig[Unit],MATCH($D392,Tbl_KPIConfig[KPI Name],0)),"")</f>
        <v/>
      </c>
      <c r="G392" s="12">
        <f>IFERROR(INDEX(Tbl_KPIConfig[Target],MATCH($D392,Tbl_KPIConfig[KPI Name],0)),"")</f>
        <v/>
      </c>
      <c r="H392" s="12" t="n">
        <v>1.87</v>
      </c>
      <c r="I392" s="13">
        <f>IFERROR(IF(INDEX(Tbl_KPIConfig[Direction],MATCH($D392,Tbl_KPIConfig[KPI Name],0))="Lower is Better",IF($H392=0,1,IF($G392=0,0,$G392/$H392)),IF($G392=0,1,$H392/$G392)),0)</f>
        <v/>
      </c>
      <c r="J392" s="12">
        <f>IFERROR(IF($I392&gt;=1,"Green",IF($I392&gt;=INDEX(Tbl_KPIConfig[RAG Threshold %],MATCH($D392,Tbl_KPIConfig[KPI Name],0)),"Amber","Red")),"")</f>
        <v/>
      </c>
      <c r="K392" s="14" t="inlineStr">
        <is>
          <t>Within normal range</t>
        </is>
      </c>
    </row>
    <row r="393">
      <c r="A393" s="7" t="n">
        <v>46202</v>
      </c>
      <c r="B393" s="8">
        <f>IF($A393="","",TEXT($A393,"mmm-yyyy"))</f>
        <v/>
      </c>
      <c r="C393" s="8">
        <f>IF($A393="","","W"&amp;WEEKNUM($A393,2))</f>
        <v/>
      </c>
      <c r="D393" s="8" t="inlineStr">
        <is>
          <t>Safety Incidents (LTI)</t>
        </is>
      </c>
      <c r="E393" s="8">
        <f>IFERROR(INDEX(Tbl_KPIConfig[Department],MATCH($D393,Tbl_KPIConfig[KPI Name],0)),"")</f>
        <v/>
      </c>
      <c r="F393" s="8">
        <f>IFERROR(INDEX(Tbl_KPIConfig[Unit],MATCH($D393,Tbl_KPIConfig[KPI Name],0)),"")</f>
        <v/>
      </c>
      <c r="G393" s="8">
        <f>IFERROR(INDEX(Tbl_KPIConfig[Target],MATCH($D393,Tbl_KPIConfig[KPI Name],0)),"")</f>
        <v/>
      </c>
      <c r="H393" s="8" t="n">
        <v>0</v>
      </c>
      <c r="I393" s="9">
        <f>IFERROR(IF(INDEX(Tbl_KPIConfig[Direction],MATCH($D393,Tbl_KPIConfig[KPI Name],0))="Lower is Better",IF($H393=0,1,IF($G393=0,0,$G393/$H393)),IF($G393=0,1,$H393/$G393)),0)</f>
        <v/>
      </c>
      <c r="J393" s="8">
        <f>IFERROR(IF($I393&gt;=1,"Green",IF($I393&gt;=INDEX(Tbl_KPIConfig[RAG Threshold %],MATCH($D393,Tbl_KPIConfig[KPI Name],0)),"Amber","Red")),"")</f>
        <v/>
      </c>
      <c r="K393" s="10" t="inlineStr">
        <is>
          <t>Awaiting spares</t>
        </is>
      </c>
    </row>
    <row r="394">
      <c r="A394" s="11" t="n">
        <v>46202</v>
      </c>
      <c r="B394" s="12">
        <f>IF($A394="","",TEXT($A394,"mmm-yyyy"))</f>
        <v/>
      </c>
      <c r="C394" s="12">
        <f>IF($A394="","","W"&amp;WEEKNUM($A394,2))</f>
        <v/>
      </c>
      <c r="D394" s="12" t="inlineStr">
        <is>
          <t>Near Miss Reports</t>
        </is>
      </c>
      <c r="E394" s="12">
        <f>IFERROR(INDEX(Tbl_KPIConfig[Department],MATCH($D394,Tbl_KPIConfig[KPI Name],0)),"")</f>
        <v/>
      </c>
      <c r="F394" s="12">
        <f>IFERROR(INDEX(Tbl_KPIConfig[Unit],MATCH($D394,Tbl_KPIConfig[KPI Name],0)),"")</f>
        <v/>
      </c>
      <c r="G394" s="12">
        <f>IFERROR(INDEX(Tbl_KPIConfig[Target],MATCH($D394,Tbl_KPIConfig[KPI Name],0)),"")</f>
        <v/>
      </c>
      <c r="H394" s="12" t="n">
        <v>2</v>
      </c>
      <c r="I394" s="13">
        <f>IFERROR(IF(INDEX(Tbl_KPIConfig[Direction],MATCH($D394,Tbl_KPIConfig[KPI Name],0))="Lower is Better",IF($H394=0,1,IF($G394=0,0,$G394/$H394)),IF($G394=0,1,$H394/$G394)),0)</f>
        <v/>
      </c>
      <c r="J394" s="12">
        <f>IFERROR(IF($I394&gt;=1,"Green",IF($I394&gt;=INDEX(Tbl_KPIConfig[RAG Threshold %],MATCH($D394,Tbl_KPIConfig[KPI Name],0)),"Amber","Red")),"")</f>
        <v/>
      </c>
      <c r="K394" s="14" t="inlineStr"/>
    </row>
    <row r="395">
      <c r="A395" s="7" t="n">
        <v>46202</v>
      </c>
      <c r="B395" s="8">
        <f>IF($A395="","",TEXT($A395,"mmm-yyyy"))</f>
        <v/>
      </c>
      <c r="C395" s="8">
        <f>IF($A395="","","W"&amp;WEEKNUM($A395,2))</f>
        <v/>
      </c>
      <c r="D395" s="8" t="inlineStr">
        <is>
          <t>Production Output</t>
        </is>
      </c>
      <c r="E395" s="8">
        <f>IFERROR(INDEX(Tbl_KPIConfig[Department],MATCH($D395,Tbl_KPIConfig[KPI Name],0)),"")</f>
        <v/>
      </c>
      <c r="F395" s="8">
        <f>IFERROR(INDEX(Tbl_KPIConfig[Unit],MATCH($D395,Tbl_KPIConfig[KPI Name],0)),"")</f>
        <v/>
      </c>
      <c r="G395" s="8">
        <f>IFERROR(INDEX(Tbl_KPIConfig[Target],MATCH($D395,Tbl_KPIConfig[KPI Name],0)),"")</f>
        <v/>
      </c>
      <c r="H395" s="8" t="n">
        <v>808.52</v>
      </c>
      <c r="I395" s="9">
        <f>IFERROR(IF(INDEX(Tbl_KPIConfig[Direction],MATCH($D395,Tbl_KPIConfig[KPI Name],0))="Lower is Better",IF($H395=0,1,IF($G395=0,0,$G395/$H395)),IF($G395=0,1,$H395/$G395)),0)</f>
        <v/>
      </c>
      <c r="J395" s="8">
        <f>IFERROR(IF($I395&gt;=1,"Green",IF($I395&gt;=INDEX(Tbl_KPIConfig[RAG Threshold %],MATCH($D395,Tbl_KPIConfig[KPI Name],0)),"Amber","Red")),"")</f>
        <v/>
      </c>
      <c r="K395" s="10" t="inlineStr"/>
    </row>
    <row r="396">
      <c r="A396" s="11" t="n">
        <v>46202</v>
      </c>
      <c r="B396" s="12">
        <f>IF($A396="","",TEXT($A396,"mmm-yyyy"))</f>
        <v/>
      </c>
      <c r="C396" s="12">
        <f>IF($A396="","","W"&amp;WEEKNUM($A396,2))</f>
        <v/>
      </c>
      <c r="D396" s="12" t="inlineStr">
        <is>
          <t>OEE %</t>
        </is>
      </c>
      <c r="E396" s="12">
        <f>IFERROR(INDEX(Tbl_KPIConfig[Department],MATCH($D396,Tbl_KPIConfig[KPI Name],0)),"")</f>
        <v/>
      </c>
      <c r="F396" s="12">
        <f>IFERROR(INDEX(Tbl_KPIConfig[Unit],MATCH($D396,Tbl_KPIConfig[KPI Name],0)),"")</f>
        <v/>
      </c>
      <c r="G396" s="12">
        <f>IFERROR(INDEX(Tbl_KPIConfig[Target],MATCH($D396,Tbl_KPIConfig[KPI Name],0)),"")</f>
        <v/>
      </c>
      <c r="H396" s="12" t="n">
        <v>0.6677999999999999</v>
      </c>
      <c r="I396" s="13">
        <f>IFERROR(IF(INDEX(Tbl_KPIConfig[Direction],MATCH($D396,Tbl_KPIConfig[KPI Name],0))="Lower is Better",IF($H396=0,1,IF($G396=0,0,$G396/$H396)),IF($G396=0,1,$H396/$G396)),0)</f>
        <v/>
      </c>
      <c r="J396" s="12">
        <f>IFERROR(IF($I396&gt;=1,"Green",IF($I396&gt;=INDEX(Tbl_KPIConfig[RAG Threshold %],MATCH($D396,Tbl_KPIConfig[KPI Name],0)),"Amber","Red")),"")</f>
        <v/>
      </c>
      <c r="K396" s="14" t="inlineStr">
        <is>
          <t>Line changeover impact</t>
        </is>
      </c>
    </row>
    <row r="397">
      <c r="A397" s="7" t="n">
        <v>46202</v>
      </c>
      <c r="B397" s="8">
        <f>IF($A397="","",TEXT($A397,"mmm-yyyy"))</f>
        <v/>
      </c>
      <c r="C397" s="8">
        <f>IF($A397="","","W"&amp;WEEKNUM($A397,2))</f>
        <v/>
      </c>
      <c r="D397" s="8" t="inlineStr">
        <is>
          <t>Defect Rate %</t>
        </is>
      </c>
      <c r="E397" s="8">
        <f>IFERROR(INDEX(Tbl_KPIConfig[Department],MATCH($D397,Tbl_KPIConfig[KPI Name],0)),"")</f>
        <v/>
      </c>
      <c r="F397" s="8">
        <f>IFERROR(INDEX(Tbl_KPIConfig[Unit],MATCH($D397,Tbl_KPIConfig[KPI Name],0)),"")</f>
        <v/>
      </c>
      <c r="G397" s="8">
        <f>IFERROR(INDEX(Tbl_KPIConfig[Target],MATCH($D397,Tbl_KPIConfig[KPI Name],0)),"")</f>
        <v/>
      </c>
      <c r="H397" s="8" t="n">
        <v>0.0141</v>
      </c>
      <c r="I397" s="9">
        <f>IFERROR(IF(INDEX(Tbl_KPIConfig[Direction],MATCH($D397,Tbl_KPIConfig[KPI Name],0))="Lower is Better",IF($H397=0,1,IF($G397=0,0,$G397/$H397)),IF($G397=0,1,$H397/$G397)),0)</f>
        <v/>
      </c>
      <c r="J397" s="8">
        <f>IFERROR(IF($I397&gt;=1,"Green",IF($I397&gt;=INDEX(Tbl_KPIConfig[RAG Threshold %],MATCH($D397,Tbl_KPIConfig[KPI Name],0)),"Amber","Red")),"")</f>
        <v/>
      </c>
      <c r="K397" s="10" t="inlineStr">
        <is>
          <t>Process improvement in progress</t>
        </is>
      </c>
    </row>
    <row r="398">
      <c r="A398" s="11" t="n">
        <v>46202</v>
      </c>
      <c r="B398" s="12">
        <f>IF($A398="","",TEXT($A398,"mmm-yyyy"))</f>
        <v/>
      </c>
      <c r="C398" s="12">
        <f>IF($A398="","","W"&amp;WEEKNUM($A398,2))</f>
        <v/>
      </c>
      <c r="D398" s="12" t="inlineStr">
        <is>
          <t>Customer Complaints</t>
        </is>
      </c>
      <c r="E398" s="12">
        <f>IFERROR(INDEX(Tbl_KPIConfig[Department],MATCH($D398,Tbl_KPIConfig[KPI Name],0)),"")</f>
        <v/>
      </c>
      <c r="F398" s="12">
        <f>IFERROR(INDEX(Tbl_KPIConfig[Unit],MATCH($D398,Tbl_KPIConfig[KPI Name],0)),"")</f>
        <v/>
      </c>
      <c r="G398" s="12">
        <f>IFERROR(INDEX(Tbl_KPIConfig[Target],MATCH($D398,Tbl_KPIConfig[KPI Name],0)),"")</f>
        <v/>
      </c>
      <c r="H398" s="12" t="n">
        <v>0</v>
      </c>
      <c r="I398" s="13">
        <f>IFERROR(IF(INDEX(Tbl_KPIConfig[Direction],MATCH($D398,Tbl_KPIConfig[KPI Name],0))="Lower is Better",IF($H398=0,1,IF($G398=0,0,$G398/$H398)),IF($G398=0,1,$H398/$G398)),0)</f>
        <v/>
      </c>
      <c r="J398" s="12">
        <f>IFERROR(IF($I398&gt;=1,"Green",IF($I398&gt;=INDEX(Tbl_KPIConfig[RAG Threshold %],MATCH($D398,Tbl_KPIConfig[KPI Name],0)),"Amber","Red")),"")</f>
        <v/>
      </c>
      <c r="K398" s="14" t="inlineStr">
        <is>
          <t>Line changeover impact</t>
        </is>
      </c>
    </row>
    <row r="399">
      <c r="A399" s="7" t="n">
        <v>46202</v>
      </c>
      <c r="B399" s="8">
        <f>IF($A399="","",TEXT($A399,"mmm-yyyy"))</f>
        <v/>
      </c>
      <c r="C399" s="8">
        <f>IF($A399="","","W"&amp;WEEKNUM($A399,2))</f>
        <v/>
      </c>
      <c r="D399" s="8" t="inlineStr">
        <is>
          <t>Unplanned Downtime (Hrs)</t>
        </is>
      </c>
      <c r="E399" s="8">
        <f>IFERROR(INDEX(Tbl_KPIConfig[Department],MATCH($D399,Tbl_KPIConfig[KPI Name],0)),"")</f>
        <v/>
      </c>
      <c r="F399" s="8">
        <f>IFERROR(INDEX(Tbl_KPIConfig[Unit],MATCH($D399,Tbl_KPIConfig[KPI Name],0)),"")</f>
        <v/>
      </c>
      <c r="G399" s="8">
        <f>IFERROR(INDEX(Tbl_KPIConfig[Target],MATCH($D399,Tbl_KPIConfig[KPI Name],0)),"")</f>
        <v/>
      </c>
      <c r="H399" s="8" t="n">
        <v>1</v>
      </c>
      <c r="I399" s="9">
        <f>IFERROR(IF(INDEX(Tbl_KPIConfig[Direction],MATCH($D399,Tbl_KPIConfig[KPI Name],0))="Lower is Better",IF($H399=0,1,IF($G399=0,0,$G399/$H399)),IF($G399=0,1,$H399/$G399)),0)</f>
        <v/>
      </c>
      <c r="J399" s="8">
        <f>IFERROR(IF($I399&gt;=1,"Green",IF($I399&gt;=INDEX(Tbl_KPIConfig[RAG Threshold %],MATCH($D399,Tbl_KPIConfig[KPI Name],0)),"Amber","Red")),"")</f>
        <v/>
      </c>
      <c r="K399" s="10" t="inlineStr">
        <is>
          <t>Line changeover impact</t>
        </is>
      </c>
    </row>
    <row r="400">
      <c r="A400" s="11" t="n">
        <v>46202</v>
      </c>
      <c r="B400" s="12">
        <f>IF($A400="","",TEXT($A400,"mmm-yyyy"))</f>
        <v/>
      </c>
      <c r="C400" s="12">
        <f>IF($A400="","","W"&amp;WEEKNUM($A400,2))</f>
        <v/>
      </c>
      <c r="D400" s="12" t="inlineStr">
        <is>
          <t>PM Compliance %</t>
        </is>
      </c>
      <c r="E400" s="12">
        <f>IFERROR(INDEX(Tbl_KPIConfig[Department],MATCH($D400,Tbl_KPIConfig[KPI Name],0)),"")</f>
        <v/>
      </c>
      <c r="F400" s="12">
        <f>IFERROR(INDEX(Tbl_KPIConfig[Unit],MATCH($D400,Tbl_KPIConfig[KPI Name],0)),"")</f>
        <v/>
      </c>
      <c r="G400" s="12">
        <f>IFERROR(INDEX(Tbl_KPIConfig[Target],MATCH($D400,Tbl_KPIConfig[KPI Name],0)),"")</f>
        <v/>
      </c>
      <c r="H400" s="12" t="n">
        <v>1.0709</v>
      </c>
      <c r="I400" s="13">
        <f>IFERROR(IF(INDEX(Tbl_KPIConfig[Direction],MATCH($D400,Tbl_KPIConfig[KPI Name],0))="Lower is Better",IF($H400=0,1,IF($G400=0,0,$G400/$H400)),IF($G400=0,1,$H400/$G400)),0)</f>
        <v/>
      </c>
      <c r="J400" s="12">
        <f>IFERROR(IF($I400&gt;=1,"Green",IF($I400&gt;=INDEX(Tbl_KPIConfig[RAG Threshold %],MATCH($D400,Tbl_KPIConfig[KPI Name],0)),"Amber","Red")),"")</f>
        <v/>
      </c>
      <c r="K400" s="14" t="inlineStr">
        <is>
          <t>Preventive check done</t>
        </is>
      </c>
    </row>
    <row r="401">
      <c r="A401" s="7" t="n">
        <v>46202</v>
      </c>
      <c r="B401" s="8">
        <f>IF($A401="","",TEXT($A401,"mmm-yyyy"))</f>
        <v/>
      </c>
      <c r="C401" s="8">
        <f>IF($A401="","","W"&amp;WEEKNUM($A401,2))</f>
        <v/>
      </c>
      <c r="D401" s="8" t="inlineStr">
        <is>
          <t>Power Consumption (kWh)</t>
        </is>
      </c>
      <c r="E401" s="8">
        <f>IFERROR(INDEX(Tbl_KPIConfig[Department],MATCH($D401,Tbl_KPIConfig[KPI Name],0)),"")</f>
        <v/>
      </c>
      <c r="F401" s="8">
        <f>IFERROR(INDEX(Tbl_KPIConfig[Unit],MATCH($D401,Tbl_KPIConfig[KPI Name],0)),"")</f>
        <v/>
      </c>
      <c r="G401" s="8">
        <f>IFERROR(INDEX(Tbl_KPIConfig[Target],MATCH($D401,Tbl_KPIConfig[KPI Name],0)),"")</f>
        <v/>
      </c>
      <c r="H401" s="8" t="n">
        <v>4897.84</v>
      </c>
      <c r="I401" s="9">
        <f>IFERROR(IF(INDEX(Tbl_KPIConfig[Direction],MATCH($D401,Tbl_KPIConfig[KPI Name],0))="Lower is Better",IF($H401=0,1,IF($G401=0,0,$G401/$H401)),IF($G401=0,1,$H401/$G401)),0)</f>
        <v/>
      </c>
      <c r="J401" s="8">
        <f>IFERROR(IF($I401&gt;=1,"Green",IF($I401&gt;=INDEX(Tbl_KPIConfig[RAG Threshold %],MATCH($D401,Tbl_KPIConfig[KPI Name],0)),"Amber","Red")),"")</f>
        <v/>
      </c>
      <c r="K401" s="10" t="inlineStr">
        <is>
          <t>Awaiting spares</t>
        </is>
      </c>
    </row>
    <row r="402">
      <c r="A402" s="11" t="n">
        <v>46202</v>
      </c>
      <c r="B402" s="12">
        <f>IF($A402="","",TEXT($A402,"mmm-yyyy"))</f>
        <v/>
      </c>
      <c r="C402" s="12">
        <f>IF($A402="","","W"&amp;WEEKNUM($A402,2))</f>
        <v/>
      </c>
      <c r="D402" s="12" t="inlineStr">
        <is>
          <t>On-Time Dispatch %</t>
        </is>
      </c>
      <c r="E402" s="12">
        <f>IFERROR(INDEX(Tbl_KPIConfig[Department],MATCH($D402,Tbl_KPIConfig[KPI Name],0)),"")</f>
        <v/>
      </c>
      <c r="F402" s="12">
        <f>IFERROR(INDEX(Tbl_KPIConfig[Unit],MATCH($D402,Tbl_KPIConfig[KPI Name],0)),"")</f>
        <v/>
      </c>
      <c r="G402" s="12">
        <f>IFERROR(INDEX(Tbl_KPIConfig[Target],MATCH($D402,Tbl_KPIConfig[KPI Name],0)),"")</f>
        <v/>
      </c>
      <c r="H402" s="12" t="n">
        <v>1.1374</v>
      </c>
      <c r="I402" s="13">
        <f>IFERROR(IF(INDEX(Tbl_KPIConfig[Direction],MATCH($D402,Tbl_KPIConfig[KPI Name],0))="Lower is Better",IF($H402=0,1,IF($G402=0,0,$G402/$H402)),IF($G402=0,1,$H402/$G402)),0)</f>
        <v/>
      </c>
      <c r="J402" s="12">
        <f>IFERROR(IF($I402&gt;=1,"Green",IF($I402&gt;=INDEX(Tbl_KPIConfig[RAG Threshold %],MATCH($D402,Tbl_KPIConfig[KPI Name],0)),"Amber","Red")),"")</f>
        <v/>
      </c>
      <c r="K402" s="14" t="inlineStr">
        <is>
          <t>Manpower shortage</t>
        </is>
      </c>
    </row>
    <row r="403">
      <c r="A403" s="7" t="n">
        <v>46202</v>
      </c>
      <c r="B403" s="8">
        <f>IF($A403="","",TEXT($A403,"mmm-yyyy"))</f>
        <v/>
      </c>
      <c r="C403" s="8">
        <f>IF($A403="","","W"&amp;WEEKNUM($A403,2))</f>
        <v/>
      </c>
      <c r="D403" s="8" t="inlineStr">
        <is>
          <t>Inventory Accuracy %</t>
        </is>
      </c>
      <c r="E403" s="8">
        <f>IFERROR(INDEX(Tbl_KPIConfig[Department],MATCH($D403,Tbl_KPIConfig[KPI Name],0)),"")</f>
        <v/>
      </c>
      <c r="F403" s="8">
        <f>IFERROR(INDEX(Tbl_KPIConfig[Unit],MATCH($D403,Tbl_KPIConfig[KPI Name],0)),"")</f>
        <v/>
      </c>
      <c r="G403" s="8">
        <f>IFERROR(INDEX(Tbl_KPIConfig[Target],MATCH($D403,Tbl_KPIConfig[KPI Name],0)),"")</f>
        <v/>
      </c>
      <c r="H403" s="8" t="n">
        <v>1.003</v>
      </c>
      <c r="I403" s="9">
        <f>IFERROR(IF(INDEX(Tbl_KPIConfig[Direction],MATCH($D403,Tbl_KPIConfig[KPI Name],0))="Lower is Better",IF($H403=0,1,IF($G403=0,0,$G403/$H403)),IF($G403=0,1,$H403/$G403)),0)</f>
        <v/>
      </c>
      <c r="J403" s="8">
        <f>IFERROR(IF($I403&gt;=1,"Green",IF($I403&gt;=INDEX(Tbl_KPIConfig[RAG Threshold %],MATCH($D403,Tbl_KPIConfig[KPI Name],0)),"Amber","Red")),"")</f>
        <v/>
      </c>
      <c r="K403" s="10" t="inlineStr">
        <is>
          <t>Line changeover impact</t>
        </is>
      </c>
    </row>
    <row r="404">
      <c r="A404" s="11" t="n">
        <v>46202</v>
      </c>
      <c r="B404" s="12">
        <f>IF($A404="","",TEXT($A404,"mmm-yyyy"))</f>
        <v/>
      </c>
      <c r="C404" s="12">
        <f>IF($A404="","","W"&amp;WEEKNUM($A404,2))</f>
        <v/>
      </c>
      <c r="D404" s="12" t="inlineStr">
        <is>
          <t>Absenteeism %</t>
        </is>
      </c>
      <c r="E404" s="12">
        <f>IFERROR(INDEX(Tbl_KPIConfig[Department],MATCH($D404,Tbl_KPIConfig[KPI Name],0)),"")</f>
        <v/>
      </c>
      <c r="F404" s="12">
        <f>IFERROR(INDEX(Tbl_KPIConfig[Unit],MATCH($D404,Tbl_KPIConfig[KPI Name],0)),"")</f>
        <v/>
      </c>
      <c r="G404" s="12">
        <f>IFERROR(INDEX(Tbl_KPIConfig[Target],MATCH($D404,Tbl_KPIConfig[KPI Name],0)),"")</f>
        <v/>
      </c>
      <c r="H404" s="12" t="n">
        <v>0.0251</v>
      </c>
      <c r="I404" s="13">
        <f>IFERROR(IF(INDEX(Tbl_KPIConfig[Direction],MATCH($D404,Tbl_KPIConfig[KPI Name],0))="Lower is Better",IF($H404=0,1,IF($G404=0,0,$G404/$H404)),IF($G404=0,1,$H404/$G404)),0)</f>
        <v/>
      </c>
      <c r="J404" s="12">
        <f>IFERROR(IF($I404&gt;=1,"Green",IF($I404&gt;=INDEX(Tbl_KPIConfig[RAG Threshold %],MATCH($D404,Tbl_KPIConfig[KPI Name],0)),"Amber","Red")),"")</f>
        <v/>
      </c>
      <c r="K404" s="14" t="inlineStr">
        <is>
          <t>Process improvement in progress</t>
        </is>
      </c>
    </row>
    <row r="405">
      <c r="A405" s="7" t="n">
        <v>46202</v>
      </c>
      <c r="B405" s="8">
        <f>IF($A405="","",TEXT($A405,"mmm-yyyy"))</f>
        <v/>
      </c>
      <c r="C405" s="8">
        <f>IF($A405="","","W"&amp;WEEKNUM($A405,2))</f>
        <v/>
      </c>
      <c r="D405" s="8" t="inlineStr">
        <is>
          <t>Training Hours</t>
        </is>
      </c>
      <c r="E405" s="8">
        <f>IFERROR(INDEX(Tbl_KPIConfig[Department],MATCH($D405,Tbl_KPIConfig[KPI Name],0)),"")</f>
        <v/>
      </c>
      <c r="F405" s="8">
        <f>IFERROR(INDEX(Tbl_KPIConfig[Unit],MATCH($D405,Tbl_KPIConfig[KPI Name],0)),"")</f>
        <v/>
      </c>
      <c r="G405" s="8">
        <f>IFERROR(INDEX(Tbl_KPIConfig[Target],MATCH($D405,Tbl_KPIConfig[KPI Name],0)),"")</f>
        <v/>
      </c>
      <c r="H405" s="8" t="n">
        <v>1.73</v>
      </c>
      <c r="I405" s="9">
        <f>IFERROR(IF(INDEX(Tbl_KPIConfig[Direction],MATCH($D405,Tbl_KPIConfig[KPI Name],0))="Lower is Better",IF($H405=0,1,IF($G405=0,0,$G405/$H405)),IF($G405=0,1,$H405/$G405)),0)</f>
        <v/>
      </c>
      <c r="J405" s="8">
        <f>IFERROR(IF($I405&gt;=1,"Green",IF($I405&gt;=INDEX(Tbl_KPIConfig[RAG Threshold %],MATCH($D405,Tbl_KPIConfig[KPI Name],0)),"Amber","Red")),"")</f>
        <v/>
      </c>
      <c r="K405" s="10" t="inlineStr">
        <is>
          <t>Vendor delay</t>
        </is>
      </c>
    </row>
    <row r="406">
      <c r="A406" s="11" t="n">
        <v>46202</v>
      </c>
      <c r="B406" s="12">
        <f>IF($A406="","",TEXT($A406,"mmm-yyyy"))</f>
        <v/>
      </c>
      <c r="C406" s="12">
        <f>IF($A406="","","W"&amp;WEEKNUM($A406,2))</f>
        <v/>
      </c>
      <c r="D406" s="12" t="inlineStr">
        <is>
          <t>Milestone Adherence %</t>
        </is>
      </c>
      <c r="E406" s="12">
        <f>IFERROR(INDEX(Tbl_KPIConfig[Department],MATCH($D406,Tbl_KPIConfig[KPI Name],0)),"")</f>
        <v/>
      </c>
      <c r="F406" s="12">
        <f>IFERROR(INDEX(Tbl_KPIConfig[Unit],MATCH($D406,Tbl_KPIConfig[KPI Name],0)),"")</f>
        <v/>
      </c>
      <c r="G406" s="12">
        <f>IFERROR(INDEX(Tbl_KPIConfig[Target],MATCH($D406,Tbl_KPIConfig[KPI Name],0)),"")</f>
        <v/>
      </c>
      <c r="H406" s="12" t="n">
        <v>0.7561</v>
      </c>
      <c r="I406" s="13">
        <f>IFERROR(IF(INDEX(Tbl_KPIConfig[Direction],MATCH($D406,Tbl_KPIConfig[KPI Name],0))="Lower is Better",IF($H406=0,1,IF($G406=0,0,$G406/$H406)),IF($G406=0,1,$H406/$G406)),0)</f>
        <v/>
      </c>
      <c r="J406" s="12">
        <f>IFERROR(IF($I406&gt;=1,"Green",IF($I406&gt;=INDEX(Tbl_KPIConfig[RAG Threshold %],MATCH($D406,Tbl_KPIConfig[KPI Name],0)),"Amber","Red")),"")</f>
        <v/>
      </c>
      <c r="K406" s="14" t="inlineStr"/>
    </row>
    <row r="407">
      <c r="A407" s="7" t="n">
        <v>46202</v>
      </c>
      <c r="B407" s="8">
        <f>IF($A407="","",TEXT($A407,"mmm-yyyy"))</f>
        <v/>
      </c>
      <c r="C407" s="8">
        <f>IF($A407="","","W"&amp;WEEKNUM($A407,2))</f>
        <v/>
      </c>
      <c r="D407" s="8" t="inlineStr">
        <is>
          <t>Breakdown Resolution (Hrs)</t>
        </is>
      </c>
      <c r="E407" s="8">
        <f>IFERROR(INDEX(Tbl_KPIConfig[Department],MATCH($D407,Tbl_KPIConfig[KPI Name],0)),"")</f>
        <v/>
      </c>
      <c r="F407" s="8">
        <f>IFERROR(INDEX(Tbl_KPIConfig[Unit],MATCH($D407,Tbl_KPIConfig[KPI Name],0)),"")</f>
        <v/>
      </c>
      <c r="G407" s="8">
        <f>IFERROR(INDEX(Tbl_KPIConfig[Target],MATCH($D407,Tbl_KPIConfig[KPI Name],0)),"")</f>
        <v/>
      </c>
      <c r="H407" s="8" t="n">
        <v>2</v>
      </c>
      <c r="I407" s="9">
        <f>IFERROR(IF(INDEX(Tbl_KPIConfig[Direction],MATCH($D407,Tbl_KPIConfig[KPI Name],0))="Lower is Better",IF($H407=0,1,IF($G407=0,0,$G407/$H407)),IF($G407=0,1,$H407/$G407)),0)</f>
        <v/>
      </c>
      <c r="J407" s="8">
        <f>IFERROR(IF($I407&gt;=1,"Green",IF($I407&gt;=INDEX(Tbl_KPIConfig[RAG Threshold %],MATCH($D407,Tbl_KPIConfig[KPI Name],0)),"Amber","Red")),"")</f>
        <v/>
      </c>
      <c r="K407" s="10" t="inlineStr">
        <is>
          <t>Vendor delay</t>
        </is>
      </c>
    </row>
    <row r="408">
      <c r="A408" s="11" t="n">
        <v>46203</v>
      </c>
      <c r="B408" s="12">
        <f>IF($A408="","",TEXT($A408,"mmm-yyyy"))</f>
        <v/>
      </c>
      <c r="C408" s="12">
        <f>IF($A408="","","W"&amp;WEEKNUM($A408,2))</f>
        <v/>
      </c>
      <c r="D408" s="12" t="inlineStr">
        <is>
          <t>Safety Incidents (LTI)</t>
        </is>
      </c>
      <c r="E408" s="12">
        <f>IFERROR(INDEX(Tbl_KPIConfig[Department],MATCH($D408,Tbl_KPIConfig[KPI Name],0)),"")</f>
        <v/>
      </c>
      <c r="F408" s="12">
        <f>IFERROR(INDEX(Tbl_KPIConfig[Unit],MATCH($D408,Tbl_KPIConfig[KPI Name],0)),"")</f>
        <v/>
      </c>
      <c r="G408" s="12">
        <f>IFERROR(INDEX(Tbl_KPIConfig[Target],MATCH($D408,Tbl_KPIConfig[KPI Name],0)),"")</f>
        <v/>
      </c>
      <c r="H408" s="12" t="n">
        <v>2</v>
      </c>
      <c r="I408" s="13">
        <f>IFERROR(IF(INDEX(Tbl_KPIConfig[Direction],MATCH($D408,Tbl_KPIConfig[KPI Name],0))="Lower is Better",IF($H408=0,1,IF($G408=0,0,$G408/$H408)),IF($G408=0,1,$H408/$G408)),0)</f>
        <v/>
      </c>
      <c r="J408" s="12">
        <f>IFERROR(IF($I408&gt;=1,"Green",IF($I408&gt;=INDEX(Tbl_KPIConfig[RAG Threshold %],MATCH($D408,Tbl_KPIConfig[KPI Name],0)),"Amber","Red")),"")</f>
        <v/>
      </c>
      <c r="K408" s="14" t="inlineStr">
        <is>
          <t>Awaiting spares</t>
        </is>
      </c>
    </row>
    <row r="409">
      <c r="A409" s="7" t="n">
        <v>46203</v>
      </c>
      <c r="B409" s="8">
        <f>IF($A409="","",TEXT($A409,"mmm-yyyy"))</f>
        <v/>
      </c>
      <c r="C409" s="8">
        <f>IF($A409="","","W"&amp;WEEKNUM($A409,2))</f>
        <v/>
      </c>
      <c r="D409" s="8" t="inlineStr">
        <is>
          <t>Near Miss Reports</t>
        </is>
      </c>
      <c r="E409" s="8">
        <f>IFERROR(INDEX(Tbl_KPIConfig[Department],MATCH($D409,Tbl_KPIConfig[KPI Name],0)),"")</f>
        <v/>
      </c>
      <c r="F409" s="8">
        <f>IFERROR(INDEX(Tbl_KPIConfig[Unit],MATCH($D409,Tbl_KPIConfig[KPI Name],0)),"")</f>
        <v/>
      </c>
      <c r="G409" s="8">
        <f>IFERROR(INDEX(Tbl_KPIConfig[Target],MATCH($D409,Tbl_KPIConfig[KPI Name],0)),"")</f>
        <v/>
      </c>
      <c r="H409" s="8" t="n">
        <v>2</v>
      </c>
      <c r="I409" s="9">
        <f>IFERROR(IF(INDEX(Tbl_KPIConfig[Direction],MATCH($D409,Tbl_KPIConfig[KPI Name],0))="Lower is Better",IF($H409=0,1,IF($G409=0,0,$G409/$H409)),IF($G409=0,1,$H409/$G409)),0)</f>
        <v/>
      </c>
      <c r="J409" s="8">
        <f>IFERROR(IF($I409&gt;=1,"Green",IF($I409&gt;=INDEX(Tbl_KPIConfig[RAG Threshold %],MATCH($D409,Tbl_KPIConfig[KPI Name],0)),"Amber","Red")),"")</f>
        <v/>
      </c>
      <c r="K409" s="10" t="inlineStr">
        <is>
          <t>Manpower shortage</t>
        </is>
      </c>
    </row>
    <row r="410">
      <c r="A410" s="11" t="n">
        <v>46203</v>
      </c>
      <c r="B410" s="12">
        <f>IF($A410="","",TEXT($A410,"mmm-yyyy"))</f>
        <v/>
      </c>
      <c r="C410" s="12">
        <f>IF($A410="","","W"&amp;WEEKNUM($A410,2))</f>
        <v/>
      </c>
      <c r="D410" s="12" t="inlineStr">
        <is>
          <t>Production Output</t>
        </is>
      </c>
      <c r="E410" s="12">
        <f>IFERROR(INDEX(Tbl_KPIConfig[Department],MATCH($D410,Tbl_KPIConfig[KPI Name],0)),"")</f>
        <v/>
      </c>
      <c r="F410" s="12">
        <f>IFERROR(INDEX(Tbl_KPIConfig[Unit],MATCH($D410,Tbl_KPIConfig[KPI Name],0)),"")</f>
        <v/>
      </c>
      <c r="G410" s="12">
        <f>IFERROR(INDEX(Tbl_KPIConfig[Target],MATCH($D410,Tbl_KPIConfig[KPI Name],0)),"")</f>
        <v/>
      </c>
      <c r="H410" s="12" t="n">
        <v>965.4299999999999</v>
      </c>
      <c r="I410" s="13">
        <f>IFERROR(IF(INDEX(Tbl_KPIConfig[Direction],MATCH($D410,Tbl_KPIConfig[KPI Name],0))="Lower is Better",IF($H410=0,1,IF($G410=0,0,$G410/$H410)),IF($G410=0,1,$H410/$G410)),0)</f>
        <v/>
      </c>
      <c r="J410" s="12">
        <f>IFERROR(IF($I410&gt;=1,"Green",IF($I410&gt;=INDEX(Tbl_KPIConfig[RAG Threshold %],MATCH($D410,Tbl_KPIConfig[KPI Name],0)),"Amber","Red")),"")</f>
        <v/>
      </c>
      <c r="K410" s="14" t="inlineStr">
        <is>
          <t>Manpower shortage</t>
        </is>
      </c>
    </row>
    <row r="411">
      <c r="A411" s="7" t="n">
        <v>46203</v>
      </c>
      <c r="B411" s="8">
        <f>IF($A411="","",TEXT($A411,"mmm-yyyy"))</f>
        <v/>
      </c>
      <c r="C411" s="8">
        <f>IF($A411="","","W"&amp;WEEKNUM($A411,2))</f>
        <v/>
      </c>
      <c r="D411" s="8" t="inlineStr">
        <is>
          <t>OEE %</t>
        </is>
      </c>
      <c r="E411" s="8">
        <f>IFERROR(INDEX(Tbl_KPIConfig[Department],MATCH($D411,Tbl_KPIConfig[KPI Name],0)),"")</f>
        <v/>
      </c>
      <c r="F411" s="8">
        <f>IFERROR(INDEX(Tbl_KPIConfig[Unit],MATCH($D411,Tbl_KPIConfig[KPI Name],0)),"")</f>
        <v/>
      </c>
      <c r="G411" s="8">
        <f>IFERROR(INDEX(Tbl_KPIConfig[Target],MATCH($D411,Tbl_KPIConfig[KPI Name],0)),"")</f>
        <v/>
      </c>
      <c r="H411" s="8" t="n">
        <v>0.9298</v>
      </c>
      <c r="I411" s="9">
        <f>IFERROR(IF(INDEX(Tbl_KPIConfig[Direction],MATCH($D411,Tbl_KPIConfig[KPI Name],0))="Lower is Better",IF($H411=0,1,IF($G411=0,0,$G411/$H411)),IF($G411=0,1,$H411/$G411)),0)</f>
        <v/>
      </c>
      <c r="J411" s="8">
        <f>IFERROR(IF($I411&gt;=1,"Green",IF($I411&gt;=INDEX(Tbl_KPIConfig[RAG Threshold %],MATCH($D411,Tbl_KPIConfig[KPI Name],0)),"Amber","Red")),"")</f>
        <v/>
      </c>
      <c r="K411" s="10" t="inlineStr">
        <is>
          <t>Vendor delay</t>
        </is>
      </c>
    </row>
    <row r="412">
      <c r="A412" s="11" t="n">
        <v>46203</v>
      </c>
      <c r="B412" s="12">
        <f>IF($A412="","",TEXT($A412,"mmm-yyyy"))</f>
        <v/>
      </c>
      <c r="C412" s="12">
        <f>IF($A412="","","W"&amp;WEEKNUM($A412,2))</f>
        <v/>
      </c>
      <c r="D412" s="12" t="inlineStr">
        <is>
          <t>Defect Rate %</t>
        </is>
      </c>
      <c r="E412" s="12">
        <f>IFERROR(INDEX(Tbl_KPIConfig[Department],MATCH($D412,Tbl_KPIConfig[KPI Name],0)),"")</f>
        <v/>
      </c>
      <c r="F412" s="12">
        <f>IFERROR(INDEX(Tbl_KPIConfig[Unit],MATCH($D412,Tbl_KPIConfig[KPI Name],0)),"")</f>
        <v/>
      </c>
      <c r="G412" s="12">
        <f>IFERROR(INDEX(Tbl_KPIConfig[Target],MATCH($D412,Tbl_KPIConfig[KPI Name],0)),"")</f>
        <v/>
      </c>
      <c r="H412" s="12" t="n">
        <v>0.0204</v>
      </c>
      <c r="I412" s="13">
        <f>IFERROR(IF(INDEX(Tbl_KPIConfig[Direction],MATCH($D412,Tbl_KPIConfig[KPI Name],0))="Lower is Better",IF($H412=0,1,IF($G412=0,0,$G412/$H412)),IF($G412=0,1,$H412/$G412)),0)</f>
        <v/>
      </c>
      <c r="J412" s="12">
        <f>IFERROR(IF($I412&gt;=1,"Green",IF($I412&gt;=INDEX(Tbl_KPIConfig[RAG Threshold %],MATCH($D412,Tbl_KPIConfig[KPI Name],0)),"Amber","Red")),"")</f>
        <v/>
      </c>
      <c r="K412" s="14" t="inlineStr">
        <is>
          <t>Within normal range</t>
        </is>
      </c>
    </row>
    <row r="413">
      <c r="A413" s="7" t="n">
        <v>46203</v>
      </c>
      <c r="B413" s="8">
        <f>IF($A413="","",TEXT($A413,"mmm-yyyy"))</f>
        <v/>
      </c>
      <c r="C413" s="8">
        <f>IF($A413="","","W"&amp;WEEKNUM($A413,2))</f>
        <v/>
      </c>
      <c r="D413" s="8" t="inlineStr">
        <is>
          <t>Customer Complaints</t>
        </is>
      </c>
      <c r="E413" s="8">
        <f>IFERROR(INDEX(Tbl_KPIConfig[Department],MATCH($D413,Tbl_KPIConfig[KPI Name],0)),"")</f>
        <v/>
      </c>
      <c r="F413" s="8">
        <f>IFERROR(INDEX(Tbl_KPIConfig[Unit],MATCH($D413,Tbl_KPIConfig[KPI Name],0)),"")</f>
        <v/>
      </c>
      <c r="G413" s="8">
        <f>IFERROR(INDEX(Tbl_KPIConfig[Target],MATCH($D413,Tbl_KPIConfig[KPI Name],0)),"")</f>
        <v/>
      </c>
      <c r="H413" s="8" t="n">
        <v>4</v>
      </c>
      <c r="I413" s="9">
        <f>IFERROR(IF(INDEX(Tbl_KPIConfig[Direction],MATCH($D413,Tbl_KPIConfig[KPI Name],0))="Lower is Better",IF($H413=0,1,IF($G413=0,0,$G413/$H413)),IF($G413=0,1,$H413/$G413)),0)</f>
        <v/>
      </c>
      <c r="J413" s="8">
        <f>IFERROR(IF($I413&gt;=1,"Green",IF($I413&gt;=INDEX(Tbl_KPIConfig[RAG Threshold %],MATCH($D413,Tbl_KPIConfig[KPI Name],0)),"Amber","Red")),"")</f>
        <v/>
      </c>
      <c r="K413" s="10" t="inlineStr">
        <is>
          <t>Preventive check done</t>
        </is>
      </c>
    </row>
    <row r="414">
      <c r="A414" s="11" t="n">
        <v>46203</v>
      </c>
      <c r="B414" s="12">
        <f>IF($A414="","",TEXT($A414,"mmm-yyyy"))</f>
        <v/>
      </c>
      <c r="C414" s="12">
        <f>IF($A414="","","W"&amp;WEEKNUM($A414,2))</f>
        <v/>
      </c>
      <c r="D414" s="12" t="inlineStr">
        <is>
          <t>Unplanned Downtime (Hrs)</t>
        </is>
      </c>
      <c r="E414" s="12">
        <f>IFERROR(INDEX(Tbl_KPIConfig[Department],MATCH($D414,Tbl_KPIConfig[KPI Name],0)),"")</f>
        <v/>
      </c>
      <c r="F414" s="12">
        <f>IFERROR(INDEX(Tbl_KPIConfig[Unit],MATCH($D414,Tbl_KPIConfig[KPI Name],0)),"")</f>
        <v/>
      </c>
      <c r="G414" s="12">
        <f>IFERROR(INDEX(Tbl_KPIConfig[Target],MATCH($D414,Tbl_KPIConfig[KPI Name],0)),"")</f>
        <v/>
      </c>
      <c r="H414" s="12" t="n">
        <v>1</v>
      </c>
      <c r="I414" s="13">
        <f>IFERROR(IF(INDEX(Tbl_KPIConfig[Direction],MATCH($D414,Tbl_KPIConfig[KPI Name],0))="Lower is Better",IF($H414=0,1,IF($G414=0,0,$G414/$H414)),IF($G414=0,1,$H414/$G414)),0)</f>
        <v/>
      </c>
      <c r="J414" s="12">
        <f>IFERROR(IF($I414&gt;=1,"Green",IF($I414&gt;=INDEX(Tbl_KPIConfig[RAG Threshold %],MATCH($D414,Tbl_KPIConfig[KPI Name],0)),"Amber","Red")),"")</f>
        <v/>
      </c>
      <c r="K414" s="14" t="inlineStr">
        <is>
          <t>Awaiting spares</t>
        </is>
      </c>
    </row>
    <row r="415">
      <c r="A415" s="7" t="n">
        <v>46203</v>
      </c>
      <c r="B415" s="8">
        <f>IF($A415="","",TEXT($A415,"mmm-yyyy"))</f>
        <v/>
      </c>
      <c r="C415" s="8">
        <f>IF($A415="","","W"&amp;WEEKNUM($A415,2))</f>
        <v/>
      </c>
      <c r="D415" s="8" t="inlineStr">
        <is>
          <t>PM Compliance %</t>
        </is>
      </c>
      <c r="E415" s="8">
        <f>IFERROR(INDEX(Tbl_KPIConfig[Department],MATCH($D415,Tbl_KPIConfig[KPI Name],0)),"")</f>
        <v/>
      </c>
      <c r="F415" s="8">
        <f>IFERROR(INDEX(Tbl_KPIConfig[Unit],MATCH($D415,Tbl_KPIConfig[KPI Name],0)),"")</f>
        <v/>
      </c>
      <c r="G415" s="8">
        <f>IFERROR(INDEX(Tbl_KPIConfig[Target],MATCH($D415,Tbl_KPIConfig[KPI Name],0)),"")</f>
        <v/>
      </c>
      <c r="H415" s="8" t="n">
        <v>0.8125</v>
      </c>
      <c r="I415" s="9">
        <f>IFERROR(IF(INDEX(Tbl_KPIConfig[Direction],MATCH($D415,Tbl_KPIConfig[KPI Name],0))="Lower is Better",IF($H415=0,1,IF($G415=0,0,$G415/$H415)),IF($G415=0,1,$H415/$G415)),0)</f>
        <v/>
      </c>
      <c r="J415" s="8">
        <f>IFERROR(IF($I415&gt;=1,"Green",IF($I415&gt;=INDEX(Tbl_KPIConfig[RAG Threshold %],MATCH($D415,Tbl_KPIConfig[KPI Name],0)),"Amber","Red")),"")</f>
        <v/>
      </c>
      <c r="K415" s="10" t="inlineStr">
        <is>
          <t>Within normal range</t>
        </is>
      </c>
    </row>
    <row r="416">
      <c r="A416" s="11" t="n">
        <v>46203</v>
      </c>
      <c r="B416" s="12">
        <f>IF($A416="","",TEXT($A416,"mmm-yyyy"))</f>
        <v/>
      </c>
      <c r="C416" s="12">
        <f>IF($A416="","","W"&amp;WEEKNUM($A416,2))</f>
        <v/>
      </c>
      <c r="D416" s="12" t="inlineStr">
        <is>
          <t>Power Consumption (kWh)</t>
        </is>
      </c>
      <c r="E416" s="12">
        <f>IFERROR(INDEX(Tbl_KPIConfig[Department],MATCH($D416,Tbl_KPIConfig[KPI Name],0)),"")</f>
        <v/>
      </c>
      <c r="F416" s="12">
        <f>IFERROR(INDEX(Tbl_KPIConfig[Unit],MATCH($D416,Tbl_KPIConfig[KPI Name],0)),"")</f>
        <v/>
      </c>
      <c r="G416" s="12">
        <f>IFERROR(INDEX(Tbl_KPIConfig[Target],MATCH($D416,Tbl_KPIConfig[KPI Name],0)),"")</f>
        <v/>
      </c>
      <c r="H416" s="12" t="n">
        <v>4875.04</v>
      </c>
      <c r="I416" s="13">
        <f>IFERROR(IF(INDEX(Tbl_KPIConfig[Direction],MATCH($D416,Tbl_KPIConfig[KPI Name],0))="Lower is Better",IF($H416=0,1,IF($G416=0,0,$G416/$H416)),IF($G416=0,1,$H416/$G416)),0)</f>
        <v/>
      </c>
      <c r="J416" s="12">
        <f>IFERROR(IF($I416&gt;=1,"Green",IF($I416&gt;=INDEX(Tbl_KPIConfig[RAG Threshold %],MATCH($D416,Tbl_KPIConfig[KPI Name],0)),"Amber","Red")),"")</f>
        <v/>
      </c>
      <c r="K416" s="14" t="inlineStr">
        <is>
          <t>Within normal range</t>
        </is>
      </c>
    </row>
    <row r="417">
      <c r="A417" s="7" t="n">
        <v>46203</v>
      </c>
      <c r="B417" s="8">
        <f>IF($A417="","",TEXT($A417,"mmm-yyyy"))</f>
        <v/>
      </c>
      <c r="C417" s="8">
        <f>IF($A417="","","W"&amp;WEEKNUM($A417,2))</f>
        <v/>
      </c>
      <c r="D417" s="8" t="inlineStr">
        <is>
          <t>On-Time Dispatch %</t>
        </is>
      </c>
      <c r="E417" s="8">
        <f>IFERROR(INDEX(Tbl_KPIConfig[Department],MATCH($D417,Tbl_KPIConfig[KPI Name],0)),"")</f>
        <v/>
      </c>
      <c r="F417" s="8">
        <f>IFERROR(INDEX(Tbl_KPIConfig[Unit],MATCH($D417,Tbl_KPIConfig[KPI Name],0)),"")</f>
        <v/>
      </c>
      <c r="G417" s="8">
        <f>IFERROR(INDEX(Tbl_KPIConfig[Target],MATCH($D417,Tbl_KPIConfig[KPI Name],0)),"")</f>
        <v/>
      </c>
      <c r="H417" s="8" t="n">
        <v>1.0464</v>
      </c>
      <c r="I417" s="9">
        <f>IFERROR(IF(INDEX(Tbl_KPIConfig[Direction],MATCH($D417,Tbl_KPIConfig[KPI Name],0))="Lower is Better",IF($H417=0,1,IF($G417=0,0,$G417/$H417)),IF($G417=0,1,$H417/$G417)),0)</f>
        <v/>
      </c>
      <c r="J417" s="8">
        <f>IFERROR(IF($I417&gt;=1,"Green",IF($I417&gt;=INDEX(Tbl_KPIConfig[RAG Threshold %],MATCH($D417,Tbl_KPIConfig[KPI Name],0)),"Amber","Red")),"")</f>
        <v/>
      </c>
      <c r="K417" s="10" t="inlineStr">
        <is>
          <t>Within normal range</t>
        </is>
      </c>
    </row>
    <row r="418">
      <c r="A418" s="11" t="n">
        <v>46203</v>
      </c>
      <c r="B418" s="12">
        <f>IF($A418="","",TEXT($A418,"mmm-yyyy"))</f>
        <v/>
      </c>
      <c r="C418" s="12">
        <f>IF($A418="","","W"&amp;WEEKNUM($A418,2))</f>
        <v/>
      </c>
      <c r="D418" s="12" t="inlineStr">
        <is>
          <t>Inventory Accuracy %</t>
        </is>
      </c>
      <c r="E418" s="12">
        <f>IFERROR(INDEX(Tbl_KPIConfig[Department],MATCH($D418,Tbl_KPIConfig[KPI Name],0)),"")</f>
        <v/>
      </c>
      <c r="F418" s="12">
        <f>IFERROR(INDEX(Tbl_KPIConfig[Unit],MATCH($D418,Tbl_KPIConfig[KPI Name],0)),"")</f>
        <v/>
      </c>
      <c r="G418" s="12">
        <f>IFERROR(INDEX(Tbl_KPIConfig[Target],MATCH($D418,Tbl_KPIConfig[KPI Name],0)),"")</f>
        <v/>
      </c>
      <c r="H418" s="12" t="n">
        <v>0.8375</v>
      </c>
      <c r="I418" s="13">
        <f>IFERROR(IF(INDEX(Tbl_KPIConfig[Direction],MATCH($D418,Tbl_KPIConfig[KPI Name],0))="Lower is Better",IF($H418=0,1,IF($G418=0,0,$G418/$H418)),IF($G418=0,1,$H418/$G418)),0)</f>
        <v/>
      </c>
      <c r="J418" s="12">
        <f>IFERROR(IF($I418&gt;=1,"Green",IF($I418&gt;=INDEX(Tbl_KPIConfig[RAG Threshold %],MATCH($D418,Tbl_KPIConfig[KPI Name],0)),"Amber","Red")),"")</f>
        <v/>
      </c>
      <c r="K418" s="14" t="inlineStr">
        <is>
          <t>Preventive check done</t>
        </is>
      </c>
    </row>
    <row r="419">
      <c r="A419" s="7" t="n">
        <v>46203</v>
      </c>
      <c r="B419" s="8">
        <f>IF($A419="","",TEXT($A419,"mmm-yyyy"))</f>
        <v/>
      </c>
      <c r="C419" s="8">
        <f>IF($A419="","","W"&amp;WEEKNUM($A419,2))</f>
        <v/>
      </c>
      <c r="D419" s="8" t="inlineStr">
        <is>
          <t>Absenteeism %</t>
        </is>
      </c>
      <c r="E419" s="8">
        <f>IFERROR(INDEX(Tbl_KPIConfig[Department],MATCH($D419,Tbl_KPIConfig[KPI Name],0)),"")</f>
        <v/>
      </c>
      <c r="F419" s="8">
        <f>IFERROR(INDEX(Tbl_KPIConfig[Unit],MATCH($D419,Tbl_KPIConfig[KPI Name],0)),"")</f>
        <v/>
      </c>
      <c r="G419" s="8">
        <f>IFERROR(INDEX(Tbl_KPIConfig[Target],MATCH($D419,Tbl_KPIConfig[KPI Name],0)),"")</f>
        <v/>
      </c>
      <c r="H419" s="8" t="n">
        <v>0.0287</v>
      </c>
      <c r="I419" s="9">
        <f>IFERROR(IF(INDEX(Tbl_KPIConfig[Direction],MATCH($D419,Tbl_KPIConfig[KPI Name],0))="Lower is Better",IF($H419=0,1,IF($G419=0,0,$G419/$H419)),IF($G419=0,1,$H419/$G419)),0)</f>
        <v/>
      </c>
      <c r="J419" s="8">
        <f>IFERROR(IF($I419&gt;=1,"Green",IF($I419&gt;=INDEX(Tbl_KPIConfig[RAG Threshold %],MATCH($D419,Tbl_KPIConfig[KPI Name],0)),"Amber","Red")),"")</f>
        <v/>
      </c>
      <c r="K419" s="10" t="inlineStr"/>
    </row>
    <row r="420">
      <c r="A420" s="11" t="n">
        <v>46203</v>
      </c>
      <c r="B420" s="12">
        <f>IF($A420="","",TEXT($A420,"mmm-yyyy"))</f>
        <v/>
      </c>
      <c r="C420" s="12">
        <f>IF($A420="","","W"&amp;WEEKNUM($A420,2))</f>
        <v/>
      </c>
      <c r="D420" s="12" t="inlineStr">
        <is>
          <t>Training Hours</t>
        </is>
      </c>
      <c r="E420" s="12">
        <f>IFERROR(INDEX(Tbl_KPIConfig[Department],MATCH($D420,Tbl_KPIConfig[KPI Name],0)),"")</f>
        <v/>
      </c>
      <c r="F420" s="12">
        <f>IFERROR(INDEX(Tbl_KPIConfig[Unit],MATCH($D420,Tbl_KPIConfig[KPI Name],0)),"")</f>
        <v/>
      </c>
      <c r="G420" s="12">
        <f>IFERROR(INDEX(Tbl_KPIConfig[Target],MATCH($D420,Tbl_KPIConfig[KPI Name],0)),"")</f>
        <v/>
      </c>
      <c r="H420" s="12" t="n">
        <v>2.3</v>
      </c>
      <c r="I420" s="13">
        <f>IFERROR(IF(INDEX(Tbl_KPIConfig[Direction],MATCH($D420,Tbl_KPIConfig[KPI Name],0))="Lower is Better",IF($H420=0,1,IF($G420=0,0,$G420/$H420)),IF($G420=0,1,$H420/$G420)),0)</f>
        <v/>
      </c>
      <c r="J420" s="12">
        <f>IFERROR(IF($I420&gt;=1,"Green",IF($I420&gt;=INDEX(Tbl_KPIConfig[RAG Threshold %],MATCH($D420,Tbl_KPIConfig[KPI Name],0)),"Amber","Red")),"")</f>
        <v/>
      </c>
      <c r="K420" s="14" t="inlineStr">
        <is>
          <t>Within normal range</t>
        </is>
      </c>
    </row>
    <row r="421">
      <c r="A421" s="7" t="n">
        <v>46203</v>
      </c>
      <c r="B421" s="8">
        <f>IF($A421="","",TEXT($A421,"mmm-yyyy"))</f>
        <v/>
      </c>
      <c r="C421" s="8">
        <f>IF($A421="","","W"&amp;WEEKNUM($A421,2))</f>
        <v/>
      </c>
      <c r="D421" s="8" t="inlineStr">
        <is>
          <t>Milestone Adherence %</t>
        </is>
      </c>
      <c r="E421" s="8">
        <f>IFERROR(INDEX(Tbl_KPIConfig[Department],MATCH($D421,Tbl_KPIConfig[KPI Name],0)),"")</f>
        <v/>
      </c>
      <c r="F421" s="8">
        <f>IFERROR(INDEX(Tbl_KPIConfig[Unit],MATCH($D421,Tbl_KPIConfig[KPI Name],0)),"")</f>
        <v/>
      </c>
      <c r="G421" s="8">
        <f>IFERROR(INDEX(Tbl_KPIConfig[Target],MATCH($D421,Tbl_KPIConfig[KPI Name],0)),"")</f>
        <v/>
      </c>
      <c r="H421" s="8" t="n">
        <v>0.9256</v>
      </c>
      <c r="I421" s="9">
        <f>IFERROR(IF(INDEX(Tbl_KPIConfig[Direction],MATCH($D421,Tbl_KPIConfig[KPI Name],0))="Lower is Better",IF($H421=0,1,IF($G421=0,0,$G421/$H421)),IF($G421=0,1,$H421/$G421)),0)</f>
        <v/>
      </c>
      <c r="J421" s="8">
        <f>IFERROR(IF($I421&gt;=1,"Green",IF($I421&gt;=INDEX(Tbl_KPIConfig[RAG Threshold %],MATCH($D421,Tbl_KPIConfig[KPI Name],0)),"Amber","Red")),"")</f>
        <v/>
      </c>
      <c r="K421" s="10" t="inlineStr">
        <is>
          <t>Line changeover impact</t>
        </is>
      </c>
    </row>
    <row r="422">
      <c r="A422" s="11" t="n">
        <v>46203</v>
      </c>
      <c r="B422" s="12">
        <f>IF($A422="","",TEXT($A422,"mmm-yyyy"))</f>
        <v/>
      </c>
      <c r="C422" s="12">
        <f>IF($A422="","","W"&amp;WEEKNUM($A422,2))</f>
        <v/>
      </c>
      <c r="D422" s="12" t="inlineStr">
        <is>
          <t>Breakdown Resolution (Hrs)</t>
        </is>
      </c>
      <c r="E422" s="12">
        <f>IFERROR(INDEX(Tbl_KPIConfig[Department],MATCH($D422,Tbl_KPIConfig[KPI Name],0)),"")</f>
        <v/>
      </c>
      <c r="F422" s="12">
        <f>IFERROR(INDEX(Tbl_KPIConfig[Unit],MATCH($D422,Tbl_KPIConfig[KPI Name],0)),"")</f>
        <v/>
      </c>
      <c r="G422" s="12">
        <f>IFERROR(INDEX(Tbl_KPIConfig[Target],MATCH($D422,Tbl_KPIConfig[KPI Name],0)),"")</f>
        <v/>
      </c>
      <c r="H422" s="12" t="n">
        <v>2.17</v>
      </c>
      <c r="I422" s="13">
        <f>IFERROR(IF(INDEX(Tbl_KPIConfig[Direction],MATCH($D422,Tbl_KPIConfig[KPI Name],0))="Lower is Better",IF($H422=0,1,IF($G422=0,0,$G422/$H422)),IF($G422=0,1,$H422/$G422)),0)</f>
        <v/>
      </c>
      <c r="J422" s="12">
        <f>IFERROR(IF($I422&gt;=1,"Green",IF($I422&gt;=INDEX(Tbl_KPIConfig[RAG Threshold %],MATCH($D422,Tbl_KPIConfig[KPI Name],0)),"Amber","Red")),"")</f>
        <v/>
      </c>
      <c r="K422" s="14" t="inlineStr">
        <is>
          <t>Vendor delay</t>
        </is>
      </c>
    </row>
    <row r="423">
      <c r="A423" s="7" t="n">
        <v>46204</v>
      </c>
      <c r="B423" s="8">
        <f>IF($A423="","",TEXT($A423,"mmm-yyyy"))</f>
        <v/>
      </c>
      <c r="C423" s="8">
        <f>IF($A423="","","W"&amp;WEEKNUM($A423,2))</f>
        <v/>
      </c>
      <c r="D423" s="8" t="inlineStr">
        <is>
          <t>Safety Incidents (LTI)</t>
        </is>
      </c>
      <c r="E423" s="8">
        <f>IFERROR(INDEX(Tbl_KPIConfig[Department],MATCH($D423,Tbl_KPIConfig[KPI Name],0)),"")</f>
        <v/>
      </c>
      <c r="F423" s="8">
        <f>IFERROR(INDEX(Tbl_KPIConfig[Unit],MATCH($D423,Tbl_KPIConfig[KPI Name],0)),"")</f>
        <v/>
      </c>
      <c r="G423" s="8">
        <f>IFERROR(INDEX(Tbl_KPIConfig[Target],MATCH($D423,Tbl_KPIConfig[KPI Name],0)),"")</f>
        <v/>
      </c>
      <c r="H423" s="8" t="n">
        <v>1</v>
      </c>
      <c r="I423" s="9">
        <f>IFERROR(IF(INDEX(Tbl_KPIConfig[Direction],MATCH($D423,Tbl_KPIConfig[KPI Name],0))="Lower is Better",IF($H423=0,1,IF($G423=0,0,$G423/$H423)),IF($G423=0,1,$H423/$G423)),0)</f>
        <v/>
      </c>
      <c r="J423" s="8">
        <f>IFERROR(IF($I423&gt;=1,"Green",IF($I423&gt;=INDEX(Tbl_KPIConfig[RAG Threshold %],MATCH($D423,Tbl_KPIConfig[KPI Name],0)),"Amber","Red")),"")</f>
        <v/>
      </c>
      <c r="K423" s="10" t="inlineStr">
        <is>
          <t>Awaiting spares</t>
        </is>
      </c>
    </row>
    <row r="424">
      <c r="A424" s="11" t="n">
        <v>46204</v>
      </c>
      <c r="B424" s="12">
        <f>IF($A424="","",TEXT($A424,"mmm-yyyy"))</f>
        <v/>
      </c>
      <c r="C424" s="12">
        <f>IF($A424="","","W"&amp;WEEKNUM($A424,2))</f>
        <v/>
      </c>
      <c r="D424" s="12" t="inlineStr">
        <is>
          <t>Near Miss Reports</t>
        </is>
      </c>
      <c r="E424" s="12">
        <f>IFERROR(INDEX(Tbl_KPIConfig[Department],MATCH($D424,Tbl_KPIConfig[KPI Name],0)),"")</f>
        <v/>
      </c>
      <c r="F424" s="12">
        <f>IFERROR(INDEX(Tbl_KPIConfig[Unit],MATCH($D424,Tbl_KPIConfig[KPI Name],0)),"")</f>
        <v/>
      </c>
      <c r="G424" s="12">
        <f>IFERROR(INDEX(Tbl_KPIConfig[Target],MATCH($D424,Tbl_KPIConfig[KPI Name],0)),"")</f>
        <v/>
      </c>
      <c r="H424" s="12" t="n">
        <v>2</v>
      </c>
      <c r="I424" s="13">
        <f>IFERROR(IF(INDEX(Tbl_KPIConfig[Direction],MATCH($D424,Tbl_KPIConfig[KPI Name],0))="Lower is Better",IF($H424=0,1,IF($G424=0,0,$G424/$H424)),IF($G424=0,1,$H424/$G424)),0)</f>
        <v/>
      </c>
      <c r="J424" s="12">
        <f>IFERROR(IF($I424&gt;=1,"Green",IF($I424&gt;=INDEX(Tbl_KPIConfig[RAG Threshold %],MATCH($D424,Tbl_KPIConfig[KPI Name],0)),"Amber","Red")),"")</f>
        <v/>
      </c>
      <c r="K424" s="14" t="inlineStr">
        <is>
          <t>Within normal range</t>
        </is>
      </c>
    </row>
    <row r="425">
      <c r="A425" s="7" t="n">
        <v>46204</v>
      </c>
      <c r="B425" s="8">
        <f>IF($A425="","",TEXT($A425,"mmm-yyyy"))</f>
        <v/>
      </c>
      <c r="C425" s="8">
        <f>IF($A425="","","W"&amp;WEEKNUM($A425,2))</f>
        <v/>
      </c>
      <c r="D425" s="8" t="inlineStr">
        <is>
          <t>Production Output</t>
        </is>
      </c>
      <c r="E425" s="8">
        <f>IFERROR(INDEX(Tbl_KPIConfig[Department],MATCH($D425,Tbl_KPIConfig[KPI Name],0)),"")</f>
        <v/>
      </c>
      <c r="F425" s="8">
        <f>IFERROR(INDEX(Tbl_KPIConfig[Unit],MATCH($D425,Tbl_KPIConfig[KPI Name],0)),"")</f>
        <v/>
      </c>
      <c r="G425" s="8">
        <f>IFERROR(INDEX(Tbl_KPIConfig[Target],MATCH($D425,Tbl_KPIConfig[KPI Name],0)),"")</f>
        <v/>
      </c>
      <c r="H425" s="8" t="n">
        <v>1142.62</v>
      </c>
      <c r="I425" s="9">
        <f>IFERROR(IF(INDEX(Tbl_KPIConfig[Direction],MATCH($D425,Tbl_KPIConfig[KPI Name],0))="Lower is Better",IF($H425=0,1,IF($G425=0,0,$G425/$H425)),IF($G425=0,1,$H425/$G425)),0)</f>
        <v/>
      </c>
      <c r="J425" s="8">
        <f>IFERROR(IF($I425&gt;=1,"Green",IF($I425&gt;=INDEX(Tbl_KPIConfig[RAG Threshold %],MATCH($D425,Tbl_KPIConfig[KPI Name],0)),"Amber","Red")),"")</f>
        <v/>
      </c>
      <c r="K425" s="10" t="inlineStr">
        <is>
          <t>Manpower shortage</t>
        </is>
      </c>
    </row>
    <row r="426">
      <c r="A426" s="11" t="n">
        <v>46204</v>
      </c>
      <c r="B426" s="12">
        <f>IF($A426="","",TEXT($A426,"mmm-yyyy"))</f>
        <v/>
      </c>
      <c r="C426" s="12">
        <f>IF($A426="","","W"&amp;WEEKNUM($A426,2))</f>
        <v/>
      </c>
      <c r="D426" s="12" t="inlineStr">
        <is>
          <t>OEE %</t>
        </is>
      </c>
      <c r="E426" s="12">
        <f>IFERROR(INDEX(Tbl_KPIConfig[Department],MATCH($D426,Tbl_KPIConfig[KPI Name],0)),"")</f>
        <v/>
      </c>
      <c r="F426" s="12">
        <f>IFERROR(INDEX(Tbl_KPIConfig[Unit],MATCH($D426,Tbl_KPIConfig[KPI Name],0)),"")</f>
        <v/>
      </c>
      <c r="G426" s="12">
        <f>IFERROR(INDEX(Tbl_KPIConfig[Target],MATCH($D426,Tbl_KPIConfig[KPI Name],0)),"")</f>
        <v/>
      </c>
      <c r="H426" s="12" t="n">
        <v>0.8442</v>
      </c>
      <c r="I426" s="13">
        <f>IFERROR(IF(INDEX(Tbl_KPIConfig[Direction],MATCH($D426,Tbl_KPIConfig[KPI Name],0))="Lower is Better",IF($H426=0,1,IF($G426=0,0,$G426/$H426)),IF($G426=0,1,$H426/$G426)),0)</f>
        <v/>
      </c>
      <c r="J426" s="12">
        <f>IFERROR(IF($I426&gt;=1,"Green",IF($I426&gt;=INDEX(Tbl_KPIConfig[RAG Threshold %],MATCH($D426,Tbl_KPIConfig[KPI Name],0)),"Amber","Red")),"")</f>
        <v/>
      </c>
      <c r="K426" s="14" t="inlineStr">
        <is>
          <t>Preventive check done</t>
        </is>
      </c>
    </row>
    <row r="427">
      <c r="A427" s="7" t="n">
        <v>46204</v>
      </c>
      <c r="B427" s="8">
        <f>IF($A427="","",TEXT($A427,"mmm-yyyy"))</f>
        <v/>
      </c>
      <c r="C427" s="8">
        <f>IF($A427="","","W"&amp;WEEKNUM($A427,2))</f>
        <v/>
      </c>
      <c r="D427" s="8" t="inlineStr">
        <is>
          <t>Defect Rate %</t>
        </is>
      </c>
      <c r="E427" s="8">
        <f>IFERROR(INDEX(Tbl_KPIConfig[Department],MATCH($D427,Tbl_KPIConfig[KPI Name],0)),"")</f>
        <v/>
      </c>
      <c r="F427" s="8">
        <f>IFERROR(INDEX(Tbl_KPIConfig[Unit],MATCH($D427,Tbl_KPIConfig[KPI Name],0)),"")</f>
        <v/>
      </c>
      <c r="G427" s="8">
        <f>IFERROR(INDEX(Tbl_KPIConfig[Target],MATCH($D427,Tbl_KPIConfig[KPI Name],0)),"")</f>
        <v/>
      </c>
      <c r="H427" s="8" t="n">
        <v>0.0158</v>
      </c>
      <c r="I427" s="9">
        <f>IFERROR(IF(INDEX(Tbl_KPIConfig[Direction],MATCH($D427,Tbl_KPIConfig[KPI Name],0))="Lower is Better",IF($H427=0,1,IF($G427=0,0,$G427/$H427)),IF($G427=0,1,$H427/$G427)),0)</f>
        <v/>
      </c>
      <c r="J427" s="8">
        <f>IFERROR(IF($I427&gt;=1,"Green",IF($I427&gt;=INDEX(Tbl_KPIConfig[RAG Threshold %],MATCH($D427,Tbl_KPIConfig[KPI Name],0)),"Amber","Red")),"")</f>
        <v/>
      </c>
      <c r="K427" s="10" t="inlineStr"/>
    </row>
    <row r="428">
      <c r="A428" s="11" t="n">
        <v>46204</v>
      </c>
      <c r="B428" s="12">
        <f>IF($A428="","",TEXT($A428,"mmm-yyyy"))</f>
        <v/>
      </c>
      <c r="C428" s="12">
        <f>IF($A428="","","W"&amp;WEEKNUM($A428,2))</f>
        <v/>
      </c>
      <c r="D428" s="12" t="inlineStr">
        <is>
          <t>Customer Complaints</t>
        </is>
      </c>
      <c r="E428" s="12">
        <f>IFERROR(INDEX(Tbl_KPIConfig[Department],MATCH($D428,Tbl_KPIConfig[KPI Name],0)),"")</f>
        <v/>
      </c>
      <c r="F428" s="12">
        <f>IFERROR(INDEX(Tbl_KPIConfig[Unit],MATCH($D428,Tbl_KPIConfig[KPI Name],0)),"")</f>
        <v/>
      </c>
      <c r="G428" s="12">
        <f>IFERROR(INDEX(Tbl_KPIConfig[Target],MATCH($D428,Tbl_KPIConfig[KPI Name],0)),"")</f>
        <v/>
      </c>
      <c r="H428" s="12" t="n">
        <v>6</v>
      </c>
      <c r="I428" s="13">
        <f>IFERROR(IF(INDEX(Tbl_KPIConfig[Direction],MATCH($D428,Tbl_KPIConfig[KPI Name],0))="Lower is Better",IF($H428=0,1,IF($G428=0,0,$G428/$H428)),IF($G428=0,1,$H428/$G428)),0)</f>
        <v/>
      </c>
      <c r="J428" s="12">
        <f>IFERROR(IF($I428&gt;=1,"Green",IF($I428&gt;=INDEX(Tbl_KPIConfig[RAG Threshold %],MATCH($D428,Tbl_KPIConfig[KPI Name],0)),"Amber","Red")),"")</f>
        <v/>
      </c>
      <c r="K428" s="14" t="inlineStr">
        <is>
          <t>Line changeover impact</t>
        </is>
      </c>
    </row>
    <row r="429">
      <c r="A429" s="7" t="n">
        <v>46204</v>
      </c>
      <c r="B429" s="8">
        <f>IF($A429="","",TEXT($A429,"mmm-yyyy"))</f>
        <v/>
      </c>
      <c r="C429" s="8">
        <f>IF($A429="","","W"&amp;WEEKNUM($A429,2))</f>
        <v/>
      </c>
      <c r="D429" s="8" t="inlineStr">
        <is>
          <t>Unplanned Downtime (Hrs)</t>
        </is>
      </c>
      <c r="E429" s="8">
        <f>IFERROR(INDEX(Tbl_KPIConfig[Department],MATCH($D429,Tbl_KPIConfig[KPI Name],0)),"")</f>
        <v/>
      </c>
      <c r="F429" s="8">
        <f>IFERROR(INDEX(Tbl_KPIConfig[Unit],MATCH($D429,Tbl_KPIConfig[KPI Name],0)),"")</f>
        <v/>
      </c>
      <c r="G429" s="8">
        <f>IFERROR(INDEX(Tbl_KPIConfig[Target],MATCH($D429,Tbl_KPIConfig[KPI Name],0)),"")</f>
        <v/>
      </c>
      <c r="H429" s="8" t="n">
        <v>1.1</v>
      </c>
      <c r="I429" s="9">
        <f>IFERROR(IF(INDEX(Tbl_KPIConfig[Direction],MATCH($D429,Tbl_KPIConfig[KPI Name],0))="Lower is Better",IF($H429=0,1,IF($G429=0,0,$G429/$H429)),IF($G429=0,1,$H429/$G429)),0)</f>
        <v/>
      </c>
      <c r="J429" s="8">
        <f>IFERROR(IF($I429&gt;=1,"Green",IF($I429&gt;=INDEX(Tbl_KPIConfig[RAG Threshold %],MATCH($D429,Tbl_KPIConfig[KPI Name],0)),"Amber","Red")),"")</f>
        <v/>
      </c>
      <c r="K429" s="10" t="inlineStr"/>
    </row>
    <row r="430">
      <c r="A430" s="11" t="n">
        <v>46204</v>
      </c>
      <c r="B430" s="12">
        <f>IF($A430="","",TEXT($A430,"mmm-yyyy"))</f>
        <v/>
      </c>
      <c r="C430" s="12">
        <f>IF($A430="","","W"&amp;WEEKNUM($A430,2))</f>
        <v/>
      </c>
      <c r="D430" s="12" t="inlineStr">
        <is>
          <t>PM Compliance %</t>
        </is>
      </c>
      <c r="E430" s="12">
        <f>IFERROR(INDEX(Tbl_KPIConfig[Department],MATCH($D430,Tbl_KPIConfig[KPI Name],0)),"")</f>
        <v/>
      </c>
      <c r="F430" s="12">
        <f>IFERROR(INDEX(Tbl_KPIConfig[Unit],MATCH($D430,Tbl_KPIConfig[KPI Name],0)),"")</f>
        <v/>
      </c>
      <c r="G430" s="12">
        <f>IFERROR(INDEX(Tbl_KPIConfig[Target],MATCH($D430,Tbl_KPIConfig[KPI Name],0)),"")</f>
        <v/>
      </c>
      <c r="H430" s="12" t="n">
        <v>0.7518</v>
      </c>
      <c r="I430" s="13">
        <f>IFERROR(IF(INDEX(Tbl_KPIConfig[Direction],MATCH($D430,Tbl_KPIConfig[KPI Name],0))="Lower is Better",IF($H430=0,1,IF($G430=0,0,$G430/$H430)),IF($G430=0,1,$H430/$G430)),0)</f>
        <v/>
      </c>
      <c r="J430" s="12">
        <f>IFERROR(IF($I430&gt;=1,"Green",IF($I430&gt;=INDEX(Tbl_KPIConfig[RAG Threshold %],MATCH($D430,Tbl_KPIConfig[KPI Name],0)),"Amber","Red")),"")</f>
        <v/>
      </c>
      <c r="K430" s="14" t="inlineStr">
        <is>
          <t>Awaiting spares</t>
        </is>
      </c>
    </row>
    <row r="431">
      <c r="A431" s="7" t="n">
        <v>46204</v>
      </c>
      <c r="B431" s="8">
        <f>IF($A431="","",TEXT($A431,"mmm-yyyy"))</f>
        <v/>
      </c>
      <c r="C431" s="8">
        <f>IF($A431="","","W"&amp;WEEKNUM($A431,2))</f>
        <v/>
      </c>
      <c r="D431" s="8" t="inlineStr">
        <is>
          <t>Power Consumption (kWh)</t>
        </is>
      </c>
      <c r="E431" s="8">
        <f>IFERROR(INDEX(Tbl_KPIConfig[Department],MATCH($D431,Tbl_KPIConfig[KPI Name],0)),"")</f>
        <v/>
      </c>
      <c r="F431" s="8">
        <f>IFERROR(INDEX(Tbl_KPIConfig[Unit],MATCH($D431,Tbl_KPIConfig[KPI Name],0)),"")</f>
        <v/>
      </c>
      <c r="G431" s="8">
        <f>IFERROR(INDEX(Tbl_KPIConfig[Target],MATCH($D431,Tbl_KPIConfig[KPI Name],0)),"")</f>
        <v/>
      </c>
      <c r="H431" s="8" t="n">
        <v>4684.34</v>
      </c>
      <c r="I431" s="9">
        <f>IFERROR(IF(INDEX(Tbl_KPIConfig[Direction],MATCH($D431,Tbl_KPIConfig[KPI Name],0))="Lower is Better",IF($H431=0,1,IF($G431=0,0,$G431/$H431)),IF($G431=0,1,$H431/$G431)),0)</f>
        <v/>
      </c>
      <c r="J431" s="8">
        <f>IFERROR(IF($I431&gt;=1,"Green",IF($I431&gt;=INDEX(Tbl_KPIConfig[RAG Threshold %],MATCH($D431,Tbl_KPIConfig[KPI Name],0)),"Amber","Red")),"")</f>
        <v/>
      </c>
      <c r="K431" s="10" t="inlineStr">
        <is>
          <t>Awaiting spares</t>
        </is>
      </c>
    </row>
    <row r="432">
      <c r="A432" s="11" t="n">
        <v>46204</v>
      </c>
      <c r="B432" s="12">
        <f>IF($A432="","",TEXT($A432,"mmm-yyyy"))</f>
        <v/>
      </c>
      <c r="C432" s="12">
        <f>IF($A432="","","W"&amp;WEEKNUM($A432,2))</f>
        <v/>
      </c>
      <c r="D432" s="12" t="inlineStr">
        <is>
          <t>On-Time Dispatch %</t>
        </is>
      </c>
      <c r="E432" s="12">
        <f>IFERROR(INDEX(Tbl_KPIConfig[Department],MATCH($D432,Tbl_KPIConfig[KPI Name],0)),"")</f>
        <v/>
      </c>
      <c r="F432" s="12">
        <f>IFERROR(INDEX(Tbl_KPIConfig[Unit],MATCH($D432,Tbl_KPIConfig[KPI Name],0)),"")</f>
        <v/>
      </c>
      <c r="G432" s="12">
        <f>IFERROR(INDEX(Tbl_KPIConfig[Target],MATCH($D432,Tbl_KPIConfig[KPI Name],0)),"")</f>
        <v/>
      </c>
      <c r="H432" s="12" t="n">
        <v>1.0053</v>
      </c>
      <c r="I432" s="13">
        <f>IFERROR(IF(INDEX(Tbl_KPIConfig[Direction],MATCH($D432,Tbl_KPIConfig[KPI Name],0))="Lower is Better",IF($H432=0,1,IF($G432=0,0,$G432/$H432)),IF($G432=0,1,$H432/$G432)),0)</f>
        <v/>
      </c>
      <c r="J432" s="12">
        <f>IFERROR(IF($I432&gt;=1,"Green",IF($I432&gt;=INDEX(Tbl_KPIConfig[RAG Threshold %],MATCH($D432,Tbl_KPIConfig[KPI Name],0)),"Amber","Red")),"")</f>
        <v/>
      </c>
      <c r="K432" s="14" t="inlineStr">
        <is>
          <t>Preventive check done</t>
        </is>
      </c>
    </row>
    <row r="433">
      <c r="A433" s="7" t="n">
        <v>46204</v>
      </c>
      <c r="B433" s="8">
        <f>IF($A433="","",TEXT($A433,"mmm-yyyy"))</f>
        <v/>
      </c>
      <c r="C433" s="8">
        <f>IF($A433="","","W"&amp;WEEKNUM($A433,2))</f>
        <v/>
      </c>
      <c r="D433" s="8" t="inlineStr">
        <is>
          <t>Inventory Accuracy %</t>
        </is>
      </c>
      <c r="E433" s="8">
        <f>IFERROR(INDEX(Tbl_KPIConfig[Department],MATCH($D433,Tbl_KPIConfig[KPI Name],0)),"")</f>
        <v/>
      </c>
      <c r="F433" s="8">
        <f>IFERROR(INDEX(Tbl_KPIConfig[Unit],MATCH($D433,Tbl_KPIConfig[KPI Name],0)),"")</f>
        <v/>
      </c>
      <c r="G433" s="8">
        <f>IFERROR(INDEX(Tbl_KPIConfig[Target],MATCH($D433,Tbl_KPIConfig[KPI Name],0)),"")</f>
        <v/>
      </c>
      <c r="H433" s="8" t="n">
        <v>0.7449</v>
      </c>
      <c r="I433" s="9">
        <f>IFERROR(IF(INDEX(Tbl_KPIConfig[Direction],MATCH($D433,Tbl_KPIConfig[KPI Name],0))="Lower is Better",IF($H433=0,1,IF($G433=0,0,$G433/$H433)),IF($G433=0,1,$H433/$G433)),0)</f>
        <v/>
      </c>
      <c r="J433" s="8">
        <f>IFERROR(IF($I433&gt;=1,"Green",IF($I433&gt;=INDEX(Tbl_KPIConfig[RAG Threshold %],MATCH($D433,Tbl_KPIConfig[KPI Name],0)),"Amber","Red")),"")</f>
        <v/>
      </c>
      <c r="K433" s="10" t="inlineStr">
        <is>
          <t>Process improvement in progress</t>
        </is>
      </c>
    </row>
    <row r="434">
      <c r="A434" s="11" t="n">
        <v>46204</v>
      </c>
      <c r="B434" s="12">
        <f>IF($A434="","",TEXT($A434,"mmm-yyyy"))</f>
        <v/>
      </c>
      <c r="C434" s="12">
        <f>IF($A434="","","W"&amp;WEEKNUM($A434,2))</f>
        <v/>
      </c>
      <c r="D434" s="12" t="inlineStr">
        <is>
          <t>Absenteeism %</t>
        </is>
      </c>
      <c r="E434" s="12">
        <f>IFERROR(INDEX(Tbl_KPIConfig[Department],MATCH($D434,Tbl_KPIConfig[KPI Name],0)),"")</f>
        <v/>
      </c>
      <c r="F434" s="12">
        <f>IFERROR(INDEX(Tbl_KPIConfig[Unit],MATCH($D434,Tbl_KPIConfig[KPI Name],0)),"")</f>
        <v/>
      </c>
      <c r="G434" s="12">
        <f>IFERROR(INDEX(Tbl_KPIConfig[Target],MATCH($D434,Tbl_KPIConfig[KPI Name],0)),"")</f>
        <v/>
      </c>
      <c r="H434" s="12" t="n">
        <v>0.0259</v>
      </c>
      <c r="I434" s="13">
        <f>IFERROR(IF(INDEX(Tbl_KPIConfig[Direction],MATCH($D434,Tbl_KPIConfig[KPI Name],0))="Lower is Better",IF($H434=0,1,IF($G434=0,0,$G434/$H434)),IF($G434=0,1,$H434/$G434)),0)</f>
        <v/>
      </c>
      <c r="J434" s="12">
        <f>IFERROR(IF($I434&gt;=1,"Green",IF($I434&gt;=INDEX(Tbl_KPIConfig[RAG Threshold %],MATCH($D434,Tbl_KPIConfig[KPI Name],0)),"Amber","Red")),"")</f>
        <v/>
      </c>
      <c r="K434" s="14" t="inlineStr">
        <is>
          <t>Line changeover impact</t>
        </is>
      </c>
    </row>
    <row r="435">
      <c r="A435" s="7" t="n">
        <v>46204</v>
      </c>
      <c r="B435" s="8">
        <f>IF($A435="","",TEXT($A435,"mmm-yyyy"))</f>
        <v/>
      </c>
      <c r="C435" s="8">
        <f>IF($A435="","","W"&amp;WEEKNUM($A435,2))</f>
        <v/>
      </c>
      <c r="D435" s="8" t="inlineStr">
        <is>
          <t>Training Hours</t>
        </is>
      </c>
      <c r="E435" s="8">
        <f>IFERROR(INDEX(Tbl_KPIConfig[Department],MATCH($D435,Tbl_KPIConfig[KPI Name],0)),"")</f>
        <v/>
      </c>
      <c r="F435" s="8">
        <f>IFERROR(INDEX(Tbl_KPIConfig[Unit],MATCH($D435,Tbl_KPIConfig[KPI Name],0)),"")</f>
        <v/>
      </c>
      <c r="G435" s="8">
        <f>IFERROR(INDEX(Tbl_KPIConfig[Target],MATCH($D435,Tbl_KPIConfig[KPI Name],0)),"")</f>
        <v/>
      </c>
      <c r="H435" s="8" t="n">
        <v>1.82</v>
      </c>
      <c r="I435" s="9">
        <f>IFERROR(IF(INDEX(Tbl_KPIConfig[Direction],MATCH($D435,Tbl_KPIConfig[KPI Name],0))="Lower is Better",IF($H435=0,1,IF($G435=0,0,$G435/$H435)),IF($G435=0,1,$H435/$G435)),0)</f>
        <v/>
      </c>
      <c r="J435" s="8">
        <f>IFERROR(IF($I435&gt;=1,"Green",IF($I435&gt;=INDEX(Tbl_KPIConfig[RAG Threshold %],MATCH($D435,Tbl_KPIConfig[KPI Name],0)),"Amber","Red")),"")</f>
        <v/>
      </c>
      <c r="K435" s="10" t="inlineStr">
        <is>
          <t>Awaiting spares</t>
        </is>
      </c>
    </row>
    <row r="436">
      <c r="A436" s="11" t="n">
        <v>46204</v>
      </c>
      <c r="B436" s="12">
        <f>IF($A436="","",TEXT($A436,"mmm-yyyy"))</f>
        <v/>
      </c>
      <c r="C436" s="12">
        <f>IF($A436="","","W"&amp;WEEKNUM($A436,2))</f>
        <v/>
      </c>
      <c r="D436" s="12" t="inlineStr">
        <is>
          <t>Milestone Adherence %</t>
        </is>
      </c>
      <c r="E436" s="12">
        <f>IFERROR(INDEX(Tbl_KPIConfig[Department],MATCH($D436,Tbl_KPIConfig[KPI Name],0)),"")</f>
        <v/>
      </c>
      <c r="F436" s="12">
        <f>IFERROR(INDEX(Tbl_KPIConfig[Unit],MATCH($D436,Tbl_KPIConfig[KPI Name],0)),"")</f>
        <v/>
      </c>
      <c r="G436" s="12">
        <f>IFERROR(INDEX(Tbl_KPIConfig[Target],MATCH($D436,Tbl_KPIConfig[KPI Name],0)),"")</f>
        <v/>
      </c>
      <c r="H436" s="12" t="n">
        <v>0.9263</v>
      </c>
      <c r="I436" s="13">
        <f>IFERROR(IF(INDEX(Tbl_KPIConfig[Direction],MATCH($D436,Tbl_KPIConfig[KPI Name],0))="Lower is Better",IF($H436=0,1,IF($G436=0,0,$G436/$H436)),IF($G436=0,1,$H436/$G436)),0)</f>
        <v/>
      </c>
      <c r="J436" s="12">
        <f>IFERROR(IF($I436&gt;=1,"Green",IF($I436&gt;=INDEX(Tbl_KPIConfig[RAG Threshold %],MATCH($D436,Tbl_KPIConfig[KPI Name],0)),"Amber","Red")),"")</f>
        <v/>
      </c>
      <c r="K436" s="14" t="inlineStr"/>
    </row>
    <row r="437">
      <c r="A437" s="7" t="n">
        <v>46204</v>
      </c>
      <c r="B437" s="8">
        <f>IF($A437="","",TEXT($A437,"mmm-yyyy"))</f>
        <v/>
      </c>
      <c r="C437" s="8">
        <f>IF($A437="","","W"&amp;WEEKNUM($A437,2))</f>
        <v/>
      </c>
      <c r="D437" s="8" t="inlineStr">
        <is>
          <t>Breakdown Resolution (Hrs)</t>
        </is>
      </c>
      <c r="E437" s="8">
        <f>IFERROR(INDEX(Tbl_KPIConfig[Department],MATCH($D437,Tbl_KPIConfig[KPI Name],0)),"")</f>
        <v/>
      </c>
      <c r="F437" s="8">
        <f>IFERROR(INDEX(Tbl_KPIConfig[Unit],MATCH($D437,Tbl_KPIConfig[KPI Name],0)),"")</f>
        <v/>
      </c>
      <c r="G437" s="8">
        <f>IFERROR(INDEX(Tbl_KPIConfig[Target],MATCH($D437,Tbl_KPIConfig[KPI Name],0)),"")</f>
        <v/>
      </c>
      <c r="H437" s="8" t="n">
        <v>2.25</v>
      </c>
      <c r="I437" s="9">
        <f>IFERROR(IF(INDEX(Tbl_KPIConfig[Direction],MATCH($D437,Tbl_KPIConfig[KPI Name],0))="Lower is Better",IF($H437=0,1,IF($G437=0,0,$G437/$H437)),IF($G437=0,1,$H437/$G437)),0)</f>
        <v/>
      </c>
      <c r="J437" s="8">
        <f>IFERROR(IF($I437&gt;=1,"Green",IF($I437&gt;=INDEX(Tbl_KPIConfig[RAG Threshold %],MATCH($D437,Tbl_KPIConfig[KPI Name],0)),"Amber","Red")),"")</f>
        <v/>
      </c>
      <c r="K437" s="10" t="inlineStr">
        <is>
          <t>Process improvement in progress</t>
        </is>
      </c>
    </row>
    <row r="438">
      <c r="A438" s="11" t="n">
        <v>46205</v>
      </c>
      <c r="B438" s="12">
        <f>IF($A438="","",TEXT($A438,"mmm-yyyy"))</f>
        <v/>
      </c>
      <c r="C438" s="12">
        <f>IF($A438="","","W"&amp;WEEKNUM($A438,2))</f>
        <v/>
      </c>
      <c r="D438" s="12" t="inlineStr">
        <is>
          <t>Safety Incidents (LTI)</t>
        </is>
      </c>
      <c r="E438" s="12">
        <f>IFERROR(INDEX(Tbl_KPIConfig[Department],MATCH($D438,Tbl_KPIConfig[KPI Name],0)),"")</f>
        <v/>
      </c>
      <c r="F438" s="12">
        <f>IFERROR(INDEX(Tbl_KPIConfig[Unit],MATCH($D438,Tbl_KPIConfig[KPI Name],0)),"")</f>
        <v/>
      </c>
      <c r="G438" s="12">
        <f>IFERROR(INDEX(Tbl_KPIConfig[Target],MATCH($D438,Tbl_KPIConfig[KPI Name],0)),"")</f>
        <v/>
      </c>
      <c r="H438" s="12" t="n">
        <v>1</v>
      </c>
      <c r="I438" s="13">
        <f>IFERROR(IF(INDEX(Tbl_KPIConfig[Direction],MATCH($D438,Tbl_KPIConfig[KPI Name],0))="Lower is Better",IF($H438=0,1,IF($G438=0,0,$G438/$H438)),IF($G438=0,1,$H438/$G438)),0)</f>
        <v/>
      </c>
      <c r="J438" s="12">
        <f>IFERROR(IF($I438&gt;=1,"Green",IF($I438&gt;=INDEX(Tbl_KPIConfig[RAG Threshold %],MATCH($D438,Tbl_KPIConfig[KPI Name],0)),"Amber","Red")),"")</f>
        <v/>
      </c>
      <c r="K438" s="14" t="inlineStr">
        <is>
          <t>Vendor delay</t>
        </is>
      </c>
    </row>
    <row r="439">
      <c r="A439" s="7" t="n">
        <v>46205</v>
      </c>
      <c r="B439" s="8">
        <f>IF($A439="","",TEXT($A439,"mmm-yyyy"))</f>
        <v/>
      </c>
      <c r="C439" s="8">
        <f>IF($A439="","","W"&amp;WEEKNUM($A439,2))</f>
        <v/>
      </c>
      <c r="D439" s="8" t="inlineStr">
        <is>
          <t>Near Miss Reports</t>
        </is>
      </c>
      <c r="E439" s="8">
        <f>IFERROR(INDEX(Tbl_KPIConfig[Department],MATCH($D439,Tbl_KPIConfig[KPI Name],0)),"")</f>
        <v/>
      </c>
      <c r="F439" s="8">
        <f>IFERROR(INDEX(Tbl_KPIConfig[Unit],MATCH($D439,Tbl_KPIConfig[KPI Name],0)),"")</f>
        <v/>
      </c>
      <c r="G439" s="8">
        <f>IFERROR(INDEX(Tbl_KPIConfig[Target],MATCH($D439,Tbl_KPIConfig[KPI Name],0)),"")</f>
        <v/>
      </c>
      <c r="H439" s="8" t="n">
        <v>2</v>
      </c>
      <c r="I439" s="9">
        <f>IFERROR(IF(INDEX(Tbl_KPIConfig[Direction],MATCH($D439,Tbl_KPIConfig[KPI Name],0))="Lower is Better",IF($H439=0,1,IF($G439=0,0,$G439/$H439)),IF($G439=0,1,$H439/$G439)),0)</f>
        <v/>
      </c>
      <c r="J439" s="8">
        <f>IFERROR(IF($I439&gt;=1,"Green",IF($I439&gt;=INDEX(Tbl_KPIConfig[RAG Threshold %],MATCH($D439,Tbl_KPIConfig[KPI Name],0)),"Amber","Red")),"")</f>
        <v/>
      </c>
      <c r="K439" s="10" t="inlineStr"/>
    </row>
    <row r="440">
      <c r="A440" s="11" t="n">
        <v>46205</v>
      </c>
      <c r="B440" s="12">
        <f>IF($A440="","",TEXT($A440,"mmm-yyyy"))</f>
        <v/>
      </c>
      <c r="C440" s="12">
        <f>IF($A440="","","W"&amp;WEEKNUM($A440,2))</f>
        <v/>
      </c>
      <c r="D440" s="12" t="inlineStr">
        <is>
          <t>Production Output</t>
        </is>
      </c>
      <c r="E440" s="12">
        <f>IFERROR(INDEX(Tbl_KPIConfig[Department],MATCH($D440,Tbl_KPIConfig[KPI Name],0)),"")</f>
        <v/>
      </c>
      <c r="F440" s="12">
        <f>IFERROR(INDEX(Tbl_KPIConfig[Unit],MATCH($D440,Tbl_KPIConfig[KPI Name],0)),"")</f>
        <v/>
      </c>
      <c r="G440" s="12">
        <f>IFERROR(INDEX(Tbl_KPIConfig[Target],MATCH($D440,Tbl_KPIConfig[KPI Name],0)),"")</f>
        <v/>
      </c>
      <c r="H440" s="12" t="n">
        <v>1048.66</v>
      </c>
      <c r="I440" s="13">
        <f>IFERROR(IF(INDEX(Tbl_KPIConfig[Direction],MATCH($D440,Tbl_KPIConfig[KPI Name],0))="Lower is Better",IF($H440=0,1,IF($G440=0,0,$G440/$H440)),IF($G440=0,1,$H440/$G440)),0)</f>
        <v/>
      </c>
      <c r="J440" s="12">
        <f>IFERROR(IF($I440&gt;=1,"Green",IF($I440&gt;=INDEX(Tbl_KPIConfig[RAG Threshold %],MATCH($D440,Tbl_KPIConfig[KPI Name],0)),"Amber","Red")),"")</f>
        <v/>
      </c>
      <c r="K440" s="14" t="inlineStr">
        <is>
          <t>Manpower shortage</t>
        </is>
      </c>
    </row>
    <row r="441">
      <c r="A441" s="7" t="n">
        <v>46205</v>
      </c>
      <c r="B441" s="8">
        <f>IF($A441="","",TEXT($A441,"mmm-yyyy"))</f>
        <v/>
      </c>
      <c r="C441" s="8">
        <f>IF($A441="","","W"&amp;WEEKNUM($A441,2))</f>
        <v/>
      </c>
      <c r="D441" s="8" t="inlineStr">
        <is>
          <t>OEE %</t>
        </is>
      </c>
      <c r="E441" s="8">
        <f>IFERROR(INDEX(Tbl_KPIConfig[Department],MATCH($D441,Tbl_KPIConfig[KPI Name],0)),"")</f>
        <v/>
      </c>
      <c r="F441" s="8">
        <f>IFERROR(INDEX(Tbl_KPIConfig[Unit],MATCH($D441,Tbl_KPIConfig[KPI Name],0)),"")</f>
        <v/>
      </c>
      <c r="G441" s="8">
        <f>IFERROR(INDEX(Tbl_KPIConfig[Target],MATCH($D441,Tbl_KPIConfig[KPI Name],0)),"")</f>
        <v/>
      </c>
      <c r="H441" s="8" t="n">
        <v>0.7298</v>
      </c>
      <c r="I441" s="9">
        <f>IFERROR(IF(INDEX(Tbl_KPIConfig[Direction],MATCH($D441,Tbl_KPIConfig[KPI Name],0))="Lower is Better",IF($H441=0,1,IF($G441=0,0,$G441/$H441)),IF($G441=0,1,$H441/$G441)),0)</f>
        <v/>
      </c>
      <c r="J441" s="8">
        <f>IFERROR(IF($I441&gt;=1,"Green",IF($I441&gt;=INDEX(Tbl_KPIConfig[RAG Threshold %],MATCH($D441,Tbl_KPIConfig[KPI Name],0)),"Amber","Red")),"")</f>
        <v/>
      </c>
      <c r="K441" s="10" t="inlineStr">
        <is>
          <t>Vendor delay</t>
        </is>
      </c>
    </row>
    <row r="442">
      <c r="A442" s="11" t="n">
        <v>46205</v>
      </c>
      <c r="B442" s="12">
        <f>IF($A442="","",TEXT($A442,"mmm-yyyy"))</f>
        <v/>
      </c>
      <c r="C442" s="12">
        <f>IF($A442="","","W"&amp;WEEKNUM($A442,2))</f>
        <v/>
      </c>
      <c r="D442" s="12" t="inlineStr">
        <is>
          <t>Defect Rate %</t>
        </is>
      </c>
      <c r="E442" s="12">
        <f>IFERROR(INDEX(Tbl_KPIConfig[Department],MATCH($D442,Tbl_KPIConfig[KPI Name],0)),"")</f>
        <v/>
      </c>
      <c r="F442" s="12">
        <f>IFERROR(INDEX(Tbl_KPIConfig[Unit],MATCH($D442,Tbl_KPIConfig[KPI Name],0)),"")</f>
        <v/>
      </c>
      <c r="G442" s="12">
        <f>IFERROR(INDEX(Tbl_KPIConfig[Target],MATCH($D442,Tbl_KPIConfig[KPI Name],0)),"")</f>
        <v/>
      </c>
      <c r="H442" s="12" t="n">
        <v>0.018</v>
      </c>
      <c r="I442" s="13">
        <f>IFERROR(IF(INDEX(Tbl_KPIConfig[Direction],MATCH($D442,Tbl_KPIConfig[KPI Name],0))="Lower is Better",IF($H442=0,1,IF($G442=0,0,$G442/$H442)),IF($G442=0,1,$H442/$G442)),0)</f>
        <v/>
      </c>
      <c r="J442" s="12">
        <f>IFERROR(IF($I442&gt;=1,"Green",IF($I442&gt;=INDEX(Tbl_KPIConfig[RAG Threshold %],MATCH($D442,Tbl_KPIConfig[KPI Name],0)),"Amber","Red")),"")</f>
        <v/>
      </c>
      <c r="K442" s="14" t="inlineStr">
        <is>
          <t>Within normal range</t>
        </is>
      </c>
    </row>
    <row r="443">
      <c r="A443" s="7" t="n">
        <v>46205</v>
      </c>
      <c r="B443" s="8">
        <f>IF($A443="","",TEXT($A443,"mmm-yyyy"))</f>
        <v/>
      </c>
      <c r="C443" s="8">
        <f>IF($A443="","","W"&amp;WEEKNUM($A443,2))</f>
        <v/>
      </c>
      <c r="D443" s="8" t="inlineStr">
        <is>
          <t>Customer Complaints</t>
        </is>
      </c>
      <c r="E443" s="8">
        <f>IFERROR(INDEX(Tbl_KPIConfig[Department],MATCH($D443,Tbl_KPIConfig[KPI Name],0)),"")</f>
        <v/>
      </c>
      <c r="F443" s="8">
        <f>IFERROR(INDEX(Tbl_KPIConfig[Unit],MATCH($D443,Tbl_KPIConfig[KPI Name],0)),"")</f>
        <v/>
      </c>
      <c r="G443" s="8">
        <f>IFERROR(INDEX(Tbl_KPIConfig[Target],MATCH($D443,Tbl_KPIConfig[KPI Name],0)),"")</f>
        <v/>
      </c>
      <c r="H443" s="8" t="n">
        <v>2</v>
      </c>
      <c r="I443" s="9">
        <f>IFERROR(IF(INDEX(Tbl_KPIConfig[Direction],MATCH($D443,Tbl_KPIConfig[KPI Name],0))="Lower is Better",IF($H443=0,1,IF($G443=0,0,$G443/$H443)),IF($G443=0,1,$H443/$G443)),0)</f>
        <v/>
      </c>
      <c r="J443" s="8">
        <f>IFERROR(IF($I443&gt;=1,"Green",IF($I443&gt;=INDEX(Tbl_KPIConfig[RAG Threshold %],MATCH($D443,Tbl_KPIConfig[KPI Name],0)),"Amber","Red")),"")</f>
        <v/>
      </c>
      <c r="K443" s="10" t="inlineStr"/>
    </row>
    <row r="444">
      <c r="A444" s="11" t="n">
        <v>46205</v>
      </c>
      <c r="B444" s="12">
        <f>IF($A444="","",TEXT($A444,"mmm-yyyy"))</f>
        <v/>
      </c>
      <c r="C444" s="12">
        <f>IF($A444="","","W"&amp;WEEKNUM($A444,2))</f>
        <v/>
      </c>
      <c r="D444" s="12" t="inlineStr">
        <is>
          <t>Unplanned Downtime (Hrs)</t>
        </is>
      </c>
      <c r="E444" s="12">
        <f>IFERROR(INDEX(Tbl_KPIConfig[Department],MATCH($D444,Tbl_KPIConfig[KPI Name],0)),"")</f>
        <v/>
      </c>
      <c r="F444" s="12">
        <f>IFERROR(INDEX(Tbl_KPIConfig[Unit],MATCH($D444,Tbl_KPIConfig[KPI Name],0)),"")</f>
        <v/>
      </c>
      <c r="G444" s="12">
        <f>IFERROR(INDEX(Tbl_KPIConfig[Target],MATCH($D444,Tbl_KPIConfig[KPI Name],0)),"")</f>
        <v/>
      </c>
      <c r="H444" s="12" t="n">
        <v>1.16</v>
      </c>
      <c r="I444" s="13">
        <f>IFERROR(IF(INDEX(Tbl_KPIConfig[Direction],MATCH($D444,Tbl_KPIConfig[KPI Name],0))="Lower is Better",IF($H444=0,1,IF($G444=0,0,$G444/$H444)),IF($G444=0,1,$H444/$G444)),0)</f>
        <v/>
      </c>
      <c r="J444" s="12">
        <f>IFERROR(IF($I444&gt;=1,"Green",IF($I444&gt;=INDEX(Tbl_KPIConfig[RAG Threshold %],MATCH($D444,Tbl_KPIConfig[KPI Name],0)),"Amber","Red")),"")</f>
        <v/>
      </c>
      <c r="K444" s="14" t="inlineStr">
        <is>
          <t>Manpower shortage</t>
        </is>
      </c>
    </row>
    <row r="445">
      <c r="A445" s="7" t="n">
        <v>46205</v>
      </c>
      <c r="B445" s="8">
        <f>IF($A445="","",TEXT($A445,"mmm-yyyy"))</f>
        <v/>
      </c>
      <c r="C445" s="8">
        <f>IF($A445="","","W"&amp;WEEKNUM($A445,2))</f>
        <v/>
      </c>
      <c r="D445" s="8" t="inlineStr">
        <is>
          <t>PM Compliance %</t>
        </is>
      </c>
      <c r="E445" s="8">
        <f>IFERROR(INDEX(Tbl_KPIConfig[Department],MATCH($D445,Tbl_KPIConfig[KPI Name],0)),"")</f>
        <v/>
      </c>
      <c r="F445" s="8">
        <f>IFERROR(INDEX(Tbl_KPIConfig[Unit],MATCH($D445,Tbl_KPIConfig[KPI Name],0)),"")</f>
        <v/>
      </c>
      <c r="G445" s="8">
        <f>IFERROR(INDEX(Tbl_KPIConfig[Target],MATCH($D445,Tbl_KPIConfig[KPI Name],0)),"")</f>
        <v/>
      </c>
      <c r="H445" s="8" t="n">
        <v>1.0086</v>
      </c>
      <c r="I445" s="9">
        <f>IFERROR(IF(INDEX(Tbl_KPIConfig[Direction],MATCH($D445,Tbl_KPIConfig[KPI Name],0))="Lower is Better",IF($H445=0,1,IF($G445=0,0,$G445/$H445)),IF($G445=0,1,$H445/$G445)),0)</f>
        <v/>
      </c>
      <c r="J445" s="8">
        <f>IFERROR(IF($I445&gt;=1,"Green",IF($I445&gt;=INDEX(Tbl_KPIConfig[RAG Threshold %],MATCH($D445,Tbl_KPIConfig[KPI Name],0)),"Amber","Red")),"")</f>
        <v/>
      </c>
      <c r="K445" s="10" t="inlineStr">
        <is>
          <t>Within normal range</t>
        </is>
      </c>
    </row>
    <row r="446">
      <c r="A446" s="11" t="n">
        <v>46205</v>
      </c>
      <c r="B446" s="12">
        <f>IF($A446="","",TEXT($A446,"mmm-yyyy"))</f>
        <v/>
      </c>
      <c r="C446" s="12">
        <f>IF($A446="","","W"&amp;WEEKNUM($A446,2))</f>
        <v/>
      </c>
      <c r="D446" s="12" t="inlineStr">
        <is>
          <t>Power Consumption (kWh)</t>
        </is>
      </c>
      <c r="E446" s="12">
        <f>IFERROR(INDEX(Tbl_KPIConfig[Department],MATCH($D446,Tbl_KPIConfig[KPI Name],0)),"")</f>
        <v/>
      </c>
      <c r="F446" s="12">
        <f>IFERROR(INDEX(Tbl_KPIConfig[Unit],MATCH($D446,Tbl_KPIConfig[KPI Name],0)),"")</f>
        <v/>
      </c>
      <c r="G446" s="12">
        <f>IFERROR(INDEX(Tbl_KPIConfig[Target],MATCH($D446,Tbl_KPIConfig[KPI Name],0)),"")</f>
        <v/>
      </c>
      <c r="H446" s="12" t="n">
        <v>5420.86</v>
      </c>
      <c r="I446" s="13">
        <f>IFERROR(IF(INDEX(Tbl_KPIConfig[Direction],MATCH($D446,Tbl_KPIConfig[KPI Name],0))="Lower is Better",IF($H446=0,1,IF($G446=0,0,$G446/$H446)),IF($G446=0,1,$H446/$G446)),0)</f>
        <v/>
      </c>
      <c r="J446" s="12">
        <f>IFERROR(IF($I446&gt;=1,"Green",IF($I446&gt;=INDEX(Tbl_KPIConfig[RAG Threshold %],MATCH($D446,Tbl_KPIConfig[KPI Name],0)),"Amber","Red")),"")</f>
        <v/>
      </c>
      <c r="K446" s="14" t="inlineStr">
        <is>
          <t>Vendor delay</t>
        </is>
      </c>
    </row>
    <row r="447">
      <c r="A447" s="7" t="n">
        <v>46205</v>
      </c>
      <c r="B447" s="8">
        <f>IF($A447="","",TEXT($A447,"mmm-yyyy"))</f>
        <v/>
      </c>
      <c r="C447" s="8">
        <f>IF($A447="","","W"&amp;WEEKNUM($A447,2))</f>
        <v/>
      </c>
      <c r="D447" s="8" t="inlineStr">
        <is>
          <t>On-Time Dispatch %</t>
        </is>
      </c>
      <c r="E447" s="8">
        <f>IFERROR(INDEX(Tbl_KPIConfig[Department],MATCH($D447,Tbl_KPIConfig[KPI Name],0)),"")</f>
        <v/>
      </c>
      <c r="F447" s="8">
        <f>IFERROR(INDEX(Tbl_KPIConfig[Unit],MATCH($D447,Tbl_KPIConfig[KPI Name],0)),"")</f>
        <v/>
      </c>
      <c r="G447" s="8">
        <f>IFERROR(INDEX(Tbl_KPIConfig[Target],MATCH($D447,Tbl_KPIConfig[KPI Name],0)),"")</f>
        <v/>
      </c>
      <c r="H447" s="8" t="n">
        <v>0.8581</v>
      </c>
      <c r="I447" s="9">
        <f>IFERROR(IF(INDEX(Tbl_KPIConfig[Direction],MATCH($D447,Tbl_KPIConfig[KPI Name],0))="Lower is Better",IF($H447=0,1,IF($G447=0,0,$G447/$H447)),IF($G447=0,1,$H447/$G447)),0)</f>
        <v/>
      </c>
      <c r="J447" s="8">
        <f>IFERROR(IF($I447&gt;=1,"Green",IF($I447&gt;=INDEX(Tbl_KPIConfig[RAG Threshold %],MATCH($D447,Tbl_KPIConfig[KPI Name],0)),"Amber","Red")),"")</f>
        <v/>
      </c>
      <c r="K447" s="10" t="inlineStr">
        <is>
          <t>Manpower shortage</t>
        </is>
      </c>
    </row>
    <row r="448">
      <c r="A448" s="11" t="n">
        <v>46205</v>
      </c>
      <c r="B448" s="12">
        <f>IF($A448="","",TEXT($A448,"mmm-yyyy"))</f>
        <v/>
      </c>
      <c r="C448" s="12">
        <f>IF($A448="","","W"&amp;WEEKNUM($A448,2))</f>
        <v/>
      </c>
      <c r="D448" s="12" t="inlineStr">
        <is>
          <t>Inventory Accuracy %</t>
        </is>
      </c>
      <c r="E448" s="12">
        <f>IFERROR(INDEX(Tbl_KPIConfig[Department],MATCH($D448,Tbl_KPIConfig[KPI Name],0)),"")</f>
        <v/>
      </c>
      <c r="F448" s="12">
        <f>IFERROR(INDEX(Tbl_KPIConfig[Unit],MATCH($D448,Tbl_KPIConfig[KPI Name],0)),"")</f>
        <v/>
      </c>
      <c r="G448" s="12">
        <f>IFERROR(INDEX(Tbl_KPIConfig[Target],MATCH($D448,Tbl_KPIConfig[KPI Name],0)),"")</f>
        <v/>
      </c>
      <c r="H448" s="12" t="n">
        <v>1.0502</v>
      </c>
      <c r="I448" s="13">
        <f>IFERROR(IF(INDEX(Tbl_KPIConfig[Direction],MATCH($D448,Tbl_KPIConfig[KPI Name],0))="Lower is Better",IF($H448=0,1,IF($G448=0,0,$G448/$H448)),IF($G448=0,1,$H448/$G448)),0)</f>
        <v/>
      </c>
      <c r="J448" s="12">
        <f>IFERROR(IF($I448&gt;=1,"Green",IF($I448&gt;=INDEX(Tbl_KPIConfig[RAG Threshold %],MATCH($D448,Tbl_KPIConfig[KPI Name],0)),"Amber","Red")),"")</f>
        <v/>
      </c>
      <c r="K448" s="14" t="inlineStr">
        <is>
          <t>Line changeover impact</t>
        </is>
      </c>
    </row>
    <row r="449">
      <c r="A449" s="7" t="n">
        <v>46205</v>
      </c>
      <c r="B449" s="8">
        <f>IF($A449="","",TEXT($A449,"mmm-yyyy"))</f>
        <v/>
      </c>
      <c r="C449" s="8">
        <f>IF($A449="","","W"&amp;WEEKNUM($A449,2))</f>
        <v/>
      </c>
      <c r="D449" s="8" t="inlineStr">
        <is>
          <t>Absenteeism %</t>
        </is>
      </c>
      <c r="E449" s="8">
        <f>IFERROR(INDEX(Tbl_KPIConfig[Department],MATCH($D449,Tbl_KPIConfig[KPI Name],0)),"")</f>
        <v/>
      </c>
      <c r="F449" s="8">
        <f>IFERROR(INDEX(Tbl_KPIConfig[Unit],MATCH($D449,Tbl_KPIConfig[KPI Name],0)),"")</f>
        <v/>
      </c>
      <c r="G449" s="8">
        <f>IFERROR(INDEX(Tbl_KPIConfig[Target],MATCH($D449,Tbl_KPIConfig[KPI Name],0)),"")</f>
        <v/>
      </c>
      <c r="H449" s="8" t="n">
        <v>0.0318</v>
      </c>
      <c r="I449" s="9">
        <f>IFERROR(IF(INDEX(Tbl_KPIConfig[Direction],MATCH($D449,Tbl_KPIConfig[KPI Name],0))="Lower is Better",IF($H449=0,1,IF($G449=0,0,$G449/$H449)),IF($G449=0,1,$H449/$G449)),0)</f>
        <v/>
      </c>
      <c r="J449" s="8">
        <f>IFERROR(IF($I449&gt;=1,"Green",IF($I449&gt;=INDEX(Tbl_KPIConfig[RAG Threshold %],MATCH($D449,Tbl_KPIConfig[KPI Name],0)),"Amber","Red")),"")</f>
        <v/>
      </c>
      <c r="K449" s="10" t="inlineStr">
        <is>
          <t>Awaiting spares</t>
        </is>
      </c>
    </row>
    <row r="450">
      <c r="A450" s="11" t="n">
        <v>46205</v>
      </c>
      <c r="B450" s="12">
        <f>IF($A450="","",TEXT($A450,"mmm-yyyy"))</f>
        <v/>
      </c>
      <c r="C450" s="12">
        <f>IF($A450="","","W"&amp;WEEKNUM($A450,2))</f>
        <v/>
      </c>
      <c r="D450" s="12" t="inlineStr">
        <is>
          <t>Training Hours</t>
        </is>
      </c>
      <c r="E450" s="12">
        <f>IFERROR(INDEX(Tbl_KPIConfig[Department],MATCH($D450,Tbl_KPIConfig[KPI Name],0)),"")</f>
        <v/>
      </c>
      <c r="F450" s="12">
        <f>IFERROR(INDEX(Tbl_KPIConfig[Unit],MATCH($D450,Tbl_KPIConfig[KPI Name],0)),"")</f>
        <v/>
      </c>
      <c r="G450" s="12">
        <f>IFERROR(INDEX(Tbl_KPIConfig[Target],MATCH($D450,Tbl_KPIConfig[KPI Name],0)),"")</f>
        <v/>
      </c>
      <c r="H450" s="12" t="n">
        <v>2.08</v>
      </c>
      <c r="I450" s="13">
        <f>IFERROR(IF(INDEX(Tbl_KPIConfig[Direction],MATCH($D450,Tbl_KPIConfig[KPI Name],0))="Lower is Better",IF($H450=0,1,IF($G450=0,0,$G450/$H450)),IF($G450=0,1,$H450/$G450)),0)</f>
        <v/>
      </c>
      <c r="J450" s="12">
        <f>IFERROR(IF($I450&gt;=1,"Green",IF($I450&gt;=INDEX(Tbl_KPIConfig[RAG Threshold %],MATCH($D450,Tbl_KPIConfig[KPI Name],0)),"Amber","Red")),"")</f>
        <v/>
      </c>
      <c r="K450" s="14" t="inlineStr">
        <is>
          <t>Vendor delay</t>
        </is>
      </c>
    </row>
    <row r="451">
      <c r="A451" s="7" t="n">
        <v>46205</v>
      </c>
      <c r="B451" s="8">
        <f>IF($A451="","",TEXT($A451,"mmm-yyyy"))</f>
        <v/>
      </c>
      <c r="C451" s="8">
        <f>IF($A451="","","W"&amp;WEEKNUM($A451,2))</f>
        <v/>
      </c>
      <c r="D451" s="8" t="inlineStr">
        <is>
          <t>Milestone Adherence %</t>
        </is>
      </c>
      <c r="E451" s="8">
        <f>IFERROR(INDEX(Tbl_KPIConfig[Department],MATCH($D451,Tbl_KPIConfig[KPI Name],0)),"")</f>
        <v/>
      </c>
      <c r="F451" s="8">
        <f>IFERROR(INDEX(Tbl_KPIConfig[Unit],MATCH($D451,Tbl_KPIConfig[KPI Name],0)),"")</f>
        <v/>
      </c>
      <c r="G451" s="8">
        <f>IFERROR(INDEX(Tbl_KPIConfig[Target],MATCH($D451,Tbl_KPIConfig[KPI Name],0)),"")</f>
        <v/>
      </c>
      <c r="H451" s="8" t="n">
        <v>0.8808</v>
      </c>
      <c r="I451" s="9">
        <f>IFERROR(IF(INDEX(Tbl_KPIConfig[Direction],MATCH($D451,Tbl_KPIConfig[KPI Name],0))="Lower is Better",IF($H451=0,1,IF($G451=0,0,$G451/$H451)),IF($G451=0,1,$H451/$G451)),0)</f>
        <v/>
      </c>
      <c r="J451" s="8">
        <f>IFERROR(IF($I451&gt;=1,"Green",IF($I451&gt;=INDEX(Tbl_KPIConfig[RAG Threshold %],MATCH($D451,Tbl_KPIConfig[KPI Name],0)),"Amber","Red")),"")</f>
        <v/>
      </c>
      <c r="K451" s="10" t="inlineStr"/>
    </row>
    <row r="452">
      <c r="A452" s="11" t="n">
        <v>46205</v>
      </c>
      <c r="B452" s="12">
        <f>IF($A452="","",TEXT($A452,"mmm-yyyy"))</f>
        <v/>
      </c>
      <c r="C452" s="12">
        <f>IF($A452="","","W"&amp;WEEKNUM($A452,2))</f>
        <v/>
      </c>
      <c r="D452" s="12" t="inlineStr">
        <is>
          <t>Breakdown Resolution (Hrs)</t>
        </is>
      </c>
      <c r="E452" s="12">
        <f>IFERROR(INDEX(Tbl_KPIConfig[Department],MATCH($D452,Tbl_KPIConfig[KPI Name],0)),"")</f>
        <v/>
      </c>
      <c r="F452" s="12">
        <f>IFERROR(INDEX(Tbl_KPIConfig[Unit],MATCH($D452,Tbl_KPIConfig[KPI Name],0)),"")</f>
        <v/>
      </c>
      <c r="G452" s="12">
        <f>IFERROR(INDEX(Tbl_KPIConfig[Target],MATCH($D452,Tbl_KPIConfig[KPI Name],0)),"")</f>
        <v/>
      </c>
      <c r="H452" s="12" t="n">
        <v>2.2</v>
      </c>
      <c r="I452" s="13">
        <f>IFERROR(IF(INDEX(Tbl_KPIConfig[Direction],MATCH($D452,Tbl_KPIConfig[KPI Name],0))="Lower is Better",IF($H452=0,1,IF($G452=0,0,$G452/$H452)),IF($G452=0,1,$H452/$G452)),0)</f>
        <v/>
      </c>
      <c r="J452" s="12">
        <f>IFERROR(IF($I452&gt;=1,"Green",IF($I452&gt;=INDEX(Tbl_KPIConfig[RAG Threshold %],MATCH($D452,Tbl_KPIConfig[KPI Name],0)),"Amber","Red")),"")</f>
        <v/>
      </c>
      <c r="K452" s="14" t="inlineStr">
        <is>
          <t>Line changeover impact</t>
        </is>
      </c>
    </row>
    <row r="453">
      <c r="A453" s="7" t="n">
        <v>46206</v>
      </c>
      <c r="B453" s="8">
        <f>IF($A453="","",TEXT($A453,"mmm-yyyy"))</f>
        <v/>
      </c>
      <c r="C453" s="8">
        <f>IF($A453="","","W"&amp;WEEKNUM($A453,2))</f>
        <v/>
      </c>
      <c r="D453" s="8" t="inlineStr">
        <is>
          <t>Safety Incidents (LTI)</t>
        </is>
      </c>
      <c r="E453" s="8">
        <f>IFERROR(INDEX(Tbl_KPIConfig[Department],MATCH($D453,Tbl_KPIConfig[KPI Name],0)),"")</f>
        <v/>
      </c>
      <c r="F453" s="8">
        <f>IFERROR(INDEX(Tbl_KPIConfig[Unit],MATCH($D453,Tbl_KPIConfig[KPI Name],0)),"")</f>
        <v/>
      </c>
      <c r="G453" s="8">
        <f>IFERROR(INDEX(Tbl_KPIConfig[Target],MATCH($D453,Tbl_KPIConfig[KPI Name],0)),"")</f>
        <v/>
      </c>
      <c r="H453" s="8" t="n">
        <v>0</v>
      </c>
      <c r="I453" s="9">
        <f>IFERROR(IF(INDEX(Tbl_KPIConfig[Direction],MATCH($D453,Tbl_KPIConfig[KPI Name],0))="Lower is Better",IF($H453=0,1,IF($G453=0,0,$G453/$H453)),IF($G453=0,1,$H453/$G453)),0)</f>
        <v/>
      </c>
      <c r="J453" s="8">
        <f>IFERROR(IF($I453&gt;=1,"Green",IF($I453&gt;=INDEX(Tbl_KPIConfig[RAG Threshold %],MATCH($D453,Tbl_KPIConfig[KPI Name],0)),"Amber","Red")),"")</f>
        <v/>
      </c>
      <c r="K453" s="10" t="inlineStr">
        <is>
          <t>Process improvement in progress</t>
        </is>
      </c>
    </row>
    <row r="454">
      <c r="A454" s="11" t="n">
        <v>46206</v>
      </c>
      <c r="B454" s="12">
        <f>IF($A454="","",TEXT($A454,"mmm-yyyy"))</f>
        <v/>
      </c>
      <c r="C454" s="12">
        <f>IF($A454="","","W"&amp;WEEKNUM($A454,2))</f>
        <v/>
      </c>
      <c r="D454" s="12" t="inlineStr">
        <is>
          <t>Near Miss Reports</t>
        </is>
      </c>
      <c r="E454" s="12">
        <f>IFERROR(INDEX(Tbl_KPIConfig[Department],MATCH($D454,Tbl_KPIConfig[KPI Name],0)),"")</f>
        <v/>
      </c>
      <c r="F454" s="12">
        <f>IFERROR(INDEX(Tbl_KPIConfig[Unit],MATCH($D454,Tbl_KPIConfig[KPI Name],0)),"")</f>
        <v/>
      </c>
      <c r="G454" s="12">
        <f>IFERROR(INDEX(Tbl_KPIConfig[Target],MATCH($D454,Tbl_KPIConfig[KPI Name],0)),"")</f>
        <v/>
      </c>
      <c r="H454" s="12" t="n">
        <v>2</v>
      </c>
      <c r="I454" s="13">
        <f>IFERROR(IF(INDEX(Tbl_KPIConfig[Direction],MATCH($D454,Tbl_KPIConfig[KPI Name],0))="Lower is Better",IF($H454=0,1,IF($G454=0,0,$G454/$H454)),IF($G454=0,1,$H454/$G454)),0)</f>
        <v/>
      </c>
      <c r="J454" s="12">
        <f>IFERROR(IF($I454&gt;=1,"Green",IF($I454&gt;=INDEX(Tbl_KPIConfig[RAG Threshold %],MATCH($D454,Tbl_KPIConfig[KPI Name],0)),"Amber","Red")),"")</f>
        <v/>
      </c>
      <c r="K454" s="14" t="inlineStr">
        <is>
          <t>Within normal range</t>
        </is>
      </c>
    </row>
    <row r="455">
      <c r="A455" s="7" t="n">
        <v>46206</v>
      </c>
      <c r="B455" s="8">
        <f>IF($A455="","",TEXT($A455,"mmm-yyyy"))</f>
        <v/>
      </c>
      <c r="C455" s="8">
        <f>IF($A455="","","W"&amp;WEEKNUM($A455,2))</f>
        <v/>
      </c>
      <c r="D455" s="8" t="inlineStr">
        <is>
          <t>Production Output</t>
        </is>
      </c>
      <c r="E455" s="8">
        <f>IFERROR(INDEX(Tbl_KPIConfig[Department],MATCH($D455,Tbl_KPIConfig[KPI Name],0)),"")</f>
        <v/>
      </c>
      <c r="F455" s="8">
        <f>IFERROR(INDEX(Tbl_KPIConfig[Unit],MATCH($D455,Tbl_KPIConfig[KPI Name],0)),"")</f>
        <v/>
      </c>
      <c r="G455" s="8">
        <f>IFERROR(INDEX(Tbl_KPIConfig[Target],MATCH($D455,Tbl_KPIConfig[KPI Name],0)),"")</f>
        <v/>
      </c>
      <c r="H455" s="8" t="n">
        <v>1114.1</v>
      </c>
      <c r="I455" s="9">
        <f>IFERROR(IF(INDEX(Tbl_KPIConfig[Direction],MATCH($D455,Tbl_KPIConfig[KPI Name],0))="Lower is Better",IF($H455=0,1,IF($G455=0,0,$G455/$H455)),IF($G455=0,1,$H455/$G455)),0)</f>
        <v/>
      </c>
      <c r="J455" s="8">
        <f>IFERROR(IF($I455&gt;=1,"Green",IF($I455&gt;=INDEX(Tbl_KPIConfig[RAG Threshold %],MATCH($D455,Tbl_KPIConfig[KPI Name],0)),"Amber","Red")),"")</f>
        <v/>
      </c>
      <c r="K455" s="10" t="inlineStr">
        <is>
          <t>Line changeover impact</t>
        </is>
      </c>
    </row>
    <row r="456">
      <c r="A456" s="11" t="n">
        <v>46206</v>
      </c>
      <c r="B456" s="12">
        <f>IF($A456="","",TEXT($A456,"mmm-yyyy"))</f>
        <v/>
      </c>
      <c r="C456" s="12">
        <f>IF($A456="","","W"&amp;WEEKNUM($A456,2))</f>
        <v/>
      </c>
      <c r="D456" s="12" t="inlineStr">
        <is>
          <t>OEE %</t>
        </is>
      </c>
      <c r="E456" s="12">
        <f>IFERROR(INDEX(Tbl_KPIConfig[Department],MATCH($D456,Tbl_KPIConfig[KPI Name],0)),"")</f>
        <v/>
      </c>
      <c r="F456" s="12">
        <f>IFERROR(INDEX(Tbl_KPIConfig[Unit],MATCH($D456,Tbl_KPIConfig[KPI Name],0)),"")</f>
        <v/>
      </c>
      <c r="G456" s="12">
        <f>IFERROR(INDEX(Tbl_KPIConfig[Target],MATCH($D456,Tbl_KPIConfig[KPI Name],0)),"")</f>
        <v/>
      </c>
      <c r="H456" s="12" t="n">
        <v>0.8479</v>
      </c>
      <c r="I456" s="13">
        <f>IFERROR(IF(INDEX(Tbl_KPIConfig[Direction],MATCH($D456,Tbl_KPIConfig[KPI Name],0))="Lower is Better",IF($H456=0,1,IF($G456=0,0,$G456/$H456)),IF($G456=0,1,$H456/$G456)),0)</f>
        <v/>
      </c>
      <c r="J456" s="12">
        <f>IFERROR(IF($I456&gt;=1,"Green",IF($I456&gt;=INDEX(Tbl_KPIConfig[RAG Threshold %],MATCH($D456,Tbl_KPIConfig[KPI Name],0)),"Amber","Red")),"")</f>
        <v/>
      </c>
      <c r="K456" s="14" t="inlineStr"/>
    </row>
    <row r="457">
      <c r="A457" s="7" t="n">
        <v>46206</v>
      </c>
      <c r="B457" s="8">
        <f>IF($A457="","",TEXT($A457,"mmm-yyyy"))</f>
        <v/>
      </c>
      <c r="C457" s="8">
        <f>IF($A457="","","W"&amp;WEEKNUM($A457,2))</f>
        <v/>
      </c>
      <c r="D457" s="8" t="inlineStr">
        <is>
          <t>Defect Rate %</t>
        </is>
      </c>
      <c r="E457" s="8">
        <f>IFERROR(INDEX(Tbl_KPIConfig[Department],MATCH($D457,Tbl_KPIConfig[KPI Name],0)),"")</f>
        <v/>
      </c>
      <c r="F457" s="8">
        <f>IFERROR(INDEX(Tbl_KPIConfig[Unit],MATCH($D457,Tbl_KPIConfig[KPI Name],0)),"")</f>
        <v/>
      </c>
      <c r="G457" s="8">
        <f>IFERROR(INDEX(Tbl_KPIConfig[Target],MATCH($D457,Tbl_KPIConfig[KPI Name],0)),"")</f>
        <v/>
      </c>
      <c r="H457" s="8" t="n">
        <v>0.0201</v>
      </c>
      <c r="I457" s="9">
        <f>IFERROR(IF(INDEX(Tbl_KPIConfig[Direction],MATCH($D457,Tbl_KPIConfig[KPI Name],0))="Lower is Better",IF($H457=0,1,IF($G457=0,0,$G457/$H457)),IF($G457=0,1,$H457/$G457)),0)</f>
        <v/>
      </c>
      <c r="J457" s="8">
        <f>IFERROR(IF($I457&gt;=1,"Green",IF($I457&gt;=INDEX(Tbl_KPIConfig[RAG Threshold %],MATCH($D457,Tbl_KPIConfig[KPI Name],0)),"Amber","Red")),"")</f>
        <v/>
      </c>
      <c r="K457" s="10" t="inlineStr">
        <is>
          <t>Awaiting spares</t>
        </is>
      </c>
    </row>
    <row r="458">
      <c r="A458" s="11" t="n">
        <v>46206</v>
      </c>
      <c r="B458" s="12">
        <f>IF($A458="","",TEXT($A458,"mmm-yyyy"))</f>
        <v/>
      </c>
      <c r="C458" s="12">
        <f>IF($A458="","","W"&amp;WEEKNUM($A458,2))</f>
        <v/>
      </c>
      <c r="D458" s="12" t="inlineStr">
        <is>
          <t>Customer Complaints</t>
        </is>
      </c>
      <c r="E458" s="12">
        <f>IFERROR(INDEX(Tbl_KPIConfig[Department],MATCH($D458,Tbl_KPIConfig[KPI Name],0)),"")</f>
        <v/>
      </c>
      <c r="F458" s="12">
        <f>IFERROR(INDEX(Tbl_KPIConfig[Unit],MATCH($D458,Tbl_KPIConfig[KPI Name],0)),"")</f>
        <v/>
      </c>
      <c r="G458" s="12">
        <f>IFERROR(INDEX(Tbl_KPIConfig[Target],MATCH($D458,Tbl_KPIConfig[KPI Name],0)),"")</f>
        <v/>
      </c>
      <c r="H458" s="12" t="n">
        <v>0</v>
      </c>
      <c r="I458" s="13">
        <f>IFERROR(IF(INDEX(Tbl_KPIConfig[Direction],MATCH($D458,Tbl_KPIConfig[KPI Name],0))="Lower is Better",IF($H458=0,1,IF($G458=0,0,$G458/$H458)),IF($G458=0,1,$H458/$G458)),0)</f>
        <v/>
      </c>
      <c r="J458" s="12">
        <f>IFERROR(IF($I458&gt;=1,"Green",IF($I458&gt;=INDEX(Tbl_KPIConfig[RAG Threshold %],MATCH($D458,Tbl_KPIConfig[KPI Name],0)),"Amber","Red")),"")</f>
        <v/>
      </c>
      <c r="K458" s="14" t="inlineStr">
        <is>
          <t>Awaiting spares</t>
        </is>
      </c>
    </row>
    <row r="459">
      <c r="A459" s="7" t="n">
        <v>46206</v>
      </c>
      <c r="B459" s="8">
        <f>IF($A459="","",TEXT($A459,"mmm-yyyy"))</f>
        <v/>
      </c>
      <c r="C459" s="8">
        <f>IF($A459="","","W"&amp;WEEKNUM($A459,2))</f>
        <v/>
      </c>
      <c r="D459" s="8" t="inlineStr">
        <is>
          <t>Unplanned Downtime (Hrs)</t>
        </is>
      </c>
      <c r="E459" s="8">
        <f>IFERROR(INDEX(Tbl_KPIConfig[Department],MATCH($D459,Tbl_KPIConfig[KPI Name],0)),"")</f>
        <v/>
      </c>
      <c r="F459" s="8">
        <f>IFERROR(INDEX(Tbl_KPIConfig[Unit],MATCH($D459,Tbl_KPIConfig[KPI Name],0)),"")</f>
        <v/>
      </c>
      <c r="G459" s="8">
        <f>IFERROR(INDEX(Tbl_KPIConfig[Target],MATCH($D459,Tbl_KPIConfig[KPI Name],0)),"")</f>
        <v/>
      </c>
      <c r="H459" s="8" t="n">
        <v>1.05</v>
      </c>
      <c r="I459" s="9">
        <f>IFERROR(IF(INDEX(Tbl_KPIConfig[Direction],MATCH($D459,Tbl_KPIConfig[KPI Name],0))="Lower is Better",IF($H459=0,1,IF($G459=0,0,$G459/$H459)),IF($G459=0,1,$H459/$G459)),0)</f>
        <v/>
      </c>
      <c r="J459" s="8">
        <f>IFERROR(IF($I459&gt;=1,"Green",IF($I459&gt;=INDEX(Tbl_KPIConfig[RAG Threshold %],MATCH($D459,Tbl_KPIConfig[KPI Name],0)),"Amber","Red")),"")</f>
        <v/>
      </c>
      <c r="K459" s="10" t="inlineStr">
        <is>
          <t>Manpower shortage</t>
        </is>
      </c>
    </row>
    <row r="460">
      <c r="A460" s="11" t="n">
        <v>46206</v>
      </c>
      <c r="B460" s="12">
        <f>IF($A460="","",TEXT($A460,"mmm-yyyy"))</f>
        <v/>
      </c>
      <c r="C460" s="12">
        <f>IF($A460="","","W"&amp;WEEKNUM($A460,2))</f>
        <v/>
      </c>
      <c r="D460" s="12" t="inlineStr">
        <is>
          <t>PM Compliance %</t>
        </is>
      </c>
      <c r="E460" s="12">
        <f>IFERROR(INDEX(Tbl_KPIConfig[Department],MATCH($D460,Tbl_KPIConfig[KPI Name],0)),"")</f>
        <v/>
      </c>
      <c r="F460" s="12">
        <f>IFERROR(INDEX(Tbl_KPIConfig[Unit],MATCH($D460,Tbl_KPIConfig[KPI Name],0)),"")</f>
        <v/>
      </c>
      <c r="G460" s="12">
        <f>IFERROR(INDEX(Tbl_KPIConfig[Target],MATCH($D460,Tbl_KPIConfig[KPI Name],0)),"")</f>
        <v/>
      </c>
      <c r="H460" s="12" t="n">
        <v>0.8448</v>
      </c>
      <c r="I460" s="13">
        <f>IFERROR(IF(INDEX(Tbl_KPIConfig[Direction],MATCH($D460,Tbl_KPIConfig[KPI Name],0))="Lower is Better",IF($H460=0,1,IF($G460=0,0,$G460/$H460)),IF($G460=0,1,$H460/$G460)),0)</f>
        <v/>
      </c>
      <c r="J460" s="12">
        <f>IFERROR(IF($I460&gt;=1,"Green",IF($I460&gt;=INDEX(Tbl_KPIConfig[RAG Threshold %],MATCH($D460,Tbl_KPIConfig[KPI Name],0)),"Amber","Red")),"")</f>
        <v/>
      </c>
      <c r="K460" s="14" t="inlineStr"/>
    </row>
    <row r="461">
      <c r="A461" s="7" t="n">
        <v>46206</v>
      </c>
      <c r="B461" s="8">
        <f>IF($A461="","",TEXT($A461,"mmm-yyyy"))</f>
        <v/>
      </c>
      <c r="C461" s="8">
        <f>IF($A461="","","W"&amp;WEEKNUM($A461,2))</f>
        <v/>
      </c>
      <c r="D461" s="8" t="inlineStr">
        <is>
          <t>Power Consumption (kWh)</t>
        </is>
      </c>
      <c r="E461" s="8">
        <f>IFERROR(INDEX(Tbl_KPIConfig[Department],MATCH($D461,Tbl_KPIConfig[KPI Name],0)),"")</f>
        <v/>
      </c>
      <c r="F461" s="8">
        <f>IFERROR(INDEX(Tbl_KPIConfig[Unit],MATCH($D461,Tbl_KPIConfig[KPI Name],0)),"")</f>
        <v/>
      </c>
      <c r="G461" s="8">
        <f>IFERROR(INDEX(Tbl_KPIConfig[Target],MATCH($D461,Tbl_KPIConfig[KPI Name],0)),"")</f>
        <v/>
      </c>
      <c r="H461" s="8" t="n">
        <v>4548.76</v>
      </c>
      <c r="I461" s="9">
        <f>IFERROR(IF(INDEX(Tbl_KPIConfig[Direction],MATCH($D461,Tbl_KPIConfig[KPI Name],0))="Lower is Better",IF($H461=0,1,IF($G461=0,0,$G461/$H461)),IF($G461=0,1,$H461/$G461)),0)</f>
        <v/>
      </c>
      <c r="J461" s="8">
        <f>IFERROR(IF($I461&gt;=1,"Green",IF($I461&gt;=INDEX(Tbl_KPIConfig[RAG Threshold %],MATCH($D461,Tbl_KPIConfig[KPI Name],0)),"Amber","Red")),"")</f>
        <v/>
      </c>
      <c r="K461" s="10" t="inlineStr">
        <is>
          <t>Line changeover impact</t>
        </is>
      </c>
    </row>
    <row r="462">
      <c r="A462" s="11" t="n">
        <v>46206</v>
      </c>
      <c r="B462" s="12">
        <f>IF($A462="","",TEXT($A462,"mmm-yyyy"))</f>
        <v/>
      </c>
      <c r="C462" s="12">
        <f>IF($A462="","","W"&amp;WEEKNUM($A462,2))</f>
        <v/>
      </c>
      <c r="D462" s="12" t="inlineStr">
        <is>
          <t>On-Time Dispatch %</t>
        </is>
      </c>
      <c r="E462" s="12">
        <f>IFERROR(INDEX(Tbl_KPIConfig[Department],MATCH($D462,Tbl_KPIConfig[KPI Name],0)),"")</f>
        <v/>
      </c>
      <c r="F462" s="12">
        <f>IFERROR(INDEX(Tbl_KPIConfig[Unit],MATCH($D462,Tbl_KPIConfig[KPI Name],0)),"")</f>
        <v/>
      </c>
      <c r="G462" s="12">
        <f>IFERROR(INDEX(Tbl_KPIConfig[Target],MATCH($D462,Tbl_KPIConfig[KPI Name],0)),"")</f>
        <v/>
      </c>
      <c r="H462" s="12" t="n">
        <v>0.9668</v>
      </c>
      <c r="I462" s="13">
        <f>IFERROR(IF(INDEX(Tbl_KPIConfig[Direction],MATCH($D462,Tbl_KPIConfig[KPI Name],0))="Lower is Better",IF($H462=0,1,IF($G462=0,0,$G462/$H462)),IF($G462=0,1,$H462/$G462)),0)</f>
        <v/>
      </c>
      <c r="J462" s="12">
        <f>IFERROR(IF($I462&gt;=1,"Green",IF($I462&gt;=INDEX(Tbl_KPIConfig[RAG Threshold %],MATCH($D462,Tbl_KPIConfig[KPI Name],0)),"Amber","Red")),"")</f>
        <v/>
      </c>
      <c r="K462" s="14" t="inlineStr">
        <is>
          <t>Awaiting spares</t>
        </is>
      </c>
    </row>
    <row r="463">
      <c r="A463" s="7" t="n">
        <v>46206</v>
      </c>
      <c r="B463" s="8">
        <f>IF($A463="","",TEXT($A463,"mmm-yyyy"))</f>
        <v/>
      </c>
      <c r="C463" s="8">
        <f>IF($A463="","","W"&amp;WEEKNUM($A463,2))</f>
        <v/>
      </c>
      <c r="D463" s="8" t="inlineStr">
        <is>
          <t>Inventory Accuracy %</t>
        </is>
      </c>
      <c r="E463" s="8">
        <f>IFERROR(INDEX(Tbl_KPIConfig[Department],MATCH($D463,Tbl_KPIConfig[KPI Name],0)),"")</f>
        <v/>
      </c>
      <c r="F463" s="8">
        <f>IFERROR(INDEX(Tbl_KPIConfig[Unit],MATCH($D463,Tbl_KPIConfig[KPI Name],0)),"")</f>
        <v/>
      </c>
      <c r="G463" s="8">
        <f>IFERROR(INDEX(Tbl_KPIConfig[Target],MATCH($D463,Tbl_KPIConfig[KPI Name],0)),"")</f>
        <v/>
      </c>
      <c r="H463" s="8" t="n">
        <v>1.0228</v>
      </c>
      <c r="I463" s="9">
        <f>IFERROR(IF(INDEX(Tbl_KPIConfig[Direction],MATCH($D463,Tbl_KPIConfig[KPI Name],0))="Lower is Better",IF($H463=0,1,IF($G463=0,0,$G463/$H463)),IF($G463=0,1,$H463/$G463)),0)</f>
        <v/>
      </c>
      <c r="J463" s="8">
        <f>IFERROR(IF($I463&gt;=1,"Green",IF($I463&gt;=INDEX(Tbl_KPIConfig[RAG Threshold %],MATCH($D463,Tbl_KPIConfig[KPI Name],0)),"Amber","Red")),"")</f>
        <v/>
      </c>
      <c r="K463" s="10" t="inlineStr">
        <is>
          <t>Vendor delay</t>
        </is>
      </c>
    </row>
    <row r="464">
      <c r="A464" s="11" t="n">
        <v>46206</v>
      </c>
      <c r="B464" s="12">
        <f>IF($A464="","",TEXT($A464,"mmm-yyyy"))</f>
        <v/>
      </c>
      <c r="C464" s="12">
        <f>IF($A464="","","W"&amp;WEEKNUM($A464,2))</f>
        <v/>
      </c>
      <c r="D464" s="12" t="inlineStr">
        <is>
          <t>Absenteeism %</t>
        </is>
      </c>
      <c r="E464" s="12">
        <f>IFERROR(INDEX(Tbl_KPIConfig[Department],MATCH($D464,Tbl_KPIConfig[KPI Name],0)),"")</f>
        <v/>
      </c>
      <c r="F464" s="12">
        <f>IFERROR(INDEX(Tbl_KPIConfig[Unit],MATCH($D464,Tbl_KPIConfig[KPI Name],0)),"")</f>
        <v/>
      </c>
      <c r="G464" s="12">
        <f>IFERROR(INDEX(Tbl_KPIConfig[Target],MATCH($D464,Tbl_KPIConfig[KPI Name],0)),"")</f>
        <v/>
      </c>
      <c r="H464" s="12" t="n">
        <v>0.0292</v>
      </c>
      <c r="I464" s="13">
        <f>IFERROR(IF(INDEX(Tbl_KPIConfig[Direction],MATCH($D464,Tbl_KPIConfig[KPI Name],0))="Lower is Better",IF($H464=0,1,IF($G464=0,0,$G464/$H464)),IF($G464=0,1,$H464/$G464)),0)</f>
        <v/>
      </c>
      <c r="J464" s="12">
        <f>IFERROR(IF($I464&gt;=1,"Green",IF($I464&gt;=INDEX(Tbl_KPIConfig[RAG Threshold %],MATCH($D464,Tbl_KPIConfig[KPI Name],0)),"Amber","Red")),"")</f>
        <v/>
      </c>
      <c r="K464" s="14" t="inlineStr">
        <is>
          <t>Awaiting spares</t>
        </is>
      </c>
    </row>
    <row r="465">
      <c r="A465" s="7" t="n">
        <v>46206</v>
      </c>
      <c r="B465" s="8">
        <f>IF($A465="","",TEXT($A465,"mmm-yyyy"))</f>
        <v/>
      </c>
      <c r="C465" s="8">
        <f>IF($A465="","","W"&amp;WEEKNUM($A465,2))</f>
        <v/>
      </c>
      <c r="D465" s="8" t="inlineStr">
        <is>
          <t>Training Hours</t>
        </is>
      </c>
      <c r="E465" s="8">
        <f>IFERROR(INDEX(Tbl_KPIConfig[Department],MATCH($D465,Tbl_KPIConfig[KPI Name],0)),"")</f>
        <v/>
      </c>
      <c r="F465" s="8">
        <f>IFERROR(INDEX(Tbl_KPIConfig[Unit],MATCH($D465,Tbl_KPIConfig[KPI Name],0)),"")</f>
        <v/>
      </c>
      <c r="G465" s="8">
        <f>IFERROR(INDEX(Tbl_KPIConfig[Target],MATCH($D465,Tbl_KPIConfig[KPI Name],0)),"")</f>
        <v/>
      </c>
      <c r="H465" s="8" t="n">
        <v>1.87</v>
      </c>
      <c r="I465" s="9">
        <f>IFERROR(IF(INDEX(Tbl_KPIConfig[Direction],MATCH($D465,Tbl_KPIConfig[KPI Name],0))="Lower is Better",IF($H465=0,1,IF($G465=0,0,$G465/$H465)),IF($G465=0,1,$H465/$G465)),0)</f>
        <v/>
      </c>
      <c r="J465" s="8">
        <f>IFERROR(IF($I465&gt;=1,"Green",IF($I465&gt;=INDEX(Tbl_KPIConfig[RAG Threshold %],MATCH($D465,Tbl_KPIConfig[KPI Name],0)),"Amber","Red")),"")</f>
        <v/>
      </c>
      <c r="K465" s="10" t="inlineStr">
        <is>
          <t>Manpower shortage</t>
        </is>
      </c>
    </row>
    <row r="466">
      <c r="A466" s="11" t="n">
        <v>46206</v>
      </c>
      <c r="B466" s="12">
        <f>IF($A466="","",TEXT($A466,"mmm-yyyy"))</f>
        <v/>
      </c>
      <c r="C466" s="12">
        <f>IF($A466="","","W"&amp;WEEKNUM($A466,2))</f>
        <v/>
      </c>
      <c r="D466" s="12" t="inlineStr">
        <is>
          <t>Milestone Adherence %</t>
        </is>
      </c>
      <c r="E466" s="12">
        <f>IFERROR(INDEX(Tbl_KPIConfig[Department],MATCH($D466,Tbl_KPIConfig[KPI Name],0)),"")</f>
        <v/>
      </c>
      <c r="F466" s="12">
        <f>IFERROR(INDEX(Tbl_KPIConfig[Unit],MATCH($D466,Tbl_KPIConfig[KPI Name],0)),"")</f>
        <v/>
      </c>
      <c r="G466" s="12">
        <f>IFERROR(INDEX(Tbl_KPIConfig[Target],MATCH($D466,Tbl_KPIConfig[KPI Name],0)),"")</f>
        <v/>
      </c>
      <c r="H466" s="12" t="n">
        <v>0.8983</v>
      </c>
      <c r="I466" s="13">
        <f>IFERROR(IF(INDEX(Tbl_KPIConfig[Direction],MATCH($D466,Tbl_KPIConfig[KPI Name],0))="Lower is Better",IF($H466=0,1,IF($G466=0,0,$G466/$H466)),IF($G466=0,1,$H466/$G466)),0)</f>
        <v/>
      </c>
      <c r="J466" s="12">
        <f>IFERROR(IF($I466&gt;=1,"Green",IF($I466&gt;=INDEX(Tbl_KPIConfig[RAG Threshold %],MATCH($D466,Tbl_KPIConfig[KPI Name],0)),"Amber","Red")),"")</f>
        <v/>
      </c>
      <c r="K466" s="14" t="inlineStr">
        <is>
          <t>Within normal range</t>
        </is>
      </c>
    </row>
    <row r="467">
      <c r="A467" s="7" t="n">
        <v>46206</v>
      </c>
      <c r="B467" s="8">
        <f>IF($A467="","",TEXT($A467,"mmm-yyyy"))</f>
        <v/>
      </c>
      <c r="C467" s="8">
        <f>IF($A467="","","W"&amp;WEEKNUM($A467,2))</f>
        <v/>
      </c>
      <c r="D467" s="8" t="inlineStr">
        <is>
          <t>Breakdown Resolution (Hrs)</t>
        </is>
      </c>
      <c r="E467" s="8">
        <f>IFERROR(INDEX(Tbl_KPIConfig[Department],MATCH($D467,Tbl_KPIConfig[KPI Name],0)),"")</f>
        <v/>
      </c>
      <c r="F467" s="8">
        <f>IFERROR(INDEX(Tbl_KPIConfig[Unit],MATCH($D467,Tbl_KPIConfig[KPI Name],0)),"")</f>
        <v/>
      </c>
      <c r="G467" s="8">
        <f>IFERROR(INDEX(Tbl_KPIConfig[Target],MATCH($D467,Tbl_KPIConfig[KPI Name],0)),"")</f>
        <v/>
      </c>
      <c r="H467" s="8" t="n">
        <v>2.1</v>
      </c>
      <c r="I467" s="9">
        <f>IFERROR(IF(INDEX(Tbl_KPIConfig[Direction],MATCH($D467,Tbl_KPIConfig[KPI Name],0))="Lower is Better",IF($H467=0,1,IF($G467=0,0,$G467/$H467)),IF($G467=0,1,$H467/$G467)),0)</f>
        <v/>
      </c>
      <c r="J467" s="8">
        <f>IFERROR(IF($I467&gt;=1,"Green",IF($I467&gt;=INDEX(Tbl_KPIConfig[RAG Threshold %],MATCH($D467,Tbl_KPIConfig[KPI Name],0)),"Amber","Red")),"")</f>
        <v/>
      </c>
      <c r="K467" s="10" t="inlineStr">
        <is>
          <t>Vendor delay</t>
        </is>
      </c>
    </row>
    <row r="468">
      <c r="A468" s="11" t="n">
        <v>46207</v>
      </c>
      <c r="B468" s="12">
        <f>IF($A468="","",TEXT($A468,"mmm-yyyy"))</f>
        <v/>
      </c>
      <c r="C468" s="12">
        <f>IF($A468="","","W"&amp;WEEKNUM($A468,2))</f>
        <v/>
      </c>
      <c r="D468" s="12" t="inlineStr">
        <is>
          <t>Safety Incidents (LTI)</t>
        </is>
      </c>
      <c r="E468" s="12">
        <f>IFERROR(INDEX(Tbl_KPIConfig[Department],MATCH($D468,Tbl_KPIConfig[KPI Name],0)),"")</f>
        <v/>
      </c>
      <c r="F468" s="12">
        <f>IFERROR(INDEX(Tbl_KPIConfig[Unit],MATCH($D468,Tbl_KPIConfig[KPI Name],0)),"")</f>
        <v/>
      </c>
      <c r="G468" s="12">
        <f>IFERROR(INDEX(Tbl_KPIConfig[Target],MATCH($D468,Tbl_KPIConfig[KPI Name],0)),"")</f>
        <v/>
      </c>
      <c r="H468" s="12" t="n">
        <v>0</v>
      </c>
      <c r="I468" s="13">
        <f>IFERROR(IF(INDEX(Tbl_KPIConfig[Direction],MATCH($D468,Tbl_KPIConfig[KPI Name],0))="Lower is Better",IF($H468=0,1,IF($G468=0,0,$G468/$H468)),IF($G468=0,1,$H468/$G468)),0)</f>
        <v/>
      </c>
      <c r="J468" s="12">
        <f>IFERROR(IF($I468&gt;=1,"Green",IF($I468&gt;=INDEX(Tbl_KPIConfig[RAG Threshold %],MATCH($D468,Tbl_KPIConfig[KPI Name],0)),"Amber","Red")),"")</f>
        <v/>
      </c>
      <c r="K468" s="14" t="inlineStr"/>
    </row>
    <row r="469">
      <c r="A469" s="7" t="n">
        <v>46207</v>
      </c>
      <c r="B469" s="8">
        <f>IF($A469="","",TEXT($A469,"mmm-yyyy"))</f>
        <v/>
      </c>
      <c r="C469" s="8">
        <f>IF($A469="","","W"&amp;WEEKNUM($A469,2))</f>
        <v/>
      </c>
      <c r="D469" s="8" t="inlineStr">
        <is>
          <t>Near Miss Reports</t>
        </is>
      </c>
      <c r="E469" s="8">
        <f>IFERROR(INDEX(Tbl_KPIConfig[Department],MATCH($D469,Tbl_KPIConfig[KPI Name],0)),"")</f>
        <v/>
      </c>
      <c r="F469" s="8">
        <f>IFERROR(INDEX(Tbl_KPIConfig[Unit],MATCH($D469,Tbl_KPIConfig[KPI Name],0)),"")</f>
        <v/>
      </c>
      <c r="G469" s="8">
        <f>IFERROR(INDEX(Tbl_KPIConfig[Target],MATCH($D469,Tbl_KPIConfig[KPI Name],0)),"")</f>
        <v/>
      </c>
      <c r="H469" s="8" t="n">
        <v>2</v>
      </c>
      <c r="I469" s="9">
        <f>IFERROR(IF(INDEX(Tbl_KPIConfig[Direction],MATCH($D469,Tbl_KPIConfig[KPI Name],0))="Lower is Better",IF($H469=0,1,IF($G469=0,0,$G469/$H469)),IF($G469=0,1,$H469/$G469)),0)</f>
        <v/>
      </c>
      <c r="J469" s="8">
        <f>IFERROR(IF($I469&gt;=1,"Green",IF($I469&gt;=INDEX(Tbl_KPIConfig[RAG Threshold %],MATCH($D469,Tbl_KPIConfig[KPI Name],0)),"Amber","Red")),"")</f>
        <v/>
      </c>
      <c r="K469" s="10" t="inlineStr">
        <is>
          <t>Vendor delay</t>
        </is>
      </c>
    </row>
    <row r="470">
      <c r="A470" s="11" t="n">
        <v>46207</v>
      </c>
      <c r="B470" s="12">
        <f>IF($A470="","",TEXT($A470,"mmm-yyyy"))</f>
        <v/>
      </c>
      <c r="C470" s="12">
        <f>IF($A470="","","W"&amp;WEEKNUM($A470,2))</f>
        <v/>
      </c>
      <c r="D470" s="12" t="inlineStr">
        <is>
          <t>Production Output</t>
        </is>
      </c>
      <c r="E470" s="12">
        <f>IFERROR(INDEX(Tbl_KPIConfig[Department],MATCH($D470,Tbl_KPIConfig[KPI Name],0)),"")</f>
        <v/>
      </c>
      <c r="F470" s="12">
        <f>IFERROR(INDEX(Tbl_KPIConfig[Unit],MATCH($D470,Tbl_KPIConfig[KPI Name],0)),"")</f>
        <v/>
      </c>
      <c r="G470" s="12">
        <f>IFERROR(INDEX(Tbl_KPIConfig[Target],MATCH($D470,Tbl_KPIConfig[KPI Name],0)),"")</f>
        <v/>
      </c>
      <c r="H470" s="12" t="n">
        <v>983.5599999999999</v>
      </c>
      <c r="I470" s="13">
        <f>IFERROR(IF(INDEX(Tbl_KPIConfig[Direction],MATCH($D470,Tbl_KPIConfig[KPI Name],0))="Lower is Better",IF($H470=0,1,IF($G470=0,0,$G470/$H470)),IF($G470=0,1,$H470/$G470)),0)</f>
        <v/>
      </c>
      <c r="J470" s="12">
        <f>IFERROR(IF($I470&gt;=1,"Green",IF($I470&gt;=INDEX(Tbl_KPIConfig[RAG Threshold %],MATCH($D470,Tbl_KPIConfig[KPI Name],0)),"Amber","Red")),"")</f>
        <v/>
      </c>
      <c r="K470" s="14" t="inlineStr"/>
    </row>
    <row r="471">
      <c r="A471" s="7" t="n">
        <v>46207</v>
      </c>
      <c r="B471" s="8">
        <f>IF($A471="","",TEXT($A471,"mmm-yyyy"))</f>
        <v/>
      </c>
      <c r="C471" s="8">
        <f>IF($A471="","","W"&amp;WEEKNUM($A471,2))</f>
        <v/>
      </c>
      <c r="D471" s="8" t="inlineStr">
        <is>
          <t>OEE %</t>
        </is>
      </c>
      <c r="E471" s="8">
        <f>IFERROR(INDEX(Tbl_KPIConfig[Department],MATCH($D471,Tbl_KPIConfig[KPI Name],0)),"")</f>
        <v/>
      </c>
      <c r="F471" s="8">
        <f>IFERROR(INDEX(Tbl_KPIConfig[Unit],MATCH($D471,Tbl_KPIConfig[KPI Name],0)),"")</f>
        <v/>
      </c>
      <c r="G471" s="8">
        <f>IFERROR(INDEX(Tbl_KPIConfig[Target],MATCH($D471,Tbl_KPIConfig[KPI Name],0)),"")</f>
        <v/>
      </c>
      <c r="H471" s="8" t="n">
        <v>0.9657</v>
      </c>
      <c r="I471" s="9">
        <f>IFERROR(IF(INDEX(Tbl_KPIConfig[Direction],MATCH($D471,Tbl_KPIConfig[KPI Name],0))="Lower is Better",IF($H471=0,1,IF($G471=0,0,$G471/$H471)),IF($G471=0,1,$H471/$G471)),0)</f>
        <v/>
      </c>
      <c r="J471" s="8">
        <f>IFERROR(IF($I471&gt;=1,"Green",IF($I471&gt;=INDEX(Tbl_KPIConfig[RAG Threshold %],MATCH($D471,Tbl_KPIConfig[KPI Name],0)),"Amber","Red")),"")</f>
        <v/>
      </c>
      <c r="K471" s="10" t="inlineStr">
        <is>
          <t>Vendor delay</t>
        </is>
      </c>
    </row>
    <row r="472">
      <c r="A472" s="11" t="n">
        <v>46207</v>
      </c>
      <c r="B472" s="12">
        <f>IF($A472="","",TEXT($A472,"mmm-yyyy"))</f>
        <v/>
      </c>
      <c r="C472" s="12">
        <f>IF($A472="","","W"&amp;WEEKNUM($A472,2))</f>
        <v/>
      </c>
      <c r="D472" s="12" t="inlineStr">
        <is>
          <t>Defect Rate %</t>
        </is>
      </c>
      <c r="E472" s="12">
        <f>IFERROR(INDEX(Tbl_KPIConfig[Department],MATCH($D472,Tbl_KPIConfig[KPI Name],0)),"")</f>
        <v/>
      </c>
      <c r="F472" s="12">
        <f>IFERROR(INDEX(Tbl_KPIConfig[Unit],MATCH($D472,Tbl_KPIConfig[KPI Name],0)),"")</f>
        <v/>
      </c>
      <c r="G472" s="12">
        <f>IFERROR(INDEX(Tbl_KPIConfig[Target],MATCH($D472,Tbl_KPIConfig[KPI Name],0)),"")</f>
        <v/>
      </c>
      <c r="H472" s="12" t="n">
        <v>0.0211</v>
      </c>
      <c r="I472" s="13">
        <f>IFERROR(IF(INDEX(Tbl_KPIConfig[Direction],MATCH($D472,Tbl_KPIConfig[KPI Name],0))="Lower is Better",IF($H472=0,1,IF($G472=0,0,$G472/$H472)),IF($G472=0,1,$H472/$G472)),0)</f>
        <v/>
      </c>
      <c r="J472" s="12">
        <f>IFERROR(IF($I472&gt;=1,"Green",IF($I472&gt;=INDEX(Tbl_KPIConfig[RAG Threshold %],MATCH($D472,Tbl_KPIConfig[KPI Name],0)),"Amber","Red")),"")</f>
        <v/>
      </c>
      <c r="K472" s="14" t="inlineStr">
        <is>
          <t>Preventive check done</t>
        </is>
      </c>
    </row>
    <row r="473">
      <c r="A473" s="7" t="n">
        <v>46207</v>
      </c>
      <c r="B473" s="8">
        <f>IF($A473="","",TEXT($A473,"mmm-yyyy"))</f>
        <v/>
      </c>
      <c r="C473" s="8">
        <f>IF($A473="","","W"&amp;WEEKNUM($A473,2))</f>
        <v/>
      </c>
      <c r="D473" s="8" t="inlineStr">
        <is>
          <t>Customer Complaints</t>
        </is>
      </c>
      <c r="E473" s="8">
        <f>IFERROR(INDEX(Tbl_KPIConfig[Department],MATCH($D473,Tbl_KPIConfig[KPI Name],0)),"")</f>
        <v/>
      </c>
      <c r="F473" s="8">
        <f>IFERROR(INDEX(Tbl_KPIConfig[Unit],MATCH($D473,Tbl_KPIConfig[KPI Name],0)),"")</f>
        <v/>
      </c>
      <c r="G473" s="8">
        <f>IFERROR(INDEX(Tbl_KPIConfig[Target],MATCH($D473,Tbl_KPIConfig[KPI Name],0)),"")</f>
        <v/>
      </c>
      <c r="H473" s="8" t="n">
        <v>0</v>
      </c>
      <c r="I473" s="9">
        <f>IFERROR(IF(INDEX(Tbl_KPIConfig[Direction],MATCH($D473,Tbl_KPIConfig[KPI Name],0))="Lower is Better",IF($H473=0,1,IF($G473=0,0,$G473/$H473)),IF($G473=0,1,$H473/$G473)),0)</f>
        <v/>
      </c>
      <c r="J473" s="8">
        <f>IFERROR(IF($I473&gt;=1,"Green",IF($I473&gt;=INDEX(Tbl_KPIConfig[RAG Threshold %],MATCH($D473,Tbl_KPIConfig[KPI Name],0)),"Amber","Red")),"")</f>
        <v/>
      </c>
      <c r="K473" s="10" t="inlineStr">
        <is>
          <t>Process improvement in progress</t>
        </is>
      </c>
    </row>
    <row r="474">
      <c r="A474" s="11" t="n">
        <v>46207</v>
      </c>
      <c r="B474" s="12">
        <f>IF($A474="","",TEXT($A474,"mmm-yyyy"))</f>
        <v/>
      </c>
      <c r="C474" s="12">
        <f>IF($A474="","","W"&amp;WEEKNUM($A474,2))</f>
        <v/>
      </c>
      <c r="D474" s="12" t="inlineStr">
        <is>
          <t>Unplanned Downtime (Hrs)</t>
        </is>
      </c>
      <c r="E474" s="12">
        <f>IFERROR(INDEX(Tbl_KPIConfig[Department],MATCH($D474,Tbl_KPIConfig[KPI Name],0)),"")</f>
        <v/>
      </c>
      <c r="F474" s="12">
        <f>IFERROR(INDEX(Tbl_KPIConfig[Unit],MATCH($D474,Tbl_KPIConfig[KPI Name],0)),"")</f>
        <v/>
      </c>
      <c r="G474" s="12">
        <f>IFERROR(INDEX(Tbl_KPIConfig[Target],MATCH($D474,Tbl_KPIConfig[KPI Name],0)),"")</f>
        <v/>
      </c>
      <c r="H474" s="12" t="n">
        <v>1.17</v>
      </c>
      <c r="I474" s="13">
        <f>IFERROR(IF(INDEX(Tbl_KPIConfig[Direction],MATCH($D474,Tbl_KPIConfig[KPI Name],0))="Lower is Better",IF($H474=0,1,IF($G474=0,0,$G474/$H474)),IF($G474=0,1,$H474/$G474)),0)</f>
        <v/>
      </c>
      <c r="J474" s="12">
        <f>IFERROR(IF($I474&gt;=1,"Green",IF($I474&gt;=INDEX(Tbl_KPIConfig[RAG Threshold %],MATCH($D474,Tbl_KPIConfig[KPI Name],0)),"Amber","Red")),"")</f>
        <v/>
      </c>
      <c r="K474" s="14" t="inlineStr">
        <is>
          <t>Process improvement in progress</t>
        </is>
      </c>
    </row>
    <row r="475">
      <c r="A475" s="7" t="n">
        <v>46207</v>
      </c>
      <c r="B475" s="8">
        <f>IF($A475="","",TEXT($A475,"mmm-yyyy"))</f>
        <v/>
      </c>
      <c r="C475" s="8">
        <f>IF($A475="","","W"&amp;WEEKNUM($A475,2))</f>
        <v/>
      </c>
      <c r="D475" s="8" t="inlineStr">
        <is>
          <t>PM Compliance %</t>
        </is>
      </c>
      <c r="E475" s="8">
        <f>IFERROR(INDEX(Tbl_KPIConfig[Department],MATCH($D475,Tbl_KPIConfig[KPI Name],0)),"")</f>
        <v/>
      </c>
      <c r="F475" s="8">
        <f>IFERROR(INDEX(Tbl_KPIConfig[Unit],MATCH($D475,Tbl_KPIConfig[KPI Name],0)),"")</f>
        <v/>
      </c>
      <c r="G475" s="8">
        <f>IFERROR(INDEX(Tbl_KPIConfig[Target],MATCH($D475,Tbl_KPIConfig[KPI Name],0)),"")</f>
        <v/>
      </c>
      <c r="H475" s="8" t="n">
        <v>1.0569</v>
      </c>
      <c r="I475" s="9">
        <f>IFERROR(IF(INDEX(Tbl_KPIConfig[Direction],MATCH($D475,Tbl_KPIConfig[KPI Name],0))="Lower is Better",IF($H475=0,1,IF($G475=0,0,$G475/$H475)),IF($G475=0,1,$H475/$G475)),0)</f>
        <v/>
      </c>
      <c r="J475" s="8">
        <f>IFERROR(IF($I475&gt;=1,"Green",IF($I475&gt;=INDEX(Tbl_KPIConfig[RAG Threshold %],MATCH($D475,Tbl_KPIConfig[KPI Name],0)),"Amber","Red")),"")</f>
        <v/>
      </c>
      <c r="K475" s="10" t="inlineStr">
        <is>
          <t>Manpower shortage</t>
        </is>
      </c>
    </row>
    <row r="476">
      <c r="A476" s="11" t="n">
        <v>46207</v>
      </c>
      <c r="B476" s="12">
        <f>IF($A476="","",TEXT($A476,"mmm-yyyy"))</f>
        <v/>
      </c>
      <c r="C476" s="12">
        <f>IF($A476="","","W"&amp;WEEKNUM($A476,2))</f>
        <v/>
      </c>
      <c r="D476" s="12" t="inlineStr">
        <is>
          <t>Power Consumption (kWh)</t>
        </is>
      </c>
      <c r="E476" s="12">
        <f>IFERROR(INDEX(Tbl_KPIConfig[Department],MATCH($D476,Tbl_KPIConfig[KPI Name],0)),"")</f>
        <v/>
      </c>
      <c r="F476" s="12">
        <f>IFERROR(INDEX(Tbl_KPIConfig[Unit],MATCH($D476,Tbl_KPIConfig[KPI Name],0)),"")</f>
        <v/>
      </c>
      <c r="G476" s="12">
        <f>IFERROR(INDEX(Tbl_KPIConfig[Target],MATCH($D476,Tbl_KPIConfig[KPI Name],0)),"")</f>
        <v/>
      </c>
      <c r="H476" s="12" t="n">
        <v>5301.3</v>
      </c>
      <c r="I476" s="13">
        <f>IFERROR(IF(INDEX(Tbl_KPIConfig[Direction],MATCH($D476,Tbl_KPIConfig[KPI Name],0))="Lower is Better",IF($H476=0,1,IF($G476=0,0,$G476/$H476)),IF($G476=0,1,$H476/$G476)),0)</f>
        <v/>
      </c>
      <c r="J476" s="12">
        <f>IFERROR(IF($I476&gt;=1,"Green",IF($I476&gt;=INDEX(Tbl_KPIConfig[RAG Threshold %],MATCH($D476,Tbl_KPIConfig[KPI Name],0)),"Amber","Red")),"")</f>
        <v/>
      </c>
      <c r="K476" s="14" t="inlineStr">
        <is>
          <t>Vendor delay</t>
        </is>
      </c>
    </row>
    <row r="477">
      <c r="A477" s="7" t="n">
        <v>46207</v>
      </c>
      <c r="B477" s="8">
        <f>IF($A477="","",TEXT($A477,"mmm-yyyy"))</f>
        <v/>
      </c>
      <c r="C477" s="8">
        <f>IF($A477="","","W"&amp;WEEKNUM($A477,2))</f>
        <v/>
      </c>
      <c r="D477" s="8" t="inlineStr">
        <is>
          <t>On-Time Dispatch %</t>
        </is>
      </c>
      <c r="E477" s="8">
        <f>IFERROR(INDEX(Tbl_KPIConfig[Department],MATCH($D477,Tbl_KPIConfig[KPI Name],0)),"")</f>
        <v/>
      </c>
      <c r="F477" s="8">
        <f>IFERROR(INDEX(Tbl_KPIConfig[Unit],MATCH($D477,Tbl_KPIConfig[KPI Name],0)),"")</f>
        <v/>
      </c>
      <c r="G477" s="8">
        <f>IFERROR(INDEX(Tbl_KPIConfig[Target],MATCH($D477,Tbl_KPIConfig[KPI Name],0)),"")</f>
        <v/>
      </c>
      <c r="H477" s="8" t="n">
        <v>1.072</v>
      </c>
      <c r="I477" s="9">
        <f>IFERROR(IF(INDEX(Tbl_KPIConfig[Direction],MATCH($D477,Tbl_KPIConfig[KPI Name],0))="Lower is Better",IF($H477=0,1,IF($G477=0,0,$G477/$H477)),IF($G477=0,1,$H477/$G477)),0)</f>
        <v/>
      </c>
      <c r="J477" s="8">
        <f>IFERROR(IF($I477&gt;=1,"Green",IF($I477&gt;=INDEX(Tbl_KPIConfig[RAG Threshold %],MATCH($D477,Tbl_KPIConfig[KPI Name],0)),"Amber","Red")),"")</f>
        <v/>
      </c>
      <c r="K477" s="10" t="inlineStr">
        <is>
          <t>Within normal range</t>
        </is>
      </c>
    </row>
    <row r="478">
      <c r="A478" s="11" t="n">
        <v>46207</v>
      </c>
      <c r="B478" s="12">
        <f>IF($A478="","",TEXT($A478,"mmm-yyyy"))</f>
        <v/>
      </c>
      <c r="C478" s="12">
        <f>IF($A478="","","W"&amp;WEEKNUM($A478,2))</f>
        <v/>
      </c>
      <c r="D478" s="12" t="inlineStr">
        <is>
          <t>Inventory Accuracy %</t>
        </is>
      </c>
      <c r="E478" s="12">
        <f>IFERROR(INDEX(Tbl_KPIConfig[Department],MATCH($D478,Tbl_KPIConfig[KPI Name],0)),"")</f>
        <v/>
      </c>
      <c r="F478" s="12">
        <f>IFERROR(INDEX(Tbl_KPIConfig[Unit],MATCH($D478,Tbl_KPIConfig[KPI Name],0)),"")</f>
        <v/>
      </c>
      <c r="G478" s="12">
        <f>IFERROR(INDEX(Tbl_KPIConfig[Target],MATCH($D478,Tbl_KPIConfig[KPI Name],0)),"")</f>
        <v/>
      </c>
      <c r="H478" s="12" t="n">
        <v>0.7982</v>
      </c>
      <c r="I478" s="13">
        <f>IFERROR(IF(INDEX(Tbl_KPIConfig[Direction],MATCH($D478,Tbl_KPIConfig[KPI Name],0))="Lower is Better",IF($H478=0,1,IF($G478=0,0,$G478/$H478)),IF($G478=0,1,$H478/$G478)),0)</f>
        <v/>
      </c>
      <c r="J478" s="12">
        <f>IFERROR(IF($I478&gt;=1,"Green",IF($I478&gt;=INDEX(Tbl_KPIConfig[RAG Threshold %],MATCH($D478,Tbl_KPIConfig[KPI Name],0)),"Amber","Red")),"")</f>
        <v/>
      </c>
      <c r="K478" s="14" t="inlineStr">
        <is>
          <t>Preventive check done</t>
        </is>
      </c>
    </row>
    <row r="479">
      <c r="A479" s="7" t="n">
        <v>46207</v>
      </c>
      <c r="B479" s="8">
        <f>IF($A479="","",TEXT($A479,"mmm-yyyy"))</f>
        <v/>
      </c>
      <c r="C479" s="8">
        <f>IF($A479="","","W"&amp;WEEKNUM($A479,2))</f>
        <v/>
      </c>
      <c r="D479" s="8" t="inlineStr">
        <is>
          <t>Absenteeism %</t>
        </is>
      </c>
      <c r="E479" s="8">
        <f>IFERROR(INDEX(Tbl_KPIConfig[Department],MATCH($D479,Tbl_KPIConfig[KPI Name],0)),"")</f>
        <v/>
      </c>
      <c r="F479" s="8">
        <f>IFERROR(INDEX(Tbl_KPIConfig[Unit],MATCH($D479,Tbl_KPIConfig[KPI Name],0)),"")</f>
        <v/>
      </c>
      <c r="G479" s="8">
        <f>IFERROR(INDEX(Tbl_KPIConfig[Target],MATCH($D479,Tbl_KPIConfig[KPI Name],0)),"")</f>
        <v/>
      </c>
      <c r="H479" s="8" t="n">
        <v>0.0265</v>
      </c>
      <c r="I479" s="9">
        <f>IFERROR(IF(INDEX(Tbl_KPIConfig[Direction],MATCH($D479,Tbl_KPIConfig[KPI Name],0))="Lower is Better",IF($H479=0,1,IF($G479=0,0,$G479/$H479)),IF($G479=0,1,$H479/$G479)),0)</f>
        <v/>
      </c>
      <c r="J479" s="8">
        <f>IFERROR(IF($I479&gt;=1,"Green",IF($I479&gt;=INDEX(Tbl_KPIConfig[RAG Threshold %],MATCH($D479,Tbl_KPIConfig[KPI Name],0)),"Amber","Red")),"")</f>
        <v/>
      </c>
      <c r="K479" s="10" t="inlineStr">
        <is>
          <t>Preventive check done</t>
        </is>
      </c>
    </row>
    <row r="480">
      <c r="A480" s="11" t="n">
        <v>46207</v>
      </c>
      <c r="B480" s="12">
        <f>IF($A480="","",TEXT($A480,"mmm-yyyy"))</f>
        <v/>
      </c>
      <c r="C480" s="12">
        <f>IF($A480="","","W"&amp;WEEKNUM($A480,2))</f>
        <v/>
      </c>
      <c r="D480" s="12" t="inlineStr">
        <is>
          <t>Training Hours</t>
        </is>
      </c>
      <c r="E480" s="12">
        <f>IFERROR(INDEX(Tbl_KPIConfig[Department],MATCH($D480,Tbl_KPIConfig[KPI Name],0)),"")</f>
        <v/>
      </c>
      <c r="F480" s="12">
        <f>IFERROR(INDEX(Tbl_KPIConfig[Unit],MATCH($D480,Tbl_KPIConfig[KPI Name],0)),"")</f>
        <v/>
      </c>
      <c r="G480" s="12">
        <f>IFERROR(INDEX(Tbl_KPIConfig[Target],MATCH($D480,Tbl_KPIConfig[KPI Name],0)),"")</f>
        <v/>
      </c>
      <c r="H480" s="12" t="n">
        <v>2.17</v>
      </c>
      <c r="I480" s="13">
        <f>IFERROR(IF(INDEX(Tbl_KPIConfig[Direction],MATCH($D480,Tbl_KPIConfig[KPI Name],0))="Lower is Better",IF($H480=0,1,IF($G480=0,0,$G480/$H480)),IF($G480=0,1,$H480/$G480)),0)</f>
        <v/>
      </c>
      <c r="J480" s="12">
        <f>IFERROR(IF($I480&gt;=1,"Green",IF($I480&gt;=INDEX(Tbl_KPIConfig[RAG Threshold %],MATCH($D480,Tbl_KPIConfig[KPI Name],0)),"Amber","Red")),"")</f>
        <v/>
      </c>
      <c r="K480" s="14" t="inlineStr">
        <is>
          <t>Awaiting spares</t>
        </is>
      </c>
    </row>
    <row r="481">
      <c r="A481" s="7" t="n">
        <v>46207</v>
      </c>
      <c r="B481" s="8">
        <f>IF($A481="","",TEXT($A481,"mmm-yyyy"))</f>
        <v/>
      </c>
      <c r="C481" s="8">
        <f>IF($A481="","","W"&amp;WEEKNUM($A481,2))</f>
        <v/>
      </c>
      <c r="D481" s="8" t="inlineStr">
        <is>
          <t>Milestone Adherence %</t>
        </is>
      </c>
      <c r="E481" s="8">
        <f>IFERROR(INDEX(Tbl_KPIConfig[Department],MATCH($D481,Tbl_KPIConfig[KPI Name],0)),"")</f>
        <v/>
      </c>
      <c r="F481" s="8">
        <f>IFERROR(INDEX(Tbl_KPIConfig[Unit],MATCH($D481,Tbl_KPIConfig[KPI Name],0)),"")</f>
        <v/>
      </c>
      <c r="G481" s="8">
        <f>IFERROR(INDEX(Tbl_KPIConfig[Target],MATCH($D481,Tbl_KPIConfig[KPI Name],0)),"")</f>
        <v/>
      </c>
      <c r="H481" s="8" t="n">
        <v>0.9032</v>
      </c>
      <c r="I481" s="9">
        <f>IFERROR(IF(INDEX(Tbl_KPIConfig[Direction],MATCH($D481,Tbl_KPIConfig[KPI Name],0))="Lower is Better",IF($H481=0,1,IF($G481=0,0,$G481/$H481)),IF($G481=0,1,$H481/$G481)),0)</f>
        <v/>
      </c>
      <c r="J481" s="8">
        <f>IFERROR(IF($I481&gt;=1,"Green",IF($I481&gt;=INDEX(Tbl_KPIConfig[RAG Threshold %],MATCH($D481,Tbl_KPIConfig[KPI Name],0)),"Amber","Red")),"")</f>
        <v/>
      </c>
      <c r="K481" s="10" t="inlineStr">
        <is>
          <t>Vendor delay</t>
        </is>
      </c>
    </row>
    <row r="482">
      <c r="A482" s="11" t="n">
        <v>46207</v>
      </c>
      <c r="B482" s="12">
        <f>IF($A482="","",TEXT($A482,"mmm-yyyy"))</f>
        <v/>
      </c>
      <c r="C482" s="12">
        <f>IF($A482="","","W"&amp;WEEKNUM($A482,2))</f>
        <v/>
      </c>
      <c r="D482" s="12" t="inlineStr">
        <is>
          <t>Breakdown Resolution (Hrs)</t>
        </is>
      </c>
      <c r="E482" s="12">
        <f>IFERROR(INDEX(Tbl_KPIConfig[Department],MATCH($D482,Tbl_KPIConfig[KPI Name],0)),"")</f>
        <v/>
      </c>
      <c r="F482" s="12">
        <f>IFERROR(INDEX(Tbl_KPIConfig[Unit],MATCH($D482,Tbl_KPIConfig[KPI Name],0)),"")</f>
        <v/>
      </c>
      <c r="G482" s="12">
        <f>IFERROR(INDEX(Tbl_KPIConfig[Target],MATCH($D482,Tbl_KPIConfig[KPI Name],0)),"")</f>
        <v/>
      </c>
      <c r="H482" s="12" t="n">
        <v>2.39</v>
      </c>
      <c r="I482" s="13">
        <f>IFERROR(IF(INDEX(Tbl_KPIConfig[Direction],MATCH($D482,Tbl_KPIConfig[KPI Name],0))="Lower is Better",IF($H482=0,1,IF($G482=0,0,$G482/$H482)),IF($G482=0,1,$H482/$G482)),0)</f>
        <v/>
      </c>
      <c r="J482" s="12">
        <f>IFERROR(IF($I482&gt;=1,"Green",IF($I482&gt;=INDEX(Tbl_KPIConfig[RAG Threshold %],MATCH($D482,Tbl_KPIConfig[KPI Name],0)),"Amber","Red")),"")</f>
        <v/>
      </c>
      <c r="K482" s="14" t="inlineStr">
        <is>
          <t>Preventive check done</t>
        </is>
      </c>
    </row>
    <row r="483">
      <c r="A483" s="7" t="n">
        <v>46208</v>
      </c>
      <c r="B483" s="8">
        <f>IF($A483="","",TEXT($A483,"mmm-yyyy"))</f>
        <v/>
      </c>
      <c r="C483" s="8">
        <f>IF($A483="","","W"&amp;WEEKNUM($A483,2))</f>
        <v/>
      </c>
      <c r="D483" s="8" t="inlineStr">
        <is>
          <t>Safety Incidents (LTI)</t>
        </is>
      </c>
      <c r="E483" s="8">
        <f>IFERROR(INDEX(Tbl_KPIConfig[Department],MATCH($D483,Tbl_KPIConfig[KPI Name],0)),"")</f>
        <v/>
      </c>
      <c r="F483" s="8">
        <f>IFERROR(INDEX(Tbl_KPIConfig[Unit],MATCH($D483,Tbl_KPIConfig[KPI Name],0)),"")</f>
        <v/>
      </c>
      <c r="G483" s="8">
        <f>IFERROR(INDEX(Tbl_KPIConfig[Target],MATCH($D483,Tbl_KPIConfig[KPI Name],0)),"")</f>
        <v/>
      </c>
      <c r="H483" s="8" t="n">
        <v>4</v>
      </c>
      <c r="I483" s="9">
        <f>IFERROR(IF(INDEX(Tbl_KPIConfig[Direction],MATCH($D483,Tbl_KPIConfig[KPI Name],0))="Lower is Better",IF($H483=0,1,IF($G483=0,0,$G483/$H483)),IF($G483=0,1,$H483/$G483)),0)</f>
        <v/>
      </c>
      <c r="J483" s="8">
        <f>IFERROR(IF($I483&gt;=1,"Green",IF($I483&gt;=INDEX(Tbl_KPIConfig[RAG Threshold %],MATCH($D483,Tbl_KPIConfig[KPI Name],0)),"Amber","Red")),"")</f>
        <v/>
      </c>
      <c r="K483" s="10" t="inlineStr"/>
    </row>
    <row r="484">
      <c r="A484" s="11" t="n">
        <v>46208</v>
      </c>
      <c r="B484" s="12">
        <f>IF($A484="","",TEXT($A484,"mmm-yyyy"))</f>
        <v/>
      </c>
      <c r="C484" s="12">
        <f>IF($A484="","","W"&amp;WEEKNUM($A484,2))</f>
        <v/>
      </c>
      <c r="D484" s="12" t="inlineStr">
        <is>
          <t>Near Miss Reports</t>
        </is>
      </c>
      <c r="E484" s="12">
        <f>IFERROR(INDEX(Tbl_KPIConfig[Department],MATCH($D484,Tbl_KPIConfig[KPI Name],0)),"")</f>
        <v/>
      </c>
      <c r="F484" s="12">
        <f>IFERROR(INDEX(Tbl_KPIConfig[Unit],MATCH($D484,Tbl_KPIConfig[KPI Name],0)),"")</f>
        <v/>
      </c>
      <c r="G484" s="12">
        <f>IFERROR(INDEX(Tbl_KPIConfig[Target],MATCH($D484,Tbl_KPIConfig[KPI Name],0)),"")</f>
        <v/>
      </c>
      <c r="H484" s="12" t="n">
        <v>2</v>
      </c>
      <c r="I484" s="13">
        <f>IFERROR(IF(INDEX(Tbl_KPIConfig[Direction],MATCH($D484,Tbl_KPIConfig[KPI Name],0))="Lower is Better",IF($H484=0,1,IF($G484=0,0,$G484/$H484)),IF($G484=0,1,$H484/$G484)),0)</f>
        <v/>
      </c>
      <c r="J484" s="12">
        <f>IFERROR(IF($I484&gt;=1,"Green",IF($I484&gt;=INDEX(Tbl_KPIConfig[RAG Threshold %],MATCH($D484,Tbl_KPIConfig[KPI Name],0)),"Amber","Red")),"")</f>
        <v/>
      </c>
      <c r="K484" s="14" t="inlineStr">
        <is>
          <t>Line changeover impact</t>
        </is>
      </c>
    </row>
    <row r="485">
      <c r="A485" s="7" t="n">
        <v>46208</v>
      </c>
      <c r="B485" s="8">
        <f>IF($A485="","",TEXT($A485,"mmm-yyyy"))</f>
        <v/>
      </c>
      <c r="C485" s="8">
        <f>IF($A485="","","W"&amp;WEEKNUM($A485,2))</f>
        <v/>
      </c>
      <c r="D485" s="8" t="inlineStr">
        <is>
          <t>Production Output</t>
        </is>
      </c>
      <c r="E485" s="8">
        <f>IFERROR(INDEX(Tbl_KPIConfig[Department],MATCH($D485,Tbl_KPIConfig[KPI Name],0)),"")</f>
        <v/>
      </c>
      <c r="F485" s="8">
        <f>IFERROR(INDEX(Tbl_KPIConfig[Unit],MATCH($D485,Tbl_KPIConfig[KPI Name],0)),"")</f>
        <v/>
      </c>
      <c r="G485" s="8">
        <f>IFERROR(INDEX(Tbl_KPIConfig[Target],MATCH($D485,Tbl_KPIConfig[KPI Name],0)),"")</f>
        <v/>
      </c>
      <c r="H485" s="8" t="n">
        <v>1119.91</v>
      </c>
      <c r="I485" s="9">
        <f>IFERROR(IF(INDEX(Tbl_KPIConfig[Direction],MATCH($D485,Tbl_KPIConfig[KPI Name],0))="Lower is Better",IF($H485=0,1,IF($G485=0,0,$G485/$H485)),IF($G485=0,1,$H485/$G485)),0)</f>
        <v/>
      </c>
      <c r="J485" s="8">
        <f>IFERROR(IF($I485&gt;=1,"Green",IF($I485&gt;=INDEX(Tbl_KPIConfig[RAG Threshold %],MATCH($D485,Tbl_KPIConfig[KPI Name],0)),"Amber","Red")),"")</f>
        <v/>
      </c>
      <c r="K485" s="10" t="inlineStr">
        <is>
          <t>Awaiting spares</t>
        </is>
      </c>
    </row>
    <row r="486">
      <c r="A486" s="11" t="n">
        <v>46208</v>
      </c>
      <c r="B486" s="12">
        <f>IF($A486="","",TEXT($A486,"mmm-yyyy"))</f>
        <v/>
      </c>
      <c r="C486" s="12">
        <f>IF($A486="","","W"&amp;WEEKNUM($A486,2))</f>
        <v/>
      </c>
      <c r="D486" s="12" t="inlineStr">
        <is>
          <t>OEE %</t>
        </is>
      </c>
      <c r="E486" s="12">
        <f>IFERROR(INDEX(Tbl_KPIConfig[Department],MATCH($D486,Tbl_KPIConfig[KPI Name],0)),"")</f>
        <v/>
      </c>
      <c r="F486" s="12">
        <f>IFERROR(INDEX(Tbl_KPIConfig[Unit],MATCH($D486,Tbl_KPIConfig[KPI Name],0)),"")</f>
        <v/>
      </c>
      <c r="G486" s="12">
        <f>IFERROR(INDEX(Tbl_KPIConfig[Target],MATCH($D486,Tbl_KPIConfig[KPI Name],0)),"")</f>
        <v/>
      </c>
      <c r="H486" s="12" t="n">
        <v>0.9429999999999999</v>
      </c>
      <c r="I486" s="13">
        <f>IFERROR(IF(INDEX(Tbl_KPIConfig[Direction],MATCH($D486,Tbl_KPIConfig[KPI Name],0))="Lower is Better",IF($H486=0,1,IF($G486=0,0,$G486/$H486)),IF($G486=0,1,$H486/$G486)),0)</f>
        <v/>
      </c>
      <c r="J486" s="12">
        <f>IFERROR(IF($I486&gt;=1,"Green",IF($I486&gt;=INDEX(Tbl_KPIConfig[RAG Threshold %],MATCH($D486,Tbl_KPIConfig[KPI Name],0)),"Amber","Red")),"")</f>
        <v/>
      </c>
      <c r="K486" s="14" t="inlineStr"/>
    </row>
    <row r="487">
      <c r="A487" s="7" t="n">
        <v>46208</v>
      </c>
      <c r="B487" s="8">
        <f>IF($A487="","",TEXT($A487,"mmm-yyyy"))</f>
        <v/>
      </c>
      <c r="C487" s="8">
        <f>IF($A487="","","W"&amp;WEEKNUM($A487,2))</f>
        <v/>
      </c>
      <c r="D487" s="8" t="inlineStr">
        <is>
          <t>Defect Rate %</t>
        </is>
      </c>
      <c r="E487" s="8">
        <f>IFERROR(INDEX(Tbl_KPIConfig[Department],MATCH($D487,Tbl_KPIConfig[KPI Name],0)),"")</f>
        <v/>
      </c>
      <c r="F487" s="8">
        <f>IFERROR(INDEX(Tbl_KPIConfig[Unit],MATCH($D487,Tbl_KPIConfig[KPI Name],0)),"")</f>
        <v/>
      </c>
      <c r="G487" s="8">
        <f>IFERROR(INDEX(Tbl_KPIConfig[Target],MATCH($D487,Tbl_KPIConfig[KPI Name],0)),"")</f>
        <v/>
      </c>
      <c r="H487" s="8" t="n">
        <v>0.0191</v>
      </c>
      <c r="I487" s="9">
        <f>IFERROR(IF(INDEX(Tbl_KPIConfig[Direction],MATCH($D487,Tbl_KPIConfig[KPI Name],0))="Lower is Better",IF($H487=0,1,IF($G487=0,0,$G487/$H487)),IF($G487=0,1,$H487/$G487)),0)</f>
        <v/>
      </c>
      <c r="J487" s="8">
        <f>IFERROR(IF($I487&gt;=1,"Green",IF($I487&gt;=INDEX(Tbl_KPIConfig[RAG Threshold %],MATCH($D487,Tbl_KPIConfig[KPI Name],0)),"Amber","Red")),"")</f>
        <v/>
      </c>
      <c r="K487" s="10" t="inlineStr"/>
    </row>
    <row r="488">
      <c r="A488" s="11" t="n">
        <v>46208</v>
      </c>
      <c r="B488" s="12">
        <f>IF($A488="","",TEXT($A488,"mmm-yyyy"))</f>
        <v/>
      </c>
      <c r="C488" s="12">
        <f>IF($A488="","","W"&amp;WEEKNUM($A488,2))</f>
        <v/>
      </c>
      <c r="D488" s="12" t="inlineStr">
        <is>
          <t>Customer Complaints</t>
        </is>
      </c>
      <c r="E488" s="12">
        <f>IFERROR(INDEX(Tbl_KPIConfig[Department],MATCH($D488,Tbl_KPIConfig[KPI Name],0)),"")</f>
        <v/>
      </c>
      <c r="F488" s="12">
        <f>IFERROR(INDEX(Tbl_KPIConfig[Unit],MATCH($D488,Tbl_KPIConfig[KPI Name],0)),"")</f>
        <v/>
      </c>
      <c r="G488" s="12">
        <f>IFERROR(INDEX(Tbl_KPIConfig[Target],MATCH($D488,Tbl_KPIConfig[KPI Name],0)),"")</f>
        <v/>
      </c>
      <c r="H488" s="12" t="n">
        <v>1</v>
      </c>
      <c r="I488" s="13">
        <f>IFERROR(IF(INDEX(Tbl_KPIConfig[Direction],MATCH($D488,Tbl_KPIConfig[KPI Name],0))="Lower is Better",IF($H488=0,1,IF($G488=0,0,$G488/$H488)),IF($G488=0,1,$H488/$G488)),0)</f>
        <v/>
      </c>
      <c r="J488" s="12">
        <f>IFERROR(IF($I488&gt;=1,"Green",IF($I488&gt;=INDEX(Tbl_KPIConfig[RAG Threshold %],MATCH($D488,Tbl_KPIConfig[KPI Name],0)),"Amber","Red")),"")</f>
        <v/>
      </c>
      <c r="K488" s="14" t="inlineStr">
        <is>
          <t>Line changeover impact</t>
        </is>
      </c>
    </row>
    <row r="489">
      <c r="A489" s="7" t="n">
        <v>46208</v>
      </c>
      <c r="B489" s="8">
        <f>IF($A489="","",TEXT($A489,"mmm-yyyy"))</f>
        <v/>
      </c>
      <c r="C489" s="8">
        <f>IF($A489="","","W"&amp;WEEKNUM($A489,2))</f>
        <v/>
      </c>
      <c r="D489" s="8" t="inlineStr">
        <is>
          <t>Unplanned Downtime (Hrs)</t>
        </is>
      </c>
      <c r="E489" s="8">
        <f>IFERROR(INDEX(Tbl_KPIConfig[Department],MATCH($D489,Tbl_KPIConfig[KPI Name],0)),"")</f>
        <v/>
      </c>
      <c r="F489" s="8">
        <f>IFERROR(INDEX(Tbl_KPIConfig[Unit],MATCH($D489,Tbl_KPIConfig[KPI Name],0)),"")</f>
        <v/>
      </c>
      <c r="G489" s="8">
        <f>IFERROR(INDEX(Tbl_KPIConfig[Target],MATCH($D489,Tbl_KPIConfig[KPI Name],0)),"")</f>
        <v/>
      </c>
      <c r="H489" s="8" t="n">
        <v>0.93</v>
      </c>
      <c r="I489" s="9">
        <f>IFERROR(IF(INDEX(Tbl_KPIConfig[Direction],MATCH($D489,Tbl_KPIConfig[KPI Name],0))="Lower is Better",IF($H489=0,1,IF($G489=0,0,$G489/$H489)),IF($G489=0,1,$H489/$G489)),0)</f>
        <v/>
      </c>
      <c r="J489" s="8">
        <f>IFERROR(IF($I489&gt;=1,"Green",IF($I489&gt;=INDEX(Tbl_KPIConfig[RAG Threshold %],MATCH($D489,Tbl_KPIConfig[KPI Name],0)),"Amber","Red")),"")</f>
        <v/>
      </c>
      <c r="K489" s="10" t="inlineStr">
        <is>
          <t>Vendor delay</t>
        </is>
      </c>
    </row>
    <row r="490">
      <c r="A490" s="11" t="n">
        <v>46208</v>
      </c>
      <c r="B490" s="12">
        <f>IF($A490="","",TEXT($A490,"mmm-yyyy"))</f>
        <v/>
      </c>
      <c r="C490" s="12">
        <f>IF($A490="","","W"&amp;WEEKNUM($A490,2))</f>
        <v/>
      </c>
      <c r="D490" s="12" t="inlineStr">
        <is>
          <t>PM Compliance %</t>
        </is>
      </c>
      <c r="E490" s="12">
        <f>IFERROR(INDEX(Tbl_KPIConfig[Department],MATCH($D490,Tbl_KPIConfig[KPI Name],0)),"")</f>
        <v/>
      </c>
      <c r="F490" s="12">
        <f>IFERROR(INDEX(Tbl_KPIConfig[Unit],MATCH($D490,Tbl_KPIConfig[KPI Name],0)),"")</f>
        <v/>
      </c>
      <c r="G490" s="12">
        <f>IFERROR(INDEX(Tbl_KPIConfig[Target],MATCH($D490,Tbl_KPIConfig[KPI Name],0)),"")</f>
        <v/>
      </c>
      <c r="H490" s="12" t="n">
        <v>0.8457</v>
      </c>
      <c r="I490" s="13">
        <f>IFERROR(IF(INDEX(Tbl_KPIConfig[Direction],MATCH($D490,Tbl_KPIConfig[KPI Name],0))="Lower is Better",IF($H490=0,1,IF($G490=0,0,$G490/$H490)),IF($G490=0,1,$H490/$G490)),0)</f>
        <v/>
      </c>
      <c r="J490" s="12">
        <f>IFERROR(IF($I490&gt;=1,"Green",IF($I490&gt;=INDEX(Tbl_KPIConfig[RAG Threshold %],MATCH($D490,Tbl_KPIConfig[KPI Name],0)),"Amber","Red")),"")</f>
        <v/>
      </c>
      <c r="K490" s="14" t="inlineStr">
        <is>
          <t>Within normal range</t>
        </is>
      </c>
    </row>
    <row r="491">
      <c r="A491" s="7" t="n">
        <v>46208</v>
      </c>
      <c r="B491" s="8">
        <f>IF($A491="","",TEXT($A491,"mmm-yyyy"))</f>
        <v/>
      </c>
      <c r="C491" s="8">
        <f>IF($A491="","","W"&amp;WEEKNUM($A491,2))</f>
        <v/>
      </c>
      <c r="D491" s="8" t="inlineStr">
        <is>
          <t>Power Consumption (kWh)</t>
        </is>
      </c>
      <c r="E491" s="8">
        <f>IFERROR(INDEX(Tbl_KPIConfig[Department],MATCH($D491,Tbl_KPIConfig[KPI Name],0)),"")</f>
        <v/>
      </c>
      <c r="F491" s="8">
        <f>IFERROR(INDEX(Tbl_KPIConfig[Unit],MATCH($D491,Tbl_KPIConfig[KPI Name],0)),"")</f>
        <v/>
      </c>
      <c r="G491" s="8">
        <f>IFERROR(INDEX(Tbl_KPIConfig[Target],MATCH($D491,Tbl_KPIConfig[KPI Name],0)),"")</f>
        <v/>
      </c>
      <c r="H491" s="8" t="n">
        <v>5648.63</v>
      </c>
      <c r="I491" s="9">
        <f>IFERROR(IF(INDEX(Tbl_KPIConfig[Direction],MATCH($D491,Tbl_KPIConfig[KPI Name],0))="Lower is Better",IF($H491=0,1,IF($G491=0,0,$G491/$H491)),IF($G491=0,1,$H491/$G491)),0)</f>
        <v/>
      </c>
      <c r="J491" s="8">
        <f>IFERROR(IF($I491&gt;=1,"Green",IF($I491&gt;=INDEX(Tbl_KPIConfig[RAG Threshold %],MATCH($D491,Tbl_KPIConfig[KPI Name],0)),"Amber","Red")),"")</f>
        <v/>
      </c>
      <c r="K491" s="10" t="inlineStr">
        <is>
          <t>Manpower shortage</t>
        </is>
      </c>
    </row>
    <row r="492">
      <c r="A492" s="11" t="n">
        <v>46208</v>
      </c>
      <c r="B492" s="12">
        <f>IF($A492="","",TEXT($A492,"mmm-yyyy"))</f>
        <v/>
      </c>
      <c r="C492" s="12">
        <f>IF($A492="","","W"&amp;WEEKNUM($A492,2))</f>
        <v/>
      </c>
      <c r="D492" s="12" t="inlineStr">
        <is>
          <t>On-Time Dispatch %</t>
        </is>
      </c>
      <c r="E492" s="12">
        <f>IFERROR(INDEX(Tbl_KPIConfig[Department],MATCH($D492,Tbl_KPIConfig[KPI Name],0)),"")</f>
        <v/>
      </c>
      <c r="F492" s="12">
        <f>IFERROR(INDEX(Tbl_KPIConfig[Unit],MATCH($D492,Tbl_KPIConfig[KPI Name],0)),"")</f>
        <v/>
      </c>
      <c r="G492" s="12">
        <f>IFERROR(INDEX(Tbl_KPIConfig[Target],MATCH($D492,Tbl_KPIConfig[KPI Name],0)),"")</f>
        <v/>
      </c>
      <c r="H492" s="12" t="n">
        <v>0.8602</v>
      </c>
      <c r="I492" s="13">
        <f>IFERROR(IF(INDEX(Tbl_KPIConfig[Direction],MATCH($D492,Tbl_KPIConfig[KPI Name],0))="Lower is Better",IF($H492=0,1,IF($G492=0,0,$G492/$H492)),IF($G492=0,1,$H492/$G492)),0)</f>
        <v/>
      </c>
      <c r="J492" s="12">
        <f>IFERROR(IF($I492&gt;=1,"Green",IF($I492&gt;=INDEX(Tbl_KPIConfig[RAG Threshold %],MATCH($D492,Tbl_KPIConfig[KPI Name],0)),"Amber","Red")),"")</f>
        <v/>
      </c>
      <c r="K492" s="14" t="inlineStr"/>
    </row>
    <row r="493">
      <c r="A493" s="7" t="n">
        <v>46208</v>
      </c>
      <c r="B493" s="8">
        <f>IF($A493="","",TEXT($A493,"mmm-yyyy"))</f>
        <v/>
      </c>
      <c r="C493" s="8">
        <f>IF($A493="","","W"&amp;WEEKNUM($A493,2))</f>
        <v/>
      </c>
      <c r="D493" s="8" t="inlineStr">
        <is>
          <t>Inventory Accuracy %</t>
        </is>
      </c>
      <c r="E493" s="8">
        <f>IFERROR(INDEX(Tbl_KPIConfig[Department],MATCH($D493,Tbl_KPIConfig[KPI Name],0)),"")</f>
        <v/>
      </c>
      <c r="F493" s="8">
        <f>IFERROR(INDEX(Tbl_KPIConfig[Unit],MATCH($D493,Tbl_KPIConfig[KPI Name],0)),"")</f>
        <v/>
      </c>
      <c r="G493" s="8">
        <f>IFERROR(INDEX(Tbl_KPIConfig[Target],MATCH($D493,Tbl_KPIConfig[KPI Name],0)),"")</f>
        <v/>
      </c>
      <c r="H493" s="8" t="n">
        <v>1.0044</v>
      </c>
      <c r="I493" s="9">
        <f>IFERROR(IF(INDEX(Tbl_KPIConfig[Direction],MATCH($D493,Tbl_KPIConfig[KPI Name],0))="Lower is Better",IF($H493=0,1,IF($G493=0,0,$G493/$H493)),IF($G493=0,1,$H493/$G493)),0)</f>
        <v/>
      </c>
      <c r="J493" s="8">
        <f>IFERROR(IF($I493&gt;=1,"Green",IF($I493&gt;=INDEX(Tbl_KPIConfig[RAG Threshold %],MATCH($D493,Tbl_KPIConfig[KPI Name],0)),"Amber","Red")),"")</f>
        <v/>
      </c>
      <c r="K493" s="10" t="inlineStr">
        <is>
          <t>Preventive check done</t>
        </is>
      </c>
    </row>
    <row r="494">
      <c r="A494" s="11" t="n">
        <v>46208</v>
      </c>
      <c r="B494" s="12">
        <f>IF($A494="","",TEXT($A494,"mmm-yyyy"))</f>
        <v/>
      </c>
      <c r="C494" s="12">
        <f>IF($A494="","","W"&amp;WEEKNUM($A494,2))</f>
        <v/>
      </c>
      <c r="D494" s="12" t="inlineStr">
        <is>
          <t>Absenteeism %</t>
        </is>
      </c>
      <c r="E494" s="12">
        <f>IFERROR(INDEX(Tbl_KPIConfig[Department],MATCH($D494,Tbl_KPIConfig[KPI Name],0)),"")</f>
        <v/>
      </c>
      <c r="F494" s="12">
        <f>IFERROR(INDEX(Tbl_KPIConfig[Unit],MATCH($D494,Tbl_KPIConfig[KPI Name],0)),"")</f>
        <v/>
      </c>
      <c r="G494" s="12">
        <f>IFERROR(INDEX(Tbl_KPIConfig[Target],MATCH($D494,Tbl_KPIConfig[KPI Name],0)),"")</f>
        <v/>
      </c>
      <c r="H494" s="12" t="n">
        <v>0.0261</v>
      </c>
      <c r="I494" s="13">
        <f>IFERROR(IF(INDEX(Tbl_KPIConfig[Direction],MATCH($D494,Tbl_KPIConfig[KPI Name],0))="Lower is Better",IF($H494=0,1,IF($G494=0,0,$G494/$H494)),IF($G494=0,1,$H494/$G494)),0)</f>
        <v/>
      </c>
      <c r="J494" s="12">
        <f>IFERROR(IF($I494&gt;=1,"Green",IF($I494&gt;=INDEX(Tbl_KPIConfig[RAG Threshold %],MATCH($D494,Tbl_KPIConfig[KPI Name],0)),"Amber","Red")),"")</f>
        <v/>
      </c>
      <c r="K494" s="14" t="inlineStr">
        <is>
          <t>Line changeover impact</t>
        </is>
      </c>
    </row>
    <row r="495">
      <c r="A495" s="7" t="n">
        <v>46208</v>
      </c>
      <c r="B495" s="8">
        <f>IF($A495="","",TEXT($A495,"mmm-yyyy"))</f>
        <v/>
      </c>
      <c r="C495" s="8">
        <f>IF($A495="","","W"&amp;WEEKNUM($A495,2))</f>
        <v/>
      </c>
      <c r="D495" s="8" t="inlineStr">
        <is>
          <t>Training Hours</t>
        </is>
      </c>
      <c r="E495" s="8">
        <f>IFERROR(INDEX(Tbl_KPIConfig[Department],MATCH($D495,Tbl_KPIConfig[KPI Name],0)),"")</f>
        <v/>
      </c>
      <c r="F495" s="8">
        <f>IFERROR(INDEX(Tbl_KPIConfig[Unit],MATCH($D495,Tbl_KPIConfig[KPI Name],0)),"")</f>
        <v/>
      </c>
      <c r="G495" s="8">
        <f>IFERROR(INDEX(Tbl_KPIConfig[Target],MATCH($D495,Tbl_KPIConfig[KPI Name],0)),"")</f>
        <v/>
      </c>
      <c r="H495" s="8" t="n">
        <v>2.1</v>
      </c>
      <c r="I495" s="9">
        <f>IFERROR(IF(INDEX(Tbl_KPIConfig[Direction],MATCH($D495,Tbl_KPIConfig[KPI Name],0))="Lower is Better",IF($H495=0,1,IF($G495=0,0,$G495/$H495)),IF($G495=0,1,$H495/$G495)),0)</f>
        <v/>
      </c>
      <c r="J495" s="8">
        <f>IFERROR(IF($I495&gt;=1,"Green",IF($I495&gt;=INDEX(Tbl_KPIConfig[RAG Threshold %],MATCH($D495,Tbl_KPIConfig[KPI Name],0)),"Amber","Red")),"")</f>
        <v/>
      </c>
      <c r="K495" s="10" t="inlineStr">
        <is>
          <t>Preventive check done</t>
        </is>
      </c>
    </row>
    <row r="496">
      <c r="A496" s="11" t="n">
        <v>46208</v>
      </c>
      <c r="B496" s="12">
        <f>IF($A496="","",TEXT($A496,"mmm-yyyy"))</f>
        <v/>
      </c>
      <c r="C496" s="12">
        <f>IF($A496="","","W"&amp;WEEKNUM($A496,2))</f>
        <v/>
      </c>
      <c r="D496" s="12" t="inlineStr">
        <is>
          <t>Milestone Adherence %</t>
        </is>
      </c>
      <c r="E496" s="12">
        <f>IFERROR(INDEX(Tbl_KPIConfig[Department],MATCH($D496,Tbl_KPIConfig[KPI Name],0)),"")</f>
        <v/>
      </c>
      <c r="F496" s="12">
        <f>IFERROR(INDEX(Tbl_KPIConfig[Unit],MATCH($D496,Tbl_KPIConfig[KPI Name],0)),"")</f>
        <v/>
      </c>
      <c r="G496" s="12">
        <f>IFERROR(INDEX(Tbl_KPIConfig[Target],MATCH($D496,Tbl_KPIConfig[KPI Name],0)),"")</f>
        <v/>
      </c>
      <c r="H496" s="12" t="n">
        <v>0.9353</v>
      </c>
      <c r="I496" s="13">
        <f>IFERROR(IF(INDEX(Tbl_KPIConfig[Direction],MATCH($D496,Tbl_KPIConfig[KPI Name],0))="Lower is Better",IF($H496=0,1,IF($G496=0,0,$G496/$H496)),IF($G496=0,1,$H496/$G496)),0)</f>
        <v/>
      </c>
      <c r="J496" s="12">
        <f>IFERROR(IF($I496&gt;=1,"Green",IF($I496&gt;=INDEX(Tbl_KPIConfig[RAG Threshold %],MATCH($D496,Tbl_KPIConfig[KPI Name],0)),"Amber","Red")),"")</f>
        <v/>
      </c>
      <c r="K496" s="14" t="inlineStr">
        <is>
          <t>Manpower shortage</t>
        </is>
      </c>
    </row>
    <row r="497">
      <c r="A497" s="7" t="n">
        <v>46208</v>
      </c>
      <c r="B497" s="8">
        <f>IF($A497="","",TEXT($A497,"mmm-yyyy"))</f>
        <v/>
      </c>
      <c r="C497" s="8">
        <f>IF($A497="","","W"&amp;WEEKNUM($A497,2))</f>
        <v/>
      </c>
      <c r="D497" s="8" t="inlineStr">
        <is>
          <t>Breakdown Resolution (Hrs)</t>
        </is>
      </c>
      <c r="E497" s="8">
        <f>IFERROR(INDEX(Tbl_KPIConfig[Department],MATCH($D497,Tbl_KPIConfig[KPI Name],0)),"")</f>
        <v/>
      </c>
      <c r="F497" s="8">
        <f>IFERROR(INDEX(Tbl_KPIConfig[Unit],MATCH($D497,Tbl_KPIConfig[KPI Name],0)),"")</f>
        <v/>
      </c>
      <c r="G497" s="8">
        <f>IFERROR(INDEX(Tbl_KPIConfig[Target],MATCH($D497,Tbl_KPIConfig[KPI Name],0)),"")</f>
        <v/>
      </c>
      <c r="H497" s="8" t="n">
        <v>2.67</v>
      </c>
      <c r="I497" s="9">
        <f>IFERROR(IF(INDEX(Tbl_KPIConfig[Direction],MATCH($D497,Tbl_KPIConfig[KPI Name],0))="Lower is Better",IF($H497=0,1,IF($G497=0,0,$G497/$H497)),IF($G497=0,1,$H497/$G497)),0)</f>
        <v/>
      </c>
      <c r="J497" s="8">
        <f>IFERROR(IF($I497&gt;=1,"Green",IF($I497&gt;=INDEX(Tbl_KPIConfig[RAG Threshold %],MATCH($D497,Tbl_KPIConfig[KPI Name],0)),"Amber","Red")),"")</f>
        <v/>
      </c>
      <c r="K497" s="10" t="inlineStr">
        <is>
          <t>Awaiting spares</t>
        </is>
      </c>
    </row>
    <row r="498">
      <c r="A498" s="11" t="n">
        <v>46209</v>
      </c>
      <c r="B498" s="12">
        <f>IF($A498="","",TEXT($A498,"mmm-yyyy"))</f>
        <v/>
      </c>
      <c r="C498" s="12">
        <f>IF($A498="","","W"&amp;WEEKNUM($A498,2))</f>
        <v/>
      </c>
      <c r="D498" s="12" t="inlineStr">
        <is>
          <t>Safety Incidents (LTI)</t>
        </is>
      </c>
      <c r="E498" s="12">
        <f>IFERROR(INDEX(Tbl_KPIConfig[Department],MATCH($D498,Tbl_KPIConfig[KPI Name],0)),"")</f>
        <v/>
      </c>
      <c r="F498" s="12">
        <f>IFERROR(INDEX(Tbl_KPIConfig[Unit],MATCH($D498,Tbl_KPIConfig[KPI Name],0)),"")</f>
        <v/>
      </c>
      <c r="G498" s="12">
        <f>IFERROR(INDEX(Tbl_KPIConfig[Target],MATCH($D498,Tbl_KPIConfig[KPI Name],0)),"")</f>
        <v/>
      </c>
      <c r="H498" s="12" t="n">
        <v>1</v>
      </c>
      <c r="I498" s="13">
        <f>IFERROR(IF(INDEX(Tbl_KPIConfig[Direction],MATCH($D498,Tbl_KPIConfig[KPI Name],0))="Lower is Better",IF($H498=0,1,IF($G498=0,0,$G498/$H498)),IF($G498=0,1,$H498/$G498)),0)</f>
        <v/>
      </c>
      <c r="J498" s="12">
        <f>IFERROR(IF($I498&gt;=1,"Green",IF($I498&gt;=INDEX(Tbl_KPIConfig[RAG Threshold %],MATCH($D498,Tbl_KPIConfig[KPI Name],0)),"Amber","Red")),"")</f>
        <v/>
      </c>
      <c r="K498" s="14" t="inlineStr">
        <is>
          <t>Process improvement in progress</t>
        </is>
      </c>
    </row>
    <row r="499">
      <c r="A499" s="7" t="n">
        <v>46209</v>
      </c>
      <c r="B499" s="8">
        <f>IF($A499="","",TEXT($A499,"mmm-yyyy"))</f>
        <v/>
      </c>
      <c r="C499" s="8">
        <f>IF($A499="","","W"&amp;WEEKNUM($A499,2))</f>
        <v/>
      </c>
      <c r="D499" s="8" t="inlineStr">
        <is>
          <t>Near Miss Reports</t>
        </is>
      </c>
      <c r="E499" s="8">
        <f>IFERROR(INDEX(Tbl_KPIConfig[Department],MATCH($D499,Tbl_KPIConfig[KPI Name],0)),"")</f>
        <v/>
      </c>
      <c r="F499" s="8">
        <f>IFERROR(INDEX(Tbl_KPIConfig[Unit],MATCH($D499,Tbl_KPIConfig[KPI Name],0)),"")</f>
        <v/>
      </c>
      <c r="G499" s="8">
        <f>IFERROR(INDEX(Tbl_KPIConfig[Target],MATCH($D499,Tbl_KPIConfig[KPI Name],0)),"")</f>
        <v/>
      </c>
      <c r="H499" s="8" t="n">
        <v>2</v>
      </c>
      <c r="I499" s="9">
        <f>IFERROR(IF(INDEX(Tbl_KPIConfig[Direction],MATCH($D499,Tbl_KPIConfig[KPI Name],0))="Lower is Better",IF($H499=0,1,IF($G499=0,0,$G499/$H499)),IF($G499=0,1,$H499/$G499)),0)</f>
        <v/>
      </c>
      <c r="J499" s="8">
        <f>IFERROR(IF($I499&gt;=1,"Green",IF($I499&gt;=INDEX(Tbl_KPIConfig[RAG Threshold %],MATCH($D499,Tbl_KPIConfig[KPI Name],0)),"Amber","Red")),"")</f>
        <v/>
      </c>
      <c r="K499" s="10" t="inlineStr">
        <is>
          <t>Preventive check done</t>
        </is>
      </c>
    </row>
    <row r="500">
      <c r="A500" s="11" t="n">
        <v>46209</v>
      </c>
      <c r="B500" s="12">
        <f>IF($A500="","",TEXT($A500,"mmm-yyyy"))</f>
        <v/>
      </c>
      <c r="C500" s="12">
        <f>IF($A500="","","W"&amp;WEEKNUM($A500,2))</f>
        <v/>
      </c>
      <c r="D500" s="12" t="inlineStr">
        <is>
          <t>Production Output</t>
        </is>
      </c>
      <c r="E500" s="12">
        <f>IFERROR(INDEX(Tbl_KPIConfig[Department],MATCH($D500,Tbl_KPIConfig[KPI Name],0)),"")</f>
        <v/>
      </c>
      <c r="F500" s="12">
        <f>IFERROR(INDEX(Tbl_KPIConfig[Unit],MATCH($D500,Tbl_KPIConfig[KPI Name],0)),"")</f>
        <v/>
      </c>
      <c r="G500" s="12">
        <f>IFERROR(INDEX(Tbl_KPIConfig[Target],MATCH($D500,Tbl_KPIConfig[KPI Name],0)),"")</f>
        <v/>
      </c>
      <c r="H500" s="12" t="n">
        <v>1096.41</v>
      </c>
      <c r="I500" s="13">
        <f>IFERROR(IF(INDEX(Tbl_KPIConfig[Direction],MATCH($D500,Tbl_KPIConfig[KPI Name],0))="Lower is Better",IF($H500=0,1,IF($G500=0,0,$G500/$H500)),IF($G500=0,1,$H500/$G500)),0)</f>
        <v/>
      </c>
      <c r="J500" s="12">
        <f>IFERROR(IF($I500&gt;=1,"Green",IF($I500&gt;=INDEX(Tbl_KPIConfig[RAG Threshold %],MATCH($D500,Tbl_KPIConfig[KPI Name],0)),"Amber","Red")),"")</f>
        <v/>
      </c>
      <c r="K500" s="14" t="inlineStr">
        <is>
          <t>Manpower shortage</t>
        </is>
      </c>
    </row>
    <row r="501">
      <c r="A501" s="7" t="n">
        <v>46209</v>
      </c>
      <c r="B501" s="8">
        <f>IF($A501="","",TEXT($A501,"mmm-yyyy"))</f>
        <v/>
      </c>
      <c r="C501" s="8">
        <f>IF($A501="","","W"&amp;WEEKNUM($A501,2))</f>
        <v/>
      </c>
      <c r="D501" s="8" t="inlineStr">
        <is>
          <t>OEE %</t>
        </is>
      </c>
      <c r="E501" s="8">
        <f>IFERROR(INDEX(Tbl_KPIConfig[Department],MATCH($D501,Tbl_KPIConfig[KPI Name],0)),"")</f>
        <v/>
      </c>
      <c r="F501" s="8">
        <f>IFERROR(INDEX(Tbl_KPIConfig[Unit],MATCH($D501,Tbl_KPIConfig[KPI Name],0)),"")</f>
        <v/>
      </c>
      <c r="G501" s="8">
        <f>IFERROR(INDEX(Tbl_KPIConfig[Target],MATCH($D501,Tbl_KPIConfig[KPI Name],0)),"")</f>
        <v/>
      </c>
      <c r="H501" s="8" t="n">
        <v>0.9638</v>
      </c>
      <c r="I501" s="9">
        <f>IFERROR(IF(INDEX(Tbl_KPIConfig[Direction],MATCH($D501,Tbl_KPIConfig[KPI Name],0))="Lower is Better",IF($H501=0,1,IF($G501=0,0,$G501/$H501)),IF($G501=0,1,$H501/$G501)),0)</f>
        <v/>
      </c>
      <c r="J501" s="8">
        <f>IFERROR(IF($I501&gt;=1,"Green",IF($I501&gt;=INDEX(Tbl_KPIConfig[RAG Threshold %],MATCH($D501,Tbl_KPIConfig[KPI Name],0)),"Amber","Red")),"")</f>
        <v/>
      </c>
      <c r="K501" s="10" t="inlineStr">
        <is>
          <t>Manpower shortage</t>
        </is>
      </c>
    </row>
    <row r="502">
      <c r="A502" s="11" t="n">
        <v>46209</v>
      </c>
      <c r="B502" s="12">
        <f>IF($A502="","",TEXT($A502,"mmm-yyyy"))</f>
        <v/>
      </c>
      <c r="C502" s="12">
        <f>IF($A502="","","W"&amp;WEEKNUM($A502,2))</f>
        <v/>
      </c>
      <c r="D502" s="12" t="inlineStr">
        <is>
          <t>Defect Rate %</t>
        </is>
      </c>
      <c r="E502" s="12">
        <f>IFERROR(INDEX(Tbl_KPIConfig[Department],MATCH($D502,Tbl_KPIConfig[KPI Name],0)),"")</f>
        <v/>
      </c>
      <c r="F502" s="12">
        <f>IFERROR(INDEX(Tbl_KPIConfig[Unit],MATCH($D502,Tbl_KPIConfig[KPI Name],0)),"")</f>
        <v/>
      </c>
      <c r="G502" s="12">
        <f>IFERROR(INDEX(Tbl_KPIConfig[Target],MATCH($D502,Tbl_KPIConfig[KPI Name],0)),"")</f>
        <v/>
      </c>
      <c r="H502" s="12" t="n">
        <v>0.021</v>
      </c>
      <c r="I502" s="13">
        <f>IFERROR(IF(INDEX(Tbl_KPIConfig[Direction],MATCH($D502,Tbl_KPIConfig[KPI Name],0))="Lower is Better",IF($H502=0,1,IF($G502=0,0,$G502/$H502)),IF($G502=0,1,$H502/$G502)),0)</f>
        <v/>
      </c>
      <c r="J502" s="12">
        <f>IFERROR(IF($I502&gt;=1,"Green",IF($I502&gt;=INDEX(Tbl_KPIConfig[RAG Threshold %],MATCH($D502,Tbl_KPIConfig[KPI Name],0)),"Amber","Red")),"")</f>
        <v/>
      </c>
      <c r="K502" s="14" t="inlineStr">
        <is>
          <t>Line changeover impact</t>
        </is>
      </c>
    </row>
    <row r="503">
      <c r="A503" s="7" t="n">
        <v>46209</v>
      </c>
      <c r="B503" s="8">
        <f>IF($A503="","",TEXT($A503,"mmm-yyyy"))</f>
        <v/>
      </c>
      <c r="C503" s="8">
        <f>IF($A503="","","W"&amp;WEEKNUM($A503,2))</f>
        <v/>
      </c>
      <c r="D503" s="8" t="inlineStr">
        <is>
          <t>Customer Complaints</t>
        </is>
      </c>
      <c r="E503" s="8">
        <f>IFERROR(INDEX(Tbl_KPIConfig[Department],MATCH($D503,Tbl_KPIConfig[KPI Name],0)),"")</f>
        <v/>
      </c>
      <c r="F503" s="8">
        <f>IFERROR(INDEX(Tbl_KPIConfig[Unit],MATCH($D503,Tbl_KPIConfig[KPI Name],0)),"")</f>
        <v/>
      </c>
      <c r="G503" s="8">
        <f>IFERROR(INDEX(Tbl_KPIConfig[Target],MATCH($D503,Tbl_KPIConfig[KPI Name],0)),"")</f>
        <v/>
      </c>
      <c r="H503" s="8" t="n">
        <v>1</v>
      </c>
      <c r="I503" s="9">
        <f>IFERROR(IF(INDEX(Tbl_KPIConfig[Direction],MATCH($D503,Tbl_KPIConfig[KPI Name],0))="Lower is Better",IF($H503=0,1,IF($G503=0,0,$G503/$H503)),IF($G503=0,1,$H503/$G503)),0)</f>
        <v/>
      </c>
      <c r="J503" s="8">
        <f>IFERROR(IF($I503&gt;=1,"Green",IF($I503&gt;=INDEX(Tbl_KPIConfig[RAG Threshold %],MATCH($D503,Tbl_KPIConfig[KPI Name],0)),"Amber","Red")),"")</f>
        <v/>
      </c>
      <c r="K503" s="10" t="inlineStr">
        <is>
          <t>Process improvement in progress</t>
        </is>
      </c>
    </row>
    <row r="504">
      <c r="A504" s="11" t="n">
        <v>46209</v>
      </c>
      <c r="B504" s="12">
        <f>IF($A504="","",TEXT($A504,"mmm-yyyy"))</f>
        <v/>
      </c>
      <c r="C504" s="12">
        <f>IF($A504="","","W"&amp;WEEKNUM($A504,2))</f>
        <v/>
      </c>
      <c r="D504" s="12" t="inlineStr">
        <is>
          <t>Unplanned Downtime (Hrs)</t>
        </is>
      </c>
      <c r="E504" s="12">
        <f>IFERROR(INDEX(Tbl_KPIConfig[Department],MATCH($D504,Tbl_KPIConfig[KPI Name],0)),"")</f>
        <v/>
      </c>
      <c r="F504" s="12">
        <f>IFERROR(INDEX(Tbl_KPIConfig[Unit],MATCH($D504,Tbl_KPIConfig[KPI Name],0)),"")</f>
        <v/>
      </c>
      <c r="G504" s="12">
        <f>IFERROR(INDEX(Tbl_KPIConfig[Target],MATCH($D504,Tbl_KPIConfig[KPI Name],0)),"")</f>
        <v/>
      </c>
      <c r="H504" s="12" t="n">
        <v>1.18</v>
      </c>
      <c r="I504" s="13">
        <f>IFERROR(IF(INDEX(Tbl_KPIConfig[Direction],MATCH($D504,Tbl_KPIConfig[KPI Name],0))="Lower is Better",IF($H504=0,1,IF($G504=0,0,$G504/$H504)),IF($G504=0,1,$H504/$G504)),0)</f>
        <v/>
      </c>
      <c r="J504" s="12">
        <f>IFERROR(IF($I504&gt;=1,"Green",IF($I504&gt;=INDEX(Tbl_KPIConfig[RAG Threshold %],MATCH($D504,Tbl_KPIConfig[KPI Name],0)),"Amber","Red")),"")</f>
        <v/>
      </c>
      <c r="K504" s="14" t="inlineStr">
        <is>
          <t>Preventive check done</t>
        </is>
      </c>
    </row>
    <row r="505">
      <c r="A505" s="7" t="n">
        <v>46209</v>
      </c>
      <c r="B505" s="8">
        <f>IF($A505="","",TEXT($A505,"mmm-yyyy"))</f>
        <v/>
      </c>
      <c r="C505" s="8">
        <f>IF($A505="","","W"&amp;WEEKNUM($A505,2))</f>
        <v/>
      </c>
      <c r="D505" s="8" t="inlineStr">
        <is>
          <t>PM Compliance %</t>
        </is>
      </c>
      <c r="E505" s="8">
        <f>IFERROR(INDEX(Tbl_KPIConfig[Department],MATCH($D505,Tbl_KPIConfig[KPI Name],0)),"")</f>
        <v/>
      </c>
      <c r="F505" s="8">
        <f>IFERROR(INDEX(Tbl_KPIConfig[Unit],MATCH($D505,Tbl_KPIConfig[KPI Name],0)),"")</f>
        <v/>
      </c>
      <c r="G505" s="8">
        <f>IFERROR(INDEX(Tbl_KPIConfig[Target],MATCH($D505,Tbl_KPIConfig[KPI Name],0)),"")</f>
        <v/>
      </c>
      <c r="H505" s="8" t="n">
        <v>0.9797</v>
      </c>
      <c r="I505" s="9">
        <f>IFERROR(IF(INDEX(Tbl_KPIConfig[Direction],MATCH($D505,Tbl_KPIConfig[KPI Name],0))="Lower is Better",IF($H505=0,1,IF($G505=0,0,$G505/$H505)),IF($G505=0,1,$H505/$G505)),0)</f>
        <v/>
      </c>
      <c r="J505" s="8">
        <f>IFERROR(IF($I505&gt;=1,"Green",IF($I505&gt;=INDEX(Tbl_KPIConfig[RAG Threshold %],MATCH($D505,Tbl_KPIConfig[KPI Name],0)),"Amber","Red")),"")</f>
        <v/>
      </c>
      <c r="K505" s="10" t="inlineStr">
        <is>
          <t>Process improvement in progress</t>
        </is>
      </c>
    </row>
    <row r="506">
      <c r="A506" s="11" t="n">
        <v>46209</v>
      </c>
      <c r="B506" s="12">
        <f>IF($A506="","",TEXT($A506,"mmm-yyyy"))</f>
        <v/>
      </c>
      <c r="C506" s="12">
        <f>IF($A506="","","W"&amp;WEEKNUM($A506,2))</f>
        <v/>
      </c>
      <c r="D506" s="12" t="inlineStr">
        <is>
          <t>Power Consumption (kWh)</t>
        </is>
      </c>
      <c r="E506" s="12">
        <f>IFERROR(INDEX(Tbl_KPIConfig[Department],MATCH($D506,Tbl_KPIConfig[KPI Name],0)),"")</f>
        <v/>
      </c>
      <c r="F506" s="12">
        <f>IFERROR(INDEX(Tbl_KPIConfig[Unit],MATCH($D506,Tbl_KPIConfig[KPI Name],0)),"")</f>
        <v/>
      </c>
      <c r="G506" s="12">
        <f>IFERROR(INDEX(Tbl_KPIConfig[Target],MATCH($D506,Tbl_KPIConfig[KPI Name],0)),"")</f>
        <v/>
      </c>
      <c r="H506" s="12" t="n">
        <v>4174.78</v>
      </c>
      <c r="I506" s="13">
        <f>IFERROR(IF(INDEX(Tbl_KPIConfig[Direction],MATCH($D506,Tbl_KPIConfig[KPI Name],0))="Lower is Better",IF($H506=0,1,IF($G506=0,0,$G506/$H506)),IF($G506=0,1,$H506/$G506)),0)</f>
        <v/>
      </c>
      <c r="J506" s="12">
        <f>IFERROR(IF($I506&gt;=1,"Green",IF($I506&gt;=INDEX(Tbl_KPIConfig[RAG Threshold %],MATCH($D506,Tbl_KPIConfig[KPI Name],0)),"Amber","Red")),"")</f>
        <v/>
      </c>
      <c r="K506" s="14" t="inlineStr">
        <is>
          <t>Vendor delay</t>
        </is>
      </c>
    </row>
    <row r="507">
      <c r="A507" s="7" t="n">
        <v>46209</v>
      </c>
      <c r="B507" s="8">
        <f>IF($A507="","",TEXT($A507,"mmm-yyyy"))</f>
        <v/>
      </c>
      <c r="C507" s="8">
        <f>IF($A507="","","W"&amp;WEEKNUM($A507,2))</f>
        <v/>
      </c>
      <c r="D507" s="8" t="inlineStr">
        <is>
          <t>On-Time Dispatch %</t>
        </is>
      </c>
      <c r="E507" s="8">
        <f>IFERROR(INDEX(Tbl_KPIConfig[Department],MATCH($D507,Tbl_KPIConfig[KPI Name],0)),"")</f>
        <v/>
      </c>
      <c r="F507" s="8">
        <f>IFERROR(INDEX(Tbl_KPIConfig[Unit],MATCH($D507,Tbl_KPIConfig[KPI Name],0)),"")</f>
        <v/>
      </c>
      <c r="G507" s="8">
        <f>IFERROR(INDEX(Tbl_KPIConfig[Target],MATCH($D507,Tbl_KPIConfig[KPI Name],0)),"")</f>
        <v/>
      </c>
      <c r="H507" s="8" t="n">
        <v>1.1944</v>
      </c>
      <c r="I507" s="9">
        <f>IFERROR(IF(INDEX(Tbl_KPIConfig[Direction],MATCH($D507,Tbl_KPIConfig[KPI Name],0))="Lower is Better",IF($H507=0,1,IF($G507=0,0,$G507/$H507)),IF($G507=0,1,$H507/$G507)),0)</f>
        <v/>
      </c>
      <c r="J507" s="8">
        <f>IFERROR(IF($I507&gt;=1,"Green",IF($I507&gt;=INDEX(Tbl_KPIConfig[RAG Threshold %],MATCH($D507,Tbl_KPIConfig[KPI Name],0)),"Amber","Red")),"")</f>
        <v/>
      </c>
      <c r="K507" s="10" t="inlineStr">
        <is>
          <t>Within normal range</t>
        </is>
      </c>
    </row>
    <row r="508">
      <c r="A508" s="11" t="n">
        <v>46209</v>
      </c>
      <c r="B508" s="12">
        <f>IF($A508="","",TEXT($A508,"mmm-yyyy"))</f>
        <v/>
      </c>
      <c r="C508" s="12">
        <f>IF($A508="","","W"&amp;WEEKNUM($A508,2))</f>
        <v/>
      </c>
      <c r="D508" s="12" t="inlineStr">
        <is>
          <t>Inventory Accuracy %</t>
        </is>
      </c>
      <c r="E508" s="12">
        <f>IFERROR(INDEX(Tbl_KPIConfig[Department],MATCH($D508,Tbl_KPIConfig[KPI Name],0)),"")</f>
        <v/>
      </c>
      <c r="F508" s="12">
        <f>IFERROR(INDEX(Tbl_KPIConfig[Unit],MATCH($D508,Tbl_KPIConfig[KPI Name],0)),"")</f>
        <v/>
      </c>
      <c r="G508" s="12">
        <f>IFERROR(INDEX(Tbl_KPIConfig[Target],MATCH($D508,Tbl_KPIConfig[KPI Name],0)),"")</f>
        <v/>
      </c>
      <c r="H508" s="12" t="n">
        <v>0.9096</v>
      </c>
      <c r="I508" s="13">
        <f>IFERROR(IF(INDEX(Tbl_KPIConfig[Direction],MATCH($D508,Tbl_KPIConfig[KPI Name],0))="Lower is Better",IF($H508=0,1,IF($G508=0,0,$G508/$H508)),IF($G508=0,1,$H508/$G508)),0)</f>
        <v/>
      </c>
      <c r="J508" s="12">
        <f>IFERROR(IF($I508&gt;=1,"Green",IF($I508&gt;=INDEX(Tbl_KPIConfig[RAG Threshold %],MATCH($D508,Tbl_KPIConfig[KPI Name],0)),"Amber","Red")),"")</f>
        <v/>
      </c>
      <c r="K508" s="14" t="inlineStr">
        <is>
          <t>Preventive check done</t>
        </is>
      </c>
    </row>
    <row r="509">
      <c r="A509" s="7" t="n">
        <v>46209</v>
      </c>
      <c r="B509" s="8">
        <f>IF($A509="","",TEXT($A509,"mmm-yyyy"))</f>
        <v/>
      </c>
      <c r="C509" s="8">
        <f>IF($A509="","","W"&amp;WEEKNUM($A509,2))</f>
        <v/>
      </c>
      <c r="D509" s="8" t="inlineStr">
        <is>
          <t>Absenteeism %</t>
        </is>
      </c>
      <c r="E509" s="8">
        <f>IFERROR(INDEX(Tbl_KPIConfig[Department],MATCH($D509,Tbl_KPIConfig[KPI Name],0)),"")</f>
        <v/>
      </c>
      <c r="F509" s="8">
        <f>IFERROR(INDEX(Tbl_KPIConfig[Unit],MATCH($D509,Tbl_KPIConfig[KPI Name],0)),"")</f>
        <v/>
      </c>
      <c r="G509" s="8">
        <f>IFERROR(INDEX(Tbl_KPIConfig[Target],MATCH($D509,Tbl_KPIConfig[KPI Name],0)),"")</f>
        <v/>
      </c>
      <c r="H509" s="8" t="n">
        <v>0.0312</v>
      </c>
      <c r="I509" s="9">
        <f>IFERROR(IF(INDEX(Tbl_KPIConfig[Direction],MATCH($D509,Tbl_KPIConfig[KPI Name],0))="Lower is Better",IF($H509=0,1,IF($G509=0,0,$G509/$H509)),IF($G509=0,1,$H509/$G509)),0)</f>
        <v/>
      </c>
      <c r="J509" s="8">
        <f>IFERROR(IF($I509&gt;=1,"Green",IF($I509&gt;=INDEX(Tbl_KPIConfig[RAG Threshold %],MATCH($D509,Tbl_KPIConfig[KPI Name],0)),"Amber","Red")),"")</f>
        <v/>
      </c>
      <c r="K509" s="10" t="inlineStr">
        <is>
          <t>Vendor delay</t>
        </is>
      </c>
    </row>
    <row r="510">
      <c r="A510" s="11" t="n">
        <v>46209</v>
      </c>
      <c r="B510" s="12">
        <f>IF($A510="","",TEXT($A510,"mmm-yyyy"))</f>
        <v/>
      </c>
      <c r="C510" s="12">
        <f>IF($A510="","","W"&amp;WEEKNUM($A510,2))</f>
        <v/>
      </c>
      <c r="D510" s="12" t="inlineStr">
        <is>
          <t>Training Hours</t>
        </is>
      </c>
      <c r="E510" s="12">
        <f>IFERROR(INDEX(Tbl_KPIConfig[Department],MATCH($D510,Tbl_KPIConfig[KPI Name],0)),"")</f>
        <v/>
      </c>
      <c r="F510" s="12">
        <f>IFERROR(INDEX(Tbl_KPIConfig[Unit],MATCH($D510,Tbl_KPIConfig[KPI Name],0)),"")</f>
        <v/>
      </c>
      <c r="G510" s="12">
        <f>IFERROR(INDEX(Tbl_KPIConfig[Target],MATCH($D510,Tbl_KPIConfig[KPI Name],0)),"")</f>
        <v/>
      </c>
      <c r="H510" s="12" t="n">
        <v>1.96</v>
      </c>
      <c r="I510" s="13">
        <f>IFERROR(IF(INDEX(Tbl_KPIConfig[Direction],MATCH($D510,Tbl_KPIConfig[KPI Name],0))="Lower is Better",IF($H510=0,1,IF($G510=0,0,$G510/$H510)),IF($G510=0,1,$H510/$G510)),0)</f>
        <v/>
      </c>
      <c r="J510" s="12">
        <f>IFERROR(IF($I510&gt;=1,"Green",IF($I510&gt;=INDEX(Tbl_KPIConfig[RAG Threshold %],MATCH($D510,Tbl_KPIConfig[KPI Name],0)),"Amber","Red")),"")</f>
        <v/>
      </c>
      <c r="K510" s="14" t="inlineStr">
        <is>
          <t>Within normal range</t>
        </is>
      </c>
    </row>
    <row r="511">
      <c r="A511" s="7" t="n">
        <v>46209</v>
      </c>
      <c r="B511" s="8">
        <f>IF($A511="","",TEXT($A511,"mmm-yyyy"))</f>
        <v/>
      </c>
      <c r="C511" s="8">
        <f>IF($A511="","","W"&amp;WEEKNUM($A511,2))</f>
        <v/>
      </c>
      <c r="D511" s="8" t="inlineStr">
        <is>
          <t>Milestone Adherence %</t>
        </is>
      </c>
      <c r="E511" s="8">
        <f>IFERROR(INDEX(Tbl_KPIConfig[Department],MATCH($D511,Tbl_KPIConfig[KPI Name],0)),"")</f>
        <v/>
      </c>
      <c r="F511" s="8">
        <f>IFERROR(INDEX(Tbl_KPIConfig[Unit],MATCH($D511,Tbl_KPIConfig[KPI Name],0)),"")</f>
        <v/>
      </c>
      <c r="G511" s="8">
        <f>IFERROR(INDEX(Tbl_KPIConfig[Target],MATCH($D511,Tbl_KPIConfig[KPI Name],0)),"")</f>
        <v/>
      </c>
      <c r="H511" s="8" t="n">
        <v>1.0248</v>
      </c>
      <c r="I511" s="9">
        <f>IFERROR(IF(INDEX(Tbl_KPIConfig[Direction],MATCH($D511,Tbl_KPIConfig[KPI Name],0))="Lower is Better",IF($H511=0,1,IF($G511=0,0,$G511/$H511)),IF($G511=0,1,$H511/$G511)),0)</f>
        <v/>
      </c>
      <c r="J511" s="8">
        <f>IFERROR(IF($I511&gt;=1,"Green",IF($I511&gt;=INDEX(Tbl_KPIConfig[RAG Threshold %],MATCH($D511,Tbl_KPIConfig[KPI Name],0)),"Amber","Red")),"")</f>
        <v/>
      </c>
      <c r="K511" s="10" t="inlineStr"/>
    </row>
    <row r="512">
      <c r="A512" s="11" t="n">
        <v>46209</v>
      </c>
      <c r="B512" s="12">
        <f>IF($A512="","",TEXT($A512,"mmm-yyyy"))</f>
        <v/>
      </c>
      <c r="C512" s="12">
        <f>IF($A512="","","W"&amp;WEEKNUM($A512,2))</f>
        <v/>
      </c>
      <c r="D512" s="12" t="inlineStr">
        <is>
          <t>Breakdown Resolution (Hrs)</t>
        </is>
      </c>
      <c r="E512" s="12">
        <f>IFERROR(INDEX(Tbl_KPIConfig[Department],MATCH($D512,Tbl_KPIConfig[KPI Name],0)),"")</f>
        <v/>
      </c>
      <c r="F512" s="12">
        <f>IFERROR(INDEX(Tbl_KPIConfig[Unit],MATCH($D512,Tbl_KPIConfig[KPI Name],0)),"")</f>
        <v/>
      </c>
      <c r="G512" s="12">
        <f>IFERROR(INDEX(Tbl_KPIConfig[Target],MATCH($D512,Tbl_KPIConfig[KPI Name],0)),"")</f>
        <v/>
      </c>
      <c r="H512" s="12" t="n">
        <v>2.43</v>
      </c>
      <c r="I512" s="13">
        <f>IFERROR(IF(INDEX(Tbl_KPIConfig[Direction],MATCH($D512,Tbl_KPIConfig[KPI Name],0))="Lower is Better",IF($H512=0,1,IF($G512=0,0,$G512/$H512)),IF($G512=0,1,$H512/$G512)),0)</f>
        <v/>
      </c>
      <c r="J512" s="12">
        <f>IFERROR(IF($I512&gt;=1,"Green",IF($I512&gt;=INDEX(Tbl_KPIConfig[RAG Threshold %],MATCH($D512,Tbl_KPIConfig[KPI Name],0)),"Amber","Red")),"")</f>
        <v/>
      </c>
      <c r="K512" s="14" t="inlineStr">
        <is>
          <t>Awaiting spares</t>
        </is>
      </c>
    </row>
    <row r="513">
      <c r="A513" s="7" t="n">
        <v>46210</v>
      </c>
      <c r="B513" s="8">
        <f>IF($A513="","",TEXT($A513,"mmm-yyyy"))</f>
        <v/>
      </c>
      <c r="C513" s="8">
        <f>IF($A513="","","W"&amp;WEEKNUM($A513,2))</f>
        <v/>
      </c>
      <c r="D513" s="8" t="inlineStr">
        <is>
          <t>Safety Incidents (LTI)</t>
        </is>
      </c>
      <c r="E513" s="8">
        <f>IFERROR(INDEX(Tbl_KPIConfig[Department],MATCH($D513,Tbl_KPIConfig[KPI Name],0)),"")</f>
        <v/>
      </c>
      <c r="F513" s="8">
        <f>IFERROR(INDEX(Tbl_KPIConfig[Unit],MATCH($D513,Tbl_KPIConfig[KPI Name],0)),"")</f>
        <v/>
      </c>
      <c r="G513" s="8">
        <f>IFERROR(INDEX(Tbl_KPIConfig[Target],MATCH($D513,Tbl_KPIConfig[KPI Name],0)),"")</f>
        <v/>
      </c>
      <c r="H513" s="8" t="n">
        <v>1</v>
      </c>
      <c r="I513" s="9">
        <f>IFERROR(IF(INDEX(Tbl_KPIConfig[Direction],MATCH($D513,Tbl_KPIConfig[KPI Name],0))="Lower is Better",IF($H513=0,1,IF($G513=0,0,$G513/$H513)),IF($G513=0,1,$H513/$G513)),0)</f>
        <v/>
      </c>
      <c r="J513" s="8">
        <f>IFERROR(IF($I513&gt;=1,"Green",IF($I513&gt;=INDEX(Tbl_KPIConfig[RAG Threshold %],MATCH($D513,Tbl_KPIConfig[KPI Name],0)),"Amber","Red")),"")</f>
        <v/>
      </c>
      <c r="K513" s="10" t="inlineStr">
        <is>
          <t>Vendor delay</t>
        </is>
      </c>
    </row>
    <row r="514">
      <c r="A514" s="11" t="n">
        <v>46210</v>
      </c>
      <c r="B514" s="12">
        <f>IF($A514="","",TEXT($A514,"mmm-yyyy"))</f>
        <v/>
      </c>
      <c r="C514" s="12">
        <f>IF($A514="","","W"&amp;WEEKNUM($A514,2))</f>
        <v/>
      </c>
      <c r="D514" s="12" t="inlineStr">
        <is>
          <t>Near Miss Reports</t>
        </is>
      </c>
      <c r="E514" s="12">
        <f>IFERROR(INDEX(Tbl_KPIConfig[Department],MATCH($D514,Tbl_KPIConfig[KPI Name],0)),"")</f>
        <v/>
      </c>
      <c r="F514" s="12">
        <f>IFERROR(INDEX(Tbl_KPIConfig[Unit],MATCH($D514,Tbl_KPIConfig[KPI Name],0)),"")</f>
        <v/>
      </c>
      <c r="G514" s="12">
        <f>IFERROR(INDEX(Tbl_KPIConfig[Target],MATCH($D514,Tbl_KPIConfig[KPI Name],0)),"")</f>
        <v/>
      </c>
      <c r="H514" s="12" t="n">
        <v>2</v>
      </c>
      <c r="I514" s="13">
        <f>IFERROR(IF(INDEX(Tbl_KPIConfig[Direction],MATCH($D514,Tbl_KPIConfig[KPI Name],0))="Lower is Better",IF($H514=0,1,IF($G514=0,0,$G514/$H514)),IF($G514=0,1,$H514/$G514)),0)</f>
        <v/>
      </c>
      <c r="J514" s="12">
        <f>IFERROR(IF($I514&gt;=1,"Green",IF($I514&gt;=INDEX(Tbl_KPIConfig[RAG Threshold %],MATCH($D514,Tbl_KPIConfig[KPI Name],0)),"Amber","Red")),"")</f>
        <v/>
      </c>
      <c r="K514" s="14" t="inlineStr"/>
    </row>
    <row r="515">
      <c r="A515" s="7" t="n">
        <v>46210</v>
      </c>
      <c r="B515" s="8">
        <f>IF($A515="","",TEXT($A515,"mmm-yyyy"))</f>
        <v/>
      </c>
      <c r="C515" s="8">
        <f>IF($A515="","","W"&amp;WEEKNUM($A515,2))</f>
        <v/>
      </c>
      <c r="D515" s="8" t="inlineStr">
        <is>
          <t>Production Output</t>
        </is>
      </c>
      <c r="E515" s="8">
        <f>IFERROR(INDEX(Tbl_KPIConfig[Department],MATCH($D515,Tbl_KPIConfig[KPI Name],0)),"")</f>
        <v/>
      </c>
      <c r="F515" s="8">
        <f>IFERROR(INDEX(Tbl_KPIConfig[Unit],MATCH($D515,Tbl_KPIConfig[KPI Name],0)),"")</f>
        <v/>
      </c>
      <c r="G515" s="8">
        <f>IFERROR(INDEX(Tbl_KPIConfig[Target],MATCH($D515,Tbl_KPIConfig[KPI Name],0)),"")</f>
        <v/>
      </c>
      <c r="H515" s="8" t="n">
        <v>988.49</v>
      </c>
      <c r="I515" s="9">
        <f>IFERROR(IF(INDEX(Tbl_KPIConfig[Direction],MATCH($D515,Tbl_KPIConfig[KPI Name],0))="Lower is Better",IF($H515=0,1,IF($G515=0,0,$G515/$H515)),IF($G515=0,1,$H515/$G515)),0)</f>
        <v/>
      </c>
      <c r="J515" s="8">
        <f>IFERROR(IF($I515&gt;=1,"Green",IF($I515&gt;=INDEX(Tbl_KPIConfig[RAG Threshold %],MATCH($D515,Tbl_KPIConfig[KPI Name],0)),"Amber","Red")),"")</f>
        <v/>
      </c>
      <c r="K515" s="10" t="inlineStr">
        <is>
          <t>Within normal range</t>
        </is>
      </c>
    </row>
    <row r="516">
      <c r="A516" s="11" t="n">
        <v>46210</v>
      </c>
      <c r="B516" s="12">
        <f>IF($A516="","",TEXT($A516,"mmm-yyyy"))</f>
        <v/>
      </c>
      <c r="C516" s="12">
        <f>IF($A516="","","W"&amp;WEEKNUM($A516,2))</f>
        <v/>
      </c>
      <c r="D516" s="12" t="inlineStr">
        <is>
          <t>OEE %</t>
        </is>
      </c>
      <c r="E516" s="12">
        <f>IFERROR(INDEX(Tbl_KPIConfig[Department],MATCH($D516,Tbl_KPIConfig[KPI Name],0)),"")</f>
        <v/>
      </c>
      <c r="F516" s="12">
        <f>IFERROR(INDEX(Tbl_KPIConfig[Unit],MATCH($D516,Tbl_KPIConfig[KPI Name],0)),"")</f>
        <v/>
      </c>
      <c r="G516" s="12">
        <f>IFERROR(INDEX(Tbl_KPIConfig[Target],MATCH($D516,Tbl_KPIConfig[KPI Name],0)),"")</f>
        <v/>
      </c>
      <c r="H516" s="12" t="n">
        <v>0.9707</v>
      </c>
      <c r="I516" s="13">
        <f>IFERROR(IF(INDEX(Tbl_KPIConfig[Direction],MATCH($D516,Tbl_KPIConfig[KPI Name],0))="Lower is Better",IF($H516=0,1,IF($G516=0,0,$G516/$H516)),IF($G516=0,1,$H516/$G516)),0)</f>
        <v/>
      </c>
      <c r="J516" s="12">
        <f>IFERROR(IF($I516&gt;=1,"Green",IF($I516&gt;=INDEX(Tbl_KPIConfig[RAG Threshold %],MATCH($D516,Tbl_KPIConfig[KPI Name],0)),"Amber","Red")),"")</f>
        <v/>
      </c>
      <c r="K516" s="14" t="inlineStr">
        <is>
          <t>Preventive check done</t>
        </is>
      </c>
    </row>
    <row r="517">
      <c r="A517" s="7" t="n">
        <v>46210</v>
      </c>
      <c r="B517" s="8">
        <f>IF($A517="","",TEXT($A517,"mmm-yyyy"))</f>
        <v/>
      </c>
      <c r="C517" s="8">
        <f>IF($A517="","","W"&amp;WEEKNUM($A517,2))</f>
        <v/>
      </c>
      <c r="D517" s="8" t="inlineStr">
        <is>
          <t>Defect Rate %</t>
        </is>
      </c>
      <c r="E517" s="8">
        <f>IFERROR(INDEX(Tbl_KPIConfig[Department],MATCH($D517,Tbl_KPIConfig[KPI Name],0)),"")</f>
        <v/>
      </c>
      <c r="F517" s="8">
        <f>IFERROR(INDEX(Tbl_KPIConfig[Unit],MATCH($D517,Tbl_KPIConfig[KPI Name],0)),"")</f>
        <v/>
      </c>
      <c r="G517" s="8">
        <f>IFERROR(INDEX(Tbl_KPIConfig[Target],MATCH($D517,Tbl_KPIConfig[KPI Name],0)),"")</f>
        <v/>
      </c>
      <c r="H517" s="8" t="n">
        <v>0.0215</v>
      </c>
      <c r="I517" s="9">
        <f>IFERROR(IF(INDEX(Tbl_KPIConfig[Direction],MATCH($D517,Tbl_KPIConfig[KPI Name],0))="Lower is Better",IF($H517=0,1,IF($G517=0,0,$G517/$H517)),IF($G517=0,1,$H517/$G517)),0)</f>
        <v/>
      </c>
      <c r="J517" s="8">
        <f>IFERROR(IF($I517&gt;=1,"Green",IF($I517&gt;=INDEX(Tbl_KPIConfig[RAG Threshold %],MATCH($D517,Tbl_KPIConfig[KPI Name],0)),"Amber","Red")),"")</f>
        <v/>
      </c>
      <c r="K517" s="10" t="inlineStr">
        <is>
          <t>Vendor delay</t>
        </is>
      </c>
    </row>
    <row r="518">
      <c r="A518" s="11" t="n">
        <v>46210</v>
      </c>
      <c r="B518" s="12">
        <f>IF($A518="","",TEXT($A518,"mmm-yyyy"))</f>
        <v/>
      </c>
      <c r="C518" s="12">
        <f>IF($A518="","","W"&amp;WEEKNUM($A518,2))</f>
        <v/>
      </c>
      <c r="D518" s="12" t="inlineStr">
        <is>
          <t>Customer Complaints</t>
        </is>
      </c>
      <c r="E518" s="12">
        <f>IFERROR(INDEX(Tbl_KPIConfig[Department],MATCH($D518,Tbl_KPIConfig[KPI Name],0)),"")</f>
        <v/>
      </c>
      <c r="F518" s="12">
        <f>IFERROR(INDEX(Tbl_KPIConfig[Unit],MATCH($D518,Tbl_KPIConfig[KPI Name],0)),"")</f>
        <v/>
      </c>
      <c r="G518" s="12">
        <f>IFERROR(INDEX(Tbl_KPIConfig[Target],MATCH($D518,Tbl_KPIConfig[KPI Name],0)),"")</f>
        <v/>
      </c>
      <c r="H518" s="12" t="n">
        <v>1</v>
      </c>
      <c r="I518" s="13">
        <f>IFERROR(IF(INDEX(Tbl_KPIConfig[Direction],MATCH($D518,Tbl_KPIConfig[KPI Name],0))="Lower is Better",IF($H518=0,1,IF($G518=0,0,$G518/$H518)),IF($G518=0,1,$H518/$G518)),0)</f>
        <v/>
      </c>
      <c r="J518" s="12">
        <f>IFERROR(IF($I518&gt;=1,"Green",IF($I518&gt;=INDEX(Tbl_KPIConfig[RAG Threshold %],MATCH($D518,Tbl_KPIConfig[KPI Name],0)),"Amber","Red")),"")</f>
        <v/>
      </c>
      <c r="K518" s="14" t="inlineStr">
        <is>
          <t>Awaiting spares</t>
        </is>
      </c>
    </row>
    <row r="519">
      <c r="A519" s="7" t="n">
        <v>46210</v>
      </c>
      <c r="B519" s="8">
        <f>IF($A519="","",TEXT($A519,"mmm-yyyy"))</f>
        <v/>
      </c>
      <c r="C519" s="8">
        <f>IF($A519="","","W"&amp;WEEKNUM($A519,2))</f>
        <v/>
      </c>
      <c r="D519" s="8" t="inlineStr">
        <is>
          <t>Unplanned Downtime (Hrs)</t>
        </is>
      </c>
      <c r="E519" s="8">
        <f>IFERROR(INDEX(Tbl_KPIConfig[Department],MATCH($D519,Tbl_KPIConfig[KPI Name],0)),"")</f>
        <v/>
      </c>
      <c r="F519" s="8">
        <f>IFERROR(INDEX(Tbl_KPIConfig[Unit],MATCH($D519,Tbl_KPIConfig[KPI Name],0)),"")</f>
        <v/>
      </c>
      <c r="G519" s="8">
        <f>IFERROR(INDEX(Tbl_KPIConfig[Target],MATCH($D519,Tbl_KPIConfig[KPI Name],0)),"")</f>
        <v/>
      </c>
      <c r="H519" s="8" t="n">
        <v>1.06</v>
      </c>
      <c r="I519" s="9">
        <f>IFERROR(IF(INDEX(Tbl_KPIConfig[Direction],MATCH($D519,Tbl_KPIConfig[KPI Name],0))="Lower is Better",IF($H519=0,1,IF($G519=0,0,$G519/$H519)),IF($G519=0,1,$H519/$G519)),0)</f>
        <v/>
      </c>
      <c r="J519" s="8">
        <f>IFERROR(IF($I519&gt;=1,"Green",IF($I519&gt;=INDEX(Tbl_KPIConfig[RAG Threshold %],MATCH($D519,Tbl_KPIConfig[KPI Name],0)),"Amber","Red")),"")</f>
        <v/>
      </c>
      <c r="K519" s="10" t="inlineStr">
        <is>
          <t>Process improvement in progress</t>
        </is>
      </c>
    </row>
    <row r="520">
      <c r="A520" s="11" t="n">
        <v>46210</v>
      </c>
      <c r="B520" s="12">
        <f>IF($A520="","",TEXT($A520,"mmm-yyyy"))</f>
        <v/>
      </c>
      <c r="C520" s="12">
        <f>IF($A520="","","W"&amp;WEEKNUM($A520,2))</f>
        <v/>
      </c>
      <c r="D520" s="12" t="inlineStr">
        <is>
          <t>PM Compliance %</t>
        </is>
      </c>
      <c r="E520" s="12">
        <f>IFERROR(INDEX(Tbl_KPIConfig[Department],MATCH($D520,Tbl_KPIConfig[KPI Name],0)),"")</f>
        <v/>
      </c>
      <c r="F520" s="12">
        <f>IFERROR(INDEX(Tbl_KPIConfig[Unit],MATCH($D520,Tbl_KPIConfig[KPI Name],0)),"")</f>
        <v/>
      </c>
      <c r="G520" s="12">
        <f>IFERROR(INDEX(Tbl_KPIConfig[Target],MATCH($D520,Tbl_KPIConfig[KPI Name],0)),"")</f>
        <v/>
      </c>
      <c r="H520" s="12" t="n">
        <v>0.9077</v>
      </c>
      <c r="I520" s="13">
        <f>IFERROR(IF(INDEX(Tbl_KPIConfig[Direction],MATCH($D520,Tbl_KPIConfig[KPI Name],0))="Lower is Better",IF($H520=0,1,IF($G520=0,0,$G520/$H520)),IF($G520=0,1,$H520/$G520)),0)</f>
        <v/>
      </c>
      <c r="J520" s="12">
        <f>IFERROR(IF($I520&gt;=1,"Green",IF($I520&gt;=INDEX(Tbl_KPIConfig[RAG Threshold %],MATCH($D520,Tbl_KPIConfig[KPI Name],0)),"Amber","Red")),"")</f>
        <v/>
      </c>
      <c r="K520" s="14" t="inlineStr">
        <is>
          <t>Within normal range</t>
        </is>
      </c>
    </row>
    <row r="521">
      <c r="A521" s="7" t="n">
        <v>46210</v>
      </c>
      <c r="B521" s="8">
        <f>IF($A521="","",TEXT($A521,"mmm-yyyy"))</f>
        <v/>
      </c>
      <c r="C521" s="8">
        <f>IF($A521="","","W"&amp;WEEKNUM($A521,2))</f>
        <v/>
      </c>
      <c r="D521" s="8" t="inlineStr">
        <is>
          <t>Power Consumption (kWh)</t>
        </is>
      </c>
      <c r="E521" s="8">
        <f>IFERROR(INDEX(Tbl_KPIConfig[Department],MATCH($D521,Tbl_KPIConfig[KPI Name],0)),"")</f>
        <v/>
      </c>
      <c r="F521" s="8">
        <f>IFERROR(INDEX(Tbl_KPIConfig[Unit],MATCH($D521,Tbl_KPIConfig[KPI Name],0)),"")</f>
        <v/>
      </c>
      <c r="G521" s="8">
        <f>IFERROR(INDEX(Tbl_KPIConfig[Target],MATCH($D521,Tbl_KPIConfig[KPI Name],0)),"")</f>
        <v/>
      </c>
      <c r="H521" s="8" t="n">
        <v>6384.45</v>
      </c>
      <c r="I521" s="9">
        <f>IFERROR(IF(INDEX(Tbl_KPIConfig[Direction],MATCH($D521,Tbl_KPIConfig[KPI Name],0))="Lower is Better",IF($H521=0,1,IF($G521=0,0,$G521/$H521)),IF($G521=0,1,$H521/$G521)),0)</f>
        <v/>
      </c>
      <c r="J521" s="8">
        <f>IFERROR(IF($I521&gt;=1,"Green",IF($I521&gt;=INDEX(Tbl_KPIConfig[RAG Threshold %],MATCH($D521,Tbl_KPIConfig[KPI Name],0)),"Amber","Red")),"")</f>
        <v/>
      </c>
      <c r="K521" s="10" t="inlineStr">
        <is>
          <t>Process improvement in progress</t>
        </is>
      </c>
    </row>
    <row r="522">
      <c r="A522" s="11" t="n">
        <v>46210</v>
      </c>
      <c r="B522" s="12">
        <f>IF($A522="","",TEXT($A522,"mmm-yyyy"))</f>
        <v/>
      </c>
      <c r="C522" s="12">
        <f>IF($A522="","","W"&amp;WEEKNUM($A522,2))</f>
        <v/>
      </c>
      <c r="D522" s="12" t="inlineStr">
        <is>
          <t>On-Time Dispatch %</t>
        </is>
      </c>
      <c r="E522" s="12">
        <f>IFERROR(INDEX(Tbl_KPIConfig[Department],MATCH($D522,Tbl_KPIConfig[KPI Name],0)),"")</f>
        <v/>
      </c>
      <c r="F522" s="12">
        <f>IFERROR(INDEX(Tbl_KPIConfig[Unit],MATCH($D522,Tbl_KPIConfig[KPI Name],0)),"")</f>
        <v/>
      </c>
      <c r="G522" s="12">
        <f>IFERROR(INDEX(Tbl_KPIConfig[Target],MATCH($D522,Tbl_KPIConfig[KPI Name],0)),"")</f>
        <v/>
      </c>
      <c r="H522" s="12" t="n">
        <v>0.9189000000000001</v>
      </c>
      <c r="I522" s="13">
        <f>IFERROR(IF(INDEX(Tbl_KPIConfig[Direction],MATCH($D522,Tbl_KPIConfig[KPI Name],0))="Lower is Better",IF($H522=0,1,IF($G522=0,0,$G522/$H522)),IF($G522=0,1,$H522/$G522)),0)</f>
        <v/>
      </c>
      <c r="J522" s="12">
        <f>IFERROR(IF($I522&gt;=1,"Green",IF($I522&gt;=INDEX(Tbl_KPIConfig[RAG Threshold %],MATCH($D522,Tbl_KPIConfig[KPI Name],0)),"Amber","Red")),"")</f>
        <v/>
      </c>
      <c r="K522" s="14" t="inlineStr">
        <is>
          <t>Manpower shortage</t>
        </is>
      </c>
    </row>
    <row r="523">
      <c r="A523" s="7" t="n">
        <v>46210</v>
      </c>
      <c r="B523" s="8">
        <f>IF($A523="","",TEXT($A523,"mmm-yyyy"))</f>
        <v/>
      </c>
      <c r="C523" s="8">
        <f>IF($A523="","","W"&amp;WEEKNUM($A523,2))</f>
        <v/>
      </c>
      <c r="D523" s="8" t="inlineStr">
        <is>
          <t>Inventory Accuracy %</t>
        </is>
      </c>
      <c r="E523" s="8">
        <f>IFERROR(INDEX(Tbl_KPIConfig[Department],MATCH($D523,Tbl_KPIConfig[KPI Name],0)),"")</f>
        <v/>
      </c>
      <c r="F523" s="8">
        <f>IFERROR(INDEX(Tbl_KPIConfig[Unit],MATCH($D523,Tbl_KPIConfig[KPI Name],0)),"")</f>
        <v/>
      </c>
      <c r="G523" s="8">
        <f>IFERROR(INDEX(Tbl_KPIConfig[Target],MATCH($D523,Tbl_KPIConfig[KPI Name],0)),"")</f>
        <v/>
      </c>
      <c r="H523" s="8" t="n">
        <v>0.8343</v>
      </c>
      <c r="I523" s="9">
        <f>IFERROR(IF(INDEX(Tbl_KPIConfig[Direction],MATCH($D523,Tbl_KPIConfig[KPI Name],0))="Lower is Better",IF($H523=0,1,IF($G523=0,0,$G523/$H523)),IF($G523=0,1,$H523/$G523)),0)</f>
        <v/>
      </c>
      <c r="J523" s="8">
        <f>IFERROR(IF($I523&gt;=1,"Green",IF($I523&gt;=INDEX(Tbl_KPIConfig[RAG Threshold %],MATCH($D523,Tbl_KPIConfig[KPI Name],0)),"Amber","Red")),"")</f>
        <v/>
      </c>
      <c r="K523" s="10" t="inlineStr">
        <is>
          <t>Preventive check done</t>
        </is>
      </c>
    </row>
    <row r="524">
      <c r="A524" s="11" t="n">
        <v>46210</v>
      </c>
      <c r="B524" s="12">
        <f>IF($A524="","",TEXT($A524,"mmm-yyyy"))</f>
        <v/>
      </c>
      <c r="C524" s="12">
        <f>IF($A524="","","W"&amp;WEEKNUM($A524,2))</f>
        <v/>
      </c>
      <c r="D524" s="12" t="inlineStr">
        <is>
          <t>Absenteeism %</t>
        </is>
      </c>
      <c r="E524" s="12">
        <f>IFERROR(INDEX(Tbl_KPIConfig[Department],MATCH($D524,Tbl_KPIConfig[KPI Name],0)),"")</f>
        <v/>
      </c>
      <c r="F524" s="12">
        <f>IFERROR(INDEX(Tbl_KPIConfig[Unit],MATCH($D524,Tbl_KPIConfig[KPI Name],0)),"")</f>
        <v/>
      </c>
      <c r="G524" s="12">
        <f>IFERROR(INDEX(Tbl_KPIConfig[Target],MATCH($D524,Tbl_KPIConfig[KPI Name],0)),"")</f>
        <v/>
      </c>
      <c r="H524" s="12" t="n">
        <v>0.0284</v>
      </c>
      <c r="I524" s="13">
        <f>IFERROR(IF(INDEX(Tbl_KPIConfig[Direction],MATCH($D524,Tbl_KPIConfig[KPI Name],0))="Lower is Better",IF($H524=0,1,IF($G524=0,0,$G524/$H524)),IF($G524=0,1,$H524/$G524)),0)</f>
        <v/>
      </c>
      <c r="J524" s="12">
        <f>IFERROR(IF($I524&gt;=1,"Green",IF($I524&gt;=INDEX(Tbl_KPIConfig[RAG Threshold %],MATCH($D524,Tbl_KPIConfig[KPI Name],0)),"Amber","Red")),"")</f>
        <v/>
      </c>
      <c r="K524" s="14" t="inlineStr">
        <is>
          <t>Vendor delay</t>
        </is>
      </c>
    </row>
    <row r="525">
      <c r="A525" s="7" t="n">
        <v>46210</v>
      </c>
      <c r="B525" s="8">
        <f>IF($A525="","",TEXT($A525,"mmm-yyyy"))</f>
        <v/>
      </c>
      <c r="C525" s="8">
        <f>IF($A525="","","W"&amp;WEEKNUM($A525,2))</f>
        <v/>
      </c>
      <c r="D525" s="8" t="inlineStr">
        <is>
          <t>Training Hours</t>
        </is>
      </c>
      <c r="E525" s="8">
        <f>IFERROR(INDEX(Tbl_KPIConfig[Department],MATCH($D525,Tbl_KPIConfig[KPI Name],0)),"")</f>
        <v/>
      </c>
      <c r="F525" s="8">
        <f>IFERROR(INDEX(Tbl_KPIConfig[Unit],MATCH($D525,Tbl_KPIConfig[KPI Name],0)),"")</f>
        <v/>
      </c>
      <c r="G525" s="8">
        <f>IFERROR(INDEX(Tbl_KPIConfig[Target],MATCH($D525,Tbl_KPIConfig[KPI Name],0)),"")</f>
        <v/>
      </c>
      <c r="H525" s="8" t="n">
        <v>1.66</v>
      </c>
      <c r="I525" s="9">
        <f>IFERROR(IF(INDEX(Tbl_KPIConfig[Direction],MATCH($D525,Tbl_KPIConfig[KPI Name],0))="Lower is Better",IF($H525=0,1,IF($G525=0,0,$G525/$H525)),IF($G525=0,1,$H525/$G525)),0)</f>
        <v/>
      </c>
      <c r="J525" s="8">
        <f>IFERROR(IF($I525&gt;=1,"Green",IF($I525&gt;=INDEX(Tbl_KPIConfig[RAG Threshold %],MATCH($D525,Tbl_KPIConfig[KPI Name],0)),"Amber","Red")),"")</f>
        <v/>
      </c>
      <c r="K525" s="10" t="inlineStr">
        <is>
          <t>Vendor delay</t>
        </is>
      </c>
    </row>
    <row r="526">
      <c r="A526" s="11" t="n">
        <v>46210</v>
      </c>
      <c r="B526" s="12">
        <f>IF($A526="","",TEXT($A526,"mmm-yyyy"))</f>
        <v/>
      </c>
      <c r="C526" s="12">
        <f>IF($A526="","","W"&amp;WEEKNUM($A526,2))</f>
        <v/>
      </c>
      <c r="D526" s="12" t="inlineStr">
        <is>
          <t>Milestone Adherence %</t>
        </is>
      </c>
      <c r="E526" s="12">
        <f>IFERROR(INDEX(Tbl_KPIConfig[Department],MATCH($D526,Tbl_KPIConfig[KPI Name],0)),"")</f>
        <v/>
      </c>
      <c r="F526" s="12">
        <f>IFERROR(INDEX(Tbl_KPIConfig[Unit],MATCH($D526,Tbl_KPIConfig[KPI Name],0)),"")</f>
        <v/>
      </c>
      <c r="G526" s="12">
        <f>IFERROR(INDEX(Tbl_KPIConfig[Target],MATCH($D526,Tbl_KPIConfig[KPI Name],0)),"")</f>
        <v/>
      </c>
      <c r="H526" s="12" t="n">
        <v>0.8933</v>
      </c>
      <c r="I526" s="13">
        <f>IFERROR(IF(INDEX(Tbl_KPIConfig[Direction],MATCH($D526,Tbl_KPIConfig[KPI Name],0))="Lower is Better",IF($H526=0,1,IF($G526=0,0,$G526/$H526)),IF($G526=0,1,$H526/$G526)),0)</f>
        <v/>
      </c>
      <c r="J526" s="12">
        <f>IFERROR(IF($I526&gt;=1,"Green",IF($I526&gt;=INDEX(Tbl_KPIConfig[RAG Threshold %],MATCH($D526,Tbl_KPIConfig[KPI Name],0)),"Amber","Red")),"")</f>
        <v/>
      </c>
      <c r="K526" s="14" t="inlineStr">
        <is>
          <t>Vendor delay</t>
        </is>
      </c>
    </row>
    <row r="527">
      <c r="A527" s="7" t="n">
        <v>46210</v>
      </c>
      <c r="B527" s="8">
        <f>IF($A527="","",TEXT($A527,"mmm-yyyy"))</f>
        <v/>
      </c>
      <c r="C527" s="8">
        <f>IF($A527="","","W"&amp;WEEKNUM($A527,2))</f>
        <v/>
      </c>
      <c r="D527" s="8" t="inlineStr">
        <is>
          <t>Breakdown Resolution (Hrs)</t>
        </is>
      </c>
      <c r="E527" s="8">
        <f>IFERROR(INDEX(Tbl_KPIConfig[Department],MATCH($D527,Tbl_KPIConfig[KPI Name],0)),"")</f>
        <v/>
      </c>
      <c r="F527" s="8">
        <f>IFERROR(INDEX(Tbl_KPIConfig[Unit],MATCH($D527,Tbl_KPIConfig[KPI Name],0)),"")</f>
        <v/>
      </c>
      <c r="G527" s="8">
        <f>IFERROR(INDEX(Tbl_KPIConfig[Target],MATCH($D527,Tbl_KPIConfig[KPI Name],0)),"")</f>
        <v/>
      </c>
      <c r="H527" s="8" t="n">
        <v>1.93</v>
      </c>
      <c r="I527" s="9">
        <f>IFERROR(IF(INDEX(Tbl_KPIConfig[Direction],MATCH($D527,Tbl_KPIConfig[KPI Name],0))="Lower is Better",IF($H527=0,1,IF($G527=0,0,$G527/$H527)),IF($G527=0,1,$H527/$G527)),0)</f>
        <v/>
      </c>
      <c r="J527" s="8">
        <f>IFERROR(IF($I527&gt;=1,"Green",IF($I527&gt;=INDEX(Tbl_KPIConfig[RAG Threshold %],MATCH($D527,Tbl_KPIConfig[KPI Name],0)),"Amber","Red")),"")</f>
        <v/>
      </c>
      <c r="K527" s="10" t="inlineStr">
        <is>
          <t>Manpower shortage</t>
        </is>
      </c>
    </row>
    <row r="528">
      <c r="A528" s="11" t="n">
        <v>46211</v>
      </c>
      <c r="B528" s="12">
        <f>IF($A528="","",TEXT($A528,"mmm-yyyy"))</f>
        <v/>
      </c>
      <c r="C528" s="12">
        <f>IF($A528="","","W"&amp;WEEKNUM($A528,2))</f>
        <v/>
      </c>
      <c r="D528" s="12" t="inlineStr">
        <is>
          <t>Safety Incidents (LTI)</t>
        </is>
      </c>
      <c r="E528" s="12">
        <f>IFERROR(INDEX(Tbl_KPIConfig[Department],MATCH($D528,Tbl_KPIConfig[KPI Name],0)),"")</f>
        <v/>
      </c>
      <c r="F528" s="12">
        <f>IFERROR(INDEX(Tbl_KPIConfig[Unit],MATCH($D528,Tbl_KPIConfig[KPI Name],0)),"")</f>
        <v/>
      </c>
      <c r="G528" s="12">
        <f>IFERROR(INDEX(Tbl_KPIConfig[Target],MATCH($D528,Tbl_KPIConfig[KPI Name],0)),"")</f>
        <v/>
      </c>
      <c r="H528" s="12" t="n">
        <v>3</v>
      </c>
      <c r="I528" s="13">
        <f>IFERROR(IF(INDEX(Tbl_KPIConfig[Direction],MATCH($D528,Tbl_KPIConfig[KPI Name],0))="Lower is Better",IF($H528=0,1,IF($G528=0,0,$G528/$H528)),IF($G528=0,1,$H528/$G528)),0)</f>
        <v/>
      </c>
      <c r="J528" s="12">
        <f>IFERROR(IF($I528&gt;=1,"Green",IF($I528&gt;=INDEX(Tbl_KPIConfig[RAG Threshold %],MATCH($D528,Tbl_KPIConfig[KPI Name],0)),"Amber","Red")),"")</f>
        <v/>
      </c>
      <c r="K528" s="14" t="inlineStr">
        <is>
          <t>Vendor delay</t>
        </is>
      </c>
    </row>
    <row r="529">
      <c r="A529" s="7" t="n">
        <v>46211</v>
      </c>
      <c r="B529" s="8">
        <f>IF($A529="","",TEXT($A529,"mmm-yyyy"))</f>
        <v/>
      </c>
      <c r="C529" s="8">
        <f>IF($A529="","","W"&amp;WEEKNUM($A529,2))</f>
        <v/>
      </c>
      <c r="D529" s="8" t="inlineStr">
        <is>
          <t>Near Miss Reports</t>
        </is>
      </c>
      <c r="E529" s="8">
        <f>IFERROR(INDEX(Tbl_KPIConfig[Department],MATCH($D529,Tbl_KPIConfig[KPI Name],0)),"")</f>
        <v/>
      </c>
      <c r="F529" s="8">
        <f>IFERROR(INDEX(Tbl_KPIConfig[Unit],MATCH($D529,Tbl_KPIConfig[KPI Name],0)),"")</f>
        <v/>
      </c>
      <c r="G529" s="8">
        <f>IFERROR(INDEX(Tbl_KPIConfig[Target],MATCH($D529,Tbl_KPIConfig[KPI Name],0)),"")</f>
        <v/>
      </c>
      <c r="H529" s="8" t="n">
        <v>2</v>
      </c>
      <c r="I529" s="9">
        <f>IFERROR(IF(INDEX(Tbl_KPIConfig[Direction],MATCH($D529,Tbl_KPIConfig[KPI Name],0))="Lower is Better",IF($H529=0,1,IF($G529=0,0,$G529/$H529)),IF($G529=0,1,$H529/$G529)),0)</f>
        <v/>
      </c>
      <c r="J529" s="8">
        <f>IFERROR(IF($I529&gt;=1,"Green",IF($I529&gt;=INDEX(Tbl_KPIConfig[RAG Threshold %],MATCH($D529,Tbl_KPIConfig[KPI Name],0)),"Amber","Red")),"")</f>
        <v/>
      </c>
      <c r="K529" s="10" t="inlineStr">
        <is>
          <t>Manpower shortage</t>
        </is>
      </c>
    </row>
    <row r="530">
      <c r="A530" s="11" t="n">
        <v>46211</v>
      </c>
      <c r="B530" s="12">
        <f>IF($A530="","",TEXT($A530,"mmm-yyyy"))</f>
        <v/>
      </c>
      <c r="C530" s="12">
        <f>IF($A530="","","W"&amp;WEEKNUM($A530,2))</f>
        <v/>
      </c>
      <c r="D530" s="12" t="inlineStr">
        <is>
          <t>Production Output</t>
        </is>
      </c>
      <c r="E530" s="12">
        <f>IFERROR(INDEX(Tbl_KPIConfig[Department],MATCH($D530,Tbl_KPIConfig[KPI Name],0)),"")</f>
        <v/>
      </c>
      <c r="F530" s="12">
        <f>IFERROR(INDEX(Tbl_KPIConfig[Unit],MATCH($D530,Tbl_KPIConfig[KPI Name],0)),"")</f>
        <v/>
      </c>
      <c r="G530" s="12">
        <f>IFERROR(INDEX(Tbl_KPIConfig[Target],MATCH($D530,Tbl_KPIConfig[KPI Name],0)),"")</f>
        <v/>
      </c>
      <c r="H530" s="12" t="n">
        <v>870.87</v>
      </c>
      <c r="I530" s="13">
        <f>IFERROR(IF(INDEX(Tbl_KPIConfig[Direction],MATCH($D530,Tbl_KPIConfig[KPI Name],0))="Lower is Better",IF($H530=0,1,IF($G530=0,0,$G530/$H530)),IF($G530=0,1,$H530/$G530)),0)</f>
        <v/>
      </c>
      <c r="J530" s="12">
        <f>IFERROR(IF($I530&gt;=1,"Green",IF($I530&gt;=INDEX(Tbl_KPIConfig[RAG Threshold %],MATCH($D530,Tbl_KPIConfig[KPI Name],0)),"Amber","Red")),"")</f>
        <v/>
      </c>
      <c r="K530" s="14" t="inlineStr">
        <is>
          <t>Line changeover impact</t>
        </is>
      </c>
    </row>
    <row r="531">
      <c r="A531" s="7" t="n">
        <v>46211</v>
      </c>
      <c r="B531" s="8">
        <f>IF($A531="","",TEXT($A531,"mmm-yyyy"))</f>
        <v/>
      </c>
      <c r="C531" s="8">
        <f>IF($A531="","","W"&amp;WEEKNUM($A531,2))</f>
        <v/>
      </c>
      <c r="D531" s="8" t="inlineStr">
        <is>
          <t>OEE %</t>
        </is>
      </c>
      <c r="E531" s="8">
        <f>IFERROR(INDEX(Tbl_KPIConfig[Department],MATCH($D531,Tbl_KPIConfig[KPI Name],0)),"")</f>
        <v/>
      </c>
      <c r="F531" s="8">
        <f>IFERROR(INDEX(Tbl_KPIConfig[Unit],MATCH($D531,Tbl_KPIConfig[KPI Name],0)),"")</f>
        <v/>
      </c>
      <c r="G531" s="8">
        <f>IFERROR(INDEX(Tbl_KPIConfig[Target],MATCH($D531,Tbl_KPIConfig[KPI Name],0)),"")</f>
        <v/>
      </c>
      <c r="H531" s="8" t="n">
        <v>1.0302</v>
      </c>
      <c r="I531" s="9">
        <f>IFERROR(IF(INDEX(Tbl_KPIConfig[Direction],MATCH($D531,Tbl_KPIConfig[KPI Name],0))="Lower is Better",IF($H531=0,1,IF($G531=0,0,$G531/$H531)),IF($G531=0,1,$H531/$G531)),0)</f>
        <v/>
      </c>
      <c r="J531" s="8">
        <f>IFERROR(IF($I531&gt;=1,"Green",IF($I531&gt;=INDEX(Tbl_KPIConfig[RAG Threshold %],MATCH($D531,Tbl_KPIConfig[KPI Name],0)),"Amber","Red")),"")</f>
        <v/>
      </c>
      <c r="K531" s="10" t="inlineStr">
        <is>
          <t>Line changeover impact</t>
        </is>
      </c>
    </row>
    <row r="532">
      <c r="A532" s="11" t="n">
        <v>46211</v>
      </c>
      <c r="B532" s="12">
        <f>IF($A532="","",TEXT($A532,"mmm-yyyy"))</f>
        <v/>
      </c>
      <c r="C532" s="12">
        <f>IF($A532="","","W"&amp;WEEKNUM($A532,2))</f>
        <v/>
      </c>
      <c r="D532" s="12" t="inlineStr">
        <is>
          <t>Defect Rate %</t>
        </is>
      </c>
      <c r="E532" s="12">
        <f>IFERROR(INDEX(Tbl_KPIConfig[Department],MATCH($D532,Tbl_KPIConfig[KPI Name],0)),"")</f>
        <v/>
      </c>
      <c r="F532" s="12">
        <f>IFERROR(INDEX(Tbl_KPIConfig[Unit],MATCH($D532,Tbl_KPIConfig[KPI Name],0)),"")</f>
        <v/>
      </c>
      <c r="G532" s="12">
        <f>IFERROR(INDEX(Tbl_KPIConfig[Target],MATCH($D532,Tbl_KPIConfig[KPI Name],0)),"")</f>
        <v/>
      </c>
      <c r="H532" s="12" t="n">
        <v>0.0213</v>
      </c>
      <c r="I532" s="13">
        <f>IFERROR(IF(INDEX(Tbl_KPIConfig[Direction],MATCH($D532,Tbl_KPIConfig[KPI Name],0))="Lower is Better",IF($H532=0,1,IF($G532=0,0,$G532/$H532)),IF($G532=0,1,$H532/$G532)),0)</f>
        <v/>
      </c>
      <c r="J532" s="12">
        <f>IFERROR(IF($I532&gt;=1,"Green",IF($I532&gt;=INDEX(Tbl_KPIConfig[RAG Threshold %],MATCH($D532,Tbl_KPIConfig[KPI Name],0)),"Amber","Red")),"")</f>
        <v/>
      </c>
      <c r="K532" s="14" t="inlineStr"/>
    </row>
    <row r="533">
      <c r="A533" s="7" t="n">
        <v>46211</v>
      </c>
      <c r="B533" s="8">
        <f>IF($A533="","",TEXT($A533,"mmm-yyyy"))</f>
        <v/>
      </c>
      <c r="C533" s="8">
        <f>IF($A533="","","W"&amp;WEEKNUM($A533,2))</f>
        <v/>
      </c>
      <c r="D533" s="8" t="inlineStr">
        <is>
          <t>Customer Complaints</t>
        </is>
      </c>
      <c r="E533" s="8">
        <f>IFERROR(INDEX(Tbl_KPIConfig[Department],MATCH($D533,Tbl_KPIConfig[KPI Name],0)),"")</f>
        <v/>
      </c>
      <c r="F533" s="8">
        <f>IFERROR(INDEX(Tbl_KPIConfig[Unit],MATCH($D533,Tbl_KPIConfig[KPI Name],0)),"")</f>
        <v/>
      </c>
      <c r="G533" s="8">
        <f>IFERROR(INDEX(Tbl_KPIConfig[Target],MATCH($D533,Tbl_KPIConfig[KPI Name],0)),"")</f>
        <v/>
      </c>
      <c r="H533" s="8" t="n">
        <v>1</v>
      </c>
      <c r="I533" s="9">
        <f>IFERROR(IF(INDEX(Tbl_KPIConfig[Direction],MATCH($D533,Tbl_KPIConfig[KPI Name],0))="Lower is Better",IF($H533=0,1,IF($G533=0,0,$G533/$H533)),IF($G533=0,1,$H533/$G533)),0)</f>
        <v/>
      </c>
      <c r="J533" s="8">
        <f>IFERROR(IF($I533&gt;=1,"Green",IF($I533&gt;=INDEX(Tbl_KPIConfig[RAG Threshold %],MATCH($D533,Tbl_KPIConfig[KPI Name],0)),"Amber","Red")),"")</f>
        <v/>
      </c>
      <c r="K533" s="10" t="inlineStr">
        <is>
          <t>Preventive check done</t>
        </is>
      </c>
    </row>
    <row r="534">
      <c r="A534" s="11" t="n">
        <v>46211</v>
      </c>
      <c r="B534" s="12">
        <f>IF($A534="","",TEXT($A534,"mmm-yyyy"))</f>
        <v/>
      </c>
      <c r="C534" s="12">
        <f>IF($A534="","","W"&amp;WEEKNUM($A534,2))</f>
        <v/>
      </c>
      <c r="D534" s="12" t="inlineStr">
        <is>
          <t>Unplanned Downtime (Hrs)</t>
        </is>
      </c>
      <c r="E534" s="12">
        <f>IFERROR(INDEX(Tbl_KPIConfig[Department],MATCH($D534,Tbl_KPIConfig[KPI Name],0)),"")</f>
        <v/>
      </c>
      <c r="F534" s="12">
        <f>IFERROR(INDEX(Tbl_KPIConfig[Unit],MATCH($D534,Tbl_KPIConfig[KPI Name],0)),"")</f>
        <v/>
      </c>
      <c r="G534" s="12">
        <f>IFERROR(INDEX(Tbl_KPIConfig[Target],MATCH($D534,Tbl_KPIConfig[KPI Name],0)),"")</f>
        <v/>
      </c>
      <c r="H534" s="12" t="n">
        <v>0.98</v>
      </c>
      <c r="I534" s="13">
        <f>IFERROR(IF(INDEX(Tbl_KPIConfig[Direction],MATCH($D534,Tbl_KPIConfig[KPI Name],0))="Lower is Better",IF($H534=0,1,IF($G534=0,0,$G534/$H534)),IF($G534=0,1,$H534/$G534)),0)</f>
        <v/>
      </c>
      <c r="J534" s="12">
        <f>IFERROR(IF($I534&gt;=1,"Green",IF($I534&gt;=INDEX(Tbl_KPIConfig[RAG Threshold %],MATCH($D534,Tbl_KPIConfig[KPI Name],0)),"Amber","Red")),"")</f>
        <v/>
      </c>
      <c r="K534" s="14" t="inlineStr">
        <is>
          <t>Vendor delay</t>
        </is>
      </c>
    </row>
    <row r="535">
      <c r="A535" s="7" t="n">
        <v>46211</v>
      </c>
      <c r="B535" s="8">
        <f>IF($A535="","",TEXT($A535,"mmm-yyyy"))</f>
        <v/>
      </c>
      <c r="C535" s="8">
        <f>IF($A535="","","W"&amp;WEEKNUM($A535,2))</f>
        <v/>
      </c>
      <c r="D535" s="8" t="inlineStr">
        <is>
          <t>PM Compliance %</t>
        </is>
      </c>
      <c r="E535" s="8">
        <f>IFERROR(INDEX(Tbl_KPIConfig[Department],MATCH($D535,Tbl_KPIConfig[KPI Name],0)),"")</f>
        <v/>
      </c>
      <c r="F535" s="8">
        <f>IFERROR(INDEX(Tbl_KPIConfig[Unit],MATCH($D535,Tbl_KPIConfig[KPI Name],0)),"")</f>
        <v/>
      </c>
      <c r="G535" s="8">
        <f>IFERROR(INDEX(Tbl_KPIConfig[Target],MATCH($D535,Tbl_KPIConfig[KPI Name],0)),"")</f>
        <v/>
      </c>
      <c r="H535" s="8" t="n">
        <v>0.9799</v>
      </c>
      <c r="I535" s="9">
        <f>IFERROR(IF(INDEX(Tbl_KPIConfig[Direction],MATCH($D535,Tbl_KPIConfig[KPI Name],0))="Lower is Better",IF($H535=0,1,IF($G535=0,0,$G535/$H535)),IF($G535=0,1,$H535/$G535)),0)</f>
        <v/>
      </c>
      <c r="J535" s="8">
        <f>IFERROR(IF($I535&gt;=1,"Green",IF($I535&gt;=INDEX(Tbl_KPIConfig[RAG Threshold %],MATCH($D535,Tbl_KPIConfig[KPI Name],0)),"Amber","Red")),"")</f>
        <v/>
      </c>
      <c r="K535" s="10" t="inlineStr">
        <is>
          <t>Manpower shortage</t>
        </is>
      </c>
    </row>
    <row r="536">
      <c r="A536" s="11" t="n">
        <v>46211</v>
      </c>
      <c r="B536" s="12">
        <f>IF($A536="","",TEXT($A536,"mmm-yyyy"))</f>
        <v/>
      </c>
      <c r="C536" s="12">
        <f>IF($A536="","","W"&amp;WEEKNUM($A536,2))</f>
        <v/>
      </c>
      <c r="D536" s="12" t="inlineStr">
        <is>
          <t>Power Consumption (kWh)</t>
        </is>
      </c>
      <c r="E536" s="12">
        <f>IFERROR(INDEX(Tbl_KPIConfig[Department],MATCH($D536,Tbl_KPIConfig[KPI Name],0)),"")</f>
        <v/>
      </c>
      <c r="F536" s="12">
        <f>IFERROR(INDEX(Tbl_KPIConfig[Unit],MATCH($D536,Tbl_KPIConfig[KPI Name],0)),"")</f>
        <v/>
      </c>
      <c r="G536" s="12">
        <f>IFERROR(INDEX(Tbl_KPIConfig[Target],MATCH($D536,Tbl_KPIConfig[KPI Name],0)),"")</f>
        <v/>
      </c>
      <c r="H536" s="12" t="n">
        <v>4501.59</v>
      </c>
      <c r="I536" s="13">
        <f>IFERROR(IF(INDEX(Tbl_KPIConfig[Direction],MATCH($D536,Tbl_KPIConfig[KPI Name],0))="Lower is Better",IF($H536=0,1,IF($G536=0,0,$G536/$H536)),IF($G536=0,1,$H536/$G536)),0)</f>
        <v/>
      </c>
      <c r="J536" s="12">
        <f>IFERROR(IF($I536&gt;=1,"Green",IF($I536&gt;=INDEX(Tbl_KPIConfig[RAG Threshold %],MATCH($D536,Tbl_KPIConfig[KPI Name],0)),"Amber","Red")),"")</f>
        <v/>
      </c>
      <c r="K536" s="14" t="inlineStr">
        <is>
          <t>Vendor delay</t>
        </is>
      </c>
    </row>
    <row r="537">
      <c r="A537" s="7" t="n">
        <v>46211</v>
      </c>
      <c r="B537" s="8">
        <f>IF($A537="","",TEXT($A537,"mmm-yyyy"))</f>
        <v/>
      </c>
      <c r="C537" s="8">
        <f>IF($A537="","","W"&amp;WEEKNUM($A537,2))</f>
        <v/>
      </c>
      <c r="D537" s="8" t="inlineStr">
        <is>
          <t>On-Time Dispatch %</t>
        </is>
      </c>
      <c r="E537" s="8">
        <f>IFERROR(INDEX(Tbl_KPIConfig[Department],MATCH($D537,Tbl_KPIConfig[KPI Name],0)),"")</f>
        <v/>
      </c>
      <c r="F537" s="8">
        <f>IFERROR(INDEX(Tbl_KPIConfig[Unit],MATCH($D537,Tbl_KPIConfig[KPI Name],0)),"")</f>
        <v/>
      </c>
      <c r="G537" s="8">
        <f>IFERROR(INDEX(Tbl_KPIConfig[Target],MATCH($D537,Tbl_KPIConfig[KPI Name],0)),"")</f>
        <v/>
      </c>
      <c r="H537" s="8" t="n">
        <v>0.8255</v>
      </c>
      <c r="I537" s="9">
        <f>IFERROR(IF(INDEX(Tbl_KPIConfig[Direction],MATCH($D537,Tbl_KPIConfig[KPI Name],0))="Lower is Better",IF($H537=0,1,IF($G537=0,0,$G537/$H537)),IF($G537=0,1,$H537/$G537)),0)</f>
        <v/>
      </c>
      <c r="J537" s="8">
        <f>IFERROR(IF($I537&gt;=1,"Green",IF($I537&gt;=INDEX(Tbl_KPIConfig[RAG Threshold %],MATCH($D537,Tbl_KPIConfig[KPI Name],0)),"Amber","Red")),"")</f>
        <v/>
      </c>
      <c r="K537" s="10" t="inlineStr">
        <is>
          <t>Manpower shortage</t>
        </is>
      </c>
    </row>
    <row r="538">
      <c r="A538" s="11" t="n">
        <v>46211</v>
      </c>
      <c r="B538" s="12">
        <f>IF($A538="","",TEXT($A538,"mmm-yyyy"))</f>
        <v/>
      </c>
      <c r="C538" s="12">
        <f>IF($A538="","","W"&amp;WEEKNUM($A538,2))</f>
        <v/>
      </c>
      <c r="D538" s="12" t="inlineStr">
        <is>
          <t>Inventory Accuracy %</t>
        </is>
      </c>
      <c r="E538" s="12">
        <f>IFERROR(INDEX(Tbl_KPIConfig[Department],MATCH($D538,Tbl_KPIConfig[KPI Name],0)),"")</f>
        <v/>
      </c>
      <c r="F538" s="12">
        <f>IFERROR(INDEX(Tbl_KPIConfig[Unit],MATCH($D538,Tbl_KPIConfig[KPI Name],0)),"")</f>
        <v/>
      </c>
      <c r="G538" s="12">
        <f>IFERROR(INDEX(Tbl_KPIConfig[Target],MATCH($D538,Tbl_KPIConfig[KPI Name],0)),"")</f>
        <v/>
      </c>
      <c r="H538" s="12" t="n">
        <v>1.0382</v>
      </c>
      <c r="I538" s="13">
        <f>IFERROR(IF(INDEX(Tbl_KPIConfig[Direction],MATCH($D538,Tbl_KPIConfig[KPI Name],0))="Lower is Better",IF($H538=0,1,IF($G538=0,0,$G538/$H538)),IF($G538=0,1,$H538/$G538)),0)</f>
        <v/>
      </c>
      <c r="J538" s="12">
        <f>IFERROR(IF($I538&gt;=1,"Green",IF($I538&gt;=INDEX(Tbl_KPIConfig[RAG Threshold %],MATCH($D538,Tbl_KPIConfig[KPI Name],0)),"Amber","Red")),"")</f>
        <v/>
      </c>
      <c r="K538" s="14" t="inlineStr">
        <is>
          <t>Preventive check done</t>
        </is>
      </c>
    </row>
    <row r="539">
      <c r="A539" s="7" t="n">
        <v>46211</v>
      </c>
      <c r="B539" s="8">
        <f>IF($A539="","",TEXT($A539,"mmm-yyyy"))</f>
        <v/>
      </c>
      <c r="C539" s="8">
        <f>IF($A539="","","W"&amp;WEEKNUM($A539,2))</f>
        <v/>
      </c>
      <c r="D539" s="8" t="inlineStr">
        <is>
          <t>Absenteeism %</t>
        </is>
      </c>
      <c r="E539" s="8">
        <f>IFERROR(INDEX(Tbl_KPIConfig[Department],MATCH($D539,Tbl_KPIConfig[KPI Name],0)),"")</f>
        <v/>
      </c>
      <c r="F539" s="8">
        <f>IFERROR(INDEX(Tbl_KPIConfig[Unit],MATCH($D539,Tbl_KPIConfig[KPI Name],0)),"")</f>
        <v/>
      </c>
      <c r="G539" s="8">
        <f>IFERROR(INDEX(Tbl_KPIConfig[Target],MATCH($D539,Tbl_KPIConfig[KPI Name],0)),"")</f>
        <v/>
      </c>
      <c r="H539" s="8" t="n">
        <v>0.0307</v>
      </c>
      <c r="I539" s="9">
        <f>IFERROR(IF(INDEX(Tbl_KPIConfig[Direction],MATCH($D539,Tbl_KPIConfig[KPI Name],0))="Lower is Better",IF($H539=0,1,IF($G539=0,0,$G539/$H539)),IF($G539=0,1,$H539/$G539)),0)</f>
        <v/>
      </c>
      <c r="J539" s="8">
        <f>IFERROR(IF($I539&gt;=1,"Green",IF($I539&gt;=INDEX(Tbl_KPIConfig[RAG Threshold %],MATCH($D539,Tbl_KPIConfig[KPI Name],0)),"Amber","Red")),"")</f>
        <v/>
      </c>
      <c r="K539" s="10" t="inlineStr">
        <is>
          <t>Manpower shortage</t>
        </is>
      </c>
    </row>
    <row r="540">
      <c r="A540" s="11" t="n">
        <v>46211</v>
      </c>
      <c r="B540" s="12">
        <f>IF($A540="","",TEXT($A540,"mmm-yyyy"))</f>
        <v/>
      </c>
      <c r="C540" s="12">
        <f>IF($A540="","","W"&amp;WEEKNUM($A540,2))</f>
        <v/>
      </c>
      <c r="D540" s="12" t="inlineStr">
        <is>
          <t>Training Hours</t>
        </is>
      </c>
      <c r="E540" s="12">
        <f>IFERROR(INDEX(Tbl_KPIConfig[Department],MATCH($D540,Tbl_KPIConfig[KPI Name],0)),"")</f>
        <v/>
      </c>
      <c r="F540" s="12">
        <f>IFERROR(INDEX(Tbl_KPIConfig[Unit],MATCH($D540,Tbl_KPIConfig[KPI Name],0)),"")</f>
        <v/>
      </c>
      <c r="G540" s="12">
        <f>IFERROR(INDEX(Tbl_KPIConfig[Target],MATCH($D540,Tbl_KPIConfig[KPI Name],0)),"")</f>
        <v/>
      </c>
      <c r="H540" s="12" t="n">
        <v>1.65</v>
      </c>
      <c r="I540" s="13">
        <f>IFERROR(IF(INDEX(Tbl_KPIConfig[Direction],MATCH($D540,Tbl_KPIConfig[KPI Name],0))="Lower is Better",IF($H540=0,1,IF($G540=0,0,$G540/$H540)),IF($G540=0,1,$H540/$G540)),0)</f>
        <v/>
      </c>
      <c r="J540" s="12">
        <f>IFERROR(IF($I540&gt;=1,"Green",IF($I540&gt;=INDEX(Tbl_KPIConfig[RAG Threshold %],MATCH($D540,Tbl_KPIConfig[KPI Name],0)),"Amber","Red")),"")</f>
        <v/>
      </c>
      <c r="K540" s="14" t="inlineStr">
        <is>
          <t>Within normal range</t>
        </is>
      </c>
    </row>
    <row r="541">
      <c r="A541" s="7" t="n">
        <v>46211</v>
      </c>
      <c r="B541" s="8">
        <f>IF($A541="","",TEXT($A541,"mmm-yyyy"))</f>
        <v/>
      </c>
      <c r="C541" s="8">
        <f>IF($A541="","","W"&amp;WEEKNUM($A541,2))</f>
        <v/>
      </c>
      <c r="D541" s="8" t="inlineStr">
        <is>
          <t>Milestone Adherence %</t>
        </is>
      </c>
      <c r="E541" s="8">
        <f>IFERROR(INDEX(Tbl_KPIConfig[Department],MATCH($D541,Tbl_KPIConfig[KPI Name],0)),"")</f>
        <v/>
      </c>
      <c r="F541" s="8">
        <f>IFERROR(INDEX(Tbl_KPIConfig[Unit],MATCH($D541,Tbl_KPIConfig[KPI Name],0)),"")</f>
        <v/>
      </c>
      <c r="G541" s="8">
        <f>IFERROR(INDEX(Tbl_KPIConfig[Target],MATCH($D541,Tbl_KPIConfig[KPI Name],0)),"")</f>
        <v/>
      </c>
      <c r="H541" s="8" t="n">
        <v>0.8686</v>
      </c>
      <c r="I541" s="9">
        <f>IFERROR(IF(INDEX(Tbl_KPIConfig[Direction],MATCH($D541,Tbl_KPIConfig[KPI Name],0))="Lower is Better",IF($H541=0,1,IF($G541=0,0,$G541/$H541)),IF($G541=0,1,$H541/$G541)),0)</f>
        <v/>
      </c>
      <c r="J541" s="8">
        <f>IFERROR(IF($I541&gt;=1,"Green",IF($I541&gt;=INDEX(Tbl_KPIConfig[RAG Threshold %],MATCH($D541,Tbl_KPIConfig[KPI Name],0)),"Amber","Red")),"")</f>
        <v/>
      </c>
      <c r="K541" s="10" t="inlineStr">
        <is>
          <t>Line changeover impact</t>
        </is>
      </c>
    </row>
    <row r="542">
      <c r="A542" s="11" t="n">
        <v>46211</v>
      </c>
      <c r="B542" s="12">
        <f>IF($A542="","",TEXT($A542,"mmm-yyyy"))</f>
        <v/>
      </c>
      <c r="C542" s="12">
        <f>IF($A542="","","W"&amp;WEEKNUM($A542,2))</f>
        <v/>
      </c>
      <c r="D542" s="12" t="inlineStr">
        <is>
          <t>Breakdown Resolution (Hrs)</t>
        </is>
      </c>
      <c r="E542" s="12">
        <f>IFERROR(INDEX(Tbl_KPIConfig[Department],MATCH($D542,Tbl_KPIConfig[KPI Name],0)),"")</f>
        <v/>
      </c>
      <c r="F542" s="12">
        <f>IFERROR(INDEX(Tbl_KPIConfig[Unit],MATCH($D542,Tbl_KPIConfig[KPI Name],0)),"")</f>
        <v/>
      </c>
      <c r="G542" s="12">
        <f>IFERROR(INDEX(Tbl_KPIConfig[Target],MATCH($D542,Tbl_KPIConfig[KPI Name],0)),"")</f>
        <v/>
      </c>
      <c r="H542" s="12" t="n">
        <v>2.09</v>
      </c>
      <c r="I542" s="13">
        <f>IFERROR(IF(INDEX(Tbl_KPIConfig[Direction],MATCH($D542,Tbl_KPIConfig[KPI Name],0))="Lower is Better",IF($H542=0,1,IF($G542=0,0,$G542/$H542)),IF($G542=0,1,$H542/$G542)),0)</f>
        <v/>
      </c>
      <c r="J542" s="12">
        <f>IFERROR(IF($I542&gt;=1,"Green",IF($I542&gt;=INDEX(Tbl_KPIConfig[RAG Threshold %],MATCH($D542,Tbl_KPIConfig[KPI Name],0)),"Amber","Red")),"")</f>
        <v/>
      </c>
      <c r="K542" s="14" t="inlineStr">
        <is>
          <t>Process improvement in progress</t>
        </is>
      </c>
    </row>
    <row r="543">
      <c r="A543" s="7" t="n">
        <v>46212</v>
      </c>
      <c r="B543" s="8">
        <f>IF($A543="","",TEXT($A543,"mmm-yyyy"))</f>
        <v/>
      </c>
      <c r="C543" s="8">
        <f>IF($A543="","","W"&amp;WEEKNUM($A543,2))</f>
        <v/>
      </c>
      <c r="D543" s="8" t="inlineStr">
        <is>
          <t>Safety Incidents (LTI)</t>
        </is>
      </c>
      <c r="E543" s="8">
        <f>IFERROR(INDEX(Tbl_KPIConfig[Department],MATCH($D543,Tbl_KPIConfig[KPI Name],0)),"")</f>
        <v/>
      </c>
      <c r="F543" s="8">
        <f>IFERROR(INDEX(Tbl_KPIConfig[Unit],MATCH($D543,Tbl_KPIConfig[KPI Name],0)),"")</f>
        <v/>
      </c>
      <c r="G543" s="8">
        <f>IFERROR(INDEX(Tbl_KPIConfig[Target],MATCH($D543,Tbl_KPIConfig[KPI Name],0)),"")</f>
        <v/>
      </c>
      <c r="H543" s="8" t="n">
        <v>0</v>
      </c>
      <c r="I543" s="9">
        <f>IFERROR(IF(INDEX(Tbl_KPIConfig[Direction],MATCH($D543,Tbl_KPIConfig[KPI Name],0))="Lower is Better",IF($H543=0,1,IF($G543=0,0,$G543/$H543)),IF($G543=0,1,$H543/$G543)),0)</f>
        <v/>
      </c>
      <c r="J543" s="8">
        <f>IFERROR(IF($I543&gt;=1,"Green",IF($I543&gt;=INDEX(Tbl_KPIConfig[RAG Threshold %],MATCH($D543,Tbl_KPIConfig[KPI Name],0)),"Amber","Red")),"")</f>
        <v/>
      </c>
      <c r="K543" s="10" t="inlineStr">
        <is>
          <t>Within normal range</t>
        </is>
      </c>
    </row>
    <row r="544">
      <c r="A544" s="11" t="n">
        <v>46212</v>
      </c>
      <c r="B544" s="12">
        <f>IF($A544="","",TEXT($A544,"mmm-yyyy"))</f>
        <v/>
      </c>
      <c r="C544" s="12">
        <f>IF($A544="","","W"&amp;WEEKNUM($A544,2))</f>
        <v/>
      </c>
      <c r="D544" s="12" t="inlineStr">
        <is>
          <t>Near Miss Reports</t>
        </is>
      </c>
      <c r="E544" s="12">
        <f>IFERROR(INDEX(Tbl_KPIConfig[Department],MATCH($D544,Tbl_KPIConfig[KPI Name],0)),"")</f>
        <v/>
      </c>
      <c r="F544" s="12">
        <f>IFERROR(INDEX(Tbl_KPIConfig[Unit],MATCH($D544,Tbl_KPIConfig[KPI Name],0)),"")</f>
        <v/>
      </c>
      <c r="G544" s="12">
        <f>IFERROR(INDEX(Tbl_KPIConfig[Target],MATCH($D544,Tbl_KPIConfig[KPI Name],0)),"")</f>
        <v/>
      </c>
      <c r="H544" s="12" t="n">
        <v>2</v>
      </c>
      <c r="I544" s="13">
        <f>IFERROR(IF(INDEX(Tbl_KPIConfig[Direction],MATCH($D544,Tbl_KPIConfig[KPI Name],0))="Lower is Better",IF($H544=0,1,IF($G544=0,0,$G544/$H544)),IF($G544=0,1,$H544/$G544)),0)</f>
        <v/>
      </c>
      <c r="J544" s="12">
        <f>IFERROR(IF($I544&gt;=1,"Green",IF($I544&gt;=INDEX(Tbl_KPIConfig[RAG Threshold %],MATCH($D544,Tbl_KPIConfig[KPI Name],0)),"Amber","Red")),"")</f>
        <v/>
      </c>
      <c r="K544" s="14" t="inlineStr">
        <is>
          <t>Awaiting spares</t>
        </is>
      </c>
    </row>
    <row r="545">
      <c r="A545" s="7" t="n">
        <v>46212</v>
      </c>
      <c r="B545" s="8">
        <f>IF($A545="","",TEXT($A545,"mmm-yyyy"))</f>
        <v/>
      </c>
      <c r="C545" s="8">
        <f>IF($A545="","","W"&amp;WEEKNUM($A545,2))</f>
        <v/>
      </c>
      <c r="D545" s="8" t="inlineStr">
        <is>
          <t>Production Output</t>
        </is>
      </c>
      <c r="E545" s="8">
        <f>IFERROR(INDEX(Tbl_KPIConfig[Department],MATCH($D545,Tbl_KPIConfig[KPI Name],0)),"")</f>
        <v/>
      </c>
      <c r="F545" s="8">
        <f>IFERROR(INDEX(Tbl_KPIConfig[Unit],MATCH($D545,Tbl_KPIConfig[KPI Name],0)),"")</f>
        <v/>
      </c>
      <c r="G545" s="8">
        <f>IFERROR(INDEX(Tbl_KPIConfig[Target],MATCH($D545,Tbl_KPIConfig[KPI Name],0)),"")</f>
        <v/>
      </c>
      <c r="H545" s="8" t="n">
        <v>936.24</v>
      </c>
      <c r="I545" s="9">
        <f>IFERROR(IF(INDEX(Tbl_KPIConfig[Direction],MATCH($D545,Tbl_KPIConfig[KPI Name],0))="Lower is Better",IF($H545=0,1,IF($G545=0,0,$G545/$H545)),IF($G545=0,1,$H545/$G545)),0)</f>
        <v/>
      </c>
      <c r="J545" s="8">
        <f>IFERROR(IF($I545&gt;=1,"Green",IF($I545&gt;=INDEX(Tbl_KPIConfig[RAG Threshold %],MATCH($D545,Tbl_KPIConfig[KPI Name],0)),"Amber","Red")),"")</f>
        <v/>
      </c>
      <c r="K545" s="10" t="inlineStr">
        <is>
          <t>Awaiting spares</t>
        </is>
      </c>
    </row>
    <row r="546">
      <c r="A546" s="11" t="n">
        <v>46212</v>
      </c>
      <c r="B546" s="12">
        <f>IF($A546="","",TEXT($A546,"mmm-yyyy"))</f>
        <v/>
      </c>
      <c r="C546" s="12">
        <f>IF($A546="","","W"&amp;WEEKNUM($A546,2))</f>
        <v/>
      </c>
      <c r="D546" s="12" t="inlineStr">
        <is>
          <t>OEE %</t>
        </is>
      </c>
      <c r="E546" s="12">
        <f>IFERROR(INDEX(Tbl_KPIConfig[Department],MATCH($D546,Tbl_KPIConfig[KPI Name],0)),"")</f>
        <v/>
      </c>
      <c r="F546" s="12">
        <f>IFERROR(INDEX(Tbl_KPIConfig[Unit],MATCH($D546,Tbl_KPIConfig[KPI Name],0)),"")</f>
        <v/>
      </c>
      <c r="G546" s="12">
        <f>IFERROR(INDEX(Tbl_KPIConfig[Target],MATCH($D546,Tbl_KPIConfig[KPI Name],0)),"")</f>
        <v/>
      </c>
      <c r="H546" s="12" t="n">
        <v>0.8586</v>
      </c>
      <c r="I546" s="13">
        <f>IFERROR(IF(INDEX(Tbl_KPIConfig[Direction],MATCH($D546,Tbl_KPIConfig[KPI Name],0))="Lower is Better",IF($H546=0,1,IF($G546=0,0,$G546/$H546)),IF($G546=0,1,$H546/$G546)),0)</f>
        <v/>
      </c>
      <c r="J546" s="12">
        <f>IFERROR(IF($I546&gt;=1,"Green",IF($I546&gt;=INDEX(Tbl_KPIConfig[RAG Threshold %],MATCH($D546,Tbl_KPIConfig[KPI Name],0)),"Amber","Red")),"")</f>
        <v/>
      </c>
      <c r="K546" s="14" t="inlineStr">
        <is>
          <t>Preventive check done</t>
        </is>
      </c>
    </row>
    <row r="547">
      <c r="A547" s="7" t="n">
        <v>46212</v>
      </c>
      <c r="B547" s="8">
        <f>IF($A547="","",TEXT($A547,"mmm-yyyy"))</f>
        <v/>
      </c>
      <c r="C547" s="8">
        <f>IF($A547="","","W"&amp;WEEKNUM($A547,2))</f>
        <v/>
      </c>
      <c r="D547" s="8" t="inlineStr">
        <is>
          <t>Defect Rate %</t>
        </is>
      </c>
      <c r="E547" s="8">
        <f>IFERROR(INDEX(Tbl_KPIConfig[Department],MATCH($D547,Tbl_KPIConfig[KPI Name],0)),"")</f>
        <v/>
      </c>
      <c r="F547" s="8">
        <f>IFERROR(INDEX(Tbl_KPIConfig[Unit],MATCH($D547,Tbl_KPIConfig[KPI Name],0)),"")</f>
        <v/>
      </c>
      <c r="G547" s="8">
        <f>IFERROR(INDEX(Tbl_KPIConfig[Target],MATCH($D547,Tbl_KPIConfig[KPI Name],0)),"")</f>
        <v/>
      </c>
      <c r="H547" s="8" t="n">
        <v>0.0206</v>
      </c>
      <c r="I547" s="9">
        <f>IFERROR(IF(INDEX(Tbl_KPIConfig[Direction],MATCH($D547,Tbl_KPIConfig[KPI Name],0))="Lower is Better",IF($H547=0,1,IF($G547=0,0,$G547/$H547)),IF($G547=0,1,$H547/$G547)),0)</f>
        <v/>
      </c>
      <c r="J547" s="8">
        <f>IFERROR(IF($I547&gt;=1,"Green",IF($I547&gt;=INDEX(Tbl_KPIConfig[RAG Threshold %],MATCH($D547,Tbl_KPIConfig[KPI Name],0)),"Amber","Red")),"")</f>
        <v/>
      </c>
      <c r="K547" s="10" t="inlineStr"/>
    </row>
    <row r="548">
      <c r="A548" s="11" t="n">
        <v>46212</v>
      </c>
      <c r="B548" s="12">
        <f>IF($A548="","",TEXT($A548,"mmm-yyyy"))</f>
        <v/>
      </c>
      <c r="C548" s="12">
        <f>IF($A548="","","W"&amp;WEEKNUM($A548,2))</f>
        <v/>
      </c>
      <c r="D548" s="12" t="inlineStr">
        <is>
          <t>Customer Complaints</t>
        </is>
      </c>
      <c r="E548" s="12">
        <f>IFERROR(INDEX(Tbl_KPIConfig[Department],MATCH($D548,Tbl_KPIConfig[KPI Name],0)),"")</f>
        <v/>
      </c>
      <c r="F548" s="12">
        <f>IFERROR(INDEX(Tbl_KPIConfig[Unit],MATCH($D548,Tbl_KPIConfig[KPI Name],0)),"")</f>
        <v/>
      </c>
      <c r="G548" s="12">
        <f>IFERROR(INDEX(Tbl_KPIConfig[Target],MATCH($D548,Tbl_KPIConfig[KPI Name],0)),"")</f>
        <v/>
      </c>
      <c r="H548" s="12" t="n">
        <v>0</v>
      </c>
      <c r="I548" s="13">
        <f>IFERROR(IF(INDEX(Tbl_KPIConfig[Direction],MATCH($D548,Tbl_KPIConfig[KPI Name],0))="Lower is Better",IF($H548=0,1,IF($G548=0,0,$G548/$H548)),IF($G548=0,1,$H548/$G548)),0)</f>
        <v/>
      </c>
      <c r="J548" s="12">
        <f>IFERROR(IF($I548&gt;=1,"Green",IF($I548&gt;=INDEX(Tbl_KPIConfig[RAG Threshold %],MATCH($D548,Tbl_KPIConfig[KPI Name],0)),"Amber","Red")),"")</f>
        <v/>
      </c>
      <c r="K548" s="14" t="inlineStr">
        <is>
          <t>Line changeover impact</t>
        </is>
      </c>
    </row>
    <row r="549">
      <c r="A549" s="7" t="n">
        <v>46212</v>
      </c>
      <c r="B549" s="8">
        <f>IF($A549="","",TEXT($A549,"mmm-yyyy"))</f>
        <v/>
      </c>
      <c r="C549" s="8">
        <f>IF($A549="","","W"&amp;WEEKNUM($A549,2))</f>
        <v/>
      </c>
      <c r="D549" s="8" t="inlineStr">
        <is>
          <t>Unplanned Downtime (Hrs)</t>
        </is>
      </c>
      <c r="E549" s="8">
        <f>IFERROR(INDEX(Tbl_KPIConfig[Department],MATCH($D549,Tbl_KPIConfig[KPI Name],0)),"")</f>
        <v/>
      </c>
      <c r="F549" s="8">
        <f>IFERROR(INDEX(Tbl_KPIConfig[Unit],MATCH($D549,Tbl_KPIConfig[KPI Name],0)),"")</f>
        <v/>
      </c>
      <c r="G549" s="8">
        <f>IFERROR(INDEX(Tbl_KPIConfig[Target],MATCH($D549,Tbl_KPIConfig[KPI Name],0)),"")</f>
        <v/>
      </c>
      <c r="H549" s="8" t="n">
        <v>1.02</v>
      </c>
      <c r="I549" s="9">
        <f>IFERROR(IF(INDEX(Tbl_KPIConfig[Direction],MATCH($D549,Tbl_KPIConfig[KPI Name],0))="Lower is Better",IF($H549=0,1,IF($G549=0,0,$G549/$H549)),IF($G549=0,1,$H549/$G549)),0)</f>
        <v/>
      </c>
      <c r="J549" s="8">
        <f>IFERROR(IF($I549&gt;=1,"Green",IF($I549&gt;=INDEX(Tbl_KPIConfig[RAG Threshold %],MATCH($D549,Tbl_KPIConfig[KPI Name],0)),"Amber","Red")),"")</f>
        <v/>
      </c>
      <c r="K549" s="10" t="inlineStr">
        <is>
          <t>Within normal range</t>
        </is>
      </c>
    </row>
    <row r="550">
      <c r="A550" s="11" t="n">
        <v>46212</v>
      </c>
      <c r="B550" s="12">
        <f>IF($A550="","",TEXT($A550,"mmm-yyyy"))</f>
        <v/>
      </c>
      <c r="C550" s="12">
        <f>IF($A550="","","W"&amp;WEEKNUM($A550,2))</f>
        <v/>
      </c>
      <c r="D550" s="12" t="inlineStr">
        <is>
          <t>PM Compliance %</t>
        </is>
      </c>
      <c r="E550" s="12">
        <f>IFERROR(INDEX(Tbl_KPIConfig[Department],MATCH($D550,Tbl_KPIConfig[KPI Name],0)),"")</f>
        <v/>
      </c>
      <c r="F550" s="12">
        <f>IFERROR(INDEX(Tbl_KPIConfig[Unit],MATCH($D550,Tbl_KPIConfig[KPI Name],0)),"")</f>
        <v/>
      </c>
      <c r="G550" s="12">
        <f>IFERROR(INDEX(Tbl_KPIConfig[Target],MATCH($D550,Tbl_KPIConfig[KPI Name],0)),"")</f>
        <v/>
      </c>
      <c r="H550" s="12" t="n">
        <v>0.8368</v>
      </c>
      <c r="I550" s="13">
        <f>IFERROR(IF(INDEX(Tbl_KPIConfig[Direction],MATCH($D550,Tbl_KPIConfig[KPI Name],0))="Lower is Better",IF($H550=0,1,IF($G550=0,0,$G550/$H550)),IF($G550=0,1,$H550/$G550)),0)</f>
        <v/>
      </c>
      <c r="J550" s="12">
        <f>IFERROR(IF($I550&gt;=1,"Green",IF($I550&gt;=INDEX(Tbl_KPIConfig[RAG Threshold %],MATCH($D550,Tbl_KPIConfig[KPI Name],0)),"Amber","Red")),"")</f>
        <v/>
      </c>
      <c r="K550" s="14" t="inlineStr">
        <is>
          <t>Process improvement in progress</t>
        </is>
      </c>
    </row>
    <row r="551">
      <c r="A551" s="7" t="n">
        <v>46212</v>
      </c>
      <c r="B551" s="8">
        <f>IF($A551="","",TEXT($A551,"mmm-yyyy"))</f>
        <v/>
      </c>
      <c r="C551" s="8">
        <f>IF($A551="","","W"&amp;WEEKNUM($A551,2))</f>
        <v/>
      </c>
      <c r="D551" s="8" t="inlineStr">
        <is>
          <t>Power Consumption (kWh)</t>
        </is>
      </c>
      <c r="E551" s="8">
        <f>IFERROR(INDEX(Tbl_KPIConfig[Department],MATCH($D551,Tbl_KPIConfig[KPI Name],0)),"")</f>
        <v/>
      </c>
      <c r="F551" s="8">
        <f>IFERROR(INDEX(Tbl_KPIConfig[Unit],MATCH($D551,Tbl_KPIConfig[KPI Name],0)),"")</f>
        <v/>
      </c>
      <c r="G551" s="8">
        <f>IFERROR(INDEX(Tbl_KPIConfig[Target],MATCH($D551,Tbl_KPIConfig[KPI Name],0)),"")</f>
        <v/>
      </c>
      <c r="H551" s="8" t="n">
        <v>5564.13</v>
      </c>
      <c r="I551" s="9">
        <f>IFERROR(IF(INDEX(Tbl_KPIConfig[Direction],MATCH($D551,Tbl_KPIConfig[KPI Name],0))="Lower is Better",IF($H551=0,1,IF($G551=0,0,$G551/$H551)),IF($G551=0,1,$H551/$G551)),0)</f>
        <v/>
      </c>
      <c r="J551" s="8">
        <f>IFERROR(IF($I551&gt;=1,"Green",IF($I551&gt;=INDEX(Tbl_KPIConfig[RAG Threshold %],MATCH($D551,Tbl_KPIConfig[KPI Name],0)),"Amber","Red")),"")</f>
        <v/>
      </c>
      <c r="K551" s="10" t="inlineStr"/>
    </row>
    <row r="552">
      <c r="A552" s="11" t="n">
        <v>46212</v>
      </c>
      <c r="B552" s="12">
        <f>IF($A552="","",TEXT($A552,"mmm-yyyy"))</f>
        <v/>
      </c>
      <c r="C552" s="12">
        <f>IF($A552="","","W"&amp;WEEKNUM($A552,2))</f>
        <v/>
      </c>
      <c r="D552" s="12" t="inlineStr">
        <is>
          <t>On-Time Dispatch %</t>
        </is>
      </c>
      <c r="E552" s="12">
        <f>IFERROR(INDEX(Tbl_KPIConfig[Department],MATCH($D552,Tbl_KPIConfig[KPI Name],0)),"")</f>
        <v/>
      </c>
      <c r="F552" s="12">
        <f>IFERROR(INDEX(Tbl_KPIConfig[Unit],MATCH($D552,Tbl_KPIConfig[KPI Name],0)),"")</f>
        <v/>
      </c>
      <c r="G552" s="12">
        <f>IFERROR(INDEX(Tbl_KPIConfig[Target],MATCH($D552,Tbl_KPIConfig[KPI Name],0)),"")</f>
        <v/>
      </c>
      <c r="H552" s="12" t="n">
        <v>0.8342000000000001</v>
      </c>
      <c r="I552" s="13">
        <f>IFERROR(IF(INDEX(Tbl_KPIConfig[Direction],MATCH($D552,Tbl_KPIConfig[KPI Name],0))="Lower is Better",IF($H552=0,1,IF($G552=0,0,$G552/$H552)),IF($G552=0,1,$H552/$G552)),0)</f>
        <v/>
      </c>
      <c r="J552" s="12">
        <f>IFERROR(IF($I552&gt;=1,"Green",IF($I552&gt;=INDEX(Tbl_KPIConfig[RAG Threshold %],MATCH($D552,Tbl_KPIConfig[KPI Name],0)),"Amber","Red")),"")</f>
        <v/>
      </c>
      <c r="K552" s="14" t="inlineStr">
        <is>
          <t>Vendor delay</t>
        </is>
      </c>
    </row>
    <row r="553">
      <c r="A553" s="7" t="n">
        <v>46212</v>
      </c>
      <c r="B553" s="8">
        <f>IF($A553="","",TEXT($A553,"mmm-yyyy"))</f>
        <v/>
      </c>
      <c r="C553" s="8">
        <f>IF($A553="","","W"&amp;WEEKNUM($A553,2))</f>
        <v/>
      </c>
      <c r="D553" s="8" t="inlineStr">
        <is>
          <t>Inventory Accuracy %</t>
        </is>
      </c>
      <c r="E553" s="8">
        <f>IFERROR(INDEX(Tbl_KPIConfig[Department],MATCH($D553,Tbl_KPIConfig[KPI Name],0)),"")</f>
        <v/>
      </c>
      <c r="F553" s="8">
        <f>IFERROR(INDEX(Tbl_KPIConfig[Unit],MATCH($D553,Tbl_KPIConfig[KPI Name],0)),"")</f>
        <v/>
      </c>
      <c r="G553" s="8">
        <f>IFERROR(INDEX(Tbl_KPIConfig[Target],MATCH($D553,Tbl_KPIConfig[KPI Name],0)),"")</f>
        <v/>
      </c>
      <c r="H553" s="8" t="n">
        <v>0.7204</v>
      </c>
      <c r="I553" s="9">
        <f>IFERROR(IF(INDEX(Tbl_KPIConfig[Direction],MATCH($D553,Tbl_KPIConfig[KPI Name],0))="Lower is Better",IF($H553=0,1,IF($G553=0,0,$G553/$H553)),IF($G553=0,1,$H553/$G553)),0)</f>
        <v/>
      </c>
      <c r="J553" s="8">
        <f>IFERROR(IF($I553&gt;=1,"Green",IF($I553&gt;=INDEX(Tbl_KPIConfig[RAG Threshold %],MATCH($D553,Tbl_KPIConfig[KPI Name],0)),"Amber","Red")),"")</f>
        <v/>
      </c>
      <c r="K553" s="10" t="inlineStr">
        <is>
          <t>Preventive check done</t>
        </is>
      </c>
    </row>
    <row r="554">
      <c r="A554" s="11" t="n">
        <v>46212</v>
      </c>
      <c r="B554" s="12">
        <f>IF($A554="","",TEXT($A554,"mmm-yyyy"))</f>
        <v/>
      </c>
      <c r="C554" s="12">
        <f>IF($A554="","","W"&amp;WEEKNUM($A554,2))</f>
        <v/>
      </c>
      <c r="D554" s="12" t="inlineStr">
        <is>
          <t>Absenteeism %</t>
        </is>
      </c>
      <c r="E554" s="12">
        <f>IFERROR(INDEX(Tbl_KPIConfig[Department],MATCH($D554,Tbl_KPIConfig[KPI Name],0)),"")</f>
        <v/>
      </c>
      <c r="F554" s="12">
        <f>IFERROR(INDEX(Tbl_KPIConfig[Unit],MATCH($D554,Tbl_KPIConfig[KPI Name],0)),"")</f>
        <v/>
      </c>
      <c r="G554" s="12">
        <f>IFERROR(INDEX(Tbl_KPIConfig[Target],MATCH($D554,Tbl_KPIConfig[KPI Name],0)),"")</f>
        <v/>
      </c>
      <c r="H554" s="12" t="n">
        <v>0.0329</v>
      </c>
      <c r="I554" s="13">
        <f>IFERROR(IF(INDEX(Tbl_KPIConfig[Direction],MATCH($D554,Tbl_KPIConfig[KPI Name],0))="Lower is Better",IF($H554=0,1,IF($G554=0,0,$G554/$H554)),IF($G554=0,1,$H554/$G554)),0)</f>
        <v/>
      </c>
      <c r="J554" s="12">
        <f>IFERROR(IF($I554&gt;=1,"Green",IF($I554&gt;=INDEX(Tbl_KPIConfig[RAG Threshold %],MATCH($D554,Tbl_KPIConfig[KPI Name],0)),"Amber","Red")),"")</f>
        <v/>
      </c>
      <c r="K554" s="14" t="inlineStr">
        <is>
          <t>Manpower shortage</t>
        </is>
      </c>
    </row>
    <row r="555">
      <c r="A555" s="7" t="n">
        <v>46212</v>
      </c>
      <c r="B555" s="8">
        <f>IF($A555="","",TEXT($A555,"mmm-yyyy"))</f>
        <v/>
      </c>
      <c r="C555" s="8">
        <f>IF($A555="","","W"&amp;WEEKNUM($A555,2))</f>
        <v/>
      </c>
      <c r="D555" s="8" t="inlineStr">
        <is>
          <t>Training Hours</t>
        </is>
      </c>
      <c r="E555" s="8">
        <f>IFERROR(INDEX(Tbl_KPIConfig[Department],MATCH($D555,Tbl_KPIConfig[KPI Name],0)),"")</f>
        <v/>
      </c>
      <c r="F555" s="8">
        <f>IFERROR(INDEX(Tbl_KPIConfig[Unit],MATCH($D555,Tbl_KPIConfig[KPI Name],0)),"")</f>
        <v/>
      </c>
      <c r="G555" s="8">
        <f>IFERROR(INDEX(Tbl_KPIConfig[Target],MATCH($D555,Tbl_KPIConfig[KPI Name],0)),"")</f>
        <v/>
      </c>
      <c r="H555" s="8" t="n">
        <v>2.06</v>
      </c>
      <c r="I555" s="9">
        <f>IFERROR(IF(INDEX(Tbl_KPIConfig[Direction],MATCH($D555,Tbl_KPIConfig[KPI Name],0))="Lower is Better",IF($H555=0,1,IF($G555=0,0,$G555/$H555)),IF($G555=0,1,$H555/$G555)),0)</f>
        <v/>
      </c>
      <c r="J555" s="8">
        <f>IFERROR(IF($I555&gt;=1,"Green",IF($I555&gt;=INDEX(Tbl_KPIConfig[RAG Threshold %],MATCH($D555,Tbl_KPIConfig[KPI Name],0)),"Amber","Red")),"")</f>
        <v/>
      </c>
      <c r="K555" s="10" t="inlineStr">
        <is>
          <t>Vendor delay</t>
        </is>
      </c>
    </row>
    <row r="556">
      <c r="A556" s="11" t="n">
        <v>46212</v>
      </c>
      <c r="B556" s="12">
        <f>IF($A556="","",TEXT($A556,"mmm-yyyy"))</f>
        <v/>
      </c>
      <c r="C556" s="12">
        <f>IF($A556="","","W"&amp;WEEKNUM($A556,2))</f>
        <v/>
      </c>
      <c r="D556" s="12" t="inlineStr">
        <is>
          <t>Milestone Adherence %</t>
        </is>
      </c>
      <c r="E556" s="12">
        <f>IFERROR(INDEX(Tbl_KPIConfig[Department],MATCH($D556,Tbl_KPIConfig[KPI Name],0)),"")</f>
        <v/>
      </c>
      <c r="F556" s="12">
        <f>IFERROR(INDEX(Tbl_KPIConfig[Unit],MATCH($D556,Tbl_KPIConfig[KPI Name],0)),"")</f>
        <v/>
      </c>
      <c r="G556" s="12">
        <f>IFERROR(INDEX(Tbl_KPIConfig[Target],MATCH($D556,Tbl_KPIConfig[KPI Name],0)),"")</f>
        <v/>
      </c>
      <c r="H556" s="12" t="n">
        <v>0.8815</v>
      </c>
      <c r="I556" s="13">
        <f>IFERROR(IF(INDEX(Tbl_KPIConfig[Direction],MATCH($D556,Tbl_KPIConfig[KPI Name],0))="Lower is Better",IF($H556=0,1,IF($G556=0,0,$G556/$H556)),IF($G556=0,1,$H556/$G556)),0)</f>
        <v/>
      </c>
      <c r="J556" s="12">
        <f>IFERROR(IF($I556&gt;=1,"Green",IF($I556&gt;=INDEX(Tbl_KPIConfig[RAG Threshold %],MATCH($D556,Tbl_KPIConfig[KPI Name],0)),"Amber","Red")),"")</f>
        <v/>
      </c>
      <c r="K556" s="14" t="inlineStr">
        <is>
          <t>Awaiting spares</t>
        </is>
      </c>
    </row>
    <row r="557">
      <c r="A557" s="7" t="n">
        <v>46212</v>
      </c>
      <c r="B557" s="8">
        <f>IF($A557="","",TEXT($A557,"mmm-yyyy"))</f>
        <v/>
      </c>
      <c r="C557" s="8">
        <f>IF($A557="","","W"&amp;WEEKNUM($A557,2))</f>
        <v/>
      </c>
      <c r="D557" s="8" t="inlineStr">
        <is>
          <t>Breakdown Resolution (Hrs)</t>
        </is>
      </c>
      <c r="E557" s="8">
        <f>IFERROR(INDEX(Tbl_KPIConfig[Department],MATCH($D557,Tbl_KPIConfig[KPI Name],0)),"")</f>
        <v/>
      </c>
      <c r="F557" s="8">
        <f>IFERROR(INDEX(Tbl_KPIConfig[Unit],MATCH($D557,Tbl_KPIConfig[KPI Name],0)),"")</f>
        <v/>
      </c>
      <c r="G557" s="8">
        <f>IFERROR(INDEX(Tbl_KPIConfig[Target],MATCH($D557,Tbl_KPIConfig[KPI Name],0)),"")</f>
        <v/>
      </c>
      <c r="H557" s="8" t="n">
        <v>2.01</v>
      </c>
      <c r="I557" s="9">
        <f>IFERROR(IF(INDEX(Tbl_KPIConfig[Direction],MATCH($D557,Tbl_KPIConfig[KPI Name],0))="Lower is Better",IF($H557=0,1,IF($G557=0,0,$G557/$H557)),IF($G557=0,1,$H557/$G557)),0)</f>
        <v/>
      </c>
      <c r="J557" s="8">
        <f>IFERROR(IF($I557&gt;=1,"Green",IF($I557&gt;=INDEX(Tbl_KPIConfig[RAG Threshold %],MATCH($D557,Tbl_KPIConfig[KPI Name],0)),"Amber","Red")),"")</f>
        <v/>
      </c>
      <c r="K557" s="10" t="inlineStr">
        <is>
          <t>Within normal range</t>
        </is>
      </c>
    </row>
    <row r="558">
      <c r="A558" s="11" t="n">
        <v>46213</v>
      </c>
      <c r="B558" s="12">
        <f>IF($A558="","",TEXT($A558,"mmm-yyyy"))</f>
        <v/>
      </c>
      <c r="C558" s="12">
        <f>IF($A558="","","W"&amp;WEEKNUM($A558,2))</f>
        <v/>
      </c>
      <c r="D558" s="12" t="inlineStr">
        <is>
          <t>Safety Incidents (LTI)</t>
        </is>
      </c>
      <c r="E558" s="12">
        <f>IFERROR(INDEX(Tbl_KPIConfig[Department],MATCH($D558,Tbl_KPIConfig[KPI Name],0)),"")</f>
        <v/>
      </c>
      <c r="F558" s="12">
        <f>IFERROR(INDEX(Tbl_KPIConfig[Unit],MATCH($D558,Tbl_KPIConfig[KPI Name],0)),"")</f>
        <v/>
      </c>
      <c r="G558" s="12">
        <f>IFERROR(INDEX(Tbl_KPIConfig[Target],MATCH($D558,Tbl_KPIConfig[KPI Name],0)),"")</f>
        <v/>
      </c>
      <c r="H558" s="12" t="n">
        <v>0</v>
      </c>
      <c r="I558" s="13">
        <f>IFERROR(IF(INDEX(Tbl_KPIConfig[Direction],MATCH($D558,Tbl_KPIConfig[KPI Name],0))="Lower is Better",IF($H558=0,1,IF($G558=0,0,$G558/$H558)),IF($G558=0,1,$H558/$G558)),0)</f>
        <v/>
      </c>
      <c r="J558" s="12">
        <f>IFERROR(IF($I558&gt;=1,"Green",IF($I558&gt;=INDEX(Tbl_KPIConfig[RAG Threshold %],MATCH($D558,Tbl_KPIConfig[KPI Name],0)),"Amber","Red")),"")</f>
        <v/>
      </c>
      <c r="K558" s="14" t="inlineStr">
        <is>
          <t>Vendor delay</t>
        </is>
      </c>
    </row>
    <row r="559">
      <c r="A559" s="7" t="n">
        <v>46213</v>
      </c>
      <c r="B559" s="8">
        <f>IF($A559="","",TEXT($A559,"mmm-yyyy"))</f>
        <v/>
      </c>
      <c r="C559" s="8">
        <f>IF($A559="","","W"&amp;WEEKNUM($A559,2))</f>
        <v/>
      </c>
      <c r="D559" s="8" t="inlineStr">
        <is>
          <t>Near Miss Reports</t>
        </is>
      </c>
      <c r="E559" s="8">
        <f>IFERROR(INDEX(Tbl_KPIConfig[Department],MATCH($D559,Tbl_KPIConfig[KPI Name],0)),"")</f>
        <v/>
      </c>
      <c r="F559" s="8">
        <f>IFERROR(INDEX(Tbl_KPIConfig[Unit],MATCH($D559,Tbl_KPIConfig[KPI Name],0)),"")</f>
        <v/>
      </c>
      <c r="G559" s="8">
        <f>IFERROR(INDEX(Tbl_KPIConfig[Target],MATCH($D559,Tbl_KPIConfig[KPI Name],0)),"")</f>
        <v/>
      </c>
      <c r="H559" s="8" t="n">
        <v>1</v>
      </c>
      <c r="I559" s="9">
        <f>IFERROR(IF(INDEX(Tbl_KPIConfig[Direction],MATCH($D559,Tbl_KPIConfig[KPI Name],0))="Lower is Better",IF($H559=0,1,IF($G559=0,0,$G559/$H559)),IF($G559=0,1,$H559/$G559)),0)</f>
        <v/>
      </c>
      <c r="J559" s="8">
        <f>IFERROR(IF($I559&gt;=1,"Green",IF($I559&gt;=INDEX(Tbl_KPIConfig[RAG Threshold %],MATCH($D559,Tbl_KPIConfig[KPI Name],0)),"Amber","Red")),"")</f>
        <v/>
      </c>
      <c r="K559" s="10" t="inlineStr">
        <is>
          <t>Awaiting spares</t>
        </is>
      </c>
    </row>
    <row r="560">
      <c r="A560" s="11" t="n">
        <v>46213</v>
      </c>
      <c r="B560" s="12">
        <f>IF($A560="","",TEXT($A560,"mmm-yyyy"))</f>
        <v/>
      </c>
      <c r="C560" s="12">
        <f>IF($A560="","","W"&amp;WEEKNUM($A560,2))</f>
        <v/>
      </c>
      <c r="D560" s="12" t="inlineStr">
        <is>
          <t>Production Output</t>
        </is>
      </c>
      <c r="E560" s="12">
        <f>IFERROR(INDEX(Tbl_KPIConfig[Department],MATCH($D560,Tbl_KPIConfig[KPI Name],0)),"")</f>
        <v/>
      </c>
      <c r="F560" s="12">
        <f>IFERROR(INDEX(Tbl_KPIConfig[Unit],MATCH($D560,Tbl_KPIConfig[KPI Name],0)),"")</f>
        <v/>
      </c>
      <c r="G560" s="12">
        <f>IFERROR(INDEX(Tbl_KPIConfig[Target],MATCH($D560,Tbl_KPIConfig[KPI Name],0)),"")</f>
        <v/>
      </c>
      <c r="H560" s="12" t="n">
        <v>910.22</v>
      </c>
      <c r="I560" s="13">
        <f>IFERROR(IF(INDEX(Tbl_KPIConfig[Direction],MATCH($D560,Tbl_KPIConfig[KPI Name],0))="Lower is Better",IF($H560=0,1,IF($G560=0,0,$G560/$H560)),IF($G560=0,1,$H560/$G560)),0)</f>
        <v/>
      </c>
      <c r="J560" s="12">
        <f>IFERROR(IF($I560&gt;=1,"Green",IF($I560&gt;=INDEX(Tbl_KPIConfig[RAG Threshold %],MATCH($D560,Tbl_KPIConfig[KPI Name],0)),"Amber","Red")),"")</f>
        <v/>
      </c>
      <c r="K560" s="14" t="inlineStr">
        <is>
          <t>Within normal range</t>
        </is>
      </c>
    </row>
    <row r="561">
      <c r="A561" s="7" t="n">
        <v>46213</v>
      </c>
      <c r="B561" s="8">
        <f>IF($A561="","",TEXT($A561,"mmm-yyyy"))</f>
        <v/>
      </c>
      <c r="C561" s="8">
        <f>IF($A561="","","W"&amp;WEEKNUM($A561,2))</f>
        <v/>
      </c>
      <c r="D561" s="8" t="inlineStr">
        <is>
          <t>OEE %</t>
        </is>
      </c>
      <c r="E561" s="8">
        <f>IFERROR(INDEX(Tbl_KPIConfig[Department],MATCH($D561,Tbl_KPIConfig[KPI Name],0)),"")</f>
        <v/>
      </c>
      <c r="F561" s="8">
        <f>IFERROR(INDEX(Tbl_KPIConfig[Unit],MATCH($D561,Tbl_KPIConfig[KPI Name],0)),"")</f>
        <v/>
      </c>
      <c r="G561" s="8">
        <f>IFERROR(INDEX(Tbl_KPIConfig[Target],MATCH($D561,Tbl_KPIConfig[KPI Name],0)),"")</f>
        <v/>
      </c>
      <c r="H561" s="8" t="n">
        <v>0.7556</v>
      </c>
      <c r="I561" s="9">
        <f>IFERROR(IF(INDEX(Tbl_KPIConfig[Direction],MATCH($D561,Tbl_KPIConfig[KPI Name],0))="Lower is Better",IF($H561=0,1,IF($G561=0,0,$G561/$H561)),IF($G561=0,1,$H561/$G561)),0)</f>
        <v/>
      </c>
      <c r="J561" s="8">
        <f>IFERROR(IF($I561&gt;=1,"Green",IF($I561&gt;=INDEX(Tbl_KPIConfig[RAG Threshold %],MATCH($D561,Tbl_KPIConfig[KPI Name],0)),"Amber","Red")),"")</f>
        <v/>
      </c>
      <c r="K561" s="10" t="inlineStr">
        <is>
          <t>Awaiting spares</t>
        </is>
      </c>
    </row>
    <row r="562">
      <c r="A562" s="11" t="n">
        <v>46213</v>
      </c>
      <c r="B562" s="12">
        <f>IF($A562="","",TEXT($A562,"mmm-yyyy"))</f>
        <v/>
      </c>
      <c r="C562" s="12">
        <f>IF($A562="","","W"&amp;WEEKNUM($A562,2))</f>
        <v/>
      </c>
      <c r="D562" s="12" t="inlineStr">
        <is>
          <t>Defect Rate %</t>
        </is>
      </c>
      <c r="E562" s="12">
        <f>IFERROR(INDEX(Tbl_KPIConfig[Department],MATCH($D562,Tbl_KPIConfig[KPI Name],0)),"")</f>
        <v/>
      </c>
      <c r="F562" s="12">
        <f>IFERROR(INDEX(Tbl_KPIConfig[Unit],MATCH($D562,Tbl_KPIConfig[KPI Name],0)),"")</f>
        <v/>
      </c>
      <c r="G562" s="12">
        <f>IFERROR(INDEX(Tbl_KPIConfig[Target],MATCH($D562,Tbl_KPIConfig[KPI Name],0)),"")</f>
        <v/>
      </c>
      <c r="H562" s="12" t="n">
        <v>0.0182</v>
      </c>
      <c r="I562" s="13">
        <f>IFERROR(IF(INDEX(Tbl_KPIConfig[Direction],MATCH($D562,Tbl_KPIConfig[KPI Name],0))="Lower is Better",IF($H562=0,1,IF($G562=0,0,$G562/$H562)),IF($G562=0,1,$H562/$G562)),0)</f>
        <v/>
      </c>
      <c r="J562" s="12">
        <f>IFERROR(IF($I562&gt;=1,"Green",IF($I562&gt;=INDEX(Tbl_KPIConfig[RAG Threshold %],MATCH($D562,Tbl_KPIConfig[KPI Name],0)),"Amber","Red")),"")</f>
        <v/>
      </c>
      <c r="K562" s="14" t="inlineStr"/>
    </row>
    <row r="563">
      <c r="A563" s="7" t="n">
        <v>46213</v>
      </c>
      <c r="B563" s="8">
        <f>IF($A563="","",TEXT($A563,"mmm-yyyy"))</f>
        <v/>
      </c>
      <c r="C563" s="8">
        <f>IF($A563="","","W"&amp;WEEKNUM($A563,2))</f>
        <v/>
      </c>
      <c r="D563" s="8" t="inlineStr">
        <is>
          <t>Customer Complaints</t>
        </is>
      </c>
      <c r="E563" s="8">
        <f>IFERROR(INDEX(Tbl_KPIConfig[Department],MATCH($D563,Tbl_KPIConfig[KPI Name],0)),"")</f>
        <v/>
      </c>
      <c r="F563" s="8">
        <f>IFERROR(INDEX(Tbl_KPIConfig[Unit],MATCH($D563,Tbl_KPIConfig[KPI Name],0)),"")</f>
        <v/>
      </c>
      <c r="G563" s="8">
        <f>IFERROR(INDEX(Tbl_KPIConfig[Target],MATCH($D563,Tbl_KPIConfig[KPI Name],0)),"")</f>
        <v/>
      </c>
      <c r="H563" s="8" t="n">
        <v>0</v>
      </c>
      <c r="I563" s="9">
        <f>IFERROR(IF(INDEX(Tbl_KPIConfig[Direction],MATCH($D563,Tbl_KPIConfig[KPI Name],0))="Lower is Better",IF($H563=0,1,IF($G563=0,0,$G563/$H563)),IF($G563=0,1,$H563/$G563)),0)</f>
        <v/>
      </c>
      <c r="J563" s="8">
        <f>IFERROR(IF($I563&gt;=1,"Green",IF($I563&gt;=INDEX(Tbl_KPIConfig[RAG Threshold %],MATCH($D563,Tbl_KPIConfig[KPI Name],0)),"Amber","Red")),"")</f>
        <v/>
      </c>
      <c r="K563" s="10" t="inlineStr">
        <is>
          <t>Line changeover impact</t>
        </is>
      </c>
    </row>
    <row r="564">
      <c r="A564" s="11" t="n">
        <v>46213</v>
      </c>
      <c r="B564" s="12">
        <f>IF($A564="","",TEXT($A564,"mmm-yyyy"))</f>
        <v/>
      </c>
      <c r="C564" s="12">
        <f>IF($A564="","","W"&amp;WEEKNUM($A564,2))</f>
        <v/>
      </c>
      <c r="D564" s="12" t="inlineStr">
        <is>
          <t>Unplanned Downtime (Hrs)</t>
        </is>
      </c>
      <c r="E564" s="12">
        <f>IFERROR(INDEX(Tbl_KPIConfig[Department],MATCH($D564,Tbl_KPIConfig[KPI Name],0)),"")</f>
        <v/>
      </c>
      <c r="F564" s="12">
        <f>IFERROR(INDEX(Tbl_KPIConfig[Unit],MATCH($D564,Tbl_KPIConfig[KPI Name],0)),"")</f>
        <v/>
      </c>
      <c r="G564" s="12">
        <f>IFERROR(INDEX(Tbl_KPIConfig[Target],MATCH($D564,Tbl_KPIConfig[KPI Name],0)),"")</f>
        <v/>
      </c>
      <c r="H564" s="12" t="n">
        <v>1.09</v>
      </c>
      <c r="I564" s="13">
        <f>IFERROR(IF(INDEX(Tbl_KPIConfig[Direction],MATCH($D564,Tbl_KPIConfig[KPI Name],0))="Lower is Better",IF($H564=0,1,IF($G564=0,0,$G564/$H564)),IF($G564=0,1,$H564/$G564)),0)</f>
        <v/>
      </c>
      <c r="J564" s="12">
        <f>IFERROR(IF($I564&gt;=1,"Green",IF($I564&gt;=INDEX(Tbl_KPIConfig[RAG Threshold %],MATCH($D564,Tbl_KPIConfig[KPI Name],0)),"Amber","Red")),"")</f>
        <v/>
      </c>
      <c r="K564" s="14" t="inlineStr">
        <is>
          <t>Line changeover impact</t>
        </is>
      </c>
    </row>
    <row r="565">
      <c r="A565" s="7" t="n">
        <v>46213</v>
      </c>
      <c r="B565" s="8">
        <f>IF($A565="","",TEXT($A565,"mmm-yyyy"))</f>
        <v/>
      </c>
      <c r="C565" s="8">
        <f>IF($A565="","","W"&amp;WEEKNUM($A565,2))</f>
        <v/>
      </c>
      <c r="D565" s="8" t="inlineStr">
        <is>
          <t>PM Compliance %</t>
        </is>
      </c>
      <c r="E565" s="8">
        <f>IFERROR(INDEX(Tbl_KPIConfig[Department],MATCH($D565,Tbl_KPIConfig[KPI Name],0)),"")</f>
        <v/>
      </c>
      <c r="F565" s="8">
        <f>IFERROR(INDEX(Tbl_KPIConfig[Unit],MATCH($D565,Tbl_KPIConfig[KPI Name],0)),"")</f>
        <v/>
      </c>
      <c r="G565" s="8">
        <f>IFERROR(INDEX(Tbl_KPIConfig[Target],MATCH($D565,Tbl_KPIConfig[KPI Name],0)),"")</f>
        <v/>
      </c>
      <c r="H565" s="8" t="n">
        <v>0.797</v>
      </c>
      <c r="I565" s="9">
        <f>IFERROR(IF(INDEX(Tbl_KPIConfig[Direction],MATCH($D565,Tbl_KPIConfig[KPI Name],0))="Lower is Better",IF($H565=0,1,IF($G565=0,0,$G565/$H565)),IF($G565=0,1,$H565/$G565)),0)</f>
        <v/>
      </c>
      <c r="J565" s="8">
        <f>IFERROR(IF($I565&gt;=1,"Green",IF($I565&gt;=INDEX(Tbl_KPIConfig[RAG Threshold %],MATCH($D565,Tbl_KPIConfig[KPI Name],0)),"Amber","Red")),"")</f>
        <v/>
      </c>
      <c r="K565" s="10" t="inlineStr">
        <is>
          <t>Awaiting spares</t>
        </is>
      </c>
    </row>
    <row r="566">
      <c r="A566" s="11" t="n">
        <v>46213</v>
      </c>
      <c r="B566" s="12">
        <f>IF($A566="","",TEXT($A566,"mmm-yyyy"))</f>
        <v/>
      </c>
      <c r="C566" s="12">
        <f>IF($A566="","","W"&amp;WEEKNUM($A566,2))</f>
        <v/>
      </c>
      <c r="D566" s="12" t="inlineStr">
        <is>
          <t>Power Consumption (kWh)</t>
        </is>
      </c>
      <c r="E566" s="12">
        <f>IFERROR(INDEX(Tbl_KPIConfig[Department],MATCH($D566,Tbl_KPIConfig[KPI Name],0)),"")</f>
        <v/>
      </c>
      <c r="F566" s="12">
        <f>IFERROR(INDEX(Tbl_KPIConfig[Unit],MATCH($D566,Tbl_KPIConfig[KPI Name],0)),"")</f>
        <v/>
      </c>
      <c r="G566" s="12">
        <f>IFERROR(INDEX(Tbl_KPIConfig[Target],MATCH($D566,Tbl_KPIConfig[KPI Name],0)),"")</f>
        <v/>
      </c>
      <c r="H566" s="12" t="n">
        <v>3895.37</v>
      </c>
      <c r="I566" s="13">
        <f>IFERROR(IF(INDEX(Tbl_KPIConfig[Direction],MATCH($D566,Tbl_KPIConfig[KPI Name],0))="Lower is Better",IF($H566=0,1,IF($G566=0,0,$G566/$H566)),IF($G566=0,1,$H566/$G566)),0)</f>
        <v/>
      </c>
      <c r="J566" s="12">
        <f>IFERROR(IF($I566&gt;=1,"Green",IF($I566&gt;=INDEX(Tbl_KPIConfig[RAG Threshold %],MATCH($D566,Tbl_KPIConfig[KPI Name],0)),"Amber","Red")),"")</f>
        <v/>
      </c>
      <c r="K566" s="14" t="inlineStr">
        <is>
          <t>Manpower shortage</t>
        </is>
      </c>
    </row>
    <row r="567">
      <c r="A567" s="7" t="n">
        <v>46213</v>
      </c>
      <c r="B567" s="8">
        <f>IF($A567="","",TEXT($A567,"mmm-yyyy"))</f>
        <v/>
      </c>
      <c r="C567" s="8">
        <f>IF($A567="","","W"&amp;WEEKNUM($A567,2))</f>
        <v/>
      </c>
      <c r="D567" s="8" t="inlineStr">
        <is>
          <t>On-Time Dispatch %</t>
        </is>
      </c>
      <c r="E567" s="8">
        <f>IFERROR(INDEX(Tbl_KPIConfig[Department],MATCH($D567,Tbl_KPIConfig[KPI Name],0)),"")</f>
        <v/>
      </c>
      <c r="F567" s="8">
        <f>IFERROR(INDEX(Tbl_KPIConfig[Unit],MATCH($D567,Tbl_KPIConfig[KPI Name],0)),"")</f>
        <v/>
      </c>
      <c r="G567" s="8">
        <f>IFERROR(INDEX(Tbl_KPIConfig[Target],MATCH($D567,Tbl_KPIConfig[KPI Name],0)),"")</f>
        <v/>
      </c>
      <c r="H567" s="8" t="n">
        <v>0.8446</v>
      </c>
      <c r="I567" s="9">
        <f>IFERROR(IF(INDEX(Tbl_KPIConfig[Direction],MATCH($D567,Tbl_KPIConfig[KPI Name],0))="Lower is Better",IF($H567=0,1,IF($G567=0,0,$G567/$H567)),IF($G567=0,1,$H567/$G567)),0)</f>
        <v/>
      </c>
      <c r="J567" s="8">
        <f>IFERROR(IF($I567&gt;=1,"Green",IF($I567&gt;=INDEX(Tbl_KPIConfig[RAG Threshold %],MATCH($D567,Tbl_KPIConfig[KPI Name],0)),"Amber","Red")),"")</f>
        <v/>
      </c>
      <c r="K567" s="10" t="inlineStr">
        <is>
          <t>Awaiting spares</t>
        </is>
      </c>
    </row>
    <row r="568">
      <c r="A568" s="11" t="n">
        <v>46213</v>
      </c>
      <c r="B568" s="12">
        <f>IF($A568="","",TEXT($A568,"mmm-yyyy"))</f>
        <v/>
      </c>
      <c r="C568" s="12">
        <f>IF($A568="","","W"&amp;WEEKNUM($A568,2))</f>
        <v/>
      </c>
      <c r="D568" s="12" t="inlineStr">
        <is>
          <t>Inventory Accuracy %</t>
        </is>
      </c>
      <c r="E568" s="12">
        <f>IFERROR(INDEX(Tbl_KPIConfig[Department],MATCH($D568,Tbl_KPIConfig[KPI Name],0)),"")</f>
        <v/>
      </c>
      <c r="F568" s="12">
        <f>IFERROR(INDEX(Tbl_KPIConfig[Unit],MATCH($D568,Tbl_KPIConfig[KPI Name],0)),"")</f>
        <v/>
      </c>
      <c r="G568" s="12">
        <f>IFERROR(INDEX(Tbl_KPIConfig[Target],MATCH($D568,Tbl_KPIConfig[KPI Name],0)),"")</f>
        <v/>
      </c>
      <c r="H568" s="12" t="n">
        <v>0.8188</v>
      </c>
      <c r="I568" s="13">
        <f>IFERROR(IF(INDEX(Tbl_KPIConfig[Direction],MATCH($D568,Tbl_KPIConfig[KPI Name],0))="Lower is Better",IF($H568=0,1,IF($G568=0,0,$G568/$H568)),IF($G568=0,1,$H568/$G568)),0)</f>
        <v/>
      </c>
      <c r="J568" s="12">
        <f>IFERROR(IF($I568&gt;=1,"Green",IF($I568&gt;=INDEX(Tbl_KPIConfig[RAG Threshold %],MATCH($D568,Tbl_KPIConfig[KPI Name],0)),"Amber","Red")),"")</f>
        <v/>
      </c>
      <c r="K568" s="14" t="inlineStr">
        <is>
          <t>Process improvement in progress</t>
        </is>
      </c>
    </row>
    <row r="569">
      <c r="A569" s="7" t="n">
        <v>46213</v>
      </c>
      <c r="B569" s="8">
        <f>IF($A569="","",TEXT($A569,"mmm-yyyy"))</f>
        <v/>
      </c>
      <c r="C569" s="8">
        <f>IF($A569="","","W"&amp;WEEKNUM($A569,2))</f>
        <v/>
      </c>
      <c r="D569" s="8" t="inlineStr">
        <is>
          <t>Absenteeism %</t>
        </is>
      </c>
      <c r="E569" s="8">
        <f>IFERROR(INDEX(Tbl_KPIConfig[Department],MATCH($D569,Tbl_KPIConfig[KPI Name],0)),"")</f>
        <v/>
      </c>
      <c r="F569" s="8">
        <f>IFERROR(INDEX(Tbl_KPIConfig[Unit],MATCH($D569,Tbl_KPIConfig[KPI Name],0)),"")</f>
        <v/>
      </c>
      <c r="G569" s="8">
        <f>IFERROR(INDEX(Tbl_KPIConfig[Target],MATCH($D569,Tbl_KPIConfig[KPI Name],0)),"")</f>
        <v/>
      </c>
      <c r="H569" s="8" t="n">
        <v>0.0275</v>
      </c>
      <c r="I569" s="9">
        <f>IFERROR(IF(INDEX(Tbl_KPIConfig[Direction],MATCH($D569,Tbl_KPIConfig[KPI Name],0))="Lower is Better",IF($H569=0,1,IF($G569=0,0,$G569/$H569)),IF($G569=0,1,$H569/$G569)),0)</f>
        <v/>
      </c>
      <c r="J569" s="8">
        <f>IFERROR(IF($I569&gt;=1,"Green",IF($I569&gt;=INDEX(Tbl_KPIConfig[RAG Threshold %],MATCH($D569,Tbl_KPIConfig[KPI Name],0)),"Amber","Red")),"")</f>
        <v/>
      </c>
      <c r="K569" s="10" t="inlineStr">
        <is>
          <t>Within normal range</t>
        </is>
      </c>
    </row>
    <row r="570">
      <c r="A570" s="11" t="n">
        <v>46213</v>
      </c>
      <c r="B570" s="12">
        <f>IF($A570="","",TEXT($A570,"mmm-yyyy"))</f>
        <v/>
      </c>
      <c r="C570" s="12">
        <f>IF($A570="","","W"&amp;WEEKNUM($A570,2))</f>
        <v/>
      </c>
      <c r="D570" s="12" t="inlineStr">
        <is>
          <t>Training Hours</t>
        </is>
      </c>
      <c r="E570" s="12">
        <f>IFERROR(INDEX(Tbl_KPIConfig[Department],MATCH($D570,Tbl_KPIConfig[KPI Name],0)),"")</f>
        <v/>
      </c>
      <c r="F570" s="12">
        <f>IFERROR(INDEX(Tbl_KPIConfig[Unit],MATCH($D570,Tbl_KPIConfig[KPI Name],0)),"")</f>
        <v/>
      </c>
      <c r="G570" s="12">
        <f>IFERROR(INDEX(Tbl_KPIConfig[Target],MATCH($D570,Tbl_KPIConfig[KPI Name],0)),"")</f>
        <v/>
      </c>
      <c r="H570" s="12" t="n">
        <v>1.95</v>
      </c>
      <c r="I570" s="13">
        <f>IFERROR(IF(INDEX(Tbl_KPIConfig[Direction],MATCH($D570,Tbl_KPIConfig[KPI Name],0))="Lower is Better",IF($H570=0,1,IF($G570=0,0,$G570/$H570)),IF($G570=0,1,$H570/$G570)),0)</f>
        <v/>
      </c>
      <c r="J570" s="12">
        <f>IFERROR(IF($I570&gt;=1,"Green",IF($I570&gt;=INDEX(Tbl_KPIConfig[RAG Threshold %],MATCH($D570,Tbl_KPIConfig[KPI Name],0)),"Amber","Red")),"")</f>
        <v/>
      </c>
      <c r="K570" s="14" t="inlineStr">
        <is>
          <t>Preventive check done</t>
        </is>
      </c>
    </row>
    <row r="571">
      <c r="A571" s="7" t="n">
        <v>46213</v>
      </c>
      <c r="B571" s="8">
        <f>IF($A571="","",TEXT($A571,"mmm-yyyy"))</f>
        <v/>
      </c>
      <c r="C571" s="8">
        <f>IF($A571="","","W"&amp;WEEKNUM($A571,2))</f>
        <v/>
      </c>
      <c r="D571" s="8" t="inlineStr">
        <is>
          <t>Milestone Adherence %</t>
        </is>
      </c>
      <c r="E571" s="8">
        <f>IFERROR(INDEX(Tbl_KPIConfig[Department],MATCH($D571,Tbl_KPIConfig[KPI Name],0)),"")</f>
        <v/>
      </c>
      <c r="F571" s="8">
        <f>IFERROR(INDEX(Tbl_KPIConfig[Unit],MATCH($D571,Tbl_KPIConfig[KPI Name],0)),"")</f>
        <v/>
      </c>
      <c r="G571" s="8">
        <f>IFERROR(INDEX(Tbl_KPIConfig[Target],MATCH($D571,Tbl_KPIConfig[KPI Name],0)),"")</f>
        <v/>
      </c>
      <c r="H571" s="8" t="n">
        <v>0.9948</v>
      </c>
      <c r="I571" s="9">
        <f>IFERROR(IF(INDEX(Tbl_KPIConfig[Direction],MATCH($D571,Tbl_KPIConfig[KPI Name],0))="Lower is Better",IF($H571=0,1,IF($G571=0,0,$G571/$H571)),IF($G571=0,1,$H571/$G571)),0)</f>
        <v/>
      </c>
      <c r="J571" s="8">
        <f>IFERROR(IF($I571&gt;=1,"Green",IF($I571&gt;=INDEX(Tbl_KPIConfig[RAG Threshold %],MATCH($D571,Tbl_KPIConfig[KPI Name],0)),"Amber","Red")),"")</f>
        <v/>
      </c>
      <c r="K571" s="10" t="inlineStr">
        <is>
          <t>Line changeover impact</t>
        </is>
      </c>
    </row>
    <row r="572">
      <c r="A572" s="11" t="n">
        <v>46213</v>
      </c>
      <c r="B572" s="12">
        <f>IF($A572="","",TEXT($A572,"mmm-yyyy"))</f>
        <v/>
      </c>
      <c r="C572" s="12">
        <f>IF($A572="","","W"&amp;WEEKNUM($A572,2))</f>
        <v/>
      </c>
      <c r="D572" s="12" t="inlineStr">
        <is>
          <t>Breakdown Resolution (Hrs)</t>
        </is>
      </c>
      <c r="E572" s="12">
        <f>IFERROR(INDEX(Tbl_KPIConfig[Department],MATCH($D572,Tbl_KPIConfig[KPI Name],0)),"")</f>
        <v/>
      </c>
      <c r="F572" s="12">
        <f>IFERROR(INDEX(Tbl_KPIConfig[Unit],MATCH($D572,Tbl_KPIConfig[KPI Name],0)),"")</f>
        <v/>
      </c>
      <c r="G572" s="12">
        <f>IFERROR(INDEX(Tbl_KPIConfig[Target],MATCH($D572,Tbl_KPIConfig[KPI Name],0)),"")</f>
        <v/>
      </c>
      <c r="H572" s="12" t="n">
        <v>2.05</v>
      </c>
      <c r="I572" s="13">
        <f>IFERROR(IF(INDEX(Tbl_KPIConfig[Direction],MATCH($D572,Tbl_KPIConfig[KPI Name],0))="Lower is Better",IF($H572=0,1,IF($G572=0,0,$G572/$H572)),IF($G572=0,1,$H572/$G572)),0)</f>
        <v/>
      </c>
      <c r="J572" s="12">
        <f>IFERROR(IF($I572&gt;=1,"Green",IF($I572&gt;=INDEX(Tbl_KPIConfig[RAG Threshold %],MATCH($D572,Tbl_KPIConfig[KPI Name],0)),"Amber","Red")),"")</f>
        <v/>
      </c>
      <c r="K572" s="14" t="inlineStr"/>
    </row>
    <row r="573">
      <c r="A573" s="7" t="n">
        <v>46214</v>
      </c>
      <c r="B573" s="8">
        <f>IF($A573="","",TEXT($A573,"mmm-yyyy"))</f>
        <v/>
      </c>
      <c r="C573" s="8">
        <f>IF($A573="","","W"&amp;WEEKNUM($A573,2))</f>
        <v/>
      </c>
      <c r="D573" s="8" t="inlineStr">
        <is>
          <t>Safety Incidents (LTI)</t>
        </is>
      </c>
      <c r="E573" s="8">
        <f>IFERROR(INDEX(Tbl_KPIConfig[Department],MATCH($D573,Tbl_KPIConfig[KPI Name],0)),"")</f>
        <v/>
      </c>
      <c r="F573" s="8">
        <f>IFERROR(INDEX(Tbl_KPIConfig[Unit],MATCH($D573,Tbl_KPIConfig[KPI Name],0)),"")</f>
        <v/>
      </c>
      <c r="G573" s="8">
        <f>IFERROR(INDEX(Tbl_KPIConfig[Target],MATCH($D573,Tbl_KPIConfig[KPI Name],0)),"")</f>
        <v/>
      </c>
      <c r="H573" s="8" t="n">
        <v>1</v>
      </c>
      <c r="I573" s="9">
        <f>IFERROR(IF(INDEX(Tbl_KPIConfig[Direction],MATCH($D573,Tbl_KPIConfig[KPI Name],0))="Lower is Better",IF($H573=0,1,IF($G573=0,0,$G573/$H573)),IF($G573=0,1,$H573/$G573)),0)</f>
        <v/>
      </c>
      <c r="J573" s="8">
        <f>IFERROR(IF($I573&gt;=1,"Green",IF($I573&gt;=INDEX(Tbl_KPIConfig[RAG Threshold %],MATCH($D573,Tbl_KPIConfig[KPI Name],0)),"Amber","Red")),"")</f>
        <v/>
      </c>
      <c r="K573" s="10" t="inlineStr"/>
    </row>
    <row r="574">
      <c r="A574" s="11" t="n">
        <v>46214</v>
      </c>
      <c r="B574" s="12">
        <f>IF($A574="","",TEXT($A574,"mmm-yyyy"))</f>
        <v/>
      </c>
      <c r="C574" s="12">
        <f>IF($A574="","","W"&amp;WEEKNUM($A574,2))</f>
        <v/>
      </c>
      <c r="D574" s="12" t="inlineStr">
        <is>
          <t>Near Miss Reports</t>
        </is>
      </c>
      <c r="E574" s="12">
        <f>IFERROR(INDEX(Tbl_KPIConfig[Department],MATCH($D574,Tbl_KPIConfig[KPI Name],0)),"")</f>
        <v/>
      </c>
      <c r="F574" s="12">
        <f>IFERROR(INDEX(Tbl_KPIConfig[Unit],MATCH($D574,Tbl_KPIConfig[KPI Name],0)),"")</f>
        <v/>
      </c>
      <c r="G574" s="12">
        <f>IFERROR(INDEX(Tbl_KPIConfig[Target],MATCH($D574,Tbl_KPIConfig[KPI Name],0)),"")</f>
        <v/>
      </c>
      <c r="H574" s="12" t="n">
        <v>2</v>
      </c>
      <c r="I574" s="13">
        <f>IFERROR(IF(INDEX(Tbl_KPIConfig[Direction],MATCH($D574,Tbl_KPIConfig[KPI Name],0))="Lower is Better",IF($H574=0,1,IF($G574=0,0,$G574/$H574)),IF($G574=0,1,$H574/$G574)),0)</f>
        <v/>
      </c>
      <c r="J574" s="12">
        <f>IFERROR(IF($I574&gt;=1,"Green",IF($I574&gt;=INDEX(Tbl_KPIConfig[RAG Threshold %],MATCH($D574,Tbl_KPIConfig[KPI Name],0)),"Amber","Red")),"")</f>
        <v/>
      </c>
      <c r="K574" s="14" t="inlineStr">
        <is>
          <t>Within normal range</t>
        </is>
      </c>
    </row>
    <row r="575">
      <c r="A575" s="7" t="n">
        <v>46214</v>
      </c>
      <c r="B575" s="8">
        <f>IF($A575="","",TEXT($A575,"mmm-yyyy"))</f>
        <v/>
      </c>
      <c r="C575" s="8">
        <f>IF($A575="","","W"&amp;WEEKNUM($A575,2))</f>
        <v/>
      </c>
      <c r="D575" s="8" t="inlineStr">
        <is>
          <t>Production Output</t>
        </is>
      </c>
      <c r="E575" s="8">
        <f>IFERROR(INDEX(Tbl_KPIConfig[Department],MATCH($D575,Tbl_KPIConfig[KPI Name],0)),"")</f>
        <v/>
      </c>
      <c r="F575" s="8">
        <f>IFERROR(INDEX(Tbl_KPIConfig[Unit],MATCH($D575,Tbl_KPIConfig[KPI Name],0)),"")</f>
        <v/>
      </c>
      <c r="G575" s="8">
        <f>IFERROR(INDEX(Tbl_KPIConfig[Target],MATCH($D575,Tbl_KPIConfig[KPI Name],0)),"")</f>
        <v/>
      </c>
      <c r="H575" s="8" t="n">
        <v>805.34</v>
      </c>
      <c r="I575" s="9">
        <f>IFERROR(IF(INDEX(Tbl_KPIConfig[Direction],MATCH($D575,Tbl_KPIConfig[KPI Name],0))="Lower is Better",IF($H575=0,1,IF($G575=0,0,$G575/$H575)),IF($G575=0,1,$H575/$G575)),0)</f>
        <v/>
      </c>
      <c r="J575" s="8">
        <f>IFERROR(IF($I575&gt;=1,"Green",IF($I575&gt;=INDEX(Tbl_KPIConfig[RAG Threshold %],MATCH($D575,Tbl_KPIConfig[KPI Name],0)),"Amber","Red")),"")</f>
        <v/>
      </c>
      <c r="K575" s="10" t="inlineStr">
        <is>
          <t>Vendor delay</t>
        </is>
      </c>
    </row>
    <row r="576">
      <c r="A576" s="11" t="n">
        <v>46214</v>
      </c>
      <c r="B576" s="12">
        <f>IF($A576="","",TEXT($A576,"mmm-yyyy"))</f>
        <v/>
      </c>
      <c r="C576" s="12">
        <f>IF($A576="","","W"&amp;WEEKNUM($A576,2))</f>
        <v/>
      </c>
      <c r="D576" s="12" t="inlineStr">
        <is>
          <t>OEE %</t>
        </is>
      </c>
      <c r="E576" s="12">
        <f>IFERROR(INDEX(Tbl_KPIConfig[Department],MATCH($D576,Tbl_KPIConfig[KPI Name],0)),"")</f>
        <v/>
      </c>
      <c r="F576" s="12">
        <f>IFERROR(INDEX(Tbl_KPIConfig[Unit],MATCH($D576,Tbl_KPIConfig[KPI Name],0)),"")</f>
        <v/>
      </c>
      <c r="G576" s="12">
        <f>IFERROR(INDEX(Tbl_KPIConfig[Target],MATCH($D576,Tbl_KPIConfig[KPI Name],0)),"")</f>
        <v/>
      </c>
      <c r="H576" s="12" t="n">
        <v>0.9203</v>
      </c>
      <c r="I576" s="13">
        <f>IFERROR(IF(INDEX(Tbl_KPIConfig[Direction],MATCH($D576,Tbl_KPIConfig[KPI Name],0))="Lower is Better",IF($H576=0,1,IF($G576=0,0,$G576/$H576)),IF($G576=0,1,$H576/$G576)),0)</f>
        <v/>
      </c>
      <c r="J576" s="12">
        <f>IFERROR(IF($I576&gt;=1,"Green",IF($I576&gt;=INDEX(Tbl_KPIConfig[RAG Threshold %],MATCH($D576,Tbl_KPIConfig[KPI Name],0)),"Amber","Red")),"")</f>
        <v/>
      </c>
      <c r="K576" s="14" t="inlineStr">
        <is>
          <t>Within normal range</t>
        </is>
      </c>
    </row>
    <row r="577">
      <c r="A577" s="7" t="n">
        <v>46214</v>
      </c>
      <c r="B577" s="8">
        <f>IF($A577="","",TEXT($A577,"mmm-yyyy"))</f>
        <v/>
      </c>
      <c r="C577" s="8">
        <f>IF($A577="","","W"&amp;WEEKNUM($A577,2))</f>
        <v/>
      </c>
      <c r="D577" s="8" t="inlineStr">
        <is>
          <t>Defect Rate %</t>
        </is>
      </c>
      <c r="E577" s="8">
        <f>IFERROR(INDEX(Tbl_KPIConfig[Department],MATCH($D577,Tbl_KPIConfig[KPI Name],0)),"")</f>
        <v/>
      </c>
      <c r="F577" s="8">
        <f>IFERROR(INDEX(Tbl_KPIConfig[Unit],MATCH($D577,Tbl_KPIConfig[KPI Name],0)),"")</f>
        <v/>
      </c>
      <c r="G577" s="8">
        <f>IFERROR(INDEX(Tbl_KPIConfig[Target],MATCH($D577,Tbl_KPIConfig[KPI Name],0)),"")</f>
        <v/>
      </c>
      <c r="H577" s="8" t="n">
        <v>0.0161</v>
      </c>
      <c r="I577" s="9">
        <f>IFERROR(IF(INDEX(Tbl_KPIConfig[Direction],MATCH($D577,Tbl_KPIConfig[KPI Name],0))="Lower is Better",IF($H577=0,1,IF($G577=0,0,$G577/$H577)),IF($G577=0,1,$H577/$G577)),0)</f>
        <v/>
      </c>
      <c r="J577" s="8">
        <f>IFERROR(IF($I577&gt;=1,"Green",IF($I577&gt;=INDEX(Tbl_KPIConfig[RAG Threshold %],MATCH($D577,Tbl_KPIConfig[KPI Name],0)),"Amber","Red")),"")</f>
        <v/>
      </c>
      <c r="K577" s="10" t="inlineStr">
        <is>
          <t>Manpower shortage</t>
        </is>
      </c>
    </row>
    <row r="578">
      <c r="A578" s="11" t="n">
        <v>46214</v>
      </c>
      <c r="B578" s="12">
        <f>IF($A578="","",TEXT($A578,"mmm-yyyy"))</f>
        <v/>
      </c>
      <c r="C578" s="12">
        <f>IF($A578="","","W"&amp;WEEKNUM($A578,2))</f>
        <v/>
      </c>
      <c r="D578" s="12" t="inlineStr">
        <is>
          <t>Customer Complaints</t>
        </is>
      </c>
      <c r="E578" s="12">
        <f>IFERROR(INDEX(Tbl_KPIConfig[Department],MATCH($D578,Tbl_KPIConfig[KPI Name],0)),"")</f>
        <v/>
      </c>
      <c r="F578" s="12">
        <f>IFERROR(INDEX(Tbl_KPIConfig[Unit],MATCH($D578,Tbl_KPIConfig[KPI Name],0)),"")</f>
        <v/>
      </c>
      <c r="G578" s="12">
        <f>IFERROR(INDEX(Tbl_KPIConfig[Target],MATCH($D578,Tbl_KPIConfig[KPI Name],0)),"")</f>
        <v/>
      </c>
      <c r="H578" s="12" t="n">
        <v>0</v>
      </c>
      <c r="I578" s="13">
        <f>IFERROR(IF(INDEX(Tbl_KPIConfig[Direction],MATCH($D578,Tbl_KPIConfig[KPI Name],0))="Lower is Better",IF($H578=0,1,IF($G578=0,0,$G578/$H578)),IF($G578=0,1,$H578/$G578)),0)</f>
        <v/>
      </c>
      <c r="J578" s="12">
        <f>IFERROR(IF($I578&gt;=1,"Green",IF($I578&gt;=INDEX(Tbl_KPIConfig[RAG Threshold %],MATCH($D578,Tbl_KPIConfig[KPI Name],0)),"Amber","Red")),"")</f>
        <v/>
      </c>
      <c r="K578" s="14" t="inlineStr">
        <is>
          <t>Line changeover impact</t>
        </is>
      </c>
    </row>
    <row r="579">
      <c r="A579" s="7" t="n">
        <v>46214</v>
      </c>
      <c r="B579" s="8">
        <f>IF($A579="","",TEXT($A579,"mmm-yyyy"))</f>
        <v/>
      </c>
      <c r="C579" s="8">
        <f>IF($A579="","","W"&amp;WEEKNUM($A579,2))</f>
        <v/>
      </c>
      <c r="D579" s="8" t="inlineStr">
        <is>
          <t>Unplanned Downtime (Hrs)</t>
        </is>
      </c>
      <c r="E579" s="8">
        <f>IFERROR(INDEX(Tbl_KPIConfig[Department],MATCH($D579,Tbl_KPIConfig[KPI Name],0)),"")</f>
        <v/>
      </c>
      <c r="F579" s="8">
        <f>IFERROR(INDEX(Tbl_KPIConfig[Unit],MATCH($D579,Tbl_KPIConfig[KPI Name],0)),"")</f>
        <v/>
      </c>
      <c r="G579" s="8">
        <f>IFERROR(INDEX(Tbl_KPIConfig[Target],MATCH($D579,Tbl_KPIConfig[KPI Name],0)),"")</f>
        <v/>
      </c>
      <c r="H579" s="8" t="n">
        <v>1.09</v>
      </c>
      <c r="I579" s="9">
        <f>IFERROR(IF(INDEX(Tbl_KPIConfig[Direction],MATCH($D579,Tbl_KPIConfig[KPI Name],0))="Lower is Better",IF($H579=0,1,IF($G579=0,0,$G579/$H579)),IF($G579=0,1,$H579/$G579)),0)</f>
        <v/>
      </c>
      <c r="J579" s="8">
        <f>IFERROR(IF($I579&gt;=1,"Green",IF($I579&gt;=INDEX(Tbl_KPIConfig[RAG Threshold %],MATCH($D579,Tbl_KPIConfig[KPI Name],0)),"Amber","Red")),"")</f>
        <v/>
      </c>
      <c r="K579" s="10" t="inlineStr">
        <is>
          <t>Manpower shortage</t>
        </is>
      </c>
    </row>
    <row r="580">
      <c r="A580" s="11" t="n">
        <v>46214</v>
      </c>
      <c r="B580" s="12">
        <f>IF($A580="","",TEXT($A580,"mmm-yyyy"))</f>
        <v/>
      </c>
      <c r="C580" s="12">
        <f>IF($A580="","","W"&amp;WEEKNUM($A580,2))</f>
        <v/>
      </c>
      <c r="D580" s="12" t="inlineStr">
        <is>
          <t>PM Compliance %</t>
        </is>
      </c>
      <c r="E580" s="12">
        <f>IFERROR(INDEX(Tbl_KPIConfig[Department],MATCH($D580,Tbl_KPIConfig[KPI Name],0)),"")</f>
        <v/>
      </c>
      <c r="F580" s="12">
        <f>IFERROR(INDEX(Tbl_KPIConfig[Unit],MATCH($D580,Tbl_KPIConfig[KPI Name],0)),"")</f>
        <v/>
      </c>
      <c r="G580" s="12">
        <f>IFERROR(INDEX(Tbl_KPIConfig[Target],MATCH($D580,Tbl_KPIConfig[KPI Name],0)),"")</f>
        <v/>
      </c>
      <c r="H580" s="12" t="n">
        <v>0.9585</v>
      </c>
      <c r="I580" s="13">
        <f>IFERROR(IF(INDEX(Tbl_KPIConfig[Direction],MATCH($D580,Tbl_KPIConfig[KPI Name],0))="Lower is Better",IF($H580=0,1,IF($G580=0,0,$G580/$H580)),IF($G580=0,1,$H580/$G580)),0)</f>
        <v/>
      </c>
      <c r="J580" s="12">
        <f>IFERROR(IF($I580&gt;=1,"Green",IF($I580&gt;=INDEX(Tbl_KPIConfig[RAG Threshold %],MATCH($D580,Tbl_KPIConfig[KPI Name],0)),"Amber","Red")),"")</f>
        <v/>
      </c>
      <c r="K580" s="14" t="inlineStr">
        <is>
          <t>Vendor delay</t>
        </is>
      </c>
    </row>
    <row r="581">
      <c r="A581" s="7" t="n">
        <v>46214</v>
      </c>
      <c r="B581" s="8">
        <f>IF($A581="","",TEXT($A581,"mmm-yyyy"))</f>
        <v/>
      </c>
      <c r="C581" s="8">
        <f>IF($A581="","","W"&amp;WEEKNUM($A581,2))</f>
        <v/>
      </c>
      <c r="D581" s="8" t="inlineStr">
        <is>
          <t>Power Consumption (kWh)</t>
        </is>
      </c>
      <c r="E581" s="8">
        <f>IFERROR(INDEX(Tbl_KPIConfig[Department],MATCH($D581,Tbl_KPIConfig[KPI Name],0)),"")</f>
        <v/>
      </c>
      <c r="F581" s="8">
        <f>IFERROR(INDEX(Tbl_KPIConfig[Unit],MATCH($D581,Tbl_KPIConfig[KPI Name],0)),"")</f>
        <v/>
      </c>
      <c r="G581" s="8">
        <f>IFERROR(INDEX(Tbl_KPIConfig[Target],MATCH($D581,Tbl_KPIConfig[KPI Name],0)),"")</f>
        <v/>
      </c>
      <c r="H581" s="8" t="n">
        <v>5340.75</v>
      </c>
      <c r="I581" s="9">
        <f>IFERROR(IF(INDEX(Tbl_KPIConfig[Direction],MATCH($D581,Tbl_KPIConfig[KPI Name],0))="Lower is Better",IF($H581=0,1,IF($G581=0,0,$G581/$H581)),IF($G581=0,1,$H581/$G581)),0)</f>
        <v/>
      </c>
      <c r="J581" s="8">
        <f>IFERROR(IF($I581&gt;=1,"Green",IF($I581&gt;=INDEX(Tbl_KPIConfig[RAG Threshold %],MATCH($D581,Tbl_KPIConfig[KPI Name],0)),"Amber","Red")),"")</f>
        <v/>
      </c>
      <c r="K581" s="10" t="inlineStr">
        <is>
          <t>Vendor delay</t>
        </is>
      </c>
    </row>
    <row r="582">
      <c r="A582" s="11" t="n">
        <v>46214</v>
      </c>
      <c r="B582" s="12">
        <f>IF($A582="","",TEXT($A582,"mmm-yyyy"))</f>
        <v/>
      </c>
      <c r="C582" s="12">
        <f>IF($A582="","","W"&amp;WEEKNUM($A582,2))</f>
        <v/>
      </c>
      <c r="D582" s="12" t="inlineStr">
        <is>
          <t>On-Time Dispatch %</t>
        </is>
      </c>
      <c r="E582" s="12">
        <f>IFERROR(INDEX(Tbl_KPIConfig[Department],MATCH($D582,Tbl_KPIConfig[KPI Name],0)),"")</f>
        <v/>
      </c>
      <c r="F582" s="12">
        <f>IFERROR(INDEX(Tbl_KPIConfig[Unit],MATCH($D582,Tbl_KPIConfig[KPI Name],0)),"")</f>
        <v/>
      </c>
      <c r="G582" s="12">
        <f>IFERROR(INDEX(Tbl_KPIConfig[Target],MATCH($D582,Tbl_KPIConfig[KPI Name],0)),"")</f>
        <v/>
      </c>
      <c r="H582" s="12" t="n">
        <v>0.8857</v>
      </c>
      <c r="I582" s="13">
        <f>IFERROR(IF(INDEX(Tbl_KPIConfig[Direction],MATCH($D582,Tbl_KPIConfig[KPI Name],0))="Lower is Better",IF($H582=0,1,IF($G582=0,0,$G582/$H582)),IF($G582=0,1,$H582/$G582)),0)</f>
        <v/>
      </c>
      <c r="J582" s="12">
        <f>IFERROR(IF($I582&gt;=1,"Green",IF($I582&gt;=INDEX(Tbl_KPIConfig[RAG Threshold %],MATCH($D582,Tbl_KPIConfig[KPI Name],0)),"Amber","Red")),"")</f>
        <v/>
      </c>
      <c r="K582" s="14" t="inlineStr">
        <is>
          <t>Line changeover impact</t>
        </is>
      </c>
    </row>
    <row r="583">
      <c r="A583" s="7" t="n">
        <v>46214</v>
      </c>
      <c r="B583" s="8">
        <f>IF($A583="","",TEXT($A583,"mmm-yyyy"))</f>
        <v/>
      </c>
      <c r="C583" s="8">
        <f>IF($A583="","","W"&amp;WEEKNUM($A583,2))</f>
        <v/>
      </c>
      <c r="D583" s="8" t="inlineStr">
        <is>
          <t>Inventory Accuracy %</t>
        </is>
      </c>
      <c r="E583" s="8">
        <f>IFERROR(INDEX(Tbl_KPIConfig[Department],MATCH($D583,Tbl_KPIConfig[KPI Name],0)),"")</f>
        <v/>
      </c>
      <c r="F583" s="8">
        <f>IFERROR(INDEX(Tbl_KPIConfig[Unit],MATCH($D583,Tbl_KPIConfig[KPI Name],0)),"")</f>
        <v/>
      </c>
      <c r="G583" s="8">
        <f>IFERROR(INDEX(Tbl_KPIConfig[Target],MATCH($D583,Tbl_KPIConfig[KPI Name],0)),"")</f>
        <v/>
      </c>
      <c r="H583" s="8" t="n">
        <v>0.9388</v>
      </c>
      <c r="I583" s="9">
        <f>IFERROR(IF(INDEX(Tbl_KPIConfig[Direction],MATCH($D583,Tbl_KPIConfig[KPI Name],0))="Lower is Better",IF($H583=0,1,IF($G583=0,0,$G583/$H583)),IF($G583=0,1,$H583/$G583)),0)</f>
        <v/>
      </c>
      <c r="J583" s="8">
        <f>IFERROR(IF($I583&gt;=1,"Green",IF($I583&gt;=INDEX(Tbl_KPIConfig[RAG Threshold %],MATCH($D583,Tbl_KPIConfig[KPI Name],0)),"Amber","Red")),"")</f>
        <v/>
      </c>
      <c r="K583" s="10" t="inlineStr">
        <is>
          <t>Preventive check done</t>
        </is>
      </c>
    </row>
    <row r="584">
      <c r="A584" s="11" t="n">
        <v>46214</v>
      </c>
      <c r="B584" s="12">
        <f>IF($A584="","",TEXT($A584,"mmm-yyyy"))</f>
        <v/>
      </c>
      <c r="C584" s="12">
        <f>IF($A584="","","W"&amp;WEEKNUM($A584,2))</f>
        <v/>
      </c>
      <c r="D584" s="12" t="inlineStr">
        <is>
          <t>Absenteeism %</t>
        </is>
      </c>
      <c r="E584" s="12">
        <f>IFERROR(INDEX(Tbl_KPIConfig[Department],MATCH($D584,Tbl_KPIConfig[KPI Name],0)),"")</f>
        <v/>
      </c>
      <c r="F584" s="12">
        <f>IFERROR(INDEX(Tbl_KPIConfig[Unit],MATCH($D584,Tbl_KPIConfig[KPI Name],0)),"")</f>
        <v/>
      </c>
      <c r="G584" s="12">
        <f>IFERROR(INDEX(Tbl_KPIConfig[Target],MATCH($D584,Tbl_KPIConfig[KPI Name],0)),"")</f>
        <v/>
      </c>
      <c r="H584" s="12" t="n">
        <v>0.0323</v>
      </c>
      <c r="I584" s="13">
        <f>IFERROR(IF(INDEX(Tbl_KPIConfig[Direction],MATCH($D584,Tbl_KPIConfig[KPI Name],0))="Lower is Better",IF($H584=0,1,IF($G584=0,0,$G584/$H584)),IF($G584=0,1,$H584/$G584)),0)</f>
        <v/>
      </c>
      <c r="J584" s="12">
        <f>IFERROR(IF($I584&gt;=1,"Green",IF($I584&gt;=INDEX(Tbl_KPIConfig[RAG Threshold %],MATCH($D584,Tbl_KPIConfig[KPI Name],0)),"Amber","Red")),"")</f>
        <v/>
      </c>
      <c r="K584" s="14" t="inlineStr">
        <is>
          <t>Preventive check done</t>
        </is>
      </c>
    </row>
    <row r="585">
      <c r="A585" s="7" t="n">
        <v>46214</v>
      </c>
      <c r="B585" s="8">
        <f>IF($A585="","",TEXT($A585,"mmm-yyyy"))</f>
        <v/>
      </c>
      <c r="C585" s="8">
        <f>IF($A585="","","W"&amp;WEEKNUM($A585,2))</f>
        <v/>
      </c>
      <c r="D585" s="8" t="inlineStr">
        <is>
          <t>Training Hours</t>
        </is>
      </c>
      <c r="E585" s="8">
        <f>IFERROR(INDEX(Tbl_KPIConfig[Department],MATCH($D585,Tbl_KPIConfig[KPI Name],0)),"")</f>
        <v/>
      </c>
      <c r="F585" s="8">
        <f>IFERROR(INDEX(Tbl_KPIConfig[Unit],MATCH($D585,Tbl_KPIConfig[KPI Name],0)),"")</f>
        <v/>
      </c>
      <c r="G585" s="8">
        <f>IFERROR(INDEX(Tbl_KPIConfig[Target],MATCH($D585,Tbl_KPIConfig[KPI Name],0)),"")</f>
        <v/>
      </c>
      <c r="H585" s="8" t="n">
        <v>1.88</v>
      </c>
      <c r="I585" s="9">
        <f>IFERROR(IF(INDEX(Tbl_KPIConfig[Direction],MATCH($D585,Tbl_KPIConfig[KPI Name],0))="Lower is Better",IF($H585=0,1,IF($G585=0,0,$G585/$H585)),IF($G585=0,1,$H585/$G585)),0)</f>
        <v/>
      </c>
      <c r="J585" s="8">
        <f>IFERROR(IF($I585&gt;=1,"Green",IF($I585&gt;=INDEX(Tbl_KPIConfig[RAG Threshold %],MATCH($D585,Tbl_KPIConfig[KPI Name],0)),"Amber","Red")),"")</f>
        <v/>
      </c>
      <c r="K585" s="10" t="inlineStr">
        <is>
          <t>Within normal range</t>
        </is>
      </c>
    </row>
    <row r="586">
      <c r="A586" s="11" t="n">
        <v>46214</v>
      </c>
      <c r="B586" s="12">
        <f>IF($A586="","",TEXT($A586,"mmm-yyyy"))</f>
        <v/>
      </c>
      <c r="C586" s="12">
        <f>IF($A586="","","W"&amp;WEEKNUM($A586,2))</f>
        <v/>
      </c>
      <c r="D586" s="12" t="inlineStr">
        <is>
          <t>Milestone Adherence %</t>
        </is>
      </c>
      <c r="E586" s="12">
        <f>IFERROR(INDEX(Tbl_KPIConfig[Department],MATCH($D586,Tbl_KPIConfig[KPI Name],0)),"")</f>
        <v/>
      </c>
      <c r="F586" s="12">
        <f>IFERROR(INDEX(Tbl_KPIConfig[Unit],MATCH($D586,Tbl_KPIConfig[KPI Name],0)),"")</f>
        <v/>
      </c>
      <c r="G586" s="12">
        <f>IFERROR(INDEX(Tbl_KPIConfig[Target],MATCH($D586,Tbl_KPIConfig[KPI Name],0)),"")</f>
        <v/>
      </c>
      <c r="H586" s="12" t="n">
        <v>0.7504</v>
      </c>
      <c r="I586" s="13">
        <f>IFERROR(IF(INDEX(Tbl_KPIConfig[Direction],MATCH($D586,Tbl_KPIConfig[KPI Name],0))="Lower is Better",IF($H586=0,1,IF($G586=0,0,$G586/$H586)),IF($G586=0,1,$H586/$G586)),0)</f>
        <v/>
      </c>
      <c r="J586" s="12">
        <f>IFERROR(IF($I586&gt;=1,"Green",IF($I586&gt;=INDEX(Tbl_KPIConfig[RAG Threshold %],MATCH($D586,Tbl_KPIConfig[KPI Name],0)),"Amber","Red")),"")</f>
        <v/>
      </c>
      <c r="K586" s="14" t="inlineStr">
        <is>
          <t>Within normal range</t>
        </is>
      </c>
    </row>
    <row r="587">
      <c r="A587" s="7" t="n">
        <v>46214</v>
      </c>
      <c r="B587" s="8">
        <f>IF($A587="","",TEXT($A587,"mmm-yyyy"))</f>
        <v/>
      </c>
      <c r="C587" s="8">
        <f>IF($A587="","","W"&amp;WEEKNUM($A587,2))</f>
        <v/>
      </c>
      <c r="D587" s="8" t="inlineStr">
        <is>
          <t>Breakdown Resolution (Hrs)</t>
        </is>
      </c>
      <c r="E587" s="8">
        <f>IFERROR(INDEX(Tbl_KPIConfig[Department],MATCH($D587,Tbl_KPIConfig[KPI Name],0)),"")</f>
        <v/>
      </c>
      <c r="F587" s="8">
        <f>IFERROR(INDEX(Tbl_KPIConfig[Unit],MATCH($D587,Tbl_KPIConfig[KPI Name],0)),"")</f>
        <v/>
      </c>
      <c r="G587" s="8">
        <f>IFERROR(INDEX(Tbl_KPIConfig[Target],MATCH($D587,Tbl_KPIConfig[KPI Name],0)),"")</f>
        <v/>
      </c>
      <c r="H587" s="8" t="n">
        <v>2.2</v>
      </c>
      <c r="I587" s="9">
        <f>IFERROR(IF(INDEX(Tbl_KPIConfig[Direction],MATCH($D587,Tbl_KPIConfig[KPI Name],0))="Lower is Better",IF($H587=0,1,IF($G587=0,0,$G587/$H587)),IF($G587=0,1,$H587/$G587)),0)</f>
        <v/>
      </c>
      <c r="J587" s="8">
        <f>IFERROR(IF($I587&gt;=1,"Green",IF($I587&gt;=INDEX(Tbl_KPIConfig[RAG Threshold %],MATCH($D587,Tbl_KPIConfig[KPI Name],0)),"Amber","Red")),"")</f>
        <v/>
      </c>
      <c r="K587" s="10" t="inlineStr">
        <is>
          <t>Line changeover impact</t>
        </is>
      </c>
    </row>
    <row r="588">
      <c r="A588" s="11" t="n">
        <v>46215</v>
      </c>
      <c r="B588" s="12">
        <f>IF($A588="","",TEXT($A588,"mmm-yyyy"))</f>
        <v/>
      </c>
      <c r="C588" s="12">
        <f>IF($A588="","","W"&amp;WEEKNUM($A588,2))</f>
        <v/>
      </c>
      <c r="D588" s="12" t="inlineStr">
        <is>
          <t>Safety Incidents (LTI)</t>
        </is>
      </c>
      <c r="E588" s="12">
        <f>IFERROR(INDEX(Tbl_KPIConfig[Department],MATCH($D588,Tbl_KPIConfig[KPI Name],0)),"")</f>
        <v/>
      </c>
      <c r="F588" s="12">
        <f>IFERROR(INDEX(Tbl_KPIConfig[Unit],MATCH($D588,Tbl_KPIConfig[KPI Name],0)),"")</f>
        <v/>
      </c>
      <c r="G588" s="12">
        <f>IFERROR(INDEX(Tbl_KPIConfig[Target],MATCH($D588,Tbl_KPIConfig[KPI Name],0)),"")</f>
        <v/>
      </c>
      <c r="H588" s="12" t="n">
        <v>0</v>
      </c>
      <c r="I588" s="13">
        <f>IFERROR(IF(INDEX(Tbl_KPIConfig[Direction],MATCH($D588,Tbl_KPIConfig[KPI Name],0))="Lower is Better",IF($H588=0,1,IF($G588=0,0,$G588/$H588)),IF($G588=0,1,$H588/$G588)),0)</f>
        <v/>
      </c>
      <c r="J588" s="12">
        <f>IFERROR(IF($I588&gt;=1,"Green",IF($I588&gt;=INDEX(Tbl_KPIConfig[RAG Threshold %],MATCH($D588,Tbl_KPIConfig[KPI Name],0)),"Amber","Red")),"")</f>
        <v/>
      </c>
      <c r="K588" s="14" t="inlineStr">
        <is>
          <t>Manpower shortage</t>
        </is>
      </c>
    </row>
    <row r="589">
      <c r="A589" s="7" t="n">
        <v>46215</v>
      </c>
      <c r="B589" s="8">
        <f>IF($A589="","",TEXT($A589,"mmm-yyyy"))</f>
        <v/>
      </c>
      <c r="C589" s="8">
        <f>IF($A589="","","W"&amp;WEEKNUM($A589,2))</f>
        <v/>
      </c>
      <c r="D589" s="8" t="inlineStr">
        <is>
          <t>Near Miss Reports</t>
        </is>
      </c>
      <c r="E589" s="8">
        <f>IFERROR(INDEX(Tbl_KPIConfig[Department],MATCH($D589,Tbl_KPIConfig[KPI Name],0)),"")</f>
        <v/>
      </c>
      <c r="F589" s="8">
        <f>IFERROR(INDEX(Tbl_KPIConfig[Unit],MATCH($D589,Tbl_KPIConfig[KPI Name],0)),"")</f>
        <v/>
      </c>
      <c r="G589" s="8">
        <f>IFERROR(INDEX(Tbl_KPIConfig[Target],MATCH($D589,Tbl_KPIConfig[KPI Name],0)),"")</f>
        <v/>
      </c>
      <c r="H589" s="8" t="n">
        <v>2</v>
      </c>
      <c r="I589" s="9">
        <f>IFERROR(IF(INDEX(Tbl_KPIConfig[Direction],MATCH($D589,Tbl_KPIConfig[KPI Name],0))="Lower is Better",IF($H589=0,1,IF($G589=0,0,$G589/$H589)),IF($G589=0,1,$H589/$G589)),0)</f>
        <v/>
      </c>
      <c r="J589" s="8">
        <f>IFERROR(IF($I589&gt;=1,"Green",IF($I589&gt;=INDEX(Tbl_KPIConfig[RAG Threshold %],MATCH($D589,Tbl_KPIConfig[KPI Name],0)),"Amber","Red")),"")</f>
        <v/>
      </c>
      <c r="K589" s="10" t="inlineStr">
        <is>
          <t>Preventive check done</t>
        </is>
      </c>
    </row>
    <row r="590">
      <c r="A590" s="11" t="n">
        <v>46215</v>
      </c>
      <c r="B590" s="12">
        <f>IF($A590="","",TEXT($A590,"mmm-yyyy"))</f>
        <v/>
      </c>
      <c r="C590" s="12">
        <f>IF($A590="","","W"&amp;WEEKNUM($A590,2))</f>
        <v/>
      </c>
      <c r="D590" s="12" t="inlineStr">
        <is>
          <t>Production Output</t>
        </is>
      </c>
      <c r="E590" s="12">
        <f>IFERROR(INDEX(Tbl_KPIConfig[Department],MATCH($D590,Tbl_KPIConfig[KPI Name],0)),"")</f>
        <v/>
      </c>
      <c r="F590" s="12">
        <f>IFERROR(INDEX(Tbl_KPIConfig[Unit],MATCH($D590,Tbl_KPIConfig[KPI Name],0)),"")</f>
        <v/>
      </c>
      <c r="G590" s="12">
        <f>IFERROR(INDEX(Tbl_KPIConfig[Target],MATCH($D590,Tbl_KPIConfig[KPI Name],0)),"")</f>
        <v/>
      </c>
      <c r="H590" s="12" t="n">
        <v>846</v>
      </c>
      <c r="I590" s="13">
        <f>IFERROR(IF(INDEX(Tbl_KPIConfig[Direction],MATCH($D590,Tbl_KPIConfig[KPI Name],0))="Lower is Better",IF($H590=0,1,IF($G590=0,0,$G590/$H590)),IF($G590=0,1,$H590/$G590)),0)</f>
        <v/>
      </c>
      <c r="J590" s="12">
        <f>IFERROR(IF($I590&gt;=1,"Green",IF($I590&gt;=INDEX(Tbl_KPIConfig[RAG Threshold %],MATCH($D590,Tbl_KPIConfig[KPI Name],0)),"Amber","Red")),"")</f>
        <v/>
      </c>
      <c r="K590" s="14" t="inlineStr">
        <is>
          <t>Within normal range</t>
        </is>
      </c>
    </row>
    <row r="591">
      <c r="A591" s="7" t="n">
        <v>46215</v>
      </c>
      <c r="B591" s="8">
        <f>IF($A591="","",TEXT($A591,"mmm-yyyy"))</f>
        <v/>
      </c>
      <c r="C591" s="8">
        <f>IF($A591="","","W"&amp;WEEKNUM($A591,2))</f>
        <v/>
      </c>
      <c r="D591" s="8" t="inlineStr">
        <is>
          <t>OEE %</t>
        </is>
      </c>
      <c r="E591" s="8">
        <f>IFERROR(INDEX(Tbl_KPIConfig[Department],MATCH($D591,Tbl_KPIConfig[KPI Name],0)),"")</f>
        <v/>
      </c>
      <c r="F591" s="8">
        <f>IFERROR(INDEX(Tbl_KPIConfig[Unit],MATCH($D591,Tbl_KPIConfig[KPI Name],0)),"")</f>
        <v/>
      </c>
      <c r="G591" s="8">
        <f>IFERROR(INDEX(Tbl_KPIConfig[Target],MATCH($D591,Tbl_KPIConfig[KPI Name],0)),"")</f>
        <v/>
      </c>
      <c r="H591" s="8" t="n">
        <v>0.8205</v>
      </c>
      <c r="I591" s="9">
        <f>IFERROR(IF(INDEX(Tbl_KPIConfig[Direction],MATCH($D591,Tbl_KPIConfig[KPI Name],0))="Lower is Better",IF($H591=0,1,IF($G591=0,0,$G591/$H591)),IF($G591=0,1,$H591/$G591)),0)</f>
        <v/>
      </c>
      <c r="J591" s="8">
        <f>IFERROR(IF($I591&gt;=1,"Green",IF($I591&gt;=INDEX(Tbl_KPIConfig[RAG Threshold %],MATCH($D591,Tbl_KPIConfig[KPI Name],0)),"Amber","Red")),"")</f>
        <v/>
      </c>
      <c r="K591" s="10" t="inlineStr"/>
    </row>
    <row r="592">
      <c r="A592" s="11" t="n">
        <v>46215</v>
      </c>
      <c r="B592" s="12">
        <f>IF($A592="","",TEXT($A592,"mmm-yyyy"))</f>
        <v/>
      </c>
      <c r="C592" s="12">
        <f>IF($A592="","","W"&amp;WEEKNUM($A592,2))</f>
        <v/>
      </c>
      <c r="D592" s="12" t="inlineStr">
        <is>
          <t>Defect Rate %</t>
        </is>
      </c>
      <c r="E592" s="12">
        <f>IFERROR(INDEX(Tbl_KPIConfig[Department],MATCH($D592,Tbl_KPIConfig[KPI Name],0)),"")</f>
        <v/>
      </c>
      <c r="F592" s="12">
        <f>IFERROR(INDEX(Tbl_KPIConfig[Unit],MATCH($D592,Tbl_KPIConfig[KPI Name],0)),"")</f>
        <v/>
      </c>
      <c r="G592" s="12">
        <f>IFERROR(INDEX(Tbl_KPIConfig[Target],MATCH($D592,Tbl_KPIConfig[KPI Name],0)),"")</f>
        <v/>
      </c>
      <c r="H592" s="12" t="n">
        <v>0.0193</v>
      </c>
      <c r="I592" s="13">
        <f>IFERROR(IF(INDEX(Tbl_KPIConfig[Direction],MATCH($D592,Tbl_KPIConfig[KPI Name],0))="Lower is Better",IF($H592=0,1,IF($G592=0,0,$G592/$H592)),IF($G592=0,1,$H592/$G592)),0)</f>
        <v/>
      </c>
      <c r="J592" s="12">
        <f>IFERROR(IF($I592&gt;=1,"Green",IF($I592&gt;=INDEX(Tbl_KPIConfig[RAG Threshold %],MATCH($D592,Tbl_KPIConfig[KPI Name],0)),"Amber","Red")),"")</f>
        <v/>
      </c>
      <c r="K592" s="14" t="inlineStr">
        <is>
          <t>Manpower shortage</t>
        </is>
      </c>
    </row>
    <row r="593">
      <c r="A593" s="7" t="n">
        <v>46215</v>
      </c>
      <c r="B593" s="8">
        <f>IF($A593="","",TEXT($A593,"mmm-yyyy"))</f>
        <v/>
      </c>
      <c r="C593" s="8">
        <f>IF($A593="","","W"&amp;WEEKNUM($A593,2))</f>
        <v/>
      </c>
      <c r="D593" s="8" t="inlineStr">
        <is>
          <t>Customer Complaints</t>
        </is>
      </c>
      <c r="E593" s="8">
        <f>IFERROR(INDEX(Tbl_KPIConfig[Department],MATCH($D593,Tbl_KPIConfig[KPI Name],0)),"")</f>
        <v/>
      </c>
      <c r="F593" s="8">
        <f>IFERROR(INDEX(Tbl_KPIConfig[Unit],MATCH($D593,Tbl_KPIConfig[KPI Name],0)),"")</f>
        <v/>
      </c>
      <c r="G593" s="8">
        <f>IFERROR(INDEX(Tbl_KPIConfig[Target],MATCH($D593,Tbl_KPIConfig[KPI Name],0)),"")</f>
        <v/>
      </c>
      <c r="H593" s="8" t="n">
        <v>0</v>
      </c>
      <c r="I593" s="9">
        <f>IFERROR(IF(INDEX(Tbl_KPIConfig[Direction],MATCH($D593,Tbl_KPIConfig[KPI Name],0))="Lower is Better",IF($H593=0,1,IF($G593=0,0,$G593/$H593)),IF($G593=0,1,$H593/$G593)),0)</f>
        <v/>
      </c>
      <c r="J593" s="8">
        <f>IFERROR(IF($I593&gt;=1,"Green",IF($I593&gt;=INDEX(Tbl_KPIConfig[RAG Threshold %],MATCH($D593,Tbl_KPIConfig[KPI Name],0)),"Amber","Red")),"")</f>
        <v/>
      </c>
      <c r="K593" s="10" t="inlineStr"/>
    </row>
    <row r="594">
      <c r="A594" s="11" t="n">
        <v>46215</v>
      </c>
      <c r="B594" s="12">
        <f>IF($A594="","",TEXT($A594,"mmm-yyyy"))</f>
        <v/>
      </c>
      <c r="C594" s="12">
        <f>IF($A594="","","W"&amp;WEEKNUM($A594,2))</f>
        <v/>
      </c>
      <c r="D594" s="12" t="inlineStr">
        <is>
          <t>Unplanned Downtime (Hrs)</t>
        </is>
      </c>
      <c r="E594" s="12">
        <f>IFERROR(INDEX(Tbl_KPIConfig[Department],MATCH($D594,Tbl_KPIConfig[KPI Name],0)),"")</f>
        <v/>
      </c>
      <c r="F594" s="12">
        <f>IFERROR(INDEX(Tbl_KPIConfig[Unit],MATCH($D594,Tbl_KPIConfig[KPI Name],0)),"")</f>
        <v/>
      </c>
      <c r="G594" s="12">
        <f>IFERROR(INDEX(Tbl_KPIConfig[Target],MATCH($D594,Tbl_KPIConfig[KPI Name],0)),"")</f>
        <v/>
      </c>
      <c r="H594" s="12" t="n">
        <v>1.01</v>
      </c>
      <c r="I594" s="13">
        <f>IFERROR(IF(INDEX(Tbl_KPIConfig[Direction],MATCH($D594,Tbl_KPIConfig[KPI Name],0))="Lower is Better",IF($H594=0,1,IF($G594=0,0,$G594/$H594)),IF($G594=0,1,$H594/$G594)),0)</f>
        <v/>
      </c>
      <c r="J594" s="12">
        <f>IFERROR(IF($I594&gt;=1,"Green",IF($I594&gt;=INDEX(Tbl_KPIConfig[RAG Threshold %],MATCH($D594,Tbl_KPIConfig[KPI Name],0)),"Amber","Red")),"")</f>
        <v/>
      </c>
      <c r="K594" s="14" t="inlineStr">
        <is>
          <t>Line changeover impact</t>
        </is>
      </c>
    </row>
    <row r="595">
      <c r="A595" s="7" t="n">
        <v>46215</v>
      </c>
      <c r="B595" s="8">
        <f>IF($A595="","",TEXT($A595,"mmm-yyyy"))</f>
        <v/>
      </c>
      <c r="C595" s="8">
        <f>IF($A595="","","W"&amp;WEEKNUM($A595,2))</f>
        <v/>
      </c>
      <c r="D595" s="8" t="inlineStr">
        <is>
          <t>PM Compliance %</t>
        </is>
      </c>
      <c r="E595" s="8">
        <f>IFERROR(INDEX(Tbl_KPIConfig[Department],MATCH($D595,Tbl_KPIConfig[KPI Name],0)),"")</f>
        <v/>
      </c>
      <c r="F595" s="8">
        <f>IFERROR(INDEX(Tbl_KPIConfig[Unit],MATCH($D595,Tbl_KPIConfig[KPI Name],0)),"")</f>
        <v/>
      </c>
      <c r="G595" s="8">
        <f>IFERROR(INDEX(Tbl_KPIConfig[Target],MATCH($D595,Tbl_KPIConfig[KPI Name],0)),"")</f>
        <v/>
      </c>
      <c r="H595" s="8" t="n">
        <v>0.9673</v>
      </c>
      <c r="I595" s="9">
        <f>IFERROR(IF(INDEX(Tbl_KPIConfig[Direction],MATCH($D595,Tbl_KPIConfig[KPI Name],0))="Lower is Better",IF($H595=0,1,IF($G595=0,0,$G595/$H595)),IF($G595=0,1,$H595/$G595)),0)</f>
        <v/>
      </c>
      <c r="J595" s="8">
        <f>IFERROR(IF($I595&gt;=1,"Green",IF($I595&gt;=INDEX(Tbl_KPIConfig[RAG Threshold %],MATCH($D595,Tbl_KPIConfig[KPI Name],0)),"Amber","Red")),"")</f>
        <v/>
      </c>
      <c r="K595" s="10" t="inlineStr">
        <is>
          <t>Awaiting spares</t>
        </is>
      </c>
    </row>
    <row r="596">
      <c r="A596" s="11" t="n">
        <v>46215</v>
      </c>
      <c r="B596" s="12">
        <f>IF($A596="","",TEXT($A596,"mmm-yyyy"))</f>
        <v/>
      </c>
      <c r="C596" s="12">
        <f>IF($A596="","","W"&amp;WEEKNUM($A596,2))</f>
        <v/>
      </c>
      <c r="D596" s="12" t="inlineStr">
        <is>
          <t>Power Consumption (kWh)</t>
        </is>
      </c>
      <c r="E596" s="12">
        <f>IFERROR(INDEX(Tbl_KPIConfig[Department],MATCH($D596,Tbl_KPIConfig[KPI Name],0)),"")</f>
        <v/>
      </c>
      <c r="F596" s="12">
        <f>IFERROR(INDEX(Tbl_KPIConfig[Unit],MATCH($D596,Tbl_KPIConfig[KPI Name],0)),"")</f>
        <v/>
      </c>
      <c r="G596" s="12">
        <f>IFERROR(INDEX(Tbl_KPIConfig[Target],MATCH($D596,Tbl_KPIConfig[KPI Name],0)),"")</f>
        <v/>
      </c>
      <c r="H596" s="12" t="n">
        <v>4753.56</v>
      </c>
      <c r="I596" s="13">
        <f>IFERROR(IF(INDEX(Tbl_KPIConfig[Direction],MATCH($D596,Tbl_KPIConfig[KPI Name],0))="Lower is Better",IF($H596=0,1,IF($G596=0,0,$G596/$H596)),IF($G596=0,1,$H596/$G596)),0)</f>
        <v/>
      </c>
      <c r="J596" s="12">
        <f>IFERROR(IF($I596&gt;=1,"Green",IF($I596&gt;=INDEX(Tbl_KPIConfig[RAG Threshold %],MATCH($D596,Tbl_KPIConfig[KPI Name],0)),"Amber","Red")),"")</f>
        <v/>
      </c>
      <c r="K596" s="14" t="inlineStr">
        <is>
          <t>Line changeover impact</t>
        </is>
      </c>
    </row>
    <row r="597">
      <c r="A597" s="7" t="n">
        <v>46215</v>
      </c>
      <c r="B597" s="8">
        <f>IF($A597="","",TEXT($A597,"mmm-yyyy"))</f>
        <v/>
      </c>
      <c r="C597" s="8">
        <f>IF($A597="","","W"&amp;WEEKNUM($A597,2))</f>
        <v/>
      </c>
      <c r="D597" s="8" t="inlineStr">
        <is>
          <t>On-Time Dispatch %</t>
        </is>
      </c>
      <c r="E597" s="8">
        <f>IFERROR(INDEX(Tbl_KPIConfig[Department],MATCH($D597,Tbl_KPIConfig[KPI Name],0)),"")</f>
        <v/>
      </c>
      <c r="F597" s="8">
        <f>IFERROR(INDEX(Tbl_KPIConfig[Unit],MATCH($D597,Tbl_KPIConfig[KPI Name],0)),"")</f>
        <v/>
      </c>
      <c r="G597" s="8">
        <f>IFERROR(INDEX(Tbl_KPIConfig[Target],MATCH($D597,Tbl_KPIConfig[KPI Name],0)),"")</f>
        <v/>
      </c>
      <c r="H597" s="8" t="n">
        <v>0.8326</v>
      </c>
      <c r="I597" s="9">
        <f>IFERROR(IF(INDEX(Tbl_KPIConfig[Direction],MATCH($D597,Tbl_KPIConfig[KPI Name],0))="Lower is Better",IF($H597=0,1,IF($G597=0,0,$G597/$H597)),IF($G597=0,1,$H597/$G597)),0)</f>
        <v/>
      </c>
      <c r="J597" s="8">
        <f>IFERROR(IF($I597&gt;=1,"Green",IF($I597&gt;=INDEX(Tbl_KPIConfig[RAG Threshold %],MATCH($D597,Tbl_KPIConfig[KPI Name],0)),"Amber","Red")),"")</f>
        <v/>
      </c>
      <c r="K597" s="10" t="inlineStr">
        <is>
          <t>Vendor delay</t>
        </is>
      </c>
    </row>
    <row r="598">
      <c r="A598" s="11" t="n">
        <v>46215</v>
      </c>
      <c r="B598" s="12">
        <f>IF($A598="","",TEXT($A598,"mmm-yyyy"))</f>
        <v/>
      </c>
      <c r="C598" s="12">
        <f>IF($A598="","","W"&amp;WEEKNUM($A598,2))</f>
        <v/>
      </c>
      <c r="D598" s="12" t="inlineStr">
        <is>
          <t>Inventory Accuracy %</t>
        </is>
      </c>
      <c r="E598" s="12">
        <f>IFERROR(INDEX(Tbl_KPIConfig[Department],MATCH($D598,Tbl_KPIConfig[KPI Name],0)),"")</f>
        <v/>
      </c>
      <c r="F598" s="12">
        <f>IFERROR(INDEX(Tbl_KPIConfig[Unit],MATCH($D598,Tbl_KPIConfig[KPI Name],0)),"")</f>
        <v/>
      </c>
      <c r="G598" s="12">
        <f>IFERROR(INDEX(Tbl_KPIConfig[Target],MATCH($D598,Tbl_KPIConfig[KPI Name],0)),"")</f>
        <v/>
      </c>
      <c r="H598" s="12" t="n">
        <v>0.8445</v>
      </c>
      <c r="I598" s="13">
        <f>IFERROR(IF(INDEX(Tbl_KPIConfig[Direction],MATCH($D598,Tbl_KPIConfig[KPI Name],0))="Lower is Better",IF($H598=0,1,IF($G598=0,0,$G598/$H598)),IF($G598=0,1,$H598/$G598)),0)</f>
        <v/>
      </c>
      <c r="J598" s="12">
        <f>IFERROR(IF($I598&gt;=1,"Green",IF($I598&gt;=INDEX(Tbl_KPIConfig[RAG Threshold %],MATCH($D598,Tbl_KPIConfig[KPI Name],0)),"Amber","Red")),"")</f>
        <v/>
      </c>
      <c r="K598" s="14" t="inlineStr">
        <is>
          <t>Within normal range</t>
        </is>
      </c>
    </row>
    <row r="599">
      <c r="A599" s="7" t="n">
        <v>46215</v>
      </c>
      <c r="B599" s="8">
        <f>IF($A599="","",TEXT($A599,"mmm-yyyy"))</f>
        <v/>
      </c>
      <c r="C599" s="8">
        <f>IF($A599="","","W"&amp;WEEKNUM($A599,2))</f>
        <v/>
      </c>
      <c r="D599" s="8" t="inlineStr">
        <is>
          <t>Absenteeism %</t>
        </is>
      </c>
      <c r="E599" s="8">
        <f>IFERROR(INDEX(Tbl_KPIConfig[Department],MATCH($D599,Tbl_KPIConfig[KPI Name],0)),"")</f>
        <v/>
      </c>
      <c r="F599" s="8">
        <f>IFERROR(INDEX(Tbl_KPIConfig[Unit],MATCH($D599,Tbl_KPIConfig[KPI Name],0)),"")</f>
        <v/>
      </c>
      <c r="G599" s="8">
        <f>IFERROR(INDEX(Tbl_KPIConfig[Target],MATCH($D599,Tbl_KPIConfig[KPI Name],0)),"")</f>
        <v/>
      </c>
      <c r="H599" s="8" t="n">
        <v>0.0372</v>
      </c>
      <c r="I599" s="9">
        <f>IFERROR(IF(INDEX(Tbl_KPIConfig[Direction],MATCH($D599,Tbl_KPIConfig[KPI Name],0))="Lower is Better",IF($H599=0,1,IF($G599=0,0,$G599/$H599)),IF($G599=0,1,$H599/$G599)),0)</f>
        <v/>
      </c>
      <c r="J599" s="8">
        <f>IFERROR(IF($I599&gt;=1,"Green",IF($I599&gt;=INDEX(Tbl_KPIConfig[RAG Threshold %],MATCH($D599,Tbl_KPIConfig[KPI Name],0)),"Amber","Red")),"")</f>
        <v/>
      </c>
      <c r="K599" s="10" t="inlineStr">
        <is>
          <t>Preventive check done</t>
        </is>
      </c>
    </row>
    <row r="600">
      <c r="A600" s="11" t="n">
        <v>46215</v>
      </c>
      <c r="B600" s="12">
        <f>IF($A600="","",TEXT($A600,"mmm-yyyy"))</f>
        <v/>
      </c>
      <c r="C600" s="12">
        <f>IF($A600="","","W"&amp;WEEKNUM($A600,2))</f>
        <v/>
      </c>
      <c r="D600" s="12" t="inlineStr">
        <is>
          <t>Training Hours</t>
        </is>
      </c>
      <c r="E600" s="12">
        <f>IFERROR(INDEX(Tbl_KPIConfig[Department],MATCH($D600,Tbl_KPIConfig[KPI Name],0)),"")</f>
        <v/>
      </c>
      <c r="F600" s="12">
        <f>IFERROR(INDEX(Tbl_KPIConfig[Unit],MATCH($D600,Tbl_KPIConfig[KPI Name],0)),"")</f>
        <v/>
      </c>
      <c r="G600" s="12">
        <f>IFERROR(INDEX(Tbl_KPIConfig[Target],MATCH($D600,Tbl_KPIConfig[KPI Name],0)),"")</f>
        <v/>
      </c>
      <c r="H600" s="12" t="n">
        <v>1.88</v>
      </c>
      <c r="I600" s="13">
        <f>IFERROR(IF(INDEX(Tbl_KPIConfig[Direction],MATCH($D600,Tbl_KPIConfig[KPI Name],0))="Lower is Better",IF($H600=0,1,IF($G600=0,0,$G600/$H600)),IF($G600=0,1,$H600/$G600)),0)</f>
        <v/>
      </c>
      <c r="J600" s="12">
        <f>IFERROR(IF($I600&gt;=1,"Green",IF($I600&gt;=INDEX(Tbl_KPIConfig[RAG Threshold %],MATCH($D600,Tbl_KPIConfig[KPI Name],0)),"Amber","Red")),"")</f>
        <v/>
      </c>
      <c r="K600" s="14" t="inlineStr">
        <is>
          <t>Line changeover impact</t>
        </is>
      </c>
    </row>
    <row r="601">
      <c r="A601" s="7" t="n">
        <v>46215</v>
      </c>
      <c r="B601" s="8">
        <f>IF($A601="","",TEXT($A601,"mmm-yyyy"))</f>
        <v/>
      </c>
      <c r="C601" s="8">
        <f>IF($A601="","","W"&amp;WEEKNUM($A601,2))</f>
        <v/>
      </c>
      <c r="D601" s="8" t="inlineStr">
        <is>
          <t>Milestone Adherence %</t>
        </is>
      </c>
      <c r="E601" s="8">
        <f>IFERROR(INDEX(Tbl_KPIConfig[Department],MATCH($D601,Tbl_KPIConfig[KPI Name],0)),"")</f>
        <v/>
      </c>
      <c r="F601" s="8">
        <f>IFERROR(INDEX(Tbl_KPIConfig[Unit],MATCH($D601,Tbl_KPIConfig[KPI Name],0)),"")</f>
        <v/>
      </c>
      <c r="G601" s="8">
        <f>IFERROR(INDEX(Tbl_KPIConfig[Target],MATCH($D601,Tbl_KPIConfig[KPI Name],0)),"")</f>
        <v/>
      </c>
      <c r="H601" s="8" t="n">
        <v>0.9308999999999999</v>
      </c>
      <c r="I601" s="9">
        <f>IFERROR(IF(INDEX(Tbl_KPIConfig[Direction],MATCH($D601,Tbl_KPIConfig[KPI Name],0))="Lower is Better",IF($H601=0,1,IF($G601=0,0,$G601/$H601)),IF($G601=0,1,$H601/$G601)),0)</f>
        <v/>
      </c>
      <c r="J601" s="8">
        <f>IFERROR(IF($I601&gt;=1,"Green",IF($I601&gt;=INDEX(Tbl_KPIConfig[RAG Threshold %],MATCH($D601,Tbl_KPIConfig[KPI Name],0)),"Amber","Red")),"")</f>
        <v/>
      </c>
      <c r="K601" s="10" t="inlineStr"/>
    </row>
    <row r="602">
      <c r="A602" s="11" t="n">
        <v>46215</v>
      </c>
      <c r="B602" s="12">
        <f>IF($A602="","",TEXT($A602,"mmm-yyyy"))</f>
        <v/>
      </c>
      <c r="C602" s="12">
        <f>IF($A602="","","W"&amp;WEEKNUM($A602,2))</f>
        <v/>
      </c>
      <c r="D602" s="12" t="inlineStr">
        <is>
          <t>Breakdown Resolution (Hrs)</t>
        </is>
      </c>
      <c r="E602" s="12">
        <f>IFERROR(INDEX(Tbl_KPIConfig[Department],MATCH($D602,Tbl_KPIConfig[KPI Name],0)),"")</f>
        <v/>
      </c>
      <c r="F602" s="12">
        <f>IFERROR(INDEX(Tbl_KPIConfig[Unit],MATCH($D602,Tbl_KPIConfig[KPI Name],0)),"")</f>
        <v/>
      </c>
      <c r="G602" s="12">
        <f>IFERROR(INDEX(Tbl_KPIConfig[Target],MATCH($D602,Tbl_KPIConfig[KPI Name],0)),"")</f>
        <v/>
      </c>
      <c r="H602" s="12" t="n">
        <v>1.94</v>
      </c>
      <c r="I602" s="13">
        <f>IFERROR(IF(INDEX(Tbl_KPIConfig[Direction],MATCH($D602,Tbl_KPIConfig[KPI Name],0))="Lower is Better",IF($H602=0,1,IF($G602=0,0,$G602/$H602)),IF($G602=0,1,$H602/$G602)),0)</f>
        <v/>
      </c>
      <c r="J602" s="12">
        <f>IFERROR(IF($I602&gt;=1,"Green",IF($I602&gt;=INDEX(Tbl_KPIConfig[RAG Threshold %],MATCH($D602,Tbl_KPIConfig[KPI Name],0)),"Amber","Red")),"")</f>
        <v/>
      </c>
      <c r="K602" s="14" t="inlineStr"/>
    </row>
    <row r="603">
      <c r="A603" s="7" t="n">
        <v>46216</v>
      </c>
      <c r="B603" s="8">
        <f>IF($A603="","",TEXT($A603,"mmm-yyyy"))</f>
        <v/>
      </c>
      <c r="C603" s="8">
        <f>IF($A603="","","W"&amp;WEEKNUM($A603,2))</f>
        <v/>
      </c>
      <c r="D603" s="8" t="inlineStr">
        <is>
          <t>Safety Incidents (LTI)</t>
        </is>
      </c>
      <c r="E603" s="8">
        <f>IFERROR(INDEX(Tbl_KPIConfig[Department],MATCH($D603,Tbl_KPIConfig[KPI Name],0)),"")</f>
        <v/>
      </c>
      <c r="F603" s="8">
        <f>IFERROR(INDEX(Tbl_KPIConfig[Unit],MATCH($D603,Tbl_KPIConfig[KPI Name],0)),"")</f>
        <v/>
      </c>
      <c r="G603" s="8">
        <f>IFERROR(INDEX(Tbl_KPIConfig[Target],MATCH($D603,Tbl_KPIConfig[KPI Name],0)),"")</f>
        <v/>
      </c>
      <c r="H603" s="8" t="n">
        <v>0</v>
      </c>
      <c r="I603" s="9">
        <f>IFERROR(IF(INDEX(Tbl_KPIConfig[Direction],MATCH($D603,Tbl_KPIConfig[KPI Name],0))="Lower is Better",IF($H603=0,1,IF($G603=0,0,$G603/$H603)),IF($G603=0,1,$H603/$G603)),0)</f>
        <v/>
      </c>
      <c r="J603" s="8">
        <f>IFERROR(IF($I603&gt;=1,"Green",IF($I603&gt;=INDEX(Tbl_KPIConfig[RAG Threshold %],MATCH($D603,Tbl_KPIConfig[KPI Name],0)),"Amber","Red")),"")</f>
        <v/>
      </c>
      <c r="K603" s="10" t="inlineStr">
        <is>
          <t>Preventive check done</t>
        </is>
      </c>
    </row>
    <row r="604">
      <c r="A604" s="11" t="n">
        <v>46216</v>
      </c>
      <c r="B604" s="12">
        <f>IF($A604="","",TEXT($A604,"mmm-yyyy"))</f>
        <v/>
      </c>
      <c r="C604" s="12">
        <f>IF($A604="","","W"&amp;WEEKNUM($A604,2))</f>
        <v/>
      </c>
      <c r="D604" s="12" t="inlineStr">
        <is>
          <t>Near Miss Reports</t>
        </is>
      </c>
      <c r="E604" s="12">
        <f>IFERROR(INDEX(Tbl_KPIConfig[Department],MATCH($D604,Tbl_KPIConfig[KPI Name],0)),"")</f>
        <v/>
      </c>
      <c r="F604" s="12">
        <f>IFERROR(INDEX(Tbl_KPIConfig[Unit],MATCH($D604,Tbl_KPIConfig[KPI Name],0)),"")</f>
        <v/>
      </c>
      <c r="G604" s="12">
        <f>IFERROR(INDEX(Tbl_KPIConfig[Target],MATCH($D604,Tbl_KPIConfig[KPI Name],0)),"")</f>
        <v/>
      </c>
      <c r="H604" s="12" t="n">
        <v>2</v>
      </c>
      <c r="I604" s="13">
        <f>IFERROR(IF(INDEX(Tbl_KPIConfig[Direction],MATCH($D604,Tbl_KPIConfig[KPI Name],0))="Lower is Better",IF($H604=0,1,IF($G604=0,0,$G604/$H604)),IF($G604=0,1,$H604/$G604)),0)</f>
        <v/>
      </c>
      <c r="J604" s="12">
        <f>IFERROR(IF($I604&gt;=1,"Green",IF($I604&gt;=INDEX(Tbl_KPIConfig[RAG Threshold %],MATCH($D604,Tbl_KPIConfig[KPI Name],0)),"Amber","Red")),"")</f>
        <v/>
      </c>
      <c r="K604" s="14" t="inlineStr">
        <is>
          <t>Line changeover impact</t>
        </is>
      </c>
    </row>
    <row r="605">
      <c r="A605" s="7" t="n">
        <v>46216</v>
      </c>
      <c r="B605" s="8">
        <f>IF($A605="","",TEXT($A605,"mmm-yyyy"))</f>
        <v/>
      </c>
      <c r="C605" s="8">
        <f>IF($A605="","","W"&amp;WEEKNUM($A605,2))</f>
        <v/>
      </c>
      <c r="D605" s="8" t="inlineStr">
        <is>
          <t>Production Output</t>
        </is>
      </c>
      <c r="E605" s="8">
        <f>IFERROR(INDEX(Tbl_KPIConfig[Department],MATCH($D605,Tbl_KPIConfig[KPI Name],0)),"")</f>
        <v/>
      </c>
      <c r="F605" s="8">
        <f>IFERROR(INDEX(Tbl_KPIConfig[Unit],MATCH($D605,Tbl_KPIConfig[KPI Name],0)),"")</f>
        <v/>
      </c>
      <c r="G605" s="8">
        <f>IFERROR(INDEX(Tbl_KPIConfig[Target],MATCH($D605,Tbl_KPIConfig[KPI Name],0)),"")</f>
        <v/>
      </c>
      <c r="H605" s="8" t="n">
        <v>772.61</v>
      </c>
      <c r="I605" s="9">
        <f>IFERROR(IF(INDEX(Tbl_KPIConfig[Direction],MATCH($D605,Tbl_KPIConfig[KPI Name],0))="Lower is Better",IF($H605=0,1,IF($G605=0,0,$G605/$H605)),IF($G605=0,1,$H605/$G605)),0)</f>
        <v/>
      </c>
      <c r="J605" s="8">
        <f>IFERROR(IF($I605&gt;=1,"Green",IF($I605&gt;=INDEX(Tbl_KPIConfig[RAG Threshold %],MATCH($D605,Tbl_KPIConfig[KPI Name],0)),"Amber","Red")),"")</f>
        <v/>
      </c>
      <c r="K605" s="10" t="inlineStr">
        <is>
          <t>Line changeover impact</t>
        </is>
      </c>
    </row>
    <row r="606">
      <c r="A606" s="11" t="n">
        <v>46216</v>
      </c>
      <c r="B606" s="12">
        <f>IF($A606="","",TEXT($A606,"mmm-yyyy"))</f>
        <v/>
      </c>
      <c r="C606" s="12">
        <f>IF($A606="","","W"&amp;WEEKNUM($A606,2))</f>
        <v/>
      </c>
      <c r="D606" s="12" t="inlineStr">
        <is>
          <t>OEE %</t>
        </is>
      </c>
      <c r="E606" s="12">
        <f>IFERROR(INDEX(Tbl_KPIConfig[Department],MATCH($D606,Tbl_KPIConfig[KPI Name],0)),"")</f>
        <v/>
      </c>
      <c r="F606" s="12">
        <f>IFERROR(INDEX(Tbl_KPIConfig[Unit],MATCH($D606,Tbl_KPIConfig[KPI Name],0)),"")</f>
        <v/>
      </c>
      <c r="G606" s="12">
        <f>IFERROR(INDEX(Tbl_KPIConfig[Target],MATCH($D606,Tbl_KPIConfig[KPI Name],0)),"")</f>
        <v/>
      </c>
      <c r="H606" s="12" t="n">
        <v>0.8925</v>
      </c>
      <c r="I606" s="13">
        <f>IFERROR(IF(INDEX(Tbl_KPIConfig[Direction],MATCH($D606,Tbl_KPIConfig[KPI Name],0))="Lower is Better",IF($H606=0,1,IF($G606=0,0,$G606/$H606)),IF($G606=0,1,$H606/$G606)),0)</f>
        <v/>
      </c>
      <c r="J606" s="12">
        <f>IFERROR(IF($I606&gt;=1,"Green",IF($I606&gt;=INDEX(Tbl_KPIConfig[RAG Threshold %],MATCH($D606,Tbl_KPIConfig[KPI Name],0)),"Amber","Red")),"")</f>
        <v/>
      </c>
      <c r="K606" s="14" t="inlineStr">
        <is>
          <t>Line changeover impact</t>
        </is>
      </c>
    </row>
    <row r="607">
      <c r="A607" s="7" t="n">
        <v>46216</v>
      </c>
      <c r="B607" s="8">
        <f>IF($A607="","",TEXT($A607,"mmm-yyyy"))</f>
        <v/>
      </c>
      <c r="C607" s="8">
        <f>IF($A607="","","W"&amp;WEEKNUM($A607,2))</f>
        <v/>
      </c>
      <c r="D607" s="8" t="inlineStr">
        <is>
          <t>Defect Rate %</t>
        </is>
      </c>
      <c r="E607" s="8">
        <f>IFERROR(INDEX(Tbl_KPIConfig[Department],MATCH($D607,Tbl_KPIConfig[KPI Name],0)),"")</f>
        <v/>
      </c>
      <c r="F607" s="8">
        <f>IFERROR(INDEX(Tbl_KPIConfig[Unit],MATCH($D607,Tbl_KPIConfig[KPI Name],0)),"")</f>
        <v/>
      </c>
      <c r="G607" s="8">
        <f>IFERROR(INDEX(Tbl_KPIConfig[Target],MATCH($D607,Tbl_KPIConfig[KPI Name],0)),"")</f>
        <v/>
      </c>
      <c r="H607" s="8" t="n">
        <v>0.0215</v>
      </c>
      <c r="I607" s="9">
        <f>IFERROR(IF(INDEX(Tbl_KPIConfig[Direction],MATCH($D607,Tbl_KPIConfig[KPI Name],0))="Lower is Better",IF($H607=0,1,IF($G607=0,0,$G607/$H607)),IF($G607=0,1,$H607/$G607)),0)</f>
        <v/>
      </c>
      <c r="J607" s="8">
        <f>IFERROR(IF($I607&gt;=1,"Green",IF($I607&gt;=INDEX(Tbl_KPIConfig[RAG Threshold %],MATCH($D607,Tbl_KPIConfig[KPI Name],0)),"Amber","Red")),"")</f>
        <v/>
      </c>
      <c r="K607" s="10" t="inlineStr">
        <is>
          <t>Process improvement in progress</t>
        </is>
      </c>
    </row>
    <row r="608">
      <c r="A608" s="11" t="n">
        <v>46216</v>
      </c>
      <c r="B608" s="12">
        <f>IF($A608="","",TEXT($A608,"mmm-yyyy"))</f>
        <v/>
      </c>
      <c r="C608" s="12">
        <f>IF($A608="","","W"&amp;WEEKNUM($A608,2))</f>
        <v/>
      </c>
      <c r="D608" s="12" t="inlineStr">
        <is>
          <t>Customer Complaints</t>
        </is>
      </c>
      <c r="E608" s="12">
        <f>IFERROR(INDEX(Tbl_KPIConfig[Department],MATCH($D608,Tbl_KPIConfig[KPI Name],0)),"")</f>
        <v/>
      </c>
      <c r="F608" s="12">
        <f>IFERROR(INDEX(Tbl_KPIConfig[Unit],MATCH($D608,Tbl_KPIConfig[KPI Name],0)),"")</f>
        <v/>
      </c>
      <c r="G608" s="12">
        <f>IFERROR(INDEX(Tbl_KPIConfig[Target],MATCH($D608,Tbl_KPIConfig[KPI Name],0)),"")</f>
        <v/>
      </c>
      <c r="H608" s="12" t="n">
        <v>0</v>
      </c>
      <c r="I608" s="13">
        <f>IFERROR(IF(INDEX(Tbl_KPIConfig[Direction],MATCH($D608,Tbl_KPIConfig[KPI Name],0))="Lower is Better",IF($H608=0,1,IF($G608=0,0,$G608/$H608)),IF($G608=0,1,$H608/$G608)),0)</f>
        <v/>
      </c>
      <c r="J608" s="12">
        <f>IFERROR(IF($I608&gt;=1,"Green",IF($I608&gt;=INDEX(Tbl_KPIConfig[RAG Threshold %],MATCH($D608,Tbl_KPIConfig[KPI Name],0)),"Amber","Red")),"")</f>
        <v/>
      </c>
      <c r="K608" s="14" t="inlineStr">
        <is>
          <t>Vendor delay</t>
        </is>
      </c>
    </row>
    <row r="609">
      <c r="A609" s="7" t="n">
        <v>46216</v>
      </c>
      <c r="B609" s="8">
        <f>IF($A609="","",TEXT($A609,"mmm-yyyy"))</f>
        <v/>
      </c>
      <c r="C609" s="8">
        <f>IF($A609="","","W"&amp;WEEKNUM($A609,2))</f>
        <v/>
      </c>
      <c r="D609" s="8" t="inlineStr">
        <is>
          <t>Unplanned Downtime (Hrs)</t>
        </is>
      </c>
      <c r="E609" s="8">
        <f>IFERROR(INDEX(Tbl_KPIConfig[Department],MATCH($D609,Tbl_KPIConfig[KPI Name],0)),"")</f>
        <v/>
      </c>
      <c r="F609" s="8">
        <f>IFERROR(INDEX(Tbl_KPIConfig[Unit],MATCH($D609,Tbl_KPIConfig[KPI Name],0)),"")</f>
        <v/>
      </c>
      <c r="G609" s="8">
        <f>IFERROR(INDEX(Tbl_KPIConfig[Target],MATCH($D609,Tbl_KPIConfig[KPI Name],0)),"")</f>
        <v/>
      </c>
      <c r="H609" s="8" t="n">
        <v>1.41</v>
      </c>
      <c r="I609" s="9">
        <f>IFERROR(IF(INDEX(Tbl_KPIConfig[Direction],MATCH($D609,Tbl_KPIConfig[KPI Name],0))="Lower is Better",IF($H609=0,1,IF($G609=0,0,$G609/$H609)),IF($G609=0,1,$H609/$G609)),0)</f>
        <v/>
      </c>
      <c r="J609" s="8">
        <f>IFERROR(IF($I609&gt;=1,"Green",IF($I609&gt;=INDEX(Tbl_KPIConfig[RAG Threshold %],MATCH($D609,Tbl_KPIConfig[KPI Name],0)),"Amber","Red")),"")</f>
        <v/>
      </c>
      <c r="K609" s="10" t="inlineStr">
        <is>
          <t>Manpower shortage</t>
        </is>
      </c>
    </row>
    <row r="610">
      <c r="A610" s="11" t="n">
        <v>46216</v>
      </c>
      <c r="B610" s="12">
        <f>IF($A610="","",TEXT($A610,"mmm-yyyy"))</f>
        <v/>
      </c>
      <c r="C610" s="12">
        <f>IF($A610="","","W"&amp;WEEKNUM($A610,2))</f>
        <v/>
      </c>
      <c r="D610" s="12" t="inlineStr">
        <is>
          <t>PM Compliance %</t>
        </is>
      </c>
      <c r="E610" s="12">
        <f>IFERROR(INDEX(Tbl_KPIConfig[Department],MATCH($D610,Tbl_KPIConfig[KPI Name],0)),"")</f>
        <v/>
      </c>
      <c r="F610" s="12">
        <f>IFERROR(INDEX(Tbl_KPIConfig[Unit],MATCH($D610,Tbl_KPIConfig[KPI Name],0)),"")</f>
        <v/>
      </c>
      <c r="G610" s="12">
        <f>IFERROR(INDEX(Tbl_KPIConfig[Target],MATCH($D610,Tbl_KPIConfig[KPI Name],0)),"")</f>
        <v/>
      </c>
      <c r="H610" s="12" t="n">
        <v>1.0607</v>
      </c>
      <c r="I610" s="13">
        <f>IFERROR(IF(INDEX(Tbl_KPIConfig[Direction],MATCH($D610,Tbl_KPIConfig[KPI Name],0))="Lower is Better",IF($H610=0,1,IF($G610=0,0,$G610/$H610)),IF($G610=0,1,$H610/$G610)),0)</f>
        <v/>
      </c>
      <c r="J610" s="12">
        <f>IFERROR(IF($I610&gt;=1,"Green",IF($I610&gt;=INDEX(Tbl_KPIConfig[RAG Threshold %],MATCH($D610,Tbl_KPIConfig[KPI Name],0)),"Amber","Red")),"")</f>
        <v/>
      </c>
      <c r="K610" s="14" t="inlineStr">
        <is>
          <t>Manpower shortage</t>
        </is>
      </c>
    </row>
    <row r="611">
      <c r="A611" s="7" t="n">
        <v>46216</v>
      </c>
      <c r="B611" s="8">
        <f>IF($A611="","",TEXT($A611,"mmm-yyyy"))</f>
        <v/>
      </c>
      <c r="C611" s="8">
        <f>IF($A611="","","W"&amp;WEEKNUM($A611,2))</f>
        <v/>
      </c>
      <c r="D611" s="8" t="inlineStr">
        <is>
          <t>Power Consumption (kWh)</t>
        </is>
      </c>
      <c r="E611" s="8">
        <f>IFERROR(INDEX(Tbl_KPIConfig[Department],MATCH($D611,Tbl_KPIConfig[KPI Name],0)),"")</f>
        <v/>
      </c>
      <c r="F611" s="8">
        <f>IFERROR(INDEX(Tbl_KPIConfig[Unit],MATCH($D611,Tbl_KPIConfig[KPI Name],0)),"")</f>
        <v/>
      </c>
      <c r="G611" s="8">
        <f>IFERROR(INDEX(Tbl_KPIConfig[Target],MATCH($D611,Tbl_KPIConfig[KPI Name],0)),"")</f>
        <v/>
      </c>
      <c r="H611" s="8" t="n">
        <v>4401.46</v>
      </c>
      <c r="I611" s="9">
        <f>IFERROR(IF(INDEX(Tbl_KPIConfig[Direction],MATCH($D611,Tbl_KPIConfig[KPI Name],0))="Lower is Better",IF($H611=0,1,IF($G611=0,0,$G611/$H611)),IF($G611=0,1,$H611/$G611)),0)</f>
        <v/>
      </c>
      <c r="J611" s="8">
        <f>IFERROR(IF($I611&gt;=1,"Green",IF($I611&gt;=INDEX(Tbl_KPIConfig[RAG Threshold %],MATCH($D611,Tbl_KPIConfig[KPI Name],0)),"Amber","Red")),"")</f>
        <v/>
      </c>
      <c r="K611" s="10" t="inlineStr">
        <is>
          <t>Vendor delay</t>
        </is>
      </c>
    </row>
    <row r="612">
      <c r="A612" s="11" t="n">
        <v>46216</v>
      </c>
      <c r="B612" s="12">
        <f>IF($A612="","",TEXT($A612,"mmm-yyyy"))</f>
        <v/>
      </c>
      <c r="C612" s="12">
        <f>IF($A612="","","W"&amp;WEEKNUM($A612,2))</f>
        <v/>
      </c>
      <c r="D612" s="12" t="inlineStr">
        <is>
          <t>On-Time Dispatch %</t>
        </is>
      </c>
      <c r="E612" s="12">
        <f>IFERROR(INDEX(Tbl_KPIConfig[Department],MATCH($D612,Tbl_KPIConfig[KPI Name],0)),"")</f>
        <v/>
      </c>
      <c r="F612" s="12">
        <f>IFERROR(INDEX(Tbl_KPIConfig[Unit],MATCH($D612,Tbl_KPIConfig[KPI Name],0)),"")</f>
        <v/>
      </c>
      <c r="G612" s="12">
        <f>IFERROR(INDEX(Tbl_KPIConfig[Target],MATCH($D612,Tbl_KPIConfig[KPI Name],0)),"")</f>
        <v/>
      </c>
      <c r="H612" s="12" t="n">
        <v>0.9608</v>
      </c>
      <c r="I612" s="13">
        <f>IFERROR(IF(INDEX(Tbl_KPIConfig[Direction],MATCH($D612,Tbl_KPIConfig[KPI Name],0))="Lower is Better",IF($H612=0,1,IF($G612=0,0,$G612/$H612)),IF($G612=0,1,$H612/$G612)),0)</f>
        <v/>
      </c>
      <c r="J612" s="12">
        <f>IFERROR(IF($I612&gt;=1,"Green",IF($I612&gt;=INDEX(Tbl_KPIConfig[RAG Threshold %],MATCH($D612,Tbl_KPIConfig[KPI Name],0)),"Amber","Red")),"")</f>
        <v/>
      </c>
      <c r="K612" s="14" t="inlineStr"/>
    </row>
    <row r="613">
      <c r="A613" s="7" t="n">
        <v>46216</v>
      </c>
      <c r="B613" s="8">
        <f>IF($A613="","",TEXT($A613,"mmm-yyyy"))</f>
        <v/>
      </c>
      <c r="C613" s="8">
        <f>IF($A613="","","W"&amp;WEEKNUM($A613,2))</f>
        <v/>
      </c>
      <c r="D613" s="8" t="inlineStr">
        <is>
          <t>Inventory Accuracy %</t>
        </is>
      </c>
      <c r="E613" s="8">
        <f>IFERROR(INDEX(Tbl_KPIConfig[Department],MATCH($D613,Tbl_KPIConfig[KPI Name],0)),"")</f>
        <v/>
      </c>
      <c r="F613" s="8">
        <f>IFERROR(INDEX(Tbl_KPIConfig[Unit],MATCH($D613,Tbl_KPIConfig[KPI Name],0)),"")</f>
        <v/>
      </c>
      <c r="G613" s="8">
        <f>IFERROR(INDEX(Tbl_KPIConfig[Target],MATCH($D613,Tbl_KPIConfig[KPI Name],0)),"")</f>
        <v/>
      </c>
      <c r="H613" s="8" t="n">
        <v>0.956</v>
      </c>
      <c r="I613" s="9">
        <f>IFERROR(IF(INDEX(Tbl_KPIConfig[Direction],MATCH($D613,Tbl_KPIConfig[KPI Name],0))="Lower is Better",IF($H613=0,1,IF($G613=0,0,$G613/$H613)),IF($G613=0,1,$H613/$G613)),0)</f>
        <v/>
      </c>
      <c r="J613" s="8">
        <f>IFERROR(IF($I613&gt;=1,"Green",IF($I613&gt;=INDEX(Tbl_KPIConfig[RAG Threshold %],MATCH($D613,Tbl_KPIConfig[KPI Name],0)),"Amber","Red")),"")</f>
        <v/>
      </c>
      <c r="K613" s="10" t="inlineStr">
        <is>
          <t>Process improvement in progress</t>
        </is>
      </c>
    </row>
    <row r="614">
      <c r="A614" s="11" t="n">
        <v>46216</v>
      </c>
      <c r="B614" s="12">
        <f>IF($A614="","",TEXT($A614,"mmm-yyyy"))</f>
        <v/>
      </c>
      <c r="C614" s="12">
        <f>IF($A614="","","W"&amp;WEEKNUM($A614,2))</f>
        <v/>
      </c>
      <c r="D614" s="12" t="inlineStr">
        <is>
          <t>Absenteeism %</t>
        </is>
      </c>
      <c r="E614" s="12">
        <f>IFERROR(INDEX(Tbl_KPIConfig[Department],MATCH($D614,Tbl_KPIConfig[KPI Name],0)),"")</f>
        <v/>
      </c>
      <c r="F614" s="12">
        <f>IFERROR(INDEX(Tbl_KPIConfig[Unit],MATCH($D614,Tbl_KPIConfig[KPI Name],0)),"")</f>
        <v/>
      </c>
      <c r="G614" s="12">
        <f>IFERROR(INDEX(Tbl_KPIConfig[Target],MATCH($D614,Tbl_KPIConfig[KPI Name],0)),"")</f>
        <v/>
      </c>
      <c r="H614" s="12" t="n">
        <v>0.0266</v>
      </c>
      <c r="I614" s="13">
        <f>IFERROR(IF(INDEX(Tbl_KPIConfig[Direction],MATCH($D614,Tbl_KPIConfig[KPI Name],0))="Lower is Better",IF($H614=0,1,IF($G614=0,0,$G614/$H614)),IF($G614=0,1,$H614/$G614)),0)</f>
        <v/>
      </c>
      <c r="J614" s="12">
        <f>IFERROR(IF($I614&gt;=1,"Green",IF($I614&gt;=INDEX(Tbl_KPIConfig[RAG Threshold %],MATCH($D614,Tbl_KPIConfig[KPI Name],0)),"Amber","Red")),"")</f>
        <v/>
      </c>
      <c r="K614" s="14" t="inlineStr">
        <is>
          <t>Vendor delay</t>
        </is>
      </c>
    </row>
    <row r="615">
      <c r="A615" s="7" t="n">
        <v>46216</v>
      </c>
      <c r="B615" s="8">
        <f>IF($A615="","",TEXT($A615,"mmm-yyyy"))</f>
        <v/>
      </c>
      <c r="C615" s="8">
        <f>IF($A615="","","W"&amp;WEEKNUM($A615,2))</f>
        <v/>
      </c>
      <c r="D615" s="8" t="inlineStr">
        <is>
          <t>Training Hours</t>
        </is>
      </c>
      <c r="E615" s="8">
        <f>IFERROR(INDEX(Tbl_KPIConfig[Department],MATCH($D615,Tbl_KPIConfig[KPI Name],0)),"")</f>
        <v/>
      </c>
      <c r="F615" s="8">
        <f>IFERROR(INDEX(Tbl_KPIConfig[Unit],MATCH($D615,Tbl_KPIConfig[KPI Name],0)),"")</f>
        <v/>
      </c>
      <c r="G615" s="8">
        <f>IFERROR(INDEX(Tbl_KPIConfig[Target],MATCH($D615,Tbl_KPIConfig[KPI Name],0)),"")</f>
        <v/>
      </c>
      <c r="H615" s="8" t="n">
        <v>1.53</v>
      </c>
      <c r="I615" s="9">
        <f>IFERROR(IF(INDEX(Tbl_KPIConfig[Direction],MATCH($D615,Tbl_KPIConfig[KPI Name],0))="Lower is Better",IF($H615=0,1,IF($G615=0,0,$G615/$H615)),IF($G615=0,1,$H615/$G615)),0)</f>
        <v/>
      </c>
      <c r="J615" s="8">
        <f>IFERROR(IF($I615&gt;=1,"Green",IF($I615&gt;=INDEX(Tbl_KPIConfig[RAG Threshold %],MATCH($D615,Tbl_KPIConfig[KPI Name],0)),"Amber","Red")),"")</f>
        <v/>
      </c>
      <c r="K615" s="10" t="inlineStr">
        <is>
          <t>Within normal range</t>
        </is>
      </c>
    </row>
    <row r="616">
      <c r="A616" s="11" t="n">
        <v>46216</v>
      </c>
      <c r="B616" s="12">
        <f>IF($A616="","",TEXT($A616,"mmm-yyyy"))</f>
        <v/>
      </c>
      <c r="C616" s="12">
        <f>IF($A616="","","W"&amp;WEEKNUM($A616,2))</f>
        <v/>
      </c>
      <c r="D616" s="12" t="inlineStr">
        <is>
          <t>Milestone Adherence %</t>
        </is>
      </c>
      <c r="E616" s="12">
        <f>IFERROR(INDEX(Tbl_KPIConfig[Department],MATCH($D616,Tbl_KPIConfig[KPI Name],0)),"")</f>
        <v/>
      </c>
      <c r="F616" s="12">
        <f>IFERROR(INDEX(Tbl_KPIConfig[Unit],MATCH($D616,Tbl_KPIConfig[KPI Name],0)),"")</f>
        <v/>
      </c>
      <c r="G616" s="12">
        <f>IFERROR(INDEX(Tbl_KPIConfig[Target],MATCH($D616,Tbl_KPIConfig[KPI Name],0)),"")</f>
        <v/>
      </c>
      <c r="H616" s="12" t="n">
        <v>0.895</v>
      </c>
      <c r="I616" s="13">
        <f>IFERROR(IF(INDEX(Tbl_KPIConfig[Direction],MATCH($D616,Tbl_KPIConfig[KPI Name],0))="Lower is Better",IF($H616=0,1,IF($G616=0,0,$G616/$H616)),IF($G616=0,1,$H616/$G616)),0)</f>
        <v/>
      </c>
      <c r="J616" s="12">
        <f>IFERROR(IF($I616&gt;=1,"Green",IF($I616&gt;=INDEX(Tbl_KPIConfig[RAG Threshold %],MATCH($D616,Tbl_KPIConfig[KPI Name],0)),"Amber","Red")),"")</f>
        <v/>
      </c>
      <c r="K616" s="14" t="inlineStr">
        <is>
          <t>Process improvement in progress</t>
        </is>
      </c>
    </row>
    <row r="617">
      <c r="A617" s="7" t="n">
        <v>46216</v>
      </c>
      <c r="B617" s="8">
        <f>IF($A617="","",TEXT($A617,"mmm-yyyy"))</f>
        <v/>
      </c>
      <c r="C617" s="8">
        <f>IF($A617="","","W"&amp;WEEKNUM($A617,2))</f>
        <v/>
      </c>
      <c r="D617" s="8" t="inlineStr">
        <is>
          <t>Breakdown Resolution (Hrs)</t>
        </is>
      </c>
      <c r="E617" s="8">
        <f>IFERROR(INDEX(Tbl_KPIConfig[Department],MATCH($D617,Tbl_KPIConfig[KPI Name],0)),"")</f>
        <v/>
      </c>
      <c r="F617" s="8">
        <f>IFERROR(INDEX(Tbl_KPIConfig[Unit],MATCH($D617,Tbl_KPIConfig[KPI Name],0)),"")</f>
        <v/>
      </c>
      <c r="G617" s="8">
        <f>IFERROR(INDEX(Tbl_KPIConfig[Target],MATCH($D617,Tbl_KPIConfig[KPI Name],0)),"")</f>
        <v/>
      </c>
      <c r="H617" s="8" t="n">
        <v>2.55</v>
      </c>
      <c r="I617" s="9">
        <f>IFERROR(IF(INDEX(Tbl_KPIConfig[Direction],MATCH($D617,Tbl_KPIConfig[KPI Name],0))="Lower is Better",IF($H617=0,1,IF($G617=0,0,$G617/$H617)),IF($G617=0,1,$H617/$G617)),0)</f>
        <v/>
      </c>
      <c r="J617" s="8">
        <f>IFERROR(IF($I617&gt;=1,"Green",IF($I617&gt;=INDEX(Tbl_KPIConfig[RAG Threshold %],MATCH($D617,Tbl_KPIConfig[KPI Name],0)),"Amber","Red")),"")</f>
        <v/>
      </c>
      <c r="K617" s="10" t="inlineStr">
        <is>
          <t>Process improvement in progress</t>
        </is>
      </c>
    </row>
    <row r="618">
      <c r="A618" s="11" t="n">
        <v>46217</v>
      </c>
      <c r="B618" s="12">
        <f>IF($A618="","",TEXT($A618,"mmm-yyyy"))</f>
        <v/>
      </c>
      <c r="C618" s="12">
        <f>IF($A618="","","W"&amp;WEEKNUM($A618,2))</f>
        <v/>
      </c>
      <c r="D618" s="12" t="inlineStr">
        <is>
          <t>Safety Incidents (LTI)</t>
        </is>
      </c>
      <c r="E618" s="12">
        <f>IFERROR(INDEX(Tbl_KPIConfig[Department],MATCH($D618,Tbl_KPIConfig[KPI Name],0)),"")</f>
        <v/>
      </c>
      <c r="F618" s="12">
        <f>IFERROR(INDEX(Tbl_KPIConfig[Unit],MATCH($D618,Tbl_KPIConfig[KPI Name],0)),"")</f>
        <v/>
      </c>
      <c r="G618" s="12">
        <f>IFERROR(INDEX(Tbl_KPIConfig[Target],MATCH($D618,Tbl_KPIConfig[KPI Name],0)),"")</f>
        <v/>
      </c>
      <c r="H618" s="12" t="n">
        <v>1</v>
      </c>
      <c r="I618" s="13">
        <f>IFERROR(IF(INDEX(Tbl_KPIConfig[Direction],MATCH($D618,Tbl_KPIConfig[KPI Name],0))="Lower is Better",IF($H618=0,1,IF($G618=0,0,$G618/$H618)),IF($G618=0,1,$H618/$G618)),0)</f>
        <v/>
      </c>
      <c r="J618" s="12">
        <f>IFERROR(IF($I618&gt;=1,"Green",IF($I618&gt;=INDEX(Tbl_KPIConfig[RAG Threshold %],MATCH($D618,Tbl_KPIConfig[KPI Name],0)),"Amber","Red")),"")</f>
        <v/>
      </c>
      <c r="K618" s="14" t="inlineStr">
        <is>
          <t>Within normal range</t>
        </is>
      </c>
    </row>
    <row r="619">
      <c r="A619" s="7" t="n">
        <v>46217</v>
      </c>
      <c r="B619" s="8">
        <f>IF($A619="","",TEXT($A619,"mmm-yyyy"))</f>
        <v/>
      </c>
      <c r="C619" s="8">
        <f>IF($A619="","","W"&amp;WEEKNUM($A619,2))</f>
        <v/>
      </c>
      <c r="D619" s="8" t="inlineStr">
        <is>
          <t>Near Miss Reports</t>
        </is>
      </c>
      <c r="E619" s="8">
        <f>IFERROR(INDEX(Tbl_KPIConfig[Department],MATCH($D619,Tbl_KPIConfig[KPI Name],0)),"")</f>
        <v/>
      </c>
      <c r="F619" s="8">
        <f>IFERROR(INDEX(Tbl_KPIConfig[Unit],MATCH($D619,Tbl_KPIConfig[KPI Name],0)),"")</f>
        <v/>
      </c>
      <c r="G619" s="8">
        <f>IFERROR(INDEX(Tbl_KPIConfig[Target],MATCH($D619,Tbl_KPIConfig[KPI Name],0)),"")</f>
        <v/>
      </c>
      <c r="H619" s="8" t="n">
        <v>2</v>
      </c>
      <c r="I619" s="9">
        <f>IFERROR(IF(INDEX(Tbl_KPIConfig[Direction],MATCH($D619,Tbl_KPIConfig[KPI Name],0))="Lower is Better",IF($H619=0,1,IF($G619=0,0,$G619/$H619)),IF($G619=0,1,$H619/$G619)),0)</f>
        <v/>
      </c>
      <c r="J619" s="8">
        <f>IFERROR(IF($I619&gt;=1,"Green",IF($I619&gt;=INDEX(Tbl_KPIConfig[RAG Threshold %],MATCH($D619,Tbl_KPIConfig[KPI Name],0)),"Amber","Red")),"")</f>
        <v/>
      </c>
      <c r="K619" s="10" t="inlineStr">
        <is>
          <t>Process improvement in progress</t>
        </is>
      </c>
    </row>
    <row r="620">
      <c r="A620" s="11" t="n">
        <v>46217</v>
      </c>
      <c r="B620" s="12">
        <f>IF($A620="","",TEXT($A620,"mmm-yyyy"))</f>
        <v/>
      </c>
      <c r="C620" s="12">
        <f>IF($A620="","","W"&amp;WEEKNUM($A620,2))</f>
        <v/>
      </c>
      <c r="D620" s="12" t="inlineStr">
        <is>
          <t>Production Output</t>
        </is>
      </c>
      <c r="E620" s="12">
        <f>IFERROR(INDEX(Tbl_KPIConfig[Department],MATCH($D620,Tbl_KPIConfig[KPI Name],0)),"")</f>
        <v/>
      </c>
      <c r="F620" s="12">
        <f>IFERROR(INDEX(Tbl_KPIConfig[Unit],MATCH($D620,Tbl_KPIConfig[KPI Name],0)),"")</f>
        <v/>
      </c>
      <c r="G620" s="12">
        <f>IFERROR(INDEX(Tbl_KPIConfig[Target],MATCH($D620,Tbl_KPIConfig[KPI Name],0)),"")</f>
        <v/>
      </c>
      <c r="H620" s="12" t="n">
        <v>856.91</v>
      </c>
      <c r="I620" s="13">
        <f>IFERROR(IF(INDEX(Tbl_KPIConfig[Direction],MATCH($D620,Tbl_KPIConfig[KPI Name],0))="Lower is Better",IF($H620=0,1,IF($G620=0,0,$G620/$H620)),IF($G620=0,1,$H620/$G620)),0)</f>
        <v/>
      </c>
      <c r="J620" s="12">
        <f>IFERROR(IF($I620&gt;=1,"Green",IF($I620&gt;=INDEX(Tbl_KPIConfig[RAG Threshold %],MATCH($D620,Tbl_KPIConfig[KPI Name],0)),"Amber","Red")),"")</f>
        <v/>
      </c>
      <c r="K620" s="14" t="inlineStr">
        <is>
          <t>Within normal range</t>
        </is>
      </c>
    </row>
    <row r="621">
      <c r="A621" s="7" t="n">
        <v>46217</v>
      </c>
      <c r="B621" s="8">
        <f>IF($A621="","",TEXT($A621,"mmm-yyyy"))</f>
        <v/>
      </c>
      <c r="C621" s="8">
        <f>IF($A621="","","W"&amp;WEEKNUM($A621,2))</f>
        <v/>
      </c>
      <c r="D621" s="8" t="inlineStr">
        <is>
          <t>OEE %</t>
        </is>
      </c>
      <c r="E621" s="8">
        <f>IFERROR(INDEX(Tbl_KPIConfig[Department],MATCH($D621,Tbl_KPIConfig[KPI Name],0)),"")</f>
        <v/>
      </c>
      <c r="F621" s="8">
        <f>IFERROR(INDEX(Tbl_KPIConfig[Unit],MATCH($D621,Tbl_KPIConfig[KPI Name],0)),"")</f>
        <v/>
      </c>
      <c r="G621" s="8">
        <f>IFERROR(INDEX(Tbl_KPIConfig[Target],MATCH($D621,Tbl_KPIConfig[KPI Name],0)),"")</f>
        <v/>
      </c>
      <c r="H621" s="8" t="n">
        <v>1.0089</v>
      </c>
      <c r="I621" s="9">
        <f>IFERROR(IF(INDEX(Tbl_KPIConfig[Direction],MATCH($D621,Tbl_KPIConfig[KPI Name],0))="Lower is Better",IF($H621=0,1,IF($G621=0,0,$G621/$H621)),IF($G621=0,1,$H621/$G621)),0)</f>
        <v/>
      </c>
      <c r="J621" s="8">
        <f>IFERROR(IF($I621&gt;=1,"Green",IF($I621&gt;=INDEX(Tbl_KPIConfig[RAG Threshold %],MATCH($D621,Tbl_KPIConfig[KPI Name],0)),"Amber","Red")),"")</f>
        <v/>
      </c>
      <c r="K621" s="10" t="inlineStr">
        <is>
          <t>Awaiting spares</t>
        </is>
      </c>
    </row>
    <row r="622">
      <c r="A622" s="11" t="n">
        <v>46217</v>
      </c>
      <c r="B622" s="12">
        <f>IF($A622="","",TEXT($A622,"mmm-yyyy"))</f>
        <v/>
      </c>
      <c r="C622" s="12">
        <f>IF($A622="","","W"&amp;WEEKNUM($A622,2))</f>
        <v/>
      </c>
      <c r="D622" s="12" t="inlineStr">
        <is>
          <t>Defect Rate %</t>
        </is>
      </c>
      <c r="E622" s="12">
        <f>IFERROR(INDEX(Tbl_KPIConfig[Department],MATCH($D622,Tbl_KPIConfig[KPI Name],0)),"")</f>
        <v/>
      </c>
      <c r="F622" s="12">
        <f>IFERROR(INDEX(Tbl_KPIConfig[Unit],MATCH($D622,Tbl_KPIConfig[KPI Name],0)),"")</f>
        <v/>
      </c>
      <c r="G622" s="12">
        <f>IFERROR(INDEX(Tbl_KPIConfig[Target],MATCH($D622,Tbl_KPIConfig[KPI Name],0)),"")</f>
        <v/>
      </c>
      <c r="H622" s="12" t="n">
        <v>0.0224</v>
      </c>
      <c r="I622" s="13">
        <f>IFERROR(IF(INDEX(Tbl_KPIConfig[Direction],MATCH($D622,Tbl_KPIConfig[KPI Name],0))="Lower is Better",IF($H622=0,1,IF($G622=0,0,$G622/$H622)),IF($G622=0,1,$H622/$G622)),0)</f>
        <v/>
      </c>
      <c r="J622" s="12">
        <f>IFERROR(IF($I622&gt;=1,"Green",IF($I622&gt;=INDEX(Tbl_KPIConfig[RAG Threshold %],MATCH($D622,Tbl_KPIConfig[KPI Name],0)),"Amber","Red")),"")</f>
        <v/>
      </c>
      <c r="K622" s="14" t="inlineStr">
        <is>
          <t>Awaiting spares</t>
        </is>
      </c>
    </row>
    <row r="623">
      <c r="A623" s="7" t="n">
        <v>46217</v>
      </c>
      <c r="B623" s="8">
        <f>IF($A623="","",TEXT($A623,"mmm-yyyy"))</f>
        <v/>
      </c>
      <c r="C623" s="8">
        <f>IF($A623="","","W"&amp;WEEKNUM($A623,2))</f>
        <v/>
      </c>
      <c r="D623" s="8" t="inlineStr">
        <is>
          <t>Customer Complaints</t>
        </is>
      </c>
      <c r="E623" s="8">
        <f>IFERROR(INDEX(Tbl_KPIConfig[Department],MATCH($D623,Tbl_KPIConfig[KPI Name],0)),"")</f>
        <v/>
      </c>
      <c r="F623" s="8">
        <f>IFERROR(INDEX(Tbl_KPIConfig[Unit],MATCH($D623,Tbl_KPIConfig[KPI Name],0)),"")</f>
        <v/>
      </c>
      <c r="G623" s="8">
        <f>IFERROR(INDEX(Tbl_KPIConfig[Target],MATCH($D623,Tbl_KPIConfig[KPI Name],0)),"")</f>
        <v/>
      </c>
      <c r="H623" s="8" t="n">
        <v>1</v>
      </c>
      <c r="I623" s="9">
        <f>IFERROR(IF(INDEX(Tbl_KPIConfig[Direction],MATCH($D623,Tbl_KPIConfig[KPI Name],0))="Lower is Better",IF($H623=0,1,IF($G623=0,0,$G623/$H623)),IF($G623=0,1,$H623/$G623)),0)</f>
        <v/>
      </c>
      <c r="J623" s="8">
        <f>IFERROR(IF($I623&gt;=1,"Green",IF($I623&gt;=INDEX(Tbl_KPIConfig[RAG Threshold %],MATCH($D623,Tbl_KPIConfig[KPI Name],0)),"Amber","Red")),"")</f>
        <v/>
      </c>
      <c r="K623" s="10" t="inlineStr">
        <is>
          <t>Process improvement in progress</t>
        </is>
      </c>
    </row>
    <row r="624">
      <c r="A624" s="11" t="n">
        <v>46217</v>
      </c>
      <c r="B624" s="12">
        <f>IF($A624="","",TEXT($A624,"mmm-yyyy"))</f>
        <v/>
      </c>
      <c r="C624" s="12">
        <f>IF($A624="","","W"&amp;WEEKNUM($A624,2))</f>
        <v/>
      </c>
      <c r="D624" s="12" t="inlineStr">
        <is>
          <t>Unplanned Downtime (Hrs)</t>
        </is>
      </c>
      <c r="E624" s="12">
        <f>IFERROR(INDEX(Tbl_KPIConfig[Department],MATCH($D624,Tbl_KPIConfig[KPI Name],0)),"")</f>
        <v/>
      </c>
      <c r="F624" s="12">
        <f>IFERROR(INDEX(Tbl_KPIConfig[Unit],MATCH($D624,Tbl_KPIConfig[KPI Name],0)),"")</f>
        <v/>
      </c>
      <c r="G624" s="12">
        <f>IFERROR(INDEX(Tbl_KPIConfig[Target],MATCH($D624,Tbl_KPIConfig[KPI Name],0)),"")</f>
        <v/>
      </c>
      <c r="H624" s="12" t="n">
        <v>1.19</v>
      </c>
      <c r="I624" s="13">
        <f>IFERROR(IF(INDEX(Tbl_KPIConfig[Direction],MATCH($D624,Tbl_KPIConfig[KPI Name],0))="Lower is Better",IF($H624=0,1,IF($G624=0,0,$G624/$H624)),IF($G624=0,1,$H624/$G624)),0)</f>
        <v/>
      </c>
      <c r="J624" s="12">
        <f>IFERROR(IF($I624&gt;=1,"Green",IF($I624&gt;=INDEX(Tbl_KPIConfig[RAG Threshold %],MATCH($D624,Tbl_KPIConfig[KPI Name],0)),"Amber","Red")),"")</f>
        <v/>
      </c>
      <c r="K624" s="14" t="inlineStr">
        <is>
          <t>Manpower shortage</t>
        </is>
      </c>
    </row>
    <row r="625">
      <c r="A625" s="7" t="n">
        <v>46217</v>
      </c>
      <c r="B625" s="8">
        <f>IF($A625="","",TEXT($A625,"mmm-yyyy"))</f>
        <v/>
      </c>
      <c r="C625" s="8">
        <f>IF($A625="","","W"&amp;WEEKNUM($A625,2))</f>
        <v/>
      </c>
      <c r="D625" s="8" t="inlineStr">
        <is>
          <t>PM Compliance %</t>
        </is>
      </c>
      <c r="E625" s="8">
        <f>IFERROR(INDEX(Tbl_KPIConfig[Department],MATCH($D625,Tbl_KPIConfig[KPI Name],0)),"")</f>
        <v/>
      </c>
      <c r="F625" s="8">
        <f>IFERROR(INDEX(Tbl_KPIConfig[Unit],MATCH($D625,Tbl_KPIConfig[KPI Name],0)),"")</f>
        <v/>
      </c>
      <c r="G625" s="8">
        <f>IFERROR(INDEX(Tbl_KPIConfig[Target],MATCH($D625,Tbl_KPIConfig[KPI Name],0)),"")</f>
        <v/>
      </c>
      <c r="H625" s="8" t="n">
        <v>0.8176</v>
      </c>
      <c r="I625" s="9">
        <f>IFERROR(IF(INDEX(Tbl_KPIConfig[Direction],MATCH($D625,Tbl_KPIConfig[KPI Name],0))="Lower is Better",IF($H625=0,1,IF($G625=0,0,$G625/$H625)),IF($G625=0,1,$H625/$G625)),0)</f>
        <v/>
      </c>
      <c r="J625" s="8">
        <f>IFERROR(IF($I625&gt;=1,"Green",IF($I625&gt;=INDEX(Tbl_KPIConfig[RAG Threshold %],MATCH($D625,Tbl_KPIConfig[KPI Name],0)),"Amber","Red")),"")</f>
        <v/>
      </c>
      <c r="K625" s="10" t="inlineStr">
        <is>
          <t>Awaiting spares</t>
        </is>
      </c>
    </row>
    <row r="626">
      <c r="A626" s="11" t="n">
        <v>46217</v>
      </c>
      <c r="B626" s="12">
        <f>IF($A626="","",TEXT($A626,"mmm-yyyy"))</f>
        <v/>
      </c>
      <c r="C626" s="12">
        <f>IF($A626="","","W"&amp;WEEKNUM($A626,2))</f>
        <v/>
      </c>
      <c r="D626" s="12" t="inlineStr">
        <is>
          <t>Power Consumption (kWh)</t>
        </is>
      </c>
      <c r="E626" s="12">
        <f>IFERROR(INDEX(Tbl_KPIConfig[Department],MATCH($D626,Tbl_KPIConfig[KPI Name],0)),"")</f>
        <v/>
      </c>
      <c r="F626" s="12">
        <f>IFERROR(INDEX(Tbl_KPIConfig[Unit],MATCH($D626,Tbl_KPIConfig[KPI Name],0)),"")</f>
        <v/>
      </c>
      <c r="G626" s="12">
        <f>IFERROR(INDEX(Tbl_KPIConfig[Target],MATCH($D626,Tbl_KPIConfig[KPI Name],0)),"")</f>
        <v/>
      </c>
      <c r="H626" s="12" t="n">
        <v>4536.19</v>
      </c>
      <c r="I626" s="13">
        <f>IFERROR(IF(INDEX(Tbl_KPIConfig[Direction],MATCH($D626,Tbl_KPIConfig[KPI Name],0))="Lower is Better",IF($H626=0,1,IF($G626=0,0,$G626/$H626)),IF($G626=0,1,$H626/$G626)),0)</f>
        <v/>
      </c>
      <c r="J626" s="12">
        <f>IFERROR(IF($I626&gt;=1,"Green",IF($I626&gt;=INDEX(Tbl_KPIConfig[RAG Threshold %],MATCH($D626,Tbl_KPIConfig[KPI Name],0)),"Amber","Red")),"")</f>
        <v/>
      </c>
      <c r="K626" s="14" t="inlineStr">
        <is>
          <t>Process improvement in progress</t>
        </is>
      </c>
    </row>
    <row r="627">
      <c r="A627" s="7" t="n">
        <v>46217</v>
      </c>
      <c r="B627" s="8">
        <f>IF($A627="","",TEXT($A627,"mmm-yyyy"))</f>
        <v/>
      </c>
      <c r="C627" s="8">
        <f>IF($A627="","","W"&amp;WEEKNUM($A627,2))</f>
        <v/>
      </c>
      <c r="D627" s="8" t="inlineStr">
        <is>
          <t>On-Time Dispatch %</t>
        </is>
      </c>
      <c r="E627" s="8">
        <f>IFERROR(INDEX(Tbl_KPIConfig[Department],MATCH($D627,Tbl_KPIConfig[KPI Name],0)),"")</f>
        <v/>
      </c>
      <c r="F627" s="8">
        <f>IFERROR(INDEX(Tbl_KPIConfig[Unit],MATCH($D627,Tbl_KPIConfig[KPI Name],0)),"")</f>
        <v/>
      </c>
      <c r="G627" s="8">
        <f>IFERROR(INDEX(Tbl_KPIConfig[Target],MATCH($D627,Tbl_KPIConfig[KPI Name],0)),"")</f>
        <v/>
      </c>
      <c r="H627" s="8" t="n">
        <v>0.8448</v>
      </c>
      <c r="I627" s="9">
        <f>IFERROR(IF(INDEX(Tbl_KPIConfig[Direction],MATCH($D627,Tbl_KPIConfig[KPI Name],0))="Lower is Better",IF($H627=0,1,IF($G627=0,0,$G627/$H627)),IF($G627=0,1,$H627/$G627)),0)</f>
        <v/>
      </c>
      <c r="J627" s="8">
        <f>IFERROR(IF($I627&gt;=1,"Green",IF($I627&gt;=INDEX(Tbl_KPIConfig[RAG Threshold %],MATCH($D627,Tbl_KPIConfig[KPI Name],0)),"Amber","Red")),"")</f>
        <v/>
      </c>
      <c r="K627" s="10" t="inlineStr">
        <is>
          <t>Awaiting spares</t>
        </is>
      </c>
    </row>
    <row r="628">
      <c r="A628" s="11" t="n">
        <v>46217</v>
      </c>
      <c r="B628" s="12">
        <f>IF($A628="","",TEXT($A628,"mmm-yyyy"))</f>
        <v/>
      </c>
      <c r="C628" s="12">
        <f>IF($A628="","","W"&amp;WEEKNUM($A628,2))</f>
        <v/>
      </c>
      <c r="D628" s="12" t="inlineStr">
        <is>
          <t>Inventory Accuracy %</t>
        </is>
      </c>
      <c r="E628" s="12">
        <f>IFERROR(INDEX(Tbl_KPIConfig[Department],MATCH($D628,Tbl_KPIConfig[KPI Name],0)),"")</f>
        <v/>
      </c>
      <c r="F628" s="12">
        <f>IFERROR(INDEX(Tbl_KPIConfig[Unit],MATCH($D628,Tbl_KPIConfig[KPI Name],0)),"")</f>
        <v/>
      </c>
      <c r="G628" s="12">
        <f>IFERROR(INDEX(Tbl_KPIConfig[Target],MATCH($D628,Tbl_KPIConfig[KPI Name],0)),"")</f>
        <v/>
      </c>
      <c r="H628" s="12" t="n">
        <v>0.9837</v>
      </c>
      <c r="I628" s="13">
        <f>IFERROR(IF(INDEX(Tbl_KPIConfig[Direction],MATCH($D628,Tbl_KPIConfig[KPI Name],0))="Lower is Better",IF($H628=0,1,IF($G628=0,0,$G628/$H628)),IF($G628=0,1,$H628/$G628)),0)</f>
        <v/>
      </c>
      <c r="J628" s="12">
        <f>IFERROR(IF($I628&gt;=1,"Green",IF($I628&gt;=INDEX(Tbl_KPIConfig[RAG Threshold %],MATCH($D628,Tbl_KPIConfig[KPI Name],0)),"Amber","Red")),"")</f>
        <v/>
      </c>
      <c r="K628" s="14" t="inlineStr">
        <is>
          <t>Process improvement in progress</t>
        </is>
      </c>
    </row>
    <row r="629">
      <c r="A629" s="7" t="n">
        <v>46217</v>
      </c>
      <c r="B629" s="8">
        <f>IF($A629="","",TEXT($A629,"mmm-yyyy"))</f>
        <v/>
      </c>
      <c r="C629" s="8">
        <f>IF($A629="","","W"&amp;WEEKNUM($A629,2))</f>
        <v/>
      </c>
      <c r="D629" s="8" t="inlineStr">
        <is>
          <t>Absenteeism %</t>
        </is>
      </c>
      <c r="E629" s="8">
        <f>IFERROR(INDEX(Tbl_KPIConfig[Department],MATCH($D629,Tbl_KPIConfig[KPI Name],0)),"")</f>
        <v/>
      </c>
      <c r="F629" s="8">
        <f>IFERROR(INDEX(Tbl_KPIConfig[Unit],MATCH($D629,Tbl_KPIConfig[KPI Name],0)),"")</f>
        <v/>
      </c>
      <c r="G629" s="8">
        <f>IFERROR(INDEX(Tbl_KPIConfig[Target],MATCH($D629,Tbl_KPIConfig[KPI Name],0)),"")</f>
        <v/>
      </c>
      <c r="H629" s="8" t="n">
        <v>0.0328</v>
      </c>
      <c r="I629" s="9">
        <f>IFERROR(IF(INDEX(Tbl_KPIConfig[Direction],MATCH($D629,Tbl_KPIConfig[KPI Name],0))="Lower is Better",IF($H629=0,1,IF($G629=0,0,$G629/$H629)),IF($G629=0,1,$H629/$G629)),0)</f>
        <v/>
      </c>
      <c r="J629" s="8">
        <f>IFERROR(IF($I629&gt;=1,"Green",IF($I629&gt;=INDEX(Tbl_KPIConfig[RAG Threshold %],MATCH($D629,Tbl_KPIConfig[KPI Name],0)),"Amber","Red")),"")</f>
        <v/>
      </c>
      <c r="K629" s="10" t="inlineStr">
        <is>
          <t>Within normal range</t>
        </is>
      </c>
    </row>
    <row r="630">
      <c r="A630" s="11" t="n">
        <v>46217</v>
      </c>
      <c r="B630" s="12">
        <f>IF($A630="","",TEXT($A630,"mmm-yyyy"))</f>
        <v/>
      </c>
      <c r="C630" s="12">
        <f>IF($A630="","","W"&amp;WEEKNUM($A630,2))</f>
        <v/>
      </c>
      <c r="D630" s="12" t="inlineStr">
        <is>
          <t>Training Hours</t>
        </is>
      </c>
      <c r="E630" s="12">
        <f>IFERROR(INDEX(Tbl_KPIConfig[Department],MATCH($D630,Tbl_KPIConfig[KPI Name],0)),"")</f>
        <v/>
      </c>
      <c r="F630" s="12">
        <f>IFERROR(INDEX(Tbl_KPIConfig[Unit],MATCH($D630,Tbl_KPIConfig[KPI Name],0)),"")</f>
        <v/>
      </c>
      <c r="G630" s="12">
        <f>IFERROR(INDEX(Tbl_KPIConfig[Target],MATCH($D630,Tbl_KPIConfig[KPI Name],0)),"")</f>
        <v/>
      </c>
      <c r="H630" s="12" t="n">
        <v>1.93</v>
      </c>
      <c r="I630" s="13">
        <f>IFERROR(IF(INDEX(Tbl_KPIConfig[Direction],MATCH($D630,Tbl_KPIConfig[KPI Name],0))="Lower is Better",IF($H630=0,1,IF($G630=0,0,$G630/$H630)),IF($G630=0,1,$H630/$G630)),0)</f>
        <v/>
      </c>
      <c r="J630" s="12">
        <f>IFERROR(IF($I630&gt;=1,"Green",IF($I630&gt;=INDEX(Tbl_KPIConfig[RAG Threshold %],MATCH($D630,Tbl_KPIConfig[KPI Name],0)),"Amber","Red")),"")</f>
        <v/>
      </c>
      <c r="K630" s="14" t="inlineStr">
        <is>
          <t>Awaiting spares</t>
        </is>
      </c>
    </row>
    <row r="631">
      <c r="A631" s="7" t="n">
        <v>46217</v>
      </c>
      <c r="B631" s="8">
        <f>IF($A631="","",TEXT($A631,"mmm-yyyy"))</f>
        <v/>
      </c>
      <c r="C631" s="8">
        <f>IF($A631="","","W"&amp;WEEKNUM($A631,2))</f>
        <v/>
      </c>
      <c r="D631" s="8" t="inlineStr">
        <is>
          <t>Milestone Adherence %</t>
        </is>
      </c>
      <c r="E631" s="8">
        <f>IFERROR(INDEX(Tbl_KPIConfig[Department],MATCH($D631,Tbl_KPIConfig[KPI Name],0)),"")</f>
        <v/>
      </c>
      <c r="F631" s="8">
        <f>IFERROR(INDEX(Tbl_KPIConfig[Unit],MATCH($D631,Tbl_KPIConfig[KPI Name],0)),"")</f>
        <v/>
      </c>
      <c r="G631" s="8">
        <f>IFERROR(INDEX(Tbl_KPIConfig[Target],MATCH($D631,Tbl_KPIConfig[KPI Name],0)),"")</f>
        <v/>
      </c>
      <c r="H631" s="8" t="n">
        <v>0.8479</v>
      </c>
      <c r="I631" s="9">
        <f>IFERROR(IF(INDEX(Tbl_KPIConfig[Direction],MATCH($D631,Tbl_KPIConfig[KPI Name],0))="Lower is Better",IF($H631=0,1,IF($G631=0,0,$G631/$H631)),IF($G631=0,1,$H631/$G631)),0)</f>
        <v/>
      </c>
      <c r="J631" s="8">
        <f>IFERROR(IF($I631&gt;=1,"Green",IF($I631&gt;=INDEX(Tbl_KPIConfig[RAG Threshold %],MATCH($D631,Tbl_KPIConfig[KPI Name],0)),"Amber","Red")),"")</f>
        <v/>
      </c>
      <c r="K631" s="10" t="inlineStr">
        <is>
          <t>Vendor delay</t>
        </is>
      </c>
    </row>
    <row r="632">
      <c r="A632" s="11" t="n">
        <v>46217</v>
      </c>
      <c r="B632" s="12">
        <f>IF($A632="","",TEXT($A632,"mmm-yyyy"))</f>
        <v/>
      </c>
      <c r="C632" s="12">
        <f>IF($A632="","","W"&amp;WEEKNUM($A632,2))</f>
        <v/>
      </c>
      <c r="D632" s="12" t="inlineStr">
        <is>
          <t>Breakdown Resolution (Hrs)</t>
        </is>
      </c>
      <c r="E632" s="12">
        <f>IFERROR(INDEX(Tbl_KPIConfig[Department],MATCH($D632,Tbl_KPIConfig[KPI Name],0)),"")</f>
        <v/>
      </c>
      <c r="F632" s="12">
        <f>IFERROR(INDEX(Tbl_KPIConfig[Unit],MATCH($D632,Tbl_KPIConfig[KPI Name],0)),"")</f>
        <v/>
      </c>
      <c r="G632" s="12">
        <f>IFERROR(INDEX(Tbl_KPIConfig[Target],MATCH($D632,Tbl_KPIConfig[KPI Name],0)),"")</f>
        <v/>
      </c>
      <c r="H632" s="12" t="n">
        <v>2</v>
      </c>
      <c r="I632" s="13">
        <f>IFERROR(IF(INDEX(Tbl_KPIConfig[Direction],MATCH($D632,Tbl_KPIConfig[KPI Name],0))="Lower is Better",IF($H632=0,1,IF($G632=0,0,$G632/$H632)),IF($G632=0,1,$H632/$G632)),0)</f>
        <v/>
      </c>
      <c r="J632" s="12">
        <f>IFERROR(IF($I632&gt;=1,"Green",IF($I632&gt;=INDEX(Tbl_KPIConfig[RAG Threshold %],MATCH($D632,Tbl_KPIConfig[KPI Name],0)),"Amber","Red")),"")</f>
        <v/>
      </c>
      <c r="K632" s="14" t="inlineStr">
        <is>
          <t>Awaiting spares</t>
        </is>
      </c>
    </row>
    <row r="633">
      <c r="A633" s="7" t="n">
        <v>46218</v>
      </c>
      <c r="B633" s="8">
        <f>IF($A633="","",TEXT($A633,"mmm-yyyy"))</f>
        <v/>
      </c>
      <c r="C633" s="8">
        <f>IF($A633="","","W"&amp;WEEKNUM($A633,2))</f>
        <v/>
      </c>
      <c r="D633" s="8" t="inlineStr">
        <is>
          <t>Safety Incidents (LTI)</t>
        </is>
      </c>
      <c r="E633" s="8">
        <f>IFERROR(INDEX(Tbl_KPIConfig[Department],MATCH($D633,Tbl_KPIConfig[KPI Name],0)),"")</f>
        <v/>
      </c>
      <c r="F633" s="8">
        <f>IFERROR(INDEX(Tbl_KPIConfig[Unit],MATCH($D633,Tbl_KPIConfig[KPI Name],0)),"")</f>
        <v/>
      </c>
      <c r="G633" s="8">
        <f>IFERROR(INDEX(Tbl_KPIConfig[Target],MATCH($D633,Tbl_KPIConfig[KPI Name],0)),"")</f>
        <v/>
      </c>
      <c r="H633" s="8" t="n">
        <v>1</v>
      </c>
      <c r="I633" s="9">
        <f>IFERROR(IF(INDEX(Tbl_KPIConfig[Direction],MATCH($D633,Tbl_KPIConfig[KPI Name],0))="Lower is Better",IF($H633=0,1,IF($G633=0,0,$G633/$H633)),IF($G633=0,1,$H633/$G633)),0)</f>
        <v/>
      </c>
      <c r="J633" s="8">
        <f>IFERROR(IF($I633&gt;=1,"Green",IF($I633&gt;=INDEX(Tbl_KPIConfig[RAG Threshold %],MATCH($D633,Tbl_KPIConfig[KPI Name],0)),"Amber","Red")),"")</f>
        <v/>
      </c>
      <c r="K633" s="10" t="inlineStr">
        <is>
          <t>Manpower shortage</t>
        </is>
      </c>
    </row>
    <row r="634">
      <c r="A634" s="11" t="n">
        <v>46218</v>
      </c>
      <c r="B634" s="12">
        <f>IF($A634="","",TEXT($A634,"mmm-yyyy"))</f>
        <v/>
      </c>
      <c r="C634" s="12">
        <f>IF($A634="","","W"&amp;WEEKNUM($A634,2))</f>
        <v/>
      </c>
      <c r="D634" s="12" t="inlineStr">
        <is>
          <t>Near Miss Reports</t>
        </is>
      </c>
      <c r="E634" s="12">
        <f>IFERROR(INDEX(Tbl_KPIConfig[Department],MATCH($D634,Tbl_KPIConfig[KPI Name],0)),"")</f>
        <v/>
      </c>
      <c r="F634" s="12">
        <f>IFERROR(INDEX(Tbl_KPIConfig[Unit],MATCH($D634,Tbl_KPIConfig[KPI Name],0)),"")</f>
        <v/>
      </c>
      <c r="G634" s="12">
        <f>IFERROR(INDEX(Tbl_KPIConfig[Target],MATCH($D634,Tbl_KPIConfig[KPI Name],0)),"")</f>
        <v/>
      </c>
      <c r="H634" s="12" t="n">
        <v>2</v>
      </c>
      <c r="I634" s="13">
        <f>IFERROR(IF(INDEX(Tbl_KPIConfig[Direction],MATCH($D634,Tbl_KPIConfig[KPI Name],0))="Lower is Better",IF($H634=0,1,IF($G634=0,0,$G634/$H634)),IF($G634=0,1,$H634/$G634)),0)</f>
        <v/>
      </c>
      <c r="J634" s="12">
        <f>IFERROR(IF($I634&gt;=1,"Green",IF($I634&gt;=INDEX(Tbl_KPIConfig[RAG Threshold %],MATCH($D634,Tbl_KPIConfig[KPI Name],0)),"Amber","Red")),"")</f>
        <v/>
      </c>
      <c r="K634" s="14" t="inlineStr">
        <is>
          <t>Process improvement in progress</t>
        </is>
      </c>
    </row>
    <row r="635">
      <c r="A635" s="7" t="n">
        <v>46218</v>
      </c>
      <c r="B635" s="8">
        <f>IF($A635="","",TEXT($A635,"mmm-yyyy"))</f>
        <v/>
      </c>
      <c r="C635" s="8">
        <f>IF($A635="","","W"&amp;WEEKNUM($A635,2))</f>
        <v/>
      </c>
      <c r="D635" s="8" t="inlineStr">
        <is>
          <t>Production Output</t>
        </is>
      </c>
      <c r="E635" s="8">
        <f>IFERROR(INDEX(Tbl_KPIConfig[Department],MATCH($D635,Tbl_KPIConfig[KPI Name],0)),"")</f>
        <v/>
      </c>
      <c r="F635" s="8">
        <f>IFERROR(INDEX(Tbl_KPIConfig[Unit],MATCH($D635,Tbl_KPIConfig[KPI Name],0)),"")</f>
        <v/>
      </c>
      <c r="G635" s="8">
        <f>IFERROR(INDEX(Tbl_KPIConfig[Target],MATCH($D635,Tbl_KPIConfig[KPI Name],0)),"")</f>
        <v/>
      </c>
      <c r="H635" s="8" t="n">
        <v>925.13</v>
      </c>
      <c r="I635" s="9">
        <f>IFERROR(IF(INDEX(Tbl_KPIConfig[Direction],MATCH($D635,Tbl_KPIConfig[KPI Name],0))="Lower is Better",IF($H635=0,1,IF($G635=0,0,$G635/$H635)),IF($G635=0,1,$H635/$G635)),0)</f>
        <v/>
      </c>
      <c r="J635" s="8">
        <f>IFERROR(IF($I635&gt;=1,"Green",IF($I635&gt;=INDEX(Tbl_KPIConfig[RAG Threshold %],MATCH($D635,Tbl_KPIConfig[KPI Name],0)),"Amber","Red")),"")</f>
        <v/>
      </c>
      <c r="K635" s="10" t="inlineStr">
        <is>
          <t>Within normal range</t>
        </is>
      </c>
    </row>
    <row r="636">
      <c r="A636" s="11" t="n">
        <v>46218</v>
      </c>
      <c r="B636" s="12">
        <f>IF($A636="","",TEXT($A636,"mmm-yyyy"))</f>
        <v/>
      </c>
      <c r="C636" s="12">
        <f>IF($A636="","","W"&amp;WEEKNUM($A636,2))</f>
        <v/>
      </c>
      <c r="D636" s="12" t="inlineStr">
        <is>
          <t>OEE %</t>
        </is>
      </c>
      <c r="E636" s="12">
        <f>IFERROR(INDEX(Tbl_KPIConfig[Department],MATCH($D636,Tbl_KPIConfig[KPI Name],0)),"")</f>
        <v/>
      </c>
      <c r="F636" s="12">
        <f>IFERROR(INDEX(Tbl_KPIConfig[Unit],MATCH($D636,Tbl_KPIConfig[KPI Name],0)),"")</f>
        <v/>
      </c>
      <c r="G636" s="12">
        <f>IFERROR(INDEX(Tbl_KPIConfig[Target],MATCH($D636,Tbl_KPIConfig[KPI Name],0)),"")</f>
        <v/>
      </c>
      <c r="H636" s="12" t="n">
        <v>0.9314</v>
      </c>
      <c r="I636" s="13">
        <f>IFERROR(IF(INDEX(Tbl_KPIConfig[Direction],MATCH($D636,Tbl_KPIConfig[KPI Name],0))="Lower is Better",IF($H636=0,1,IF($G636=0,0,$G636/$H636)),IF($G636=0,1,$H636/$G636)),0)</f>
        <v/>
      </c>
      <c r="J636" s="12">
        <f>IFERROR(IF($I636&gt;=1,"Green",IF($I636&gt;=INDEX(Tbl_KPIConfig[RAG Threshold %],MATCH($D636,Tbl_KPIConfig[KPI Name],0)),"Amber","Red")),"")</f>
        <v/>
      </c>
      <c r="K636" s="14" t="inlineStr">
        <is>
          <t>Awaiting spares</t>
        </is>
      </c>
    </row>
    <row r="637">
      <c r="A637" s="7" t="n">
        <v>46218</v>
      </c>
      <c r="B637" s="8">
        <f>IF($A637="","",TEXT($A637,"mmm-yyyy"))</f>
        <v/>
      </c>
      <c r="C637" s="8">
        <f>IF($A637="","","W"&amp;WEEKNUM($A637,2))</f>
        <v/>
      </c>
      <c r="D637" s="8" t="inlineStr">
        <is>
          <t>Defect Rate %</t>
        </is>
      </c>
      <c r="E637" s="8">
        <f>IFERROR(INDEX(Tbl_KPIConfig[Department],MATCH($D637,Tbl_KPIConfig[KPI Name],0)),"")</f>
        <v/>
      </c>
      <c r="F637" s="8">
        <f>IFERROR(INDEX(Tbl_KPIConfig[Unit],MATCH($D637,Tbl_KPIConfig[KPI Name],0)),"")</f>
        <v/>
      </c>
      <c r="G637" s="8">
        <f>IFERROR(INDEX(Tbl_KPIConfig[Target],MATCH($D637,Tbl_KPIConfig[KPI Name],0)),"")</f>
        <v/>
      </c>
      <c r="H637" s="8" t="n">
        <v>0.0243</v>
      </c>
      <c r="I637" s="9">
        <f>IFERROR(IF(INDEX(Tbl_KPIConfig[Direction],MATCH($D637,Tbl_KPIConfig[KPI Name],0))="Lower is Better",IF($H637=0,1,IF($G637=0,0,$G637/$H637)),IF($G637=0,1,$H637/$G637)),0)</f>
        <v/>
      </c>
      <c r="J637" s="8">
        <f>IFERROR(IF($I637&gt;=1,"Green",IF($I637&gt;=INDEX(Tbl_KPIConfig[RAG Threshold %],MATCH($D637,Tbl_KPIConfig[KPI Name],0)),"Amber","Red")),"")</f>
        <v/>
      </c>
      <c r="K637" s="10" t="inlineStr">
        <is>
          <t>Line changeover impact</t>
        </is>
      </c>
    </row>
    <row r="638">
      <c r="A638" s="11" t="n">
        <v>46218</v>
      </c>
      <c r="B638" s="12">
        <f>IF($A638="","",TEXT($A638,"mmm-yyyy"))</f>
        <v/>
      </c>
      <c r="C638" s="12">
        <f>IF($A638="","","W"&amp;WEEKNUM($A638,2))</f>
        <v/>
      </c>
      <c r="D638" s="12" t="inlineStr">
        <is>
          <t>Customer Complaints</t>
        </is>
      </c>
      <c r="E638" s="12">
        <f>IFERROR(INDEX(Tbl_KPIConfig[Department],MATCH($D638,Tbl_KPIConfig[KPI Name],0)),"")</f>
        <v/>
      </c>
      <c r="F638" s="12">
        <f>IFERROR(INDEX(Tbl_KPIConfig[Unit],MATCH($D638,Tbl_KPIConfig[KPI Name],0)),"")</f>
        <v/>
      </c>
      <c r="G638" s="12">
        <f>IFERROR(INDEX(Tbl_KPIConfig[Target],MATCH($D638,Tbl_KPIConfig[KPI Name],0)),"")</f>
        <v/>
      </c>
      <c r="H638" s="12" t="n">
        <v>3</v>
      </c>
      <c r="I638" s="13">
        <f>IFERROR(IF(INDEX(Tbl_KPIConfig[Direction],MATCH($D638,Tbl_KPIConfig[KPI Name],0))="Lower is Better",IF($H638=0,1,IF($G638=0,0,$G638/$H638)),IF($G638=0,1,$H638/$G638)),0)</f>
        <v/>
      </c>
      <c r="J638" s="12">
        <f>IFERROR(IF($I638&gt;=1,"Green",IF($I638&gt;=INDEX(Tbl_KPIConfig[RAG Threshold %],MATCH($D638,Tbl_KPIConfig[KPI Name],0)),"Amber","Red")),"")</f>
        <v/>
      </c>
      <c r="K638" s="14" t="inlineStr">
        <is>
          <t>Vendor delay</t>
        </is>
      </c>
    </row>
    <row r="639">
      <c r="A639" s="7" t="n">
        <v>46218</v>
      </c>
      <c r="B639" s="8">
        <f>IF($A639="","",TEXT($A639,"mmm-yyyy"))</f>
        <v/>
      </c>
      <c r="C639" s="8">
        <f>IF($A639="","","W"&amp;WEEKNUM($A639,2))</f>
        <v/>
      </c>
      <c r="D639" s="8" t="inlineStr">
        <is>
          <t>Unplanned Downtime (Hrs)</t>
        </is>
      </c>
      <c r="E639" s="8">
        <f>IFERROR(INDEX(Tbl_KPIConfig[Department],MATCH($D639,Tbl_KPIConfig[KPI Name],0)),"")</f>
        <v/>
      </c>
      <c r="F639" s="8">
        <f>IFERROR(INDEX(Tbl_KPIConfig[Unit],MATCH($D639,Tbl_KPIConfig[KPI Name],0)),"")</f>
        <v/>
      </c>
      <c r="G639" s="8">
        <f>IFERROR(INDEX(Tbl_KPIConfig[Target],MATCH($D639,Tbl_KPIConfig[KPI Name],0)),"")</f>
        <v/>
      </c>
      <c r="H639" s="8" t="n">
        <v>0.98</v>
      </c>
      <c r="I639" s="9">
        <f>IFERROR(IF(INDEX(Tbl_KPIConfig[Direction],MATCH($D639,Tbl_KPIConfig[KPI Name],0))="Lower is Better",IF($H639=0,1,IF($G639=0,0,$G639/$H639)),IF($G639=0,1,$H639/$G639)),0)</f>
        <v/>
      </c>
      <c r="J639" s="8">
        <f>IFERROR(IF($I639&gt;=1,"Green",IF($I639&gt;=INDEX(Tbl_KPIConfig[RAG Threshold %],MATCH($D639,Tbl_KPIConfig[KPI Name],0)),"Amber","Red")),"")</f>
        <v/>
      </c>
      <c r="K639" s="10" t="inlineStr">
        <is>
          <t>Line changeover impact</t>
        </is>
      </c>
    </row>
    <row r="640">
      <c r="A640" s="11" t="n">
        <v>46218</v>
      </c>
      <c r="B640" s="12">
        <f>IF($A640="","",TEXT($A640,"mmm-yyyy"))</f>
        <v/>
      </c>
      <c r="C640" s="12">
        <f>IF($A640="","","W"&amp;WEEKNUM($A640,2))</f>
        <v/>
      </c>
      <c r="D640" s="12" t="inlineStr">
        <is>
          <t>PM Compliance %</t>
        </is>
      </c>
      <c r="E640" s="12">
        <f>IFERROR(INDEX(Tbl_KPIConfig[Department],MATCH($D640,Tbl_KPIConfig[KPI Name],0)),"")</f>
        <v/>
      </c>
      <c r="F640" s="12">
        <f>IFERROR(INDEX(Tbl_KPIConfig[Unit],MATCH($D640,Tbl_KPIConfig[KPI Name],0)),"")</f>
        <v/>
      </c>
      <c r="G640" s="12">
        <f>IFERROR(INDEX(Tbl_KPIConfig[Target],MATCH($D640,Tbl_KPIConfig[KPI Name],0)),"")</f>
        <v/>
      </c>
      <c r="H640" s="12" t="n">
        <v>1.1944</v>
      </c>
      <c r="I640" s="13">
        <f>IFERROR(IF(INDEX(Tbl_KPIConfig[Direction],MATCH($D640,Tbl_KPIConfig[KPI Name],0))="Lower is Better",IF($H640=0,1,IF($G640=0,0,$G640/$H640)),IF($G640=0,1,$H640/$G640)),0)</f>
        <v/>
      </c>
      <c r="J640" s="12">
        <f>IFERROR(IF($I640&gt;=1,"Green",IF($I640&gt;=INDEX(Tbl_KPIConfig[RAG Threshold %],MATCH($D640,Tbl_KPIConfig[KPI Name],0)),"Amber","Red")),"")</f>
        <v/>
      </c>
      <c r="K640" s="14" t="inlineStr">
        <is>
          <t>Awaiting spares</t>
        </is>
      </c>
    </row>
    <row r="641">
      <c r="A641" s="7" t="n">
        <v>46218</v>
      </c>
      <c r="B641" s="8">
        <f>IF($A641="","",TEXT($A641,"mmm-yyyy"))</f>
        <v/>
      </c>
      <c r="C641" s="8">
        <f>IF($A641="","","W"&amp;WEEKNUM($A641,2))</f>
        <v/>
      </c>
      <c r="D641" s="8" t="inlineStr">
        <is>
          <t>Power Consumption (kWh)</t>
        </is>
      </c>
      <c r="E641" s="8">
        <f>IFERROR(INDEX(Tbl_KPIConfig[Department],MATCH($D641,Tbl_KPIConfig[KPI Name],0)),"")</f>
        <v/>
      </c>
      <c r="F641" s="8">
        <f>IFERROR(INDEX(Tbl_KPIConfig[Unit],MATCH($D641,Tbl_KPIConfig[KPI Name],0)),"")</f>
        <v/>
      </c>
      <c r="G641" s="8">
        <f>IFERROR(INDEX(Tbl_KPIConfig[Target],MATCH($D641,Tbl_KPIConfig[KPI Name],0)),"")</f>
        <v/>
      </c>
      <c r="H641" s="8" t="n">
        <v>4793.78</v>
      </c>
      <c r="I641" s="9">
        <f>IFERROR(IF(INDEX(Tbl_KPIConfig[Direction],MATCH($D641,Tbl_KPIConfig[KPI Name],0))="Lower is Better",IF($H641=0,1,IF($G641=0,0,$G641/$H641)),IF($G641=0,1,$H641/$G641)),0)</f>
        <v/>
      </c>
      <c r="J641" s="8">
        <f>IFERROR(IF($I641&gt;=1,"Green",IF($I641&gt;=INDEX(Tbl_KPIConfig[RAG Threshold %],MATCH($D641,Tbl_KPIConfig[KPI Name],0)),"Amber","Red")),"")</f>
        <v/>
      </c>
      <c r="K641" s="10" t="inlineStr">
        <is>
          <t>Process improvement in progress</t>
        </is>
      </c>
    </row>
    <row r="642">
      <c r="A642" s="11" t="n">
        <v>46218</v>
      </c>
      <c r="B642" s="12">
        <f>IF($A642="","",TEXT($A642,"mmm-yyyy"))</f>
        <v/>
      </c>
      <c r="C642" s="12">
        <f>IF($A642="","","W"&amp;WEEKNUM($A642,2))</f>
        <v/>
      </c>
      <c r="D642" s="12" t="inlineStr">
        <is>
          <t>On-Time Dispatch %</t>
        </is>
      </c>
      <c r="E642" s="12">
        <f>IFERROR(INDEX(Tbl_KPIConfig[Department],MATCH($D642,Tbl_KPIConfig[KPI Name],0)),"")</f>
        <v/>
      </c>
      <c r="F642" s="12">
        <f>IFERROR(INDEX(Tbl_KPIConfig[Unit],MATCH($D642,Tbl_KPIConfig[KPI Name],0)),"")</f>
        <v/>
      </c>
      <c r="G642" s="12">
        <f>IFERROR(INDEX(Tbl_KPIConfig[Target],MATCH($D642,Tbl_KPIConfig[KPI Name],0)),"")</f>
        <v/>
      </c>
      <c r="H642" s="12" t="n">
        <v>0.8946</v>
      </c>
      <c r="I642" s="13">
        <f>IFERROR(IF(INDEX(Tbl_KPIConfig[Direction],MATCH($D642,Tbl_KPIConfig[KPI Name],0))="Lower is Better",IF($H642=0,1,IF($G642=0,0,$G642/$H642)),IF($G642=0,1,$H642/$G642)),0)</f>
        <v/>
      </c>
      <c r="J642" s="12">
        <f>IFERROR(IF($I642&gt;=1,"Green",IF($I642&gt;=INDEX(Tbl_KPIConfig[RAG Threshold %],MATCH($D642,Tbl_KPIConfig[KPI Name],0)),"Amber","Red")),"")</f>
        <v/>
      </c>
      <c r="K642" s="14" t="inlineStr">
        <is>
          <t>Manpower shortage</t>
        </is>
      </c>
    </row>
    <row r="643">
      <c r="A643" s="7" t="n">
        <v>46218</v>
      </c>
      <c r="B643" s="8">
        <f>IF($A643="","",TEXT($A643,"mmm-yyyy"))</f>
        <v/>
      </c>
      <c r="C643" s="8">
        <f>IF($A643="","","W"&amp;WEEKNUM($A643,2))</f>
        <v/>
      </c>
      <c r="D643" s="8" t="inlineStr">
        <is>
          <t>Inventory Accuracy %</t>
        </is>
      </c>
      <c r="E643" s="8">
        <f>IFERROR(INDEX(Tbl_KPIConfig[Department],MATCH($D643,Tbl_KPIConfig[KPI Name],0)),"")</f>
        <v/>
      </c>
      <c r="F643" s="8">
        <f>IFERROR(INDEX(Tbl_KPIConfig[Unit],MATCH($D643,Tbl_KPIConfig[KPI Name],0)),"")</f>
        <v/>
      </c>
      <c r="G643" s="8">
        <f>IFERROR(INDEX(Tbl_KPIConfig[Target],MATCH($D643,Tbl_KPIConfig[KPI Name],0)),"")</f>
        <v/>
      </c>
      <c r="H643" s="8" t="n">
        <v>0.9855</v>
      </c>
      <c r="I643" s="9">
        <f>IFERROR(IF(INDEX(Tbl_KPIConfig[Direction],MATCH($D643,Tbl_KPIConfig[KPI Name],0))="Lower is Better",IF($H643=0,1,IF($G643=0,0,$G643/$H643)),IF($G643=0,1,$H643/$G643)),0)</f>
        <v/>
      </c>
      <c r="J643" s="8">
        <f>IFERROR(IF($I643&gt;=1,"Green",IF($I643&gt;=INDEX(Tbl_KPIConfig[RAG Threshold %],MATCH($D643,Tbl_KPIConfig[KPI Name],0)),"Amber","Red")),"")</f>
        <v/>
      </c>
      <c r="K643" s="10" t="inlineStr">
        <is>
          <t>Within normal range</t>
        </is>
      </c>
    </row>
    <row r="644">
      <c r="A644" s="11" t="n">
        <v>46218</v>
      </c>
      <c r="B644" s="12">
        <f>IF($A644="","",TEXT($A644,"mmm-yyyy"))</f>
        <v/>
      </c>
      <c r="C644" s="12">
        <f>IF($A644="","","W"&amp;WEEKNUM($A644,2))</f>
        <v/>
      </c>
      <c r="D644" s="12" t="inlineStr">
        <is>
          <t>Absenteeism %</t>
        </is>
      </c>
      <c r="E644" s="12">
        <f>IFERROR(INDEX(Tbl_KPIConfig[Department],MATCH($D644,Tbl_KPIConfig[KPI Name],0)),"")</f>
        <v/>
      </c>
      <c r="F644" s="12">
        <f>IFERROR(INDEX(Tbl_KPIConfig[Unit],MATCH($D644,Tbl_KPIConfig[KPI Name],0)),"")</f>
        <v/>
      </c>
      <c r="G644" s="12">
        <f>IFERROR(INDEX(Tbl_KPIConfig[Target],MATCH($D644,Tbl_KPIConfig[KPI Name],0)),"")</f>
        <v/>
      </c>
      <c r="H644" s="12" t="n">
        <v>0.024</v>
      </c>
      <c r="I644" s="13">
        <f>IFERROR(IF(INDEX(Tbl_KPIConfig[Direction],MATCH($D644,Tbl_KPIConfig[KPI Name],0))="Lower is Better",IF($H644=0,1,IF($G644=0,0,$G644/$H644)),IF($G644=0,1,$H644/$G644)),0)</f>
        <v/>
      </c>
      <c r="J644" s="12">
        <f>IFERROR(IF($I644&gt;=1,"Green",IF($I644&gt;=INDEX(Tbl_KPIConfig[RAG Threshold %],MATCH($D644,Tbl_KPIConfig[KPI Name],0)),"Amber","Red")),"")</f>
        <v/>
      </c>
      <c r="K644" s="14" t="inlineStr">
        <is>
          <t>Manpower shortage</t>
        </is>
      </c>
    </row>
    <row r="645">
      <c r="A645" s="7" t="n">
        <v>46218</v>
      </c>
      <c r="B645" s="8">
        <f>IF($A645="","",TEXT($A645,"mmm-yyyy"))</f>
        <v/>
      </c>
      <c r="C645" s="8">
        <f>IF($A645="","","W"&amp;WEEKNUM($A645,2))</f>
        <v/>
      </c>
      <c r="D645" s="8" t="inlineStr">
        <is>
          <t>Training Hours</t>
        </is>
      </c>
      <c r="E645" s="8">
        <f>IFERROR(INDEX(Tbl_KPIConfig[Department],MATCH($D645,Tbl_KPIConfig[KPI Name],0)),"")</f>
        <v/>
      </c>
      <c r="F645" s="8">
        <f>IFERROR(INDEX(Tbl_KPIConfig[Unit],MATCH($D645,Tbl_KPIConfig[KPI Name],0)),"")</f>
        <v/>
      </c>
      <c r="G645" s="8">
        <f>IFERROR(INDEX(Tbl_KPIConfig[Target],MATCH($D645,Tbl_KPIConfig[KPI Name],0)),"")</f>
        <v/>
      </c>
      <c r="H645" s="8" t="n">
        <v>1.94</v>
      </c>
      <c r="I645" s="9">
        <f>IFERROR(IF(INDEX(Tbl_KPIConfig[Direction],MATCH($D645,Tbl_KPIConfig[KPI Name],0))="Lower is Better",IF($H645=0,1,IF($G645=0,0,$G645/$H645)),IF($G645=0,1,$H645/$G645)),0)</f>
        <v/>
      </c>
      <c r="J645" s="8">
        <f>IFERROR(IF($I645&gt;=1,"Green",IF($I645&gt;=INDEX(Tbl_KPIConfig[RAG Threshold %],MATCH($D645,Tbl_KPIConfig[KPI Name],0)),"Amber","Red")),"")</f>
        <v/>
      </c>
      <c r="K645" s="10" t="inlineStr">
        <is>
          <t>Vendor delay</t>
        </is>
      </c>
    </row>
    <row r="646">
      <c r="A646" s="11" t="n">
        <v>46218</v>
      </c>
      <c r="B646" s="12">
        <f>IF($A646="","",TEXT($A646,"mmm-yyyy"))</f>
        <v/>
      </c>
      <c r="C646" s="12">
        <f>IF($A646="","","W"&amp;WEEKNUM($A646,2))</f>
        <v/>
      </c>
      <c r="D646" s="12" t="inlineStr">
        <is>
          <t>Milestone Adherence %</t>
        </is>
      </c>
      <c r="E646" s="12">
        <f>IFERROR(INDEX(Tbl_KPIConfig[Department],MATCH($D646,Tbl_KPIConfig[KPI Name],0)),"")</f>
        <v/>
      </c>
      <c r="F646" s="12">
        <f>IFERROR(INDEX(Tbl_KPIConfig[Unit],MATCH($D646,Tbl_KPIConfig[KPI Name],0)),"")</f>
        <v/>
      </c>
      <c r="G646" s="12">
        <f>IFERROR(INDEX(Tbl_KPIConfig[Target],MATCH($D646,Tbl_KPIConfig[KPI Name],0)),"")</f>
        <v/>
      </c>
      <c r="H646" s="12" t="n">
        <v>0.9556</v>
      </c>
      <c r="I646" s="13">
        <f>IFERROR(IF(INDEX(Tbl_KPIConfig[Direction],MATCH($D646,Tbl_KPIConfig[KPI Name],0))="Lower is Better",IF($H646=0,1,IF($G646=0,0,$G646/$H646)),IF($G646=0,1,$H646/$G646)),0)</f>
        <v/>
      </c>
      <c r="J646" s="12">
        <f>IFERROR(IF($I646&gt;=1,"Green",IF($I646&gt;=INDEX(Tbl_KPIConfig[RAG Threshold %],MATCH($D646,Tbl_KPIConfig[KPI Name],0)),"Amber","Red")),"")</f>
        <v/>
      </c>
      <c r="K646" s="14" t="inlineStr">
        <is>
          <t>Process improvement in progress</t>
        </is>
      </c>
    </row>
    <row r="647">
      <c r="A647" s="7" t="n">
        <v>46218</v>
      </c>
      <c r="B647" s="8">
        <f>IF($A647="","",TEXT($A647,"mmm-yyyy"))</f>
        <v/>
      </c>
      <c r="C647" s="8">
        <f>IF($A647="","","W"&amp;WEEKNUM($A647,2))</f>
        <v/>
      </c>
      <c r="D647" s="8" t="inlineStr">
        <is>
          <t>Breakdown Resolution (Hrs)</t>
        </is>
      </c>
      <c r="E647" s="8">
        <f>IFERROR(INDEX(Tbl_KPIConfig[Department],MATCH($D647,Tbl_KPIConfig[KPI Name],0)),"")</f>
        <v/>
      </c>
      <c r="F647" s="8">
        <f>IFERROR(INDEX(Tbl_KPIConfig[Unit],MATCH($D647,Tbl_KPIConfig[KPI Name],0)),"")</f>
        <v/>
      </c>
      <c r="G647" s="8">
        <f>IFERROR(INDEX(Tbl_KPIConfig[Target],MATCH($D647,Tbl_KPIConfig[KPI Name],0)),"")</f>
        <v/>
      </c>
      <c r="H647" s="8" t="n">
        <v>1.99</v>
      </c>
      <c r="I647" s="9">
        <f>IFERROR(IF(INDEX(Tbl_KPIConfig[Direction],MATCH($D647,Tbl_KPIConfig[KPI Name],0))="Lower is Better",IF($H647=0,1,IF($G647=0,0,$G647/$H647)),IF($G647=0,1,$H647/$G647)),0)</f>
        <v/>
      </c>
      <c r="J647" s="8">
        <f>IFERROR(IF($I647&gt;=1,"Green",IF($I647&gt;=INDEX(Tbl_KPIConfig[RAG Threshold %],MATCH($D647,Tbl_KPIConfig[KPI Name],0)),"Amber","Red")),"")</f>
        <v/>
      </c>
      <c r="K647" s="10" t="inlineStr">
        <is>
          <t>Process improvement in progress</t>
        </is>
      </c>
    </row>
    <row r="648">
      <c r="A648" s="11" t="n">
        <v>46219</v>
      </c>
      <c r="B648" s="12">
        <f>IF($A648="","",TEXT($A648,"mmm-yyyy"))</f>
        <v/>
      </c>
      <c r="C648" s="12">
        <f>IF($A648="","","W"&amp;WEEKNUM($A648,2))</f>
        <v/>
      </c>
      <c r="D648" s="12" t="inlineStr">
        <is>
          <t>Safety Incidents (LTI)</t>
        </is>
      </c>
      <c r="E648" s="12">
        <f>IFERROR(INDEX(Tbl_KPIConfig[Department],MATCH($D648,Tbl_KPIConfig[KPI Name],0)),"")</f>
        <v/>
      </c>
      <c r="F648" s="12">
        <f>IFERROR(INDEX(Tbl_KPIConfig[Unit],MATCH($D648,Tbl_KPIConfig[KPI Name],0)),"")</f>
        <v/>
      </c>
      <c r="G648" s="12">
        <f>IFERROR(INDEX(Tbl_KPIConfig[Target],MATCH($D648,Tbl_KPIConfig[KPI Name],0)),"")</f>
        <v/>
      </c>
      <c r="H648" s="12" t="n">
        <v>0</v>
      </c>
      <c r="I648" s="13">
        <f>IFERROR(IF(INDEX(Tbl_KPIConfig[Direction],MATCH($D648,Tbl_KPIConfig[KPI Name],0))="Lower is Better",IF($H648=0,1,IF($G648=0,0,$G648/$H648)),IF($G648=0,1,$H648/$G648)),0)</f>
        <v/>
      </c>
      <c r="J648" s="12">
        <f>IFERROR(IF($I648&gt;=1,"Green",IF($I648&gt;=INDEX(Tbl_KPIConfig[RAG Threshold %],MATCH($D648,Tbl_KPIConfig[KPI Name],0)),"Amber","Red")),"")</f>
        <v/>
      </c>
      <c r="K648" s="14" t="inlineStr"/>
    </row>
    <row r="649">
      <c r="A649" s="7" t="n">
        <v>46219</v>
      </c>
      <c r="B649" s="8">
        <f>IF($A649="","",TEXT($A649,"mmm-yyyy"))</f>
        <v/>
      </c>
      <c r="C649" s="8">
        <f>IF($A649="","","W"&amp;WEEKNUM($A649,2))</f>
        <v/>
      </c>
      <c r="D649" s="8" t="inlineStr">
        <is>
          <t>Near Miss Reports</t>
        </is>
      </c>
      <c r="E649" s="8">
        <f>IFERROR(INDEX(Tbl_KPIConfig[Department],MATCH($D649,Tbl_KPIConfig[KPI Name],0)),"")</f>
        <v/>
      </c>
      <c r="F649" s="8">
        <f>IFERROR(INDEX(Tbl_KPIConfig[Unit],MATCH($D649,Tbl_KPIConfig[KPI Name],0)),"")</f>
        <v/>
      </c>
      <c r="G649" s="8">
        <f>IFERROR(INDEX(Tbl_KPIConfig[Target],MATCH($D649,Tbl_KPIConfig[KPI Name],0)),"")</f>
        <v/>
      </c>
      <c r="H649" s="8" t="n">
        <v>2</v>
      </c>
      <c r="I649" s="9">
        <f>IFERROR(IF(INDEX(Tbl_KPIConfig[Direction],MATCH($D649,Tbl_KPIConfig[KPI Name],0))="Lower is Better",IF($H649=0,1,IF($G649=0,0,$G649/$H649)),IF($G649=0,1,$H649/$G649)),0)</f>
        <v/>
      </c>
      <c r="J649" s="8">
        <f>IFERROR(IF($I649&gt;=1,"Green",IF($I649&gt;=INDEX(Tbl_KPIConfig[RAG Threshold %],MATCH($D649,Tbl_KPIConfig[KPI Name],0)),"Amber","Red")),"")</f>
        <v/>
      </c>
      <c r="K649" s="10" t="inlineStr">
        <is>
          <t>Within normal range</t>
        </is>
      </c>
    </row>
    <row r="650">
      <c r="A650" s="11" t="n">
        <v>46219</v>
      </c>
      <c r="B650" s="12">
        <f>IF($A650="","",TEXT($A650,"mmm-yyyy"))</f>
        <v/>
      </c>
      <c r="C650" s="12">
        <f>IF($A650="","","W"&amp;WEEKNUM($A650,2))</f>
        <v/>
      </c>
      <c r="D650" s="12" t="inlineStr">
        <is>
          <t>Production Output</t>
        </is>
      </c>
      <c r="E650" s="12">
        <f>IFERROR(INDEX(Tbl_KPIConfig[Department],MATCH($D650,Tbl_KPIConfig[KPI Name],0)),"")</f>
        <v/>
      </c>
      <c r="F650" s="12">
        <f>IFERROR(INDEX(Tbl_KPIConfig[Unit],MATCH($D650,Tbl_KPIConfig[KPI Name],0)),"")</f>
        <v/>
      </c>
      <c r="G650" s="12">
        <f>IFERROR(INDEX(Tbl_KPIConfig[Target],MATCH($D650,Tbl_KPIConfig[KPI Name],0)),"")</f>
        <v/>
      </c>
      <c r="H650" s="12" t="n">
        <v>970.27</v>
      </c>
      <c r="I650" s="13">
        <f>IFERROR(IF(INDEX(Tbl_KPIConfig[Direction],MATCH($D650,Tbl_KPIConfig[KPI Name],0))="Lower is Better",IF($H650=0,1,IF($G650=0,0,$G650/$H650)),IF($G650=0,1,$H650/$G650)),0)</f>
        <v/>
      </c>
      <c r="J650" s="12">
        <f>IFERROR(IF($I650&gt;=1,"Green",IF($I650&gt;=INDEX(Tbl_KPIConfig[RAG Threshold %],MATCH($D650,Tbl_KPIConfig[KPI Name],0)),"Amber","Red")),"")</f>
        <v/>
      </c>
      <c r="K650" s="14" t="inlineStr">
        <is>
          <t>Within normal range</t>
        </is>
      </c>
    </row>
    <row r="651">
      <c r="A651" s="7" t="n">
        <v>46219</v>
      </c>
      <c r="B651" s="8">
        <f>IF($A651="","",TEXT($A651,"mmm-yyyy"))</f>
        <v/>
      </c>
      <c r="C651" s="8">
        <f>IF($A651="","","W"&amp;WEEKNUM($A651,2))</f>
        <v/>
      </c>
      <c r="D651" s="8" t="inlineStr">
        <is>
          <t>OEE %</t>
        </is>
      </c>
      <c r="E651" s="8">
        <f>IFERROR(INDEX(Tbl_KPIConfig[Department],MATCH($D651,Tbl_KPIConfig[KPI Name],0)),"")</f>
        <v/>
      </c>
      <c r="F651" s="8">
        <f>IFERROR(INDEX(Tbl_KPIConfig[Unit],MATCH($D651,Tbl_KPIConfig[KPI Name],0)),"")</f>
        <v/>
      </c>
      <c r="G651" s="8">
        <f>IFERROR(INDEX(Tbl_KPIConfig[Target],MATCH($D651,Tbl_KPIConfig[KPI Name],0)),"")</f>
        <v/>
      </c>
      <c r="H651" s="8" t="n">
        <v>0.855</v>
      </c>
      <c r="I651" s="9">
        <f>IFERROR(IF(INDEX(Tbl_KPIConfig[Direction],MATCH($D651,Tbl_KPIConfig[KPI Name],0))="Lower is Better",IF($H651=0,1,IF($G651=0,0,$G651/$H651)),IF($G651=0,1,$H651/$G651)),0)</f>
        <v/>
      </c>
      <c r="J651" s="8">
        <f>IFERROR(IF($I651&gt;=1,"Green",IF($I651&gt;=INDEX(Tbl_KPIConfig[RAG Threshold %],MATCH($D651,Tbl_KPIConfig[KPI Name],0)),"Amber","Red")),"")</f>
        <v/>
      </c>
      <c r="K651" s="10" t="inlineStr">
        <is>
          <t>Within normal range</t>
        </is>
      </c>
    </row>
    <row r="652">
      <c r="A652" s="11" t="n">
        <v>46219</v>
      </c>
      <c r="B652" s="12">
        <f>IF($A652="","",TEXT($A652,"mmm-yyyy"))</f>
        <v/>
      </c>
      <c r="C652" s="12">
        <f>IF($A652="","","W"&amp;WEEKNUM($A652,2))</f>
        <v/>
      </c>
      <c r="D652" s="12" t="inlineStr">
        <is>
          <t>Defect Rate %</t>
        </is>
      </c>
      <c r="E652" s="12">
        <f>IFERROR(INDEX(Tbl_KPIConfig[Department],MATCH($D652,Tbl_KPIConfig[KPI Name],0)),"")</f>
        <v/>
      </c>
      <c r="F652" s="12">
        <f>IFERROR(INDEX(Tbl_KPIConfig[Unit],MATCH($D652,Tbl_KPIConfig[KPI Name],0)),"")</f>
        <v/>
      </c>
      <c r="G652" s="12">
        <f>IFERROR(INDEX(Tbl_KPIConfig[Target],MATCH($D652,Tbl_KPIConfig[KPI Name],0)),"")</f>
        <v/>
      </c>
      <c r="H652" s="12" t="n">
        <v>0.0216</v>
      </c>
      <c r="I652" s="13">
        <f>IFERROR(IF(INDEX(Tbl_KPIConfig[Direction],MATCH($D652,Tbl_KPIConfig[KPI Name],0))="Lower is Better",IF($H652=0,1,IF($G652=0,0,$G652/$H652)),IF($G652=0,1,$H652/$G652)),0)</f>
        <v/>
      </c>
      <c r="J652" s="12">
        <f>IFERROR(IF($I652&gt;=1,"Green",IF($I652&gt;=INDEX(Tbl_KPIConfig[RAG Threshold %],MATCH($D652,Tbl_KPIConfig[KPI Name],0)),"Amber","Red")),"")</f>
        <v/>
      </c>
      <c r="K652" s="14" t="inlineStr">
        <is>
          <t>Preventive check done</t>
        </is>
      </c>
    </row>
    <row r="653">
      <c r="A653" s="7" t="n">
        <v>46219</v>
      </c>
      <c r="B653" s="8">
        <f>IF($A653="","",TEXT($A653,"mmm-yyyy"))</f>
        <v/>
      </c>
      <c r="C653" s="8">
        <f>IF($A653="","","W"&amp;WEEKNUM($A653,2))</f>
        <v/>
      </c>
      <c r="D653" s="8" t="inlineStr">
        <is>
          <t>Customer Complaints</t>
        </is>
      </c>
      <c r="E653" s="8">
        <f>IFERROR(INDEX(Tbl_KPIConfig[Department],MATCH($D653,Tbl_KPIConfig[KPI Name],0)),"")</f>
        <v/>
      </c>
      <c r="F653" s="8">
        <f>IFERROR(INDEX(Tbl_KPIConfig[Unit],MATCH($D653,Tbl_KPIConfig[KPI Name],0)),"")</f>
        <v/>
      </c>
      <c r="G653" s="8">
        <f>IFERROR(INDEX(Tbl_KPIConfig[Target],MATCH($D653,Tbl_KPIConfig[KPI Name],0)),"")</f>
        <v/>
      </c>
      <c r="H653" s="8" t="n">
        <v>0</v>
      </c>
      <c r="I653" s="9">
        <f>IFERROR(IF(INDEX(Tbl_KPIConfig[Direction],MATCH($D653,Tbl_KPIConfig[KPI Name],0))="Lower is Better",IF($H653=0,1,IF($G653=0,0,$G653/$H653)),IF($G653=0,1,$H653/$G653)),0)</f>
        <v/>
      </c>
      <c r="J653" s="8">
        <f>IFERROR(IF($I653&gt;=1,"Green",IF($I653&gt;=INDEX(Tbl_KPIConfig[RAG Threshold %],MATCH($D653,Tbl_KPIConfig[KPI Name],0)),"Amber","Red")),"")</f>
        <v/>
      </c>
      <c r="K653" s="10" t="inlineStr">
        <is>
          <t>Preventive check done</t>
        </is>
      </c>
    </row>
    <row r="654">
      <c r="A654" s="11" t="n">
        <v>46219</v>
      </c>
      <c r="B654" s="12">
        <f>IF($A654="","",TEXT($A654,"mmm-yyyy"))</f>
        <v/>
      </c>
      <c r="C654" s="12">
        <f>IF($A654="","","W"&amp;WEEKNUM($A654,2))</f>
        <v/>
      </c>
      <c r="D654" s="12" t="inlineStr">
        <is>
          <t>Unplanned Downtime (Hrs)</t>
        </is>
      </c>
      <c r="E654" s="12">
        <f>IFERROR(INDEX(Tbl_KPIConfig[Department],MATCH($D654,Tbl_KPIConfig[KPI Name],0)),"")</f>
        <v/>
      </c>
      <c r="F654" s="12">
        <f>IFERROR(INDEX(Tbl_KPIConfig[Unit],MATCH($D654,Tbl_KPIConfig[KPI Name],0)),"")</f>
        <v/>
      </c>
      <c r="G654" s="12">
        <f>IFERROR(INDEX(Tbl_KPIConfig[Target],MATCH($D654,Tbl_KPIConfig[KPI Name],0)),"")</f>
        <v/>
      </c>
      <c r="H654" s="12" t="n">
        <v>0.9399999999999999</v>
      </c>
      <c r="I654" s="13">
        <f>IFERROR(IF(INDEX(Tbl_KPIConfig[Direction],MATCH($D654,Tbl_KPIConfig[KPI Name],0))="Lower is Better",IF($H654=0,1,IF($G654=0,0,$G654/$H654)),IF($G654=0,1,$H654/$G654)),0)</f>
        <v/>
      </c>
      <c r="J654" s="12">
        <f>IFERROR(IF($I654&gt;=1,"Green",IF($I654&gt;=INDEX(Tbl_KPIConfig[RAG Threshold %],MATCH($D654,Tbl_KPIConfig[KPI Name],0)),"Amber","Red")),"")</f>
        <v/>
      </c>
      <c r="K654" s="14" t="inlineStr">
        <is>
          <t>Within normal range</t>
        </is>
      </c>
    </row>
    <row r="655">
      <c r="A655" s="7" t="n">
        <v>46219</v>
      </c>
      <c r="B655" s="8">
        <f>IF($A655="","",TEXT($A655,"mmm-yyyy"))</f>
        <v/>
      </c>
      <c r="C655" s="8">
        <f>IF($A655="","","W"&amp;WEEKNUM($A655,2))</f>
        <v/>
      </c>
      <c r="D655" s="8" t="inlineStr">
        <is>
          <t>PM Compliance %</t>
        </is>
      </c>
      <c r="E655" s="8">
        <f>IFERROR(INDEX(Tbl_KPIConfig[Department],MATCH($D655,Tbl_KPIConfig[KPI Name],0)),"")</f>
        <v/>
      </c>
      <c r="F655" s="8">
        <f>IFERROR(INDEX(Tbl_KPIConfig[Unit],MATCH($D655,Tbl_KPIConfig[KPI Name],0)),"")</f>
        <v/>
      </c>
      <c r="G655" s="8">
        <f>IFERROR(INDEX(Tbl_KPIConfig[Target],MATCH($D655,Tbl_KPIConfig[KPI Name],0)),"")</f>
        <v/>
      </c>
      <c r="H655" s="8" t="n">
        <v>0.8859</v>
      </c>
      <c r="I655" s="9">
        <f>IFERROR(IF(INDEX(Tbl_KPIConfig[Direction],MATCH($D655,Tbl_KPIConfig[KPI Name],0))="Lower is Better",IF($H655=0,1,IF($G655=0,0,$G655/$H655)),IF($G655=0,1,$H655/$G655)),0)</f>
        <v/>
      </c>
      <c r="J655" s="8">
        <f>IFERROR(IF($I655&gt;=1,"Green",IF($I655&gt;=INDEX(Tbl_KPIConfig[RAG Threshold %],MATCH($D655,Tbl_KPIConfig[KPI Name],0)),"Amber","Red")),"")</f>
        <v/>
      </c>
      <c r="K655" s="10" t="inlineStr">
        <is>
          <t>Line changeover impact</t>
        </is>
      </c>
    </row>
    <row r="656">
      <c r="A656" s="11" t="n">
        <v>46219</v>
      </c>
      <c r="B656" s="12">
        <f>IF($A656="","",TEXT($A656,"mmm-yyyy"))</f>
        <v/>
      </c>
      <c r="C656" s="12">
        <f>IF($A656="","","W"&amp;WEEKNUM($A656,2))</f>
        <v/>
      </c>
      <c r="D656" s="12" t="inlineStr">
        <is>
          <t>Power Consumption (kWh)</t>
        </is>
      </c>
      <c r="E656" s="12">
        <f>IFERROR(INDEX(Tbl_KPIConfig[Department],MATCH($D656,Tbl_KPIConfig[KPI Name],0)),"")</f>
        <v/>
      </c>
      <c r="F656" s="12">
        <f>IFERROR(INDEX(Tbl_KPIConfig[Unit],MATCH($D656,Tbl_KPIConfig[KPI Name],0)),"")</f>
        <v/>
      </c>
      <c r="G656" s="12">
        <f>IFERROR(INDEX(Tbl_KPIConfig[Target],MATCH($D656,Tbl_KPIConfig[KPI Name],0)),"")</f>
        <v/>
      </c>
      <c r="H656" s="12" t="n">
        <v>5081.8</v>
      </c>
      <c r="I656" s="13">
        <f>IFERROR(IF(INDEX(Tbl_KPIConfig[Direction],MATCH($D656,Tbl_KPIConfig[KPI Name],0))="Lower is Better",IF($H656=0,1,IF($G656=0,0,$G656/$H656)),IF($G656=0,1,$H656/$G656)),0)</f>
        <v/>
      </c>
      <c r="J656" s="12">
        <f>IFERROR(IF($I656&gt;=1,"Green",IF($I656&gt;=INDEX(Tbl_KPIConfig[RAG Threshold %],MATCH($D656,Tbl_KPIConfig[KPI Name],0)),"Amber","Red")),"")</f>
        <v/>
      </c>
      <c r="K656" s="14" t="inlineStr">
        <is>
          <t>Preventive check done</t>
        </is>
      </c>
    </row>
    <row r="657">
      <c r="A657" s="7" t="n">
        <v>46219</v>
      </c>
      <c r="B657" s="8">
        <f>IF($A657="","",TEXT($A657,"mmm-yyyy"))</f>
        <v/>
      </c>
      <c r="C657" s="8">
        <f>IF($A657="","","W"&amp;WEEKNUM($A657,2))</f>
        <v/>
      </c>
      <c r="D657" s="8" t="inlineStr">
        <is>
          <t>On-Time Dispatch %</t>
        </is>
      </c>
      <c r="E657" s="8">
        <f>IFERROR(INDEX(Tbl_KPIConfig[Department],MATCH($D657,Tbl_KPIConfig[KPI Name],0)),"")</f>
        <v/>
      </c>
      <c r="F657" s="8">
        <f>IFERROR(INDEX(Tbl_KPIConfig[Unit],MATCH($D657,Tbl_KPIConfig[KPI Name],0)),"")</f>
        <v/>
      </c>
      <c r="G657" s="8">
        <f>IFERROR(INDEX(Tbl_KPIConfig[Target],MATCH($D657,Tbl_KPIConfig[KPI Name],0)),"")</f>
        <v/>
      </c>
      <c r="H657" s="8" t="n">
        <v>1.0654</v>
      </c>
      <c r="I657" s="9">
        <f>IFERROR(IF(INDEX(Tbl_KPIConfig[Direction],MATCH($D657,Tbl_KPIConfig[KPI Name],0))="Lower is Better",IF($H657=0,1,IF($G657=0,0,$G657/$H657)),IF($G657=0,1,$H657/$G657)),0)</f>
        <v/>
      </c>
      <c r="J657" s="8">
        <f>IFERROR(IF($I657&gt;=1,"Green",IF($I657&gt;=INDEX(Tbl_KPIConfig[RAG Threshold %],MATCH($D657,Tbl_KPIConfig[KPI Name],0)),"Amber","Red")),"")</f>
        <v/>
      </c>
      <c r="K657" s="10" t="inlineStr">
        <is>
          <t>Line changeover impact</t>
        </is>
      </c>
    </row>
    <row r="658">
      <c r="A658" s="11" t="n">
        <v>46219</v>
      </c>
      <c r="B658" s="12">
        <f>IF($A658="","",TEXT($A658,"mmm-yyyy"))</f>
        <v/>
      </c>
      <c r="C658" s="12">
        <f>IF($A658="","","W"&amp;WEEKNUM($A658,2))</f>
        <v/>
      </c>
      <c r="D658" s="12" t="inlineStr">
        <is>
          <t>Inventory Accuracy %</t>
        </is>
      </c>
      <c r="E658" s="12">
        <f>IFERROR(INDEX(Tbl_KPIConfig[Department],MATCH($D658,Tbl_KPIConfig[KPI Name],0)),"")</f>
        <v/>
      </c>
      <c r="F658" s="12">
        <f>IFERROR(INDEX(Tbl_KPIConfig[Unit],MATCH($D658,Tbl_KPIConfig[KPI Name],0)),"")</f>
        <v/>
      </c>
      <c r="G658" s="12">
        <f>IFERROR(INDEX(Tbl_KPIConfig[Target],MATCH($D658,Tbl_KPIConfig[KPI Name],0)),"")</f>
        <v/>
      </c>
      <c r="H658" s="12" t="n">
        <v>1.2767</v>
      </c>
      <c r="I658" s="13">
        <f>IFERROR(IF(INDEX(Tbl_KPIConfig[Direction],MATCH($D658,Tbl_KPIConfig[KPI Name],0))="Lower is Better",IF($H658=0,1,IF($G658=0,0,$G658/$H658)),IF($G658=0,1,$H658/$G658)),0)</f>
        <v/>
      </c>
      <c r="J658" s="12">
        <f>IFERROR(IF($I658&gt;=1,"Green",IF($I658&gt;=INDEX(Tbl_KPIConfig[RAG Threshold %],MATCH($D658,Tbl_KPIConfig[KPI Name],0)),"Amber","Red")),"")</f>
        <v/>
      </c>
      <c r="K658" s="14" t="inlineStr">
        <is>
          <t>Within normal range</t>
        </is>
      </c>
    </row>
    <row r="659">
      <c r="A659" s="7" t="n">
        <v>46219</v>
      </c>
      <c r="B659" s="8">
        <f>IF($A659="","",TEXT($A659,"mmm-yyyy"))</f>
        <v/>
      </c>
      <c r="C659" s="8">
        <f>IF($A659="","","W"&amp;WEEKNUM($A659,2))</f>
        <v/>
      </c>
      <c r="D659" s="8" t="inlineStr">
        <is>
          <t>Absenteeism %</t>
        </is>
      </c>
      <c r="E659" s="8">
        <f>IFERROR(INDEX(Tbl_KPIConfig[Department],MATCH($D659,Tbl_KPIConfig[KPI Name],0)),"")</f>
        <v/>
      </c>
      <c r="F659" s="8">
        <f>IFERROR(INDEX(Tbl_KPIConfig[Unit],MATCH($D659,Tbl_KPIConfig[KPI Name],0)),"")</f>
        <v/>
      </c>
      <c r="G659" s="8">
        <f>IFERROR(INDEX(Tbl_KPIConfig[Target],MATCH($D659,Tbl_KPIConfig[KPI Name],0)),"")</f>
        <v/>
      </c>
      <c r="H659" s="8" t="n">
        <v>0.0341</v>
      </c>
      <c r="I659" s="9">
        <f>IFERROR(IF(INDEX(Tbl_KPIConfig[Direction],MATCH($D659,Tbl_KPIConfig[KPI Name],0))="Lower is Better",IF($H659=0,1,IF($G659=0,0,$G659/$H659)),IF($G659=0,1,$H659/$G659)),0)</f>
        <v/>
      </c>
      <c r="J659" s="8">
        <f>IFERROR(IF($I659&gt;=1,"Green",IF($I659&gt;=INDEX(Tbl_KPIConfig[RAG Threshold %],MATCH($D659,Tbl_KPIConfig[KPI Name],0)),"Amber","Red")),"")</f>
        <v/>
      </c>
      <c r="K659" s="10" t="inlineStr">
        <is>
          <t>Process improvement in progress</t>
        </is>
      </c>
    </row>
    <row r="660">
      <c r="A660" s="11" t="n">
        <v>46219</v>
      </c>
      <c r="B660" s="12">
        <f>IF($A660="","",TEXT($A660,"mmm-yyyy"))</f>
        <v/>
      </c>
      <c r="C660" s="12">
        <f>IF($A660="","","W"&amp;WEEKNUM($A660,2))</f>
        <v/>
      </c>
      <c r="D660" s="12" t="inlineStr">
        <is>
          <t>Training Hours</t>
        </is>
      </c>
      <c r="E660" s="12">
        <f>IFERROR(INDEX(Tbl_KPIConfig[Department],MATCH($D660,Tbl_KPIConfig[KPI Name],0)),"")</f>
        <v/>
      </c>
      <c r="F660" s="12">
        <f>IFERROR(INDEX(Tbl_KPIConfig[Unit],MATCH($D660,Tbl_KPIConfig[KPI Name],0)),"")</f>
        <v/>
      </c>
      <c r="G660" s="12">
        <f>IFERROR(INDEX(Tbl_KPIConfig[Target],MATCH($D660,Tbl_KPIConfig[KPI Name],0)),"")</f>
        <v/>
      </c>
      <c r="H660" s="12" t="n">
        <v>1.97</v>
      </c>
      <c r="I660" s="13">
        <f>IFERROR(IF(INDEX(Tbl_KPIConfig[Direction],MATCH($D660,Tbl_KPIConfig[KPI Name],0))="Lower is Better",IF($H660=0,1,IF($G660=0,0,$G660/$H660)),IF($G660=0,1,$H660/$G660)),0)</f>
        <v/>
      </c>
      <c r="J660" s="12">
        <f>IFERROR(IF($I660&gt;=1,"Green",IF($I660&gt;=INDEX(Tbl_KPIConfig[RAG Threshold %],MATCH($D660,Tbl_KPIConfig[KPI Name],0)),"Amber","Red")),"")</f>
        <v/>
      </c>
      <c r="K660" s="14" t="inlineStr">
        <is>
          <t>Manpower shortage</t>
        </is>
      </c>
    </row>
    <row r="661">
      <c r="A661" s="7" t="n">
        <v>46219</v>
      </c>
      <c r="B661" s="8">
        <f>IF($A661="","",TEXT($A661,"mmm-yyyy"))</f>
        <v/>
      </c>
      <c r="C661" s="8">
        <f>IF($A661="","","W"&amp;WEEKNUM($A661,2))</f>
        <v/>
      </c>
      <c r="D661" s="8" t="inlineStr">
        <is>
          <t>Milestone Adherence %</t>
        </is>
      </c>
      <c r="E661" s="8">
        <f>IFERROR(INDEX(Tbl_KPIConfig[Department],MATCH($D661,Tbl_KPIConfig[KPI Name],0)),"")</f>
        <v/>
      </c>
      <c r="F661" s="8">
        <f>IFERROR(INDEX(Tbl_KPIConfig[Unit],MATCH($D661,Tbl_KPIConfig[KPI Name],0)),"")</f>
        <v/>
      </c>
      <c r="G661" s="8">
        <f>IFERROR(INDEX(Tbl_KPIConfig[Target],MATCH($D661,Tbl_KPIConfig[KPI Name],0)),"")</f>
        <v/>
      </c>
      <c r="H661" s="8" t="n">
        <v>0.9489</v>
      </c>
      <c r="I661" s="9">
        <f>IFERROR(IF(INDEX(Tbl_KPIConfig[Direction],MATCH($D661,Tbl_KPIConfig[KPI Name],0))="Lower is Better",IF($H661=0,1,IF($G661=0,0,$G661/$H661)),IF($G661=0,1,$H661/$G661)),0)</f>
        <v/>
      </c>
      <c r="J661" s="8">
        <f>IFERROR(IF($I661&gt;=1,"Green",IF($I661&gt;=INDEX(Tbl_KPIConfig[RAG Threshold %],MATCH($D661,Tbl_KPIConfig[KPI Name],0)),"Amber","Red")),"")</f>
        <v/>
      </c>
      <c r="K661" s="10" t="inlineStr">
        <is>
          <t>Within normal range</t>
        </is>
      </c>
    </row>
    <row r="662">
      <c r="A662" s="11" t="n">
        <v>46219</v>
      </c>
      <c r="B662" s="12">
        <f>IF($A662="","",TEXT($A662,"mmm-yyyy"))</f>
        <v/>
      </c>
      <c r="C662" s="12">
        <f>IF($A662="","","W"&amp;WEEKNUM($A662,2))</f>
        <v/>
      </c>
      <c r="D662" s="12" t="inlineStr">
        <is>
          <t>Breakdown Resolution (Hrs)</t>
        </is>
      </c>
      <c r="E662" s="12">
        <f>IFERROR(INDEX(Tbl_KPIConfig[Department],MATCH($D662,Tbl_KPIConfig[KPI Name],0)),"")</f>
        <v/>
      </c>
      <c r="F662" s="12">
        <f>IFERROR(INDEX(Tbl_KPIConfig[Unit],MATCH($D662,Tbl_KPIConfig[KPI Name],0)),"")</f>
        <v/>
      </c>
      <c r="G662" s="12">
        <f>IFERROR(INDEX(Tbl_KPIConfig[Target],MATCH($D662,Tbl_KPIConfig[KPI Name],0)),"")</f>
        <v/>
      </c>
      <c r="H662" s="12" t="n">
        <v>1.63</v>
      </c>
      <c r="I662" s="13">
        <f>IFERROR(IF(INDEX(Tbl_KPIConfig[Direction],MATCH($D662,Tbl_KPIConfig[KPI Name],0))="Lower is Better",IF($H662=0,1,IF($G662=0,0,$G662/$H662)),IF($G662=0,1,$H662/$G662)),0)</f>
        <v/>
      </c>
      <c r="J662" s="12">
        <f>IFERROR(IF($I662&gt;=1,"Green",IF($I662&gt;=INDEX(Tbl_KPIConfig[RAG Threshold %],MATCH($D662,Tbl_KPIConfig[KPI Name],0)),"Amber","Red")),"")</f>
        <v/>
      </c>
      <c r="K662" s="14" t="inlineStr">
        <is>
          <t>Preventive check done</t>
        </is>
      </c>
    </row>
    <row r="663">
      <c r="A663" s="7" t="n">
        <v>46220</v>
      </c>
      <c r="B663" s="8">
        <f>IF($A663="","",TEXT($A663,"mmm-yyyy"))</f>
        <v/>
      </c>
      <c r="C663" s="8">
        <f>IF($A663="","","W"&amp;WEEKNUM($A663,2))</f>
        <v/>
      </c>
      <c r="D663" s="8" t="inlineStr">
        <is>
          <t>Safety Incidents (LTI)</t>
        </is>
      </c>
      <c r="E663" s="8">
        <f>IFERROR(INDEX(Tbl_KPIConfig[Department],MATCH($D663,Tbl_KPIConfig[KPI Name],0)),"")</f>
        <v/>
      </c>
      <c r="F663" s="8">
        <f>IFERROR(INDEX(Tbl_KPIConfig[Unit],MATCH($D663,Tbl_KPIConfig[KPI Name],0)),"")</f>
        <v/>
      </c>
      <c r="G663" s="8">
        <f>IFERROR(INDEX(Tbl_KPIConfig[Target],MATCH($D663,Tbl_KPIConfig[KPI Name],0)),"")</f>
        <v/>
      </c>
      <c r="H663" s="8" t="n">
        <v>0</v>
      </c>
      <c r="I663" s="9">
        <f>IFERROR(IF(INDEX(Tbl_KPIConfig[Direction],MATCH($D663,Tbl_KPIConfig[KPI Name],0))="Lower is Better",IF($H663=0,1,IF($G663=0,0,$G663/$H663)),IF($G663=0,1,$H663/$G663)),0)</f>
        <v/>
      </c>
      <c r="J663" s="8">
        <f>IFERROR(IF($I663&gt;=1,"Green",IF($I663&gt;=INDEX(Tbl_KPIConfig[RAG Threshold %],MATCH($D663,Tbl_KPIConfig[KPI Name],0)),"Amber","Red")),"")</f>
        <v/>
      </c>
      <c r="K663" s="10" t="inlineStr">
        <is>
          <t>Line changeover impact</t>
        </is>
      </c>
    </row>
    <row r="664">
      <c r="A664" s="11" t="n">
        <v>46220</v>
      </c>
      <c r="B664" s="12">
        <f>IF($A664="","",TEXT($A664,"mmm-yyyy"))</f>
        <v/>
      </c>
      <c r="C664" s="12">
        <f>IF($A664="","","W"&amp;WEEKNUM($A664,2))</f>
        <v/>
      </c>
      <c r="D664" s="12" t="inlineStr">
        <is>
          <t>Near Miss Reports</t>
        </is>
      </c>
      <c r="E664" s="12">
        <f>IFERROR(INDEX(Tbl_KPIConfig[Department],MATCH($D664,Tbl_KPIConfig[KPI Name],0)),"")</f>
        <v/>
      </c>
      <c r="F664" s="12">
        <f>IFERROR(INDEX(Tbl_KPIConfig[Unit],MATCH($D664,Tbl_KPIConfig[KPI Name],0)),"")</f>
        <v/>
      </c>
      <c r="G664" s="12">
        <f>IFERROR(INDEX(Tbl_KPIConfig[Target],MATCH($D664,Tbl_KPIConfig[KPI Name],0)),"")</f>
        <v/>
      </c>
      <c r="H664" s="12" t="n">
        <v>2</v>
      </c>
      <c r="I664" s="13">
        <f>IFERROR(IF(INDEX(Tbl_KPIConfig[Direction],MATCH($D664,Tbl_KPIConfig[KPI Name],0))="Lower is Better",IF($H664=0,1,IF($G664=0,0,$G664/$H664)),IF($G664=0,1,$H664/$G664)),0)</f>
        <v/>
      </c>
      <c r="J664" s="12">
        <f>IFERROR(IF($I664&gt;=1,"Green",IF($I664&gt;=INDEX(Tbl_KPIConfig[RAG Threshold %],MATCH($D664,Tbl_KPIConfig[KPI Name],0)),"Amber","Red")),"")</f>
        <v/>
      </c>
      <c r="K664" s="14" t="inlineStr">
        <is>
          <t>Preventive check done</t>
        </is>
      </c>
    </row>
    <row r="665">
      <c r="A665" s="7" t="n">
        <v>46220</v>
      </c>
      <c r="B665" s="8">
        <f>IF($A665="","",TEXT($A665,"mmm-yyyy"))</f>
        <v/>
      </c>
      <c r="C665" s="8">
        <f>IF($A665="","","W"&amp;WEEKNUM($A665,2))</f>
        <v/>
      </c>
      <c r="D665" s="8" t="inlineStr">
        <is>
          <t>Production Output</t>
        </is>
      </c>
      <c r="E665" s="8">
        <f>IFERROR(INDEX(Tbl_KPIConfig[Department],MATCH($D665,Tbl_KPIConfig[KPI Name],0)),"")</f>
        <v/>
      </c>
      <c r="F665" s="8">
        <f>IFERROR(INDEX(Tbl_KPIConfig[Unit],MATCH($D665,Tbl_KPIConfig[KPI Name],0)),"")</f>
        <v/>
      </c>
      <c r="G665" s="8">
        <f>IFERROR(INDEX(Tbl_KPIConfig[Target],MATCH($D665,Tbl_KPIConfig[KPI Name],0)),"")</f>
        <v/>
      </c>
      <c r="H665" s="8" t="n">
        <v>1118.36</v>
      </c>
      <c r="I665" s="9">
        <f>IFERROR(IF(INDEX(Tbl_KPIConfig[Direction],MATCH($D665,Tbl_KPIConfig[KPI Name],0))="Lower is Better",IF($H665=0,1,IF($G665=0,0,$G665/$H665)),IF($G665=0,1,$H665/$G665)),0)</f>
        <v/>
      </c>
      <c r="J665" s="8">
        <f>IFERROR(IF($I665&gt;=1,"Green",IF($I665&gt;=INDEX(Tbl_KPIConfig[RAG Threshold %],MATCH($D665,Tbl_KPIConfig[KPI Name],0)),"Amber","Red")),"")</f>
        <v/>
      </c>
      <c r="K665" s="10" t="inlineStr">
        <is>
          <t>Awaiting spares</t>
        </is>
      </c>
    </row>
    <row r="666">
      <c r="A666" s="11" t="n">
        <v>46220</v>
      </c>
      <c r="B666" s="12">
        <f>IF($A666="","",TEXT($A666,"mmm-yyyy"))</f>
        <v/>
      </c>
      <c r="C666" s="12">
        <f>IF($A666="","","W"&amp;WEEKNUM($A666,2))</f>
        <v/>
      </c>
      <c r="D666" s="12" t="inlineStr">
        <is>
          <t>OEE %</t>
        </is>
      </c>
      <c r="E666" s="12">
        <f>IFERROR(INDEX(Tbl_KPIConfig[Department],MATCH($D666,Tbl_KPIConfig[KPI Name],0)),"")</f>
        <v/>
      </c>
      <c r="F666" s="12">
        <f>IFERROR(INDEX(Tbl_KPIConfig[Unit],MATCH($D666,Tbl_KPIConfig[KPI Name],0)),"")</f>
        <v/>
      </c>
      <c r="G666" s="12">
        <f>IFERROR(INDEX(Tbl_KPIConfig[Target],MATCH($D666,Tbl_KPIConfig[KPI Name],0)),"")</f>
        <v/>
      </c>
      <c r="H666" s="12" t="n">
        <v>0.8718</v>
      </c>
      <c r="I666" s="13">
        <f>IFERROR(IF(INDEX(Tbl_KPIConfig[Direction],MATCH($D666,Tbl_KPIConfig[KPI Name],0))="Lower is Better",IF($H666=0,1,IF($G666=0,0,$G666/$H666)),IF($G666=0,1,$H666/$G666)),0)</f>
        <v/>
      </c>
      <c r="J666" s="12">
        <f>IFERROR(IF($I666&gt;=1,"Green",IF($I666&gt;=INDEX(Tbl_KPIConfig[RAG Threshold %],MATCH($D666,Tbl_KPIConfig[KPI Name],0)),"Amber","Red")),"")</f>
        <v/>
      </c>
      <c r="K666" s="14" t="inlineStr">
        <is>
          <t>Vendor delay</t>
        </is>
      </c>
    </row>
    <row r="667">
      <c r="A667" s="7" t="n">
        <v>46220</v>
      </c>
      <c r="B667" s="8">
        <f>IF($A667="","",TEXT($A667,"mmm-yyyy"))</f>
        <v/>
      </c>
      <c r="C667" s="8">
        <f>IF($A667="","","W"&amp;WEEKNUM($A667,2))</f>
        <v/>
      </c>
      <c r="D667" s="8" t="inlineStr">
        <is>
          <t>Defect Rate %</t>
        </is>
      </c>
      <c r="E667" s="8">
        <f>IFERROR(INDEX(Tbl_KPIConfig[Department],MATCH($D667,Tbl_KPIConfig[KPI Name],0)),"")</f>
        <v/>
      </c>
      <c r="F667" s="8">
        <f>IFERROR(INDEX(Tbl_KPIConfig[Unit],MATCH($D667,Tbl_KPIConfig[KPI Name],0)),"")</f>
        <v/>
      </c>
      <c r="G667" s="8">
        <f>IFERROR(INDEX(Tbl_KPIConfig[Target],MATCH($D667,Tbl_KPIConfig[KPI Name],0)),"")</f>
        <v/>
      </c>
      <c r="H667" s="8" t="n">
        <v>0.0166</v>
      </c>
      <c r="I667" s="9">
        <f>IFERROR(IF(INDEX(Tbl_KPIConfig[Direction],MATCH($D667,Tbl_KPIConfig[KPI Name],0))="Lower is Better",IF($H667=0,1,IF($G667=0,0,$G667/$H667)),IF($G667=0,1,$H667/$G667)),0)</f>
        <v/>
      </c>
      <c r="J667" s="8">
        <f>IFERROR(IF($I667&gt;=1,"Green",IF($I667&gt;=INDEX(Tbl_KPIConfig[RAG Threshold %],MATCH($D667,Tbl_KPIConfig[KPI Name],0)),"Amber","Red")),"")</f>
        <v/>
      </c>
      <c r="K667" s="10" t="inlineStr">
        <is>
          <t>Line changeover impact</t>
        </is>
      </c>
    </row>
    <row r="668">
      <c r="A668" s="11" t="n">
        <v>46220</v>
      </c>
      <c r="B668" s="12">
        <f>IF($A668="","",TEXT($A668,"mmm-yyyy"))</f>
        <v/>
      </c>
      <c r="C668" s="12">
        <f>IF($A668="","","W"&amp;WEEKNUM($A668,2))</f>
        <v/>
      </c>
      <c r="D668" s="12" t="inlineStr">
        <is>
          <t>Customer Complaints</t>
        </is>
      </c>
      <c r="E668" s="12">
        <f>IFERROR(INDEX(Tbl_KPIConfig[Department],MATCH($D668,Tbl_KPIConfig[KPI Name],0)),"")</f>
        <v/>
      </c>
      <c r="F668" s="12">
        <f>IFERROR(INDEX(Tbl_KPIConfig[Unit],MATCH($D668,Tbl_KPIConfig[KPI Name],0)),"")</f>
        <v/>
      </c>
      <c r="G668" s="12">
        <f>IFERROR(INDEX(Tbl_KPIConfig[Target],MATCH($D668,Tbl_KPIConfig[KPI Name],0)),"")</f>
        <v/>
      </c>
      <c r="H668" s="12" t="n">
        <v>0</v>
      </c>
      <c r="I668" s="13">
        <f>IFERROR(IF(INDEX(Tbl_KPIConfig[Direction],MATCH($D668,Tbl_KPIConfig[KPI Name],0))="Lower is Better",IF($H668=0,1,IF($G668=0,0,$G668/$H668)),IF($G668=0,1,$H668/$G668)),0)</f>
        <v/>
      </c>
      <c r="J668" s="12">
        <f>IFERROR(IF($I668&gt;=1,"Green",IF($I668&gt;=INDEX(Tbl_KPIConfig[RAG Threshold %],MATCH($D668,Tbl_KPIConfig[KPI Name],0)),"Amber","Red")),"")</f>
        <v/>
      </c>
      <c r="K668" s="14" t="inlineStr">
        <is>
          <t>Within normal range</t>
        </is>
      </c>
    </row>
    <row r="669">
      <c r="A669" s="7" t="n">
        <v>46220</v>
      </c>
      <c r="B669" s="8">
        <f>IF($A669="","",TEXT($A669,"mmm-yyyy"))</f>
        <v/>
      </c>
      <c r="C669" s="8">
        <f>IF($A669="","","W"&amp;WEEKNUM($A669,2))</f>
        <v/>
      </c>
      <c r="D669" s="8" t="inlineStr">
        <is>
          <t>Unplanned Downtime (Hrs)</t>
        </is>
      </c>
      <c r="E669" s="8">
        <f>IFERROR(INDEX(Tbl_KPIConfig[Department],MATCH($D669,Tbl_KPIConfig[KPI Name],0)),"")</f>
        <v/>
      </c>
      <c r="F669" s="8">
        <f>IFERROR(INDEX(Tbl_KPIConfig[Unit],MATCH($D669,Tbl_KPIConfig[KPI Name],0)),"")</f>
        <v/>
      </c>
      <c r="G669" s="8">
        <f>IFERROR(INDEX(Tbl_KPIConfig[Target],MATCH($D669,Tbl_KPIConfig[KPI Name],0)),"")</f>
        <v/>
      </c>
      <c r="H669" s="8" t="n">
        <v>0.9</v>
      </c>
      <c r="I669" s="9">
        <f>IFERROR(IF(INDEX(Tbl_KPIConfig[Direction],MATCH($D669,Tbl_KPIConfig[KPI Name],0))="Lower is Better",IF($H669=0,1,IF($G669=0,0,$G669/$H669)),IF($G669=0,1,$H669/$G669)),0)</f>
        <v/>
      </c>
      <c r="J669" s="8">
        <f>IFERROR(IF($I669&gt;=1,"Green",IF($I669&gt;=INDEX(Tbl_KPIConfig[RAG Threshold %],MATCH($D669,Tbl_KPIConfig[KPI Name],0)),"Amber","Red")),"")</f>
        <v/>
      </c>
      <c r="K669" s="10" t="inlineStr">
        <is>
          <t>Preventive check done</t>
        </is>
      </c>
    </row>
    <row r="670">
      <c r="A670" s="11" t="n">
        <v>46220</v>
      </c>
      <c r="B670" s="12">
        <f>IF($A670="","",TEXT($A670,"mmm-yyyy"))</f>
        <v/>
      </c>
      <c r="C670" s="12">
        <f>IF($A670="","","W"&amp;WEEKNUM($A670,2))</f>
        <v/>
      </c>
      <c r="D670" s="12" t="inlineStr">
        <is>
          <t>PM Compliance %</t>
        </is>
      </c>
      <c r="E670" s="12">
        <f>IFERROR(INDEX(Tbl_KPIConfig[Department],MATCH($D670,Tbl_KPIConfig[KPI Name],0)),"")</f>
        <v/>
      </c>
      <c r="F670" s="12">
        <f>IFERROR(INDEX(Tbl_KPIConfig[Unit],MATCH($D670,Tbl_KPIConfig[KPI Name],0)),"")</f>
        <v/>
      </c>
      <c r="G670" s="12">
        <f>IFERROR(INDEX(Tbl_KPIConfig[Target],MATCH($D670,Tbl_KPIConfig[KPI Name],0)),"")</f>
        <v/>
      </c>
      <c r="H670" s="12" t="n">
        <v>0.8796</v>
      </c>
      <c r="I670" s="13">
        <f>IFERROR(IF(INDEX(Tbl_KPIConfig[Direction],MATCH($D670,Tbl_KPIConfig[KPI Name],0))="Lower is Better",IF($H670=0,1,IF($G670=0,0,$G670/$H670)),IF($G670=0,1,$H670/$G670)),0)</f>
        <v/>
      </c>
      <c r="J670" s="12">
        <f>IFERROR(IF($I670&gt;=1,"Green",IF($I670&gt;=INDEX(Tbl_KPIConfig[RAG Threshold %],MATCH($D670,Tbl_KPIConfig[KPI Name],0)),"Amber","Red")),"")</f>
        <v/>
      </c>
      <c r="K670" s="14" t="inlineStr">
        <is>
          <t>Line changeover impact</t>
        </is>
      </c>
    </row>
    <row r="671">
      <c r="A671" s="7" t="n">
        <v>46220</v>
      </c>
      <c r="B671" s="8">
        <f>IF($A671="","",TEXT($A671,"mmm-yyyy"))</f>
        <v/>
      </c>
      <c r="C671" s="8">
        <f>IF($A671="","","W"&amp;WEEKNUM($A671,2))</f>
        <v/>
      </c>
      <c r="D671" s="8" t="inlineStr">
        <is>
          <t>Power Consumption (kWh)</t>
        </is>
      </c>
      <c r="E671" s="8">
        <f>IFERROR(INDEX(Tbl_KPIConfig[Department],MATCH($D671,Tbl_KPIConfig[KPI Name],0)),"")</f>
        <v/>
      </c>
      <c r="F671" s="8">
        <f>IFERROR(INDEX(Tbl_KPIConfig[Unit],MATCH($D671,Tbl_KPIConfig[KPI Name],0)),"")</f>
        <v/>
      </c>
      <c r="G671" s="8">
        <f>IFERROR(INDEX(Tbl_KPIConfig[Target],MATCH($D671,Tbl_KPIConfig[KPI Name],0)),"")</f>
        <v/>
      </c>
      <c r="H671" s="8" t="n">
        <v>3861.66</v>
      </c>
      <c r="I671" s="9">
        <f>IFERROR(IF(INDEX(Tbl_KPIConfig[Direction],MATCH($D671,Tbl_KPIConfig[KPI Name],0))="Lower is Better",IF($H671=0,1,IF($G671=0,0,$G671/$H671)),IF($G671=0,1,$H671/$G671)),0)</f>
        <v/>
      </c>
      <c r="J671" s="8">
        <f>IFERROR(IF($I671&gt;=1,"Green",IF($I671&gt;=INDEX(Tbl_KPIConfig[RAG Threshold %],MATCH($D671,Tbl_KPIConfig[KPI Name],0)),"Amber","Red")),"")</f>
        <v/>
      </c>
      <c r="K671" s="10" t="inlineStr"/>
    </row>
    <row r="672">
      <c r="A672" s="11" t="n">
        <v>46220</v>
      </c>
      <c r="B672" s="12">
        <f>IF($A672="","",TEXT($A672,"mmm-yyyy"))</f>
        <v/>
      </c>
      <c r="C672" s="12">
        <f>IF($A672="","","W"&amp;WEEKNUM($A672,2))</f>
        <v/>
      </c>
      <c r="D672" s="12" t="inlineStr">
        <is>
          <t>On-Time Dispatch %</t>
        </is>
      </c>
      <c r="E672" s="12">
        <f>IFERROR(INDEX(Tbl_KPIConfig[Department],MATCH($D672,Tbl_KPIConfig[KPI Name],0)),"")</f>
        <v/>
      </c>
      <c r="F672" s="12">
        <f>IFERROR(INDEX(Tbl_KPIConfig[Unit],MATCH($D672,Tbl_KPIConfig[KPI Name],0)),"")</f>
        <v/>
      </c>
      <c r="G672" s="12">
        <f>IFERROR(INDEX(Tbl_KPIConfig[Target],MATCH($D672,Tbl_KPIConfig[KPI Name],0)),"")</f>
        <v/>
      </c>
      <c r="H672" s="12" t="n">
        <v>1.0134</v>
      </c>
      <c r="I672" s="13">
        <f>IFERROR(IF(INDEX(Tbl_KPIConfig[Direction],MATCH($D672,Tbl_KPIConfig[KPI Name],0))="Lower is Better",IF($H672=0,1,IF($G672=0,0,$G672/$H672)),IF($G672=0,1,$H672/$G672)),0)</f>
        <v/>
      </c>
      <c r="J672" s="12">
        <f>IFERROR(IF($I672&gt;=1,"Green",IF($I672&gt;=INDEX(Tbl_KPIConfig[RAG Threshold %],MATCH($D672,Tbl_KPIConfig[KPI Name],0)),"Amber","Red")),"")</f>
        <v/>
      </c>
      <c r="K672" s="14" t="inlineStr">
        <is>
          <t>Vendor delay</t>
        </is>
      </c>
    </row>
    <row r="673">
      <c r="A673" s="7" t="n">
        <v>46220</v>
      </c>
      <c r="B673" s="8">
        <f>IF($A673="","",TEXT($A673,"mmm-yyyy"))</f>
        <v/>
      </c>
      <c r="C673" s="8">
        <f>IF($A673="","","W"&amp;WEEKNUM($A673,2))</f>
        <v/>
      </c>
      <c r="D673" s="8" t="inlineStr">
        <is>
          <t>Inventory Accuracy %</t>
        </is>
      </c>
      <c r="E673" s="8">
        <f>IFERROR(INDEX(Tbl_KPIConfig[Department],MATCH($D673,Tbl_KPIConfig[KPI Name],0)),"")</f>
        <v/>
      </c>
      <c r="F673" s="8">
        <f>IFERROR(INDEX(Tbl_KPIConfig[Unit],MATCH($D673,Tbl_KPIConfig[KPI Name],0)),"")</f>
        <v/>
      </c>
      <c r="G673" s="8">
        <f>IFERROR(INDEX(Tbl_KPIConfig[Target],MATCH($D673,Tbl_KPIConfig[KPI Name],0)),"")</f>
        <v/>
      </c>
      <c r="H673" s="8" t="n">
        <v>1.0053</v>
      </c>
      <c r="I673" s="9">
        <f>IFERROR(IF(INDEX(Tbl_KPIConfig[Direction],MATCH($D673,Tbl_KPIConfig[KPI Name],0))="Lower is Better",IF($H673=0,1,IF($G673=0,0,$G673/$H673)),IF($G673=0,1,$H673/$G673)),0)</f>
        <v/>
      </c>
      <c r="J673" s="8">
        <f>IFERROR(IF($I673&gt;=1,"Green",IF($I673&gt;=INDEX(Tbl_KPIConfig[RAG Threshold %],MATCH($D673,Tbl_KPIConfig[KPI Name],0)),"Amber","Red")),"")</f>
        <v/>
      </c>
      <c r="K673" s="10" t="inlineStr"/>
    </row>
    <row r="674">
      <c r="A674" s="11" t="n">
        <v>46220</v>
      </c>
      <c r="B674" s="12">
        <f>IF($A674="","",TEXT($A674,"mmm-yyyy"))</f>
        <v/>
      </c>
      <c r="C674" s="12">
        <f>IF($A674="","","W"&amp;WEEKNUM($A674,2))</f>
        <v/>
      </c>
      <c r="D674" s="12" t="inlineStr">
        <is>
          <t>Absenteeism %</t>
        </is>
      </c>
      <c r="E674" s="12">
        <f>IFERROR(INDEX(Tbl_KPIConfig[Department],MATCH($D674,Tbl_KPIConfig[KPI Name],0)),"")</f>
        <v/>
      </c>
      <c r="F674" s="12">
        <f>IFERROR(INDEX(Tbl_KPIConfig[Unit],MATCH($D674,Tbl_KPIConfig[KPI Name],0)),"")</f>
        <v/>
      </c>
      <c r="G674" s="12">
        <f>IFERROR(INDEX(Tbl_KPIConfig[Target],MATCH($D674,Tbl_KPIConfig[KPI Name],0)),"")</f>
        <v/>
      </c>
      <c r="H674" s="12" t="n">
        <v>0.0357</v>
      </c>
      <c r="I674" s="13">
        <f>IFERROR(IF(INDEX(Tbl_KPIConfig[Direction],MATCH($D674,Tbl_KPIConfig[KPI Name],0))="Lower is Better",IF($H674=0,1,IF($G674=0,0,$G674/$H674)),IF($G674=0,1,$H674/$G674)),0)</f>
        <v/>
      </c>
      <c r="J674" s="12">
        <f>IFERROR(IF($I674&gt;=1,"Green",IF($I674&gt;=INDEX(Tbl_KPIConfig[RAG Threshold %],MATCH($D674,Tbl_KPIConfig[KPI Name],0)),"Amber","Red")),"")</f>
        <v/>
      </c>
      <c r="K674" s="14" t="inlineStr">
        <is>
          <t>Line changeover impact</t>
        </is>
      </c>
    </row>
    <row r="675">
      <c r="A675" s="7" t="n">
        <v>46220</v>
      </c>
      <c r="B675" s="8">
        <f>IF($A675="","",TEXT($A675,"mmm-yyyy"))</f>
        <v/>
      </c>
      <c r="C675" s="8">
        <f>IF($A675="","","W"&amp;WEEKNUM($A675,2))</f>
        <v/>
      </c>
      <c r="D675" s="8" t="inlineStr">
        <is>
          <t>Training Hours</t>
        </is>
      </c>
      <c r="E675" s="8">
        <f>IFERROR(INDEX(Tbl_KPIConfig[Department],MATCH($D675,Tbl_KPIConfig[KPI Name],0)),"")</f>
        <v/>
      </c>
      <c r="F675" s="8">
        <f>IFERROR(INDEX(Tbl_KPIConfig[Unit],MATCH($D675,Tbl_KPIConfig[KPI Name],0)),"")</f>
        <v/>
      </c>
      <c r="G675" s="8">
        <f>IFERROR(INDEX(Tbl_KPIConfig[Target],MATCH($D675,Tbl_KPIConfig[KPI Name],0)),"")</f>
        <v/>
      </c>
      <c r="H675" s="8" t="n">
        <v>1.86</v>
      </c>
      <c r="I675" s="9">
        <f>IFERROR(IF(INDEX(Tbl_KPIConfig[Direction],MATCH($D675,Tbl_KPIConfig[KPI Name],0))="Lower is Better",IF($H675=0,1,IF($G675=0,0,$G675/$H675)),IF($G675=0,1,$H675/$G675)),0)</f>
        <v/>
      </c>
      <c r="J675" s="8">
        <f>IFERROR(IF($I675&gt;=1,"Green",IF($I675&gt;=INDEX(Tbl_KPIConfig[RAG Threshold %],MATCH($D675,Tbl_KPIConfig[KPI Name],0)),"Amber","Red")),"")</f>
        <v/>
      </c>
      <c r="K675" s="10" t="inlineStr">
        <is>
          <t>Vendor delay</t>
        </is>
      </c>
    </row>
    <row r="676">
      <c r="A676" s="11" t="n">
        <v>46220</v>
      </c>
      <c r="B676" s="12">
        <f>IF($A676="","",TEXT($A676,"mmm-yyyy"))</f>
        <v/>
      </c>
      <c r="C676" s="12">
        <f>IF($A676="","","W"&amp;WEEKNUM($A676,2))</f>
        <v/>
      </c>
      <c r="D676" s="12" t="inlineStr">
        <is>
          <t>Milestone Adherence %</t>
        </is>
      </c>
      <c r="E676" s="12">
        <f>IFERROR(INDEX(Tbl_KPIConfig[Department],MATCH($D676,Tbl_KPIConfig[KPI Name],0)),"")</f>
        <v/>
      </c>
      <c r="F676" s="12">
        <f>IFERROR(INDEX(Tbl_KPIConfig[Unit],MATCH($D676,Tbl_KPIConfig[KPI Name],0)),"")</f>
        <v/>
      </c>
      <c r="G676" s="12">
        <f>IFERROR(INDEX(Tbl_KPIConfig[Target],MATCH($D676,Tbl_KPIConfig[KPI Name],0)),"")</f>
        <v/>
      </c>
      <c r="H676" s="12" t="n">
        <v>0.699</v>
      </c>
      <c r="I676" s="13">
        <f>IFERROR(IF(INDEX(Tbl_KPIConfig[Direction],MATCH($D676,Tbl_KPIConfig[KPI Name],0))="Lower is Better",IF($H676=0,1,IF($G676=0,0,$G676/$H676)),IF($G676=0,1,$H676/$G676)),0)</f>
        <v/>
      </c>
      <c r="J676" s="12">
        <f>IFERROR(IF($I676&gt;=1,"Green",IF($I676&gt;=INDEX(Tbl_KPIConfig[RAG Threshold %],MATCH($D676,Tbl_KPIConfig[KPI Name],0)),"Amber","Red")),"")</f>
        <v/>
      </c>
      <c r="K676" s="14" t="inlineStr">
        <is>
          <t>Preventive check done</t>
        </is>
      </c>
    </row>
    <row r="677">
      <c r="A677" s="7" t="n">
        <v>46220</v>
      </c>
      <c r="B677" s="8">
        <f>IF($A677="","",TEXT($A677,"mmm-yyyy"))</f>
        <v/>
      </c>
      <c r="C677" s="8">
        <f>IF($A677="","","W"&amp;WEEKNUM($A677,2))</f>
        <v/>
      </c>
      <c r="D677" s="8" t="inlineStr">
        <is>
          <t>Breakdown Resolution (Hrs)</t>
        </is>
      </c>
      <c r="E677" s="8">
        <f>IFERROR(INDEX(Tbl_KPIConfig[Department],MATCH($D677,Tbl_KPIConfig[KPI Name],0)),"")</f>
        <v/>
      </c>
      <c r="F677" s="8">
        <f>IFERROR(INDEX(Tbl_KPIConfig[Unit],MATCH($D677,Tbl_KPIConfig[KPI Name],0)),"")</f>
        <v/>
      </c>
      <c r="G677" s="8">
        <f>IFERROR(INDEX(Tbl_KPIConfig[Target],MATCH($D677,Tbl_KPIConfig[KPI Name],0)),"")</f>
        <v/>
      </c>
      <c r="H677" s="8" t="n">
        <v>1.8</v>
      </c>
      <c r="I677" s="9">
        <f>IFERROR(IF(INDEX(Tbl_KPIConfig[Direction],MATCH($D677,Tbl_KPIConfig[KPI Name],0))="Lower is Better",IF($H677=0,1,IF($G677=0,0,$G677/$H677)),IF($G677=0,1,$H677/$G677)),0)</f>
        <v/>
      </c>
      <c r="J677" s="8">
        <f>IFERROR(IF($I677&gt;=1,"Green",IF($I677&gt;=INDEX(Tbl_KPIConfig[RAG Threshold %],MATCH($D677,Tbl_KPIConfig[KPI Name],0)),"Amber","Red")),"")</f>
        <v/>
      </c>
      <c r="K677" s="10" t="inlineStr">
        <is>
          <t>Process improvement in progress</t>
        </is>
      </c>
    </row>
    <row r="678">
      <c r="A678" s="12" t="n"/>
      <c r="B678" s="12">
        <f>IF($A678="","",TEXT($A678,"mmm-yyyy"))</f>
        <v/>
      </c>
      <c r="C678" s="12">
        <f>IF($A678="","","W"&amp;WEEKNUM($A678,2))</f>
        <v/>
      </c>
      <c r="D678" s="12" t="n"/>
      <c r="E678" s="12">
        <f>IFERROR(INDEX(Tbl_KPIConfig[Department],MATCH($D678,Tbl_KPIConfig[KPI Name],0)),"")</f>
        <v/>
      </c>
      <c r="F678" s="12">
        <f>IFERROR(INDEX(Tbl_KPIConfig[Unit],MATCH($D678,Tbl_KPIConfig[KPI Name],0)),"")</f>
        <v/>
      </c>
      <c r="G678" s="12">
        <f>IFERROR(INDEX(Tbl_KPIConfig[Target],MATCH($D678,Tbl_KPIConfig[KPI Name],0)),"")</f>
        <v/>
      </c>
      <c r="H678" s="12" t="n"/>
      <c r="I678" s="13">
        <f>IFERROR(IF(INDEX(Tbl_KPIConfig[Direction],MATCH($D678,Tbl_KPIConfig[KPI Name],0))="Lower is Better",IF($H678=0,1,IF($G678=0,0,$G678/$H678)),IF($G678=0,1,$H678/$G678)),0)</f>
        <v/>
      </c>
      <c r="J678" s="12">
        <f>IFERROR(IF($I678&gt;=1,"Green",IF($I678&gt;=INDEX(Tbl_KPIConfig[RAG Threshold %],MATCH($D678,Tbl_KPIConfig[KPI Name],0)),"Amber","Red")),"")</f>
        <v/>
      </c>
      <c r="K678" s="14" t="n"/>
    </row>
    <row r="679">
      <c r="A679" s="8" t="n"/>
      <c r="B679" s="8">
        <f>IF($A679="","",TEXT($A679,"mmm-yyyy"))</f>
        <v/>
      </c>
      <c r="C679" s="8">
        <f>IF($A679="","","W"&amp;WEEKNUM($A679,2))</f>
        <v/>
      </c>
      <c r="D679" s="8" t="n"/>
      <c r="E679" s="8">
        <f>IFERROR(INDEX(Tbl_KPIConfig[Department],MATCH($D679,Tbl_KPIConfig[KPI Name],0)),"")</f>
        <v/>
      </c>
      <c r="F679" s="8">
        <f>IFERROR(INDEX(Tbl_KPIConfig[Unit],MATCH($D679,Tbl_KPIConfig[KPI Name],0)),"")</f>
        <v/>
      </c>
      <c r="G679" s="8">
        <f>IFERROR(INDEX(Tbl_KPIConfig[Target],MATCH($D679,Tbl_KPIConfig[KPI Name],0)),"")</f>
        <v/>
      </c>
      <c r="H679" s="8" t="n"/>
      <c r="I679" s="9">
        <f>IFERROR(IF(INDEX(Tbl_KPIConfig[Direction],MATCH($D679,Tbl_KPIConfig[KPI Name],0))="Lower is Better",IF($H679=0,1,IF($G679=0,0,$G679/$H679)),IF($G679=0,1,$H679/$G679)),0)</f>
        <v/>
      </c>
      <c r="J679" s="8">
        <f>IFERROR(IF($I679&gt;=1,"Green",IF($I679&gt;=INDEX(Tbl_KPIConfig[RAG Threshold %],MATCH($D679,Tbl_KPIConfig[KPI Name],0)),"Amber","Red")),"")</f>
        <v/>
      </c>
      <c r="K679" s="10" t="n"/>
    </row>
    <row r="680">
      <c r="A680" s="12" t="n"/>
      <c r="B680" s="12">
        <f>IF($A680="","",TEXT($A680,"mmm-yyyy"))</f>
        <v/>
      </c>
      <c r="C680" s="12">
        <f>IF($A680="","","W"&amp;WEEKNUM($A680,2))</f>
        <v/>
      </c>
      <c r="D680" s="12" t="n"/>
      <c r="E680" s="12">
        <f>IFERROR(INDEX(Tbl_KPIConfig[Department],MATCH($D680,Tbl_KPIConfig[KPI Name],0)),"")</f>
        <v/>
      </c>
      <c r="F680" s="12">
        <f>IFERROR(INDEX(Tbl_KPIConfig[Unit],MATCH($D680,Tbl_KPIConfig[KPI Name],0)),"")</f>
        <v/>
      </c>
      <c r="G680" s="12">
        <f>IFERROR(INDEX(Tbl_KPIConfig[Target],MATCH($D680,Tbl_KPIConfig[KPI Name],0)),"")</f>
        <v/>
      </c>
      <c r="H680" s="12" t="n"/>
      <c r="I680" s="13">
        <f>IFERROR(IF(INDEX(Tbl_KPIConfig[Direction],MATCH($D680,Tbl_KPIConfig[KPI Name],0))="Lower is Better",IF($H680=0,1,IF($G680=0,0,$G680/$H680)),IF($G680=0,1,$H680/$G680)),0)</f>
        <v/>
      </c>
      <c r="J680" s="12">
        <f>IFERROR(IF($I680&gt;=1,"Green",IF($I680&gt;=INDEX(Tbl_KPIConfig[RAG Threshold %],MATCH($D680,Tbl_KPIConfig[KPI Name],0)),"Amber","Red")),"")</f>
        <v/>
      </c>
      <c r="K680" s="14" t="n"/>
    </row>
    <row r="681">
      <c r="A681" s="8" t="n"/>
      <c r="B681" s="8">
        <f>IF($A681="","",TEXT($A681,"mmm-yyyy"))</f>
        <v/>
      </c>
      <c r="C681" s="8">
        <f>IF($A681="","","W"&amp;WEEKNUM($A681,2))</f>
        <v/>
      </c>
      <c r="D681" s="8" t="n"/>
      <c r="E681" s="8">
        <f>IFERROR(INDEX(Tbl_KPIConfig[Department],MATCH($D681,Tbl_KPIConfig[KPI Name],0)),"")</f>
        <v/>
      </c>
      <c r="F681" s="8">
        <f>IFERROR(INDEX(Tbl_KPIConfig[Unit],MATCH($D681,Tbl_KPIConfig[KPI Name],0)),"")</f>
        <v/>
      </c>
      <c r="G681" s="8">
        <f>IFERROR(INDEX(Tbl_KPIConfig[Target],MATCH($D681,Tbl_KPIConfig[KPI Name],0)),"")</f>
        <v/>
      </c>
      <c r="H681" s="8" t="n"/>
      <c r="I681" s="9">
        <f>IFERROR(IF(INDEX(Tbl_KPIConfig[Direction],MATCH($D681,Tbl_KPIConfig[KPI Name],0))="Lower is Better",IF($H681=0,1,IF($G681=0,0,$G681/$H681)),IF($G681=0,1,$H681/$G681)),0)</f>
        <v/>
      </c>
      <c r="J681" s="8">
        <f>IFERROR(IF($I681&gt;=1,"Green",IF($I681&gt;=INDEX(Tbl_KPIConfig[RAG Threshold %],MATCH($D681,Tbl_KPIConfig[KPI Name],0)),"Amber","Red")),"")</f>
        <v/>
      </c>
      <c r="K681" s="10" t="n"/>
    </row>
    <row r="682">
      <c r="A682" s="12" t="n"/>
      <c r="B682" s="12">
        <f>IF($A682="","",TEXT($A682,"mmm-yyyy"))</f>
        <v/>
      </c>
      <c r="C682" s="12">
        <f>IF($A682="","","W"&amp;WEEKNUM($A682,2))</f>
        <v/>
      </c>
      <c r="D682" s="12" t="n"/>
      <c r="E682" s="12">
        <f>IFERROR(INDEX(Tbl_KPIConfig[Department],MATCH($D682,Tbl_KPIConfig[KPI Name],0)),"")</f>
        <v/>
      </c>
      <c r="F682" s="12">
        <f>IFERROR(INDEX(Tbl_KPIConfig[Unit],MATCH($D682,Tbl_KPIConfig[KPI Name],0)),"")</f>
        <v/>
      </c>
      <c r="G682" s="12">
        <f>IFERROR(INDEX(Tbl_KPIConfig[Target],MATCH($D682,Tbl_KPIConfig[KPI Name],0)),"")</f>
        <v/>
      </c>
      <c r="H682" s="12" t="n"/>
      <c r="I682" s="13">
        <f>IFERROR(IF(INDEX(Tbl_KPIConfig[Direction],MATCH($D682,Tbl_KPIConfig[KPI Name],0))="Lower is Better",IF($H682=0,1,IF($G682=0,0,$G682/$H682)),IF($G682=0,1,$H682/$G682)),0)</f>
        <v/>
      </c>
      <c r="J682" s="12">
        <f>IFERROR(IF($I682&gt;=1,"Green",IF($I682&gt;=INDEX(Tbl_KPIConfig[RAG Threshold %],MATCH($D682,Tbl_KPIConfig[KPI Name],0)),"Amber","Red")),"")</f>
        <v/>
      </c>
      <c r="K682" s="14" t="n"/>
    </row>
    <row r="683">
      <c r="A683" s="8" t="n"/>
      <c r="B683" s="8">
        <f>IF($A683="","",TEXT($A683,"mmm-yyyy"))</f>
        <v/>
      </c>
      <c r="C683" s="8">
        <f>IF($A683="","","W"&amp;WEEKNUM($A683,2))</f>
        <v/>
      </c>
      <c r="D683" s="8" t="n"/>
      <c r="E683" s="8">
        <f>IFERROR(INDEX(Tbl_KPIConfig[Department],MATCH($D683,Tbl_KPIConfig[KPI Name],0)),"")</f>
        <v/>
      </c>
      <c r="F683" s="8">
        <f>IFERROR(INDEX(Tbl_KPIConfig[Unit],MATCH($D683,Tbl_KPIConfig[KPI Name],0)),"")</f>
        <v/>
      </c>
      <c r="G683" s="8">
        <f>IFERROR(INDEX(Tbl_KPIConfig[Target],MATCH($D683,Tbl_KPIConfig[KPI Name],0)),"")</f>
        <v/>
      </c>
      <c r="H683" s="8" t="n"/>
      <c r="I683" s="9">
        <f>IFERROR(IF(INDEX(Tbl_KPIConfig[Direction],MATCH($D683,Tbl_KPIConfig[KPI Name],0))="Lower is Better",IF($H683=0,1,IF($G683=0,0,$G683/$H683)),IF($G683=0,1,$H683/$G683)),0)</f>
        <v/>
      </c>
      <c r="J683" s="8">
        <f>IFERROR(IF($I683&gt;=1,"Green",IF($I683&gt;=INDEX(Tbl_KPIConfig[RAG Threshold %],MATCH($D683,Tbl_KPIConfig[KPI Name],0)),"Amber","Red")),"")</f>
        <v/>
      </c>
      <c r="K683" s="10" t="n"/>
    </row>
    <row r="684">
      <c r="A684" s="12" t="n"/>
      <c r="B684" s="12">
        <f>IF($A684="","",TEXT($A684,"mmm-yyyy"))</f>
        <v/>
      </c>
      <c r="C684" s="12">
        <f>IF($A684="","","W"&amp;WEEKNUM($A684,2))</f>
        <v/>
      </c>
      <c r="D684" s="12" t="n"/>
      <c r="E684" s="12">
        <f>IFERROR(INDEX(Tbl_KPIConfig[Department],MATCH($D684,Tbl_KPIConfig[KPI Name],0)),"")</f>
        <v/>
      </c>
      <c r="F684" s="12">
        <f>IFERROR(INDEX(Tbl_KPIConfig[Unit],MATCH($D684,Tbl_KPIConfig[KPI Name],0)),"")</f>
        <v/>
      </c>
      <c r="G684" s="12">
        <f>IFERROR(INDEX(Tbl_KPIConfig[Target],MATCH($D684,Tbl_KPIConfig[KPI Name],0)),"")</f>
        <v/>
      </c>
      <c r="H684" s="12" t="n"/>
      <c r="I684" s="13">
        <f>IFERROR(IF(INDEX(Tbl_KPIConfig[Direction],MATCH($D684,Tbl_KPIConfig[KPI Name],0))="Lower is Better",IF($H684=0,1,IF($G684=0,0,$G684/$H684)),IF($G684=0,1,$H684/$G684)),0)</f>
        <v/>
      </c>
      <c r="J684" s="12">
        <f>IFERROR(IF($I684&gt;=1,"Green",IF($I684&gt;=INDEX(Tbl_KPIConfig[RAG Threshold %],MATCH($D684,Tbl_KPIConfig[KPI Name],0)),"Amber","Red")),"")</f>
        <v/>
      </c>
      <c r="K684" s="14" t="n"/>
    </row>
    <row r="685">
      <c r="A685" s="8" t="n"/>
      <c r="B685" s="8">
        <f>IF($A685="","",TEXT($A685,"mmm-yyyy"))</f>
        <v/>
      </c>
      <c r="C685" s="8">
        <f>IF($A685="","","W"&amp;WEEKNUM($A685,2))</f>
        <v/>
      </c>
      <c r="D685" s="8" t="n"/>
      <c r="E685" s="8">
        <f>IFERROR(INDEX(Tbl_KPIConfig[Department],MATCH($D685,Tbl_KPIConfig[KPI Name],0)),"")</f>
        <v/>
      </c>
      <c r="F685" s="8">
        <f>IFERROR(INDEX(Tbl_KPIConfig[Unit],MATCH($D685,Tbl_KPIConfig[KPI Name],0)),"")</f>
        <v/>
      </c>
      <c r="G685" s="8">
        <f>IFERROR(INDEX(Tbl_KPIConfig[Target],MATCH($D685,Tbl_KPIConfig[KPI Name],0)),"")</f>
        <v/>
      </c>
      <c r="H685" s="8" t="n"/>
      <c r="I685" s="9">
        <f>IFERROR(IF(INDEX(Tbl_KPIConfig[Direction],MATCH($D685,Tbl_KPIConfig[KPI Name],0))="Lower is Better",IF($H685=0,1,IF($G685=0,0,$G685/$H685)),IF($G685=0,1,$H685/$G685)),0)</f>
        <v/>
      </c>
      <c r="J685" s="8">
        <f>IFERROR(IF($I685&gt;=1,"Green",IF($I685&gt;=INDEX(Tbl_KPIConfig[RAG Threshold %],MATCH($D685,Tbl_KPIConfig[KPI Name],0)),"Amber","Red")),"")</f>
        <v/>
      </c>
      <c r="K685" s="10" t="n"/>
    </row>
    <row r="686">
      <c r="A686" s="12" t="n"/>
      <c r="B686" s="12">
        <f>IF($A686="","",TEXT($A686,"mmm-yyyy"))</f>
        <v/>
      </c>
      <c r="C686" s="12">
        <f>IF($A686="","","W"&amp;WEEKNUM($A686,2))</f>
        <v/>
      </c>
      <c r="D686" s="12" t="n"/>
      <c r="E686" s="12">
        <f>IFERROR(INDEX(Tbl_KPIConfig[Department],MATCH($D686,Tbl_KPIConfig[KPI Name],0)),"")</f>
        <v/>
      </c>
      <c r="F686" s="12">
        <f>IFERROR(INDEX(Tbl_KPIConfig[Unit],MATCH($D686,Tbl_KPIConfig[KPI Name],0)),"")</f>
        <v/>
      </c>
      <c r="G686" s="12">
        <f>IFERROR(INDEX(Tbl_KPIConfig[Target],MATCH($D686,Tbl_KPIConfig[KPI Name],0)),"")</f>
        <v/>
      </c>
      <c r="H686" s="12" t="n"/>
      <c r="I686" s="13">
        <f>IFERROR(IF(INDEX(Tbl_KPIConfig[Direction],MATCH($D686,Tbl_KPIConfig[KPI Name],0))="Lower is Better",IF($H686=0,1,IF($G686=0,0,$G686/$H686)),IF($G686=0,1,$H686/$G686)),0)</f>
        <v/>
      </c>
      <c r="J686" s="12">
        <f>IFERROR(IF($I686&gt;=1,"Green",IF($I686&gt;=INDEX(Tbl_KPIConfig[RAG Threshold %],MATCH($D686,Tbl_KPIConfig[KPI Name],0)),"Amber","Red")),"")</f>
        <v/>
      </c>
      <c r="K686" s="14" t="n"/>
    </row>
    <row r="687">
      <c r="A687" s="8" t="n"/>
      <c r="B687" s="8">
        <f>IF($A687="","",TEXT($A687,"mmm-yyyy"))</f>
        <v/>
      </c>
      <c r="C687" s="8">
        <f>IF($A687="","","W"&amp;WEEKNUM($A687,2))</f>
        <v/>
      </c>
      <c r="D687" s="8" t="n"/>
      <c r="E687" s="8">
        <f>IFERROR(INDEX(Tbl_KPIConfig[Department],MATCH($D687,Tbl_KPIConfig[KPI Name],0)),"")</f>
        <v/>
      </c>
      <c r="F687" s="8">
        <f>IFERROR(INDEX(Tbl_KPIConfig[Unit],MATCH($D687,Tbl_KPIConfig[KPI Name],0)),"")</f>
        <v/>
      </c>
      <c r="G687" s="8">
        <f>IFERROR(INDEX(Tbl_KPIConfig[Target],MATCH($D687,Tbl_KPIConfig[KPI Name],0)),"")</f>
        <v/>
      </c>
      <c r="H687" s="8" t="n"/>
      <c r="I687" s="9">
        <f>IFERROR(IF(INDEX(Tbl_KPIConfig[Direction],MATCH($D687,Tbl_KPIConfig[KPI Name],0))="Lower is Better",IF($H687=0,1,IF($G687=0,0,$G687/$H687)),IF($G687=0,1,$H687/$G687)),0)</f>
        <v/>
      </c>
      <c r="J687" s="8">
        <f>IFERROR(IF($I687&gt;=1,"Green",IF($I687&gt;=INDEX(Tbl_KPIConfig[RAG Threshold %],MATCH($D687,Tbl_KPIConfig[KPI Name],0)),"Amber","Red")),"")</f>
        <v/>
      </c>
      <c r="K687" s="10" t="n"/>
    </row>
    <row r="688">
      <c r="A688" s="12" t="n"/>
      <c r="B688" s="12">
        <f>IF($A688="","",TEXT($A688,"mmm-yyyy"))</f>
        <v/>
      </c>
      <c r="C688" s="12">
        <f>IF($A688="","","W"&amp;WEEKNUM($A688,2))</f>
        <v/>
      </c>
      <c r="D688" s="12" t="n"/>
      <c r="E688" s="12">
        <f>IFERROR(INDEX(Tbl_KPIConfig[Department],MATCH($D688,Tbl_KPIConfig[KPI Name],0)),"")</f>
        <v/>
      </c>
      <c r="F688" s="12">
        <f>IFERROR(INDEX(Tbl_KPIConfig[Unit],MATCH($D688,Tbl_KPIConfig[KPI Name],0)),"")</f>
        <v/>
      </c>
      <c r="G688" s="12">
        <f>IFERROR(INDEX(Tbl_KPIConfig[Target],MATCH($D688,Tbl_KPIConfig[KPI Name],0)),"")</f>
        <v/>
      </c>
      <c r="H688" s="12" t="n"/>
      <c r="I688" s="13">
        <f>IFERROR(IF(INDEX(Tbl_KPIConfig[Direction],MATCH($D688,Tbl_KPIConfig[KPI Name],0))="Lower is Better",IF($H688=0,1,IF($G688=0,0,$G688/$H688)),IF($G688=0,1,$H688/$G688)),0)</f>
        <v/>
      </c>
      <c r="J688" s="12">
        <f>IFERROR(IF($I688&gt;=1,"Green",IF($I688&gt;=INDEX(Tbl_KPIConfig[RAG Threshold %],MATCH($D688,Tbl_KPIConfig[KPI Name],0)),"Amber","Red")),"")</f>
        <v/>
      </c>
      <c r="K688" s="14" t="n"/>
    </row>
    <row r="689">
      <c r="A689" s="8" t="n"/>
      <c r="B689" s="8">
        <f>IF($A689="","",TEXT($A689,"mmm-yyyy"))</f>
        <v/>
      </c>
      <c r="C689" s="8">
        <f>IF($A689="","","W"&amp;WEEKNUM($A689,2))</f>
        <v/>
      </c>
      <c r="D689" s="8" t="n"/>
      <c r="E689" s="8">
        <f>IFERROR(INDEX(Tbl_KPIConfig[Department],MATCH($D689,Tbl_KPIConfig[KPI Name],0)),"")</f>
        <v/>
      </c>
      <c r="F689" s="8">
        <f>IFERROR(INDEX(Tbl_KPIConfig[Unit],MATCH($D689,Tbl_KPIConfig[KPI Name],0)),"")</f>
        <v/>
      </c>
      <c r="G689" s="8">
        <f>IFERROR(INDEX(Tbl_KPIConfig[Target],MATCH($D689,Tbl_KPIConfig[KPI Name],0)),"")</f>
        <v/>
      </c>
      <c r="H689" s="8" t="n"/>
      <c r="I689" s="9">
        <f>IFERROR(IF(INDEX(Tbl_KPIConfig[Direction],MATCH($D689,Tbl_KPIConfig[KPI Name],0))="Lower is Better",IF($H689=0,1,IF($G689=0,0,$G689/$H689)),IF($G689=0,1,$H689/$G689)),0)</f>
        <v/>
      </c>
      <c r="J689" s="8">
        <f>IFERROR(IF($I689&gt;=1,"Green",IF($I689&gt;=INDEX(Tbl_KPIConfig[RAG Threshold %],MATCH($D689,Tbl_KPIConfig[KPI Name],0)),"Amber","Red")),"")</f>
        <v/>
      </c>
      <c r="K689" s="10" t="n"/>
    </row>
    <row r="690">
      <c r="A690" s="12" t="n"/>
      <c r="B690" s="12">
        <f>IF($A690="","",TEXT($A690,"mmm-yyyy"))</f>
        <v/>
      </c>
      <c r="C690" s="12">
        <f>IF($A690="","","W"&amp;WEEKNUM($A690,2))</f>
        <v/>
      </c>
      <c r="D690" s="12" t="n"/>
      <c r="E690" s="12">
        <f>IFERROR(INDEX(Tbl_KPIConfig[Department],MATCH($D690,Tbl_KPIConfig[KPI Name],0)),"")</f>
        <v/>
      </c>
      <c r="F690" s="12">
        <f>IFERROR(INDEX(Tbl_KPIConfig[Unit],MATCH($D690,Tbl_KPIConfig[KPI Name],0)),"")</f>
        <v/>
      </c>
      <c r="G690" s="12">
        <f>IFERROR(INDEX(Tbl_KPIConfig[Target],MATCH($D690,Tbl_KPIConfig[KPI Name],0)),"")</f>
        <v/>
      </c>
      <c r="H690" s="12" t="n"/>
      <c r="I690" s="13">
        <f>IFERROR(IF(INDEX(Tbl_KPIConfig[Direction],MATCH($D690,Tbl_KPIConfig[KPI Name],0))="Lower is Better",IF($H690=0,1,IF($G690=0,0,$G690/$H690)),IF($G690=0,1,$H690/$G690)),0)</f>
        <v/>
      </c>
      <c r="J690" s="12">
        <f>IFERROR(IF($I690&gt;=1,"Green",IF($I690&gt;=INDEX(Tbl_KPIConfig[RAG Threshold %],MATCH($D690,Tbl_KPIConfig[KPI Name],0)),"Amber","Red")),"")</f>
        <v/>
      </c>
      <c r="K690" s="14" t="n"/>
    </row>
    <row r="691">
      <c r="A691" s="8" t="n"/>
      <c r="B691" s="8">
        <f>IF($A691="","",TEXT($A691,"mmm-yyyy"))</f>
        <v/>
      </c>
      <c r="C691" s="8">
        <f>IF($A691="","","W"&amp;WEEKNUM($A691,2))</f>
        <v/>
      </c>
      <c r="D691" s="8" t="n"/>
      <c r="E691" s="8">
        <f>IFERROR(INDEX(Tbl_KPIConfig[Department],MATCH($D691,Tbl_KPIConfig[KPI Name],0)),"")</f>
        <v/>
      </c>
      <c r="F691" s="8">
        <f>IFERROR(INDEX(Tbl_KPIConfig[Unit],MATCH($D691,Tbl_KPIConfig[KPI Name],0)),"")</f>
        <v/>
      </c>
      <c r="G691" s="8">
        <f>IFERROR(INDEX(Tbl_KPIConfig[Target],MATCH($D691,Tbl_KPIConfig[KPI Name],0)),"")</f>
        <v/>
      </c>
      <c r="H691" s="8" t="n"/>
      <c r="I691" s="9">
        <f>IFERROR(IF(INDEX(Tbl_KPIConfig[Direction],MATCH($D691,Tbl_KPIConfig[KPI Name],0))="Lower is Better",IF($H691=0,1,IF($G691=0,0,$G691/$H691)),IF($G691=0,1,$H691/$G691)),0)</f>
        <v/>
      </c>
      <c r="J691" s="8">
        <f>IFERROR(IF($I691&gt;=1,"Green",IF($I691&gt;=INDEX(Tbl_KPIConfig[RAG Threshold %],MATCH($D691,Tbl_KPIConfig[KPI Name],0)),"Amber","Red")),"")</f>
        <v/>
      </c>
      <c r="K691" s="10" t="n"/>
    </row>
    <row r="692">
      <c r="A692" s="12" t="n"/>
      <c r="B692" s="12">
        <f>IF($A692="","",TEXT($A692,"mmm-yyyy"))</f>
        <v/>
      </c>
      <c r="C692" s="12">
        <f>IF($A692="","","W"&amp;WEEKNUM($A692,2))</f>
        <v/>
      </c>
      <c r="D692" s="12" t="n"/>
      <c r="E692" s="12">
        <f>IFERROR(INDEX(Tbl_KPIConfig[Department],MATCH($D692,Tbl_KPIConfig[KPI Name],0)),"")</f>
        <v/>
      </c>
      <c r="F692" s="12">
        <f>IFERROR(INDEX(Tbl_KPIConfig[Unit],MATCH($D692,Tbl_KPIConfig[KPI Name],0)),"")</f>
        <v/>
      </c>
      <c r="G692" s="12">
        <f>IFERROR(INDEX(Tbl_KPIConfig[Target],MATCH($D692,Tbl_KPIConfig[KPI Name],0)),"")</f>
        <v/>
      </c>
      <c r="H692" s="12" t="n"/>
      <c r="I692" s="13">
        <f>IFERROR(IF(INDEX(Tbl_KPIConfig[Direction],MATCH($D692,Tbl_KPIConfig[KPI Name],0))="Lower is Better",IF($H692=0,1,IF($G692=0,0,$G692/$H692)),IF($G692=0,1,$H692/$G692)),0)</f>
        <v/>
      </c>
      <c r="J692" s="12">
        <f>IFERROR(IF($I692&gt;=1,"Green",IF($I692&gt;=INDEX(Tbl_KPIConfig[RAG Threshold %],MATCH($D692,Tbl_KPIConfig[KPI Name],0)),"Amber","Red")),"")</f>
        <v/>
      </c>
      <c r="K692" s="14" t="n"/>
    </row>
    <row r="693">
      <c r="A693" s="8" t="n"/>
      <c r="B693" s="8">
        <f>IF($A693="","",TEXT($A693,"mmm-yyyy"))</f>
        <v/>
      </c>
      <c r="C693" s="8">
        <f>IF($A693="","","W"&amp;WEEKNUM($A693,2))</f>
        <v/>
      </c>
      <c r="D693" s="8" t="n"/>
      <c r="E693" s="8">
        <f>IFERROR(INDEX(Tbl_KPIConfig[Department],MATCH($D693,Tbl_KPIConfig[KPI Name],0)),"")</f>
        <v/>
      </c>
      <c r="F693" s="8">
        <f>IFERROR(INDEX(Tbl_KPIConfig[Unit],MATCH($D693,Tbl_KPIConfig[KPI Name],0)),"")</f>
        <v/>
      </c>
      <c r="G693" s="8">
        <f>IFERROR(INDEX(Tbl_KPIConfig[Target],MATCH($D693,Tbl_KPIConfig[KPI Name],0)),"")</f>
        <v/>
      </c>
      <c r="H693" s="8" t="n"/>
      <c r="I693" s="9">
        <f>IFERROR(IF(INDEX(Tbl_KPIConfig[Direction],MATCH($D693,Tbl_KPIConfig[KPI Name],0))="Lower is Better",IF($H693=0,1,IF($G693=0,0,$G693/$H693)),IF($G693=0,1,$H693/$G693)),0)</f>
        <v/>
      </c>
      <c r="J693" s="8">
        <f>IFERROR(IF($I693&gt;=1,"Green",IF($I693&gt;=INDEX(Tbl_KPIConfig[RAG Threshold %],MATCH($D693,Tbl_KPIConfig[KPI Name],0)),"Amber","Red")),"")</f>
        <v/>
      </c>
      <c r="K693" s="10" t="n"/>
    </row>
    <row r="694">
      <c r="A694" s="12" t="n"/>
      <c r="B694" s="12">
        <f>IF($A694="","",TEXT($A694,"mmm-yyyy"))</f>
        <v/>
      </c>
      <c r="C694" s="12">
        <f>IF($A694="","","W"&amp;WEEKNUM($A694,2))</f>
        <v/>
      </c>
      <c r="D694" s="12" t="n"/>
      <c r="E694" s="12">
        <f>IFERROR(INDEX(Tbl_KPIConfig[Department],MATCH($D694,Tbl_KPIConfig[KPI Name],0)),"")</f>
        <v/>
      </c>
      <c r="F694" s="12">
        <f>IFERROR(INDEX(Tbl_KPIConfig[Unit],MATCH($D694,Tbl_KPIConfig[KPI Name],0)),"")</f>
        <v/>
      </c>
      <c r="G694" s="12">
        <f>IFERROR(INDEX(Tbl_KPIConfig[Target],MATCH($D694,Tbl_KPIConfig[KPI Name],0)),"")</f>
        <v/>
      </c>
      <c r="H694" s="12" t="n"/>
      <c r="I694" s="13">
        <f>IFERROR(IF(INDEX(Tbl_KPIConfig[Direction],MATCH($D694,Tbl_KPIConfig[KPI Name],0))="Lower is Better",IF($H694=0,1,IF($G694=0,0,$G694/$H694)),IF($G694=0,1,$H694/$G694)),0)</f>
        <v/>
      </c>
      <c r="J694" s="12">
        <f>IFERROR(IF($I694&gt;=1,"Green",IF($I694&gt;=INDEX(Tbl_KPIConfig[RAG Threshold %],MATCH($D694,Tbl_KPIConfig[KPI Name],0)),"Amber","Red")),"")</f>
        <v/>
      </c>
      <c r="K694" s="14" t="n"/>
    </row>
    <row r="695">
      <c r="A695" s="8" t="n"/>
      <c r="B695" s="8">
        <f>IF($A695="","",TEXT($A695,"mmm-yyyy"))</f>
        <v/>
      </c>
      <c r="C695" s="8">
        <f>IF($A695="","","W"&amp;WEEKNUM($A695,2))</f>
        <v/>
      </c>
      <c r="D695" s="8" t="n"/>
      <c r="E695" s="8">
        <f>IFERROR(INDEX(Tbl_KPIConfig[Department],MATCH($D695,Tbl_KPIConfig[KPI Name],0)),"")</f>
        <v/>
      </c>
      <c r="F695" s="8">
        <f>IFERROR(INDEX(Tbl_KPIConfig[Unit],MATCH($D695,Tbl_KPIConfig[KPI Name],0)),"")</f>
        <v/>
      </c>
      <c r="G695" s="8">
        <f>IFERROR(INDEX(Tbl_KPIConfig[Target],MATCH($D695,Tbl_KPIConfig[KPI Name],0)),"")</f>
        <v/>
      </c>
      <c r="H695" s="8" t="n"/>
      <c r="I695" s="9">
        <f>IFERROR(IF(INDEX(Tbl_KPIConfig[Direction],MATCH($D695,Tbl_KPIConfig[KPI Name],0))="Lower is Better",IF($H695=0,1,IF($G695=0,0,$G695/$H695)),IF($G695=0,1,$H695/$G695)),0)</f>
        <v/>
      </c>
      <c r="J695" s="8">
        <f>IFERROR(IF($I695&gt;=1,"Green",IF($I695&gt;=INDEX(Tbl_KPIConfig[RAG Threshold %],MATCH($D695,Tbl_KPIConfig[KPI Name],0)),"Amber","Red")),"")</f>
        <v/>
      </c>
      <c r="K695" s="10" t="n"/>
    </row>
    <row r="696">
      <c r="A696" s="12" t="n"/>
      <c r="B696" s="12">
        <f>IF($A696="","",TEXT($A696,"mmm-yyyy"))</f>
        <v/>
      </c>
      <c r="C696" s="12">
        <f>IF($A696="","","W"&amp;WEEKNUM($A696,2))</f>
        <v/>
      </c>
      <c r="D696" s="12" t="n"/>
      <c r="E696" s="12">
        <f>IFERROR(INDEX(Tbl_KPIConfig[Department],MATCH($D696,Tbl_KPIConfig[KPI Name],0)),"")</f>
        <v/>
      </c>
      <c r="F696" s="12">
        <f>IFERROR(INDEX(Tbl_KPIConfig[Unit],MATCH($D696,Tbl_KPIConfig[KPI Name],0)),"")</f>
        <v/>
      </c>
      <c r="G696" s="12">
        <f>IFERROR(INDEX(Tbl_KPIConfig[Target],MATCH($D696,Tbl_KPIConfig[KPI Name],0)),"")</f>
        <v/>
      </c>
      <c r="H696" s="12" t="n"/>
      <c r="I696" s="13">
        <f>IFERROR(IF(INDEX(Tbl_KPIConfig[Direction],MATCH($D696,Tbl_KPIConfig[KPI Name],0))="Lower is Better",IF($H696=0,1,IF($G696=0,0,$G696/$H696)),IF($G696=0,1,$H696/$G696)),0)</f>
        <v/>
      </c>
      <c r="J696" s="12">
        <f>IFERROR(IF($I696&gt;=1,"Green",IF($I696&gt;=INDEX(Tbl_KPIConfig[RAG Threshold %],MATCH($D696,Tbl_KPIConfig[KPI Name],0)),"Amber","Red")),"")</f>
        <v/>
      </c>
      <c r="K696" s="14" t="n"/>
    </row>
    <row r="697">
      <c r="A697" s="8" t="n"/>
      <c r="B697" s="8">
        <f>IF($A697="","",TEXT($A697,"mmm-yyyy"))</f>
        <v/>
      </c>
      <c r="C697" s="8">
        <f>IF($A697="","","W"&amp;WEEKNUM($A697,2))</f>
        <v/>
      </c>
      <c r="D697" s="8" t="n"/>
      <c r="E697" s="8">
        <f>IFERROR(INDEX(Tbl_KPIConfig[Department],MATCH($D697,Tbl_KPIConfig[KPI Name],0)),"")</f>
        <v/>
      </c>
      <c r="F697" s="8">
        <f>IFERROR(INDEX(Tbl_KPIConfig[Unit],MATCH($D697,Tbl_KPIConfig[KPI Name],0)),"")</f>
        <v/>
      </c>
      <c r="G697" s="8">
        <f>IFERROR(INDEX(Tbl_KPIConfig[Target],MATCH($D697,Tbl_KPIConfig[KPI Name],0)),"")</f>
        <v/>
      </c>
      <c r="H697" s="8" t="n"/>
      <c r="I697" s="9">
        <f>IFERROR(IF(INDEX(Tbl_KPIConfig[Direction],MATCH($D697,Tbl_KPIConfig[KPI Name],0))="Lower is Better",IF($H697=0,1,IF($G697=0,0,$G697/$H697)),IF($G697=0,1,$H697/$G697)),0)</f>
        <v/>
      </c>
      <c r="J697" s="8">
        <f>IFERROR(IF($I697&gt;=1,"Green",IF($I697&gt;=INDEX(Tbl_KPIConfig[RAG Threshold %],MATCH($D697,Tbl_KPIConfig[KPI Name],0)),"Amber","Red")),"")</f>
        <v/>
      </c>
      <c r="K697" s="10" t="n"/>
    </row>
    <row r="698">
      <c r="A698" s="12" t="n"/>
      <c r="B698" s="12">
        <f>IF($A698="","",TEXT($A698,"mmm-yyyy"))</f>
        <v/>
      </c>
      <c r="C698" s="12">
        <f>IF($A698="","","W"&amp;WEEKNUM($A698,2))</f>
        <v/>
      </c>
      <c r="D698" s="12" t="n"/>
      <c r="E698" s="12">
        <f>IFERROR(INDEX(Tbl_KPIConfig[Department],MATCH($D698,Tbl_KPIConfig[KPI Name],0)),"")</f>
        <v/>
      </c>
      <c r="F698" s="12">
        <f>IFERROR(INDEX(Tbl_KPIConfig[Unit],MATCH($D698,Tbl_KPIConfig[KPI Name],0)),"")</f>
        <v/>
      </c>
      <c r="G698" s="12">
        <f>IFERROR(INDEX(Tbl_KPIConfig[Target],MATCH($D698,Tbl_KPIConfig[KPI Name],0)),"")</f>
        <v/>
      </c>
      <c r="H698" s="12" t="n"/>
      <c r="I698" s="13">
        <f>IFERROR(IF(INDEX(Tbl_KPIConfig[Direction],MATCH($D698,Tbl_KPIConfig[KPI Name],0))="Lower is Better",IF($H698=0,1,IF($G698=0,0,$G698/$H698)),IF($G698=0,1,$H698/$G698)),0)</f>
        <v/>
      </c>
      <c r="J698" s="12">
        <f>IFERROR(IF($I698&gt;=1,"Green",IF($I698&gt;=INDEX(Tbl_KPIConfig[RAG Threshold %],MATCH($D698,Tbl_KPIConfig[KPI Name],0)),"Amber","Red")),"")</f>
        <v/>
      </c>
      <c r="K698" s="14" t="n"/>
    </row>
    <row r="699">
      <c r="A699" s="8" t="n"/>
      <c r="B699" s="8">
        <f>IF($A699="","",TEXT($A699,"mmm-yyyy"))</f>
        <v/>
      </c>
      <c r="C699" s="8">
        <f>IF($A699="","","W"&amp;WEEKNUM($A699,2))</f>
        <v/>
      </c>
      <c r="D699" s="8" t="n"/>
      <c r="E699" s="8">
        <f>IFERROR(INDEX(Tbl_KPIConfig[Department],MATCH($D699,Tbl_KPIConfig[KPI Name],0)),"")</f>
        <v/>
      </c>
      <c r="F699" s="8">
        <f>IFERROR(INDEX(Tbl_KPIConfig[Unit],MATCH($D699,Tbl_KPIConfig[KPI Name],0)),"")</f>
        <v/>
      </c>
      <c r="G699" s="8">
        <f>IFERROR(INDEX(Tbl_KPIConfig[Target],MATCH($D699,Tbl_KPIConfig[KPI Name],0)),"")</f>
        <v/>
      </c>
      <c r="H699" s="8" t="n"/>
      <c r="I699" s="9">
        <f>IFERROR(IF(INDEX(Tbl_KPIConfig[Direction],MATCH($D699,Tbl_KPIConfig[KPI Name],0))="Lower is Better",IF($H699=0,1,IF($G699=0,0,$G699/$H699)),IF($G699=0,1,$H699/$G699)),0)</f>
        <v/>
      </c>
      <c r="J699" s="8">
        <f>IFERROR(IF($I699&gt;=1,"Green",IF($I699&gt;=INDEX(Tbl_KPIConfig[RAG Threshold %],MATCH($D699,Tbl_KPIConfig[KPI Name],0)),"Amber","Red")),"")</f>
        <v/>
      </c>
      <c r="K699" s="10" t="n"/>
    </row>
    <row r="700">
      <c r="A700" s="12" t="n"/>
      <c r="B700" s="12">
        <f>IF($A700="","",TEXT($A700,"mmm-yyyy"))</f>
        <v/>
      </c>
      <c r="C700" s="12">
        <f>IF($A700="","","W"&amp;WEEKNUM($A700,2))</f>
        <v/>
      </c>
      <c r="D700" s="12" t="n"/>
      <c r="E700" s="12">
        <f>IFERROR(INDEX(Tbl_KPIConfig[Department],MATCH($D700,Tbl_KPIConfig[KPI Name],0)),"")</f>
        <v/>
      </c>
      <c r="F700" s="12">
        <f>IFERROR(INDEX(Tbl_KPIConfig[Unit],MATCH($D700,Tbl_KPIConfig[KPI Name],0)),"")</f>
        <v/>
      </c>
      <c r="G700" s="12">
        <f>IFERROR(INDEX(Tbl_KPIConfig[Target],MATCH($D700,Tbl_KPIConfig[KPI Name],0)),"")</f>
        <v/>
      </c>
      <c r="H700" s="12" t="n"/>
      <c r="I700" s="13">
        <f>IFERROR(IF(INDEX(Tbl_KPIConfig[Direction],MATCH($D700,Tbl_KPIConfig[KPI Name],0))="Lower is Better",IF($H700=0,1,IF($G700=0,0,$G700/$H700)),IF($G700=0,1,$H700/$G700)),0)</f>
        <v/>
      </c>
      <c r="J700" s="12">
        <f>IFERROR(IF($I700&gt;=1,"Green",IF($I700&gt;=INDEX(Tbl_KPIConfig[RAG Threshold %],MATCH($D700,Tbl_KPIConfig[KPI Name],0)),"Amber","Red")),"")</f>
        <v/>
      </c>
      <c r="K700" s="14" t="n"/>
    </row>
    <row r="701">
      <c r="A701" s="8" t="n"/>
      <c r="B701" s="8">
        <f>IF($A701="","",TEXT($A701,"mmm-yyyy"))</f>
        <v/>
      </c>
      <c r="C701" s="8">
        <f>IF($A701="","","W"&amp;WEEKNUM($A701,2))</f>
        <v/>
      </c>
      <c r="D701" s="8" t="n"/>
      <c r="E701" s="8">
        <f>IFERROR(INDEX(Tbl_KPIConfig[Department],MATCH($D701,Tbl_KPIConfig[KPI Name],0)),"")</f>
        <v/>
      </c>
      <c r="F701" s="8">
        <f>IFERROR(INDEX(Tbl_KPIConfig[Unit],MATCH($D701,Tbl_KPIConfig[KPI Name],0)),"")</f>
        <v/>
      </c>
      <c r="G701" s="8">
        <f>IFERROR(INDEX(Tbl_KPIConfig[Target],MATCH($D701,Tbl_KPIConfig[KPI Name],0)),"")</f>
        <v/>
      </c>
      <c r="H701" s="8" t="n"/>
      <c r="I701" s="9">
        <f>IFERROR(IF(INDEX(Tbl_KPIConfig[Direction],MATCH($D701,Tbl_KPIConfig[KPI Name],0))="Lower is Better",IF($H701=0,1,IF($G701=0,0,$G701/$H701)),IF($G701=0,1,$H701/$G701)),0)</f>
        <v/>
      </c>
      <c r="J701" s="8">
        <f>IFERROR(IF($I701&gt;=1,"Green",IF($I701&gt;=INDEX(Tbl_KPIConfig[RAG Threshold %],MATCH($D701,Tbl_KPIConfig[KPI Name],0)),"Amber","Red")),"")</f>
        <v/>
      </c>
      <c r="K701" s="10" t="n"/>
    </row>
    <row r="702">
      <c r="A702" s="12" t="n"/>
      <c r="B702" s="12">
        <f>IF($A702="","",TEXT($A702,"mmm-yyyy"))</f>
        <v/>
      </c>
      <c r="C702" s="12">
        <f>IF($A702="","","W"&amp;WEEKNUM($A702,2))</f>
        <v/>
      </c>
      <c r="D702" s="12" t="n"/>
      <c r="E702" s="12">
        <f>IFERROR(INDEX(Tbl_KPIConfig[Department],MATCH($D702,Tbl_KPIConfig[KPI Name],0)),"")</f>
        <v/>
      </c>
      <c r="F702" s="12">
        <f>IFERROR(INDEX(Tbl_KPIConfig[Unit],MATCH($D702,Tbl_KPIConfig[KPI Name],0)),"")</f>
        <v/>
      </c>
      <c r="G702" s="12">
        <f>IFERROR(INDEX(Tbl_KPIConfig[Target],MATCH($D702,Tbl_KPIConfig[KPI Name],0)),"")</f>
        <v/>
      </c>
      <c r="H702" s="12" t="n"/>
      <c r="I702" s="13">
        <f>IFERROR(IF(INDEX(Tbl_KPIConfig[Direction],MATCH($D702,Tbl_KPIConfig[KPI Name],0))="Lower is Better",IF($H702=0,1,IF($G702=0,0,$G702/$H702)),IF($G702=0,1,$H702/$G702)),0)</f>
        <v/>
      </c>
      <c r="J702" s="12">
        <f>IFERROR(IF($I702&gt;=1,"Green",IF($I702&gt;=INDEX(Tbl_KPIConfig[RAG Threshold %],MATCH($D702,Tbl_KPIConfig[KPI Name],0)),"Amber","Red")),"")</f>
        <v/>
      </c>
      <c r="K702" s="14" t="n"/>
    </row>
    <row r="703">
      <c r="A703" s="8" t="n"/>
      <c r="B703" s="8">
        <f>IF($A703="","",TEXT($A703,"mmm-yyyy"))</f>
        <v/>
      </c>
      <c r="C703" s="8">
        <f>IF($A703="","","W"&amp;WEEKNUM($A703,2))</f>
        <v/>
      </c>
      <c r="D703" s="8" t="n"/>
      <c r="E703" s="8">
        <f>IFERROR(INDEX(Tbl_KPIConfig[Department],MATCH($D703,Tbl_KPIConfig[KPI Name],0)),"")</f>
        <v/>
      </c>
      <c r="F703" s="8">
        <f>IFERROR(INDEX(Tbl_KPIConfig[Unit],MATCH($D703,Tbl_KPIConfig[KPI Name],0)),"")</f>
        <v/>
      </c>
      <c r="G703" s="8">
        <f>IFERROR(INDEX(Tbl_KPIConfig[Target],MATCH($D703,Tbl_KPIConfig[KPI Name],0)),"")</f>
        <v/>
      </c>
      <c r="H703" s="8" t="n"/>
      <c r="I703" s="9">
        <f>IFERROR(IF(INDEX(Tbl_KPIConfig[Direction],MATCH($D703,Tbl_KPIConfig[KPI Name],0))="Lower is Better",IF($H703=0,1,IF($G703=0,0,$G703/$H703)),IF($G703=0,1,$H703/$G703)),0)</f>
        <v/>
      </c>
      <c r="J703" s="8">
        <f>IFERROR(IF($I703&gt;=1,"Green",IF($I703&gt;=INDEX(Tbl_KPIConfig[RAG Threshold %],MATCH($D703,Tbl_KPIConfig[KPI Name],0)),"Amber","Red")),"")</f>
        <v/>
      </c>
      <c r="K703" s="10" t="n"/>
    </row>
    <row r="704">
      <c r="A704" s="12" t="n"/>
      <c r="B704" s="12">
        <f>IF($A704="","",TEXT($A704,"mmm-yyyy"))</f>
        <v/>
      </c>
      <c r="C704" s="12">
        <f>IF($A704="","","W"&amp;WEEKNUM($A704,2))</f>
        <v/>
      </c>
      <c r="D704" s="12" t="n"/>
      <c r="E704" s="12">
        <f>IFERROR(INDEX(Tbl_KPIConfig[Department],MATCH($D704,Tbl_KPIConfig[KPI Name],0)),"")</f>
        <v/>
      </c>
      <c r="F704" s="12">
        <f>IFERROR(INDEX(Tbl_KPIConfig[Unit],MATCH($D704,Tbl_KPIConfig[KPI Name],0)),"")</f>
        <v/>
      </c>
      <c r="G704" s="12">
        <f>IFERROR(INDEX(Tbl_KPIConfig[Target],MATCH($D704,Tbl_KPIConfig[KPI Name],0)),"")</f>
        <v/>
      </c>
      <c r="H704" s="12" t="n"/>
      <c r="I704" s="13">
        <f>IFERROR(IF(INDEX(Tbl_KPIConfig[Direction],MATCH($D704,Tbl_KPIConfig[KPI Name],0))="Lower is Better",IF($H704=0,1,IF($G704=0,0,$G704/$H704)),IF($G704=0,1,$H704/$G704)),0)</f>
        <v/>
      </c>
      <c r="J704" s="12">
        <f>IFERROR(IF($I704&gt;=1,"Green",IF($I704&gt;=INDEX(Tbl_KPIConfig[RAG Threshold %],MATCH($D704,Tbl_KPIConfig[KPI Name],0)),"Amber","Red")),"")</f>
        <v/>
      </c>
      <c r="K704" s="14" t="n"/>
    </row>
    <row r="705">
      <c r="A705" s="8" t="n"/>
      <c r="B705" s="8">
        <f>IF($A705="","",TEXT($A705,"mmm-yyyy"))</f>
        <v/>
      </c>
      <c r="C705" s="8">
        <f>IF($A705="","","W"&amp;WEEKNUM($A705,2))</f>
        <v/>
      </c>
      <c r="D705" s="8" t="n"/>
      <c r="E705" s="8">
        <f>IFERROR(INDEX(Tbl_KPIConfig[Department],MATCH($D705,Tbl_KPIConfig[KPI Name],0)),"")</f>
        <v/>
      </c>
      <c r="F705" s="8">
        <f>IFERROR(INDEX(Tbl_KPIConfig[Unit],MATCH($D705,Tbl_KPIConfig[KPI Name],0)),"")</f>
        <v/>
      </c>
      <c r="G705" s="8">
        <f>IFERROR(INDEX(Tbl_KPIConfig[Target],MATCH($D705,Tbl_KPIConfig[KPI Name],0)),"")</f>
        <v/>
      </c>
      <c r="H705" s="8" t="n"/>
      <c r="I705" s="9">
        <f>IFERROR(IF(INDEX(Tbl_KPIConfig[Direction],MATCH($D705,Tbl_KPIConfig[KPI Name],0))="Lower is Better",IF($H705=0,1,IF($G705=0,0,$G705/$H705)),IF($G705=0,1,$H705/$G705)),0)</f>
        <v/>
      </c>
      <c r="J705" s="8">
        <f>IFERROR(IF($I705&gt;=1,"Green",IF($I705&gt;=INDEX(Tbl_KPIConfig[RAG Threshold %],MATCH($D705,Tbl_KPIConfig[KPI Name],0)),"Amber","Red")),"")</f>
        <v/>
      </c>
      <c r="K705" s="10" t="n"/>
    </row>
    <row r="706">
      <c r="A706" s="12" t="n"/>
      <c r="B706" s="12">
        <f>IF($A706="","",TEXT($A706,"mmm-yyyy"))</f>
        <v/>
      </c>
      <c r="C706" s="12">
        <f>IF($A706="","","W"&amp;WEEKNUM($A706,2))</f>
        <v/>
      </c>
      <c r="D706" s="12" t="n"/>
      <c r="E706" s="12">
        <f>IFERROR(INDEX(Tbl_KPIConfig[Department],MATCH($D706,Tbl_KPIConfig[KPI Name],0)),"")</f>
        <v/>
      </c>
      <c r="F706" s="12">
        <f>IFERROR(INDEX(Tbl_KPIConfig[Unit],MATCH($D706,Tbl_KPIConfig[KPI Name],0)),"")</f>
        <v/>
      </c>
      <c r="G706" s="12">
        <f>IFERROR(INDEX(Tbl_KPIConfig[Target],MATCH($D706,Tbl_KPIConfig[KPI Name],0)),"")</f>
        <v/>
      </c>
      <c r="H706" s="12" t="n"/>
      <c r="I706" s="13">
        <f>IFERROR(IF(INDEX(Tbl_KPIConfig[Direction],MATCH($D706,Tbl_KPIConfig[KPI Name],0))="Lower is Better",IF($H706=0,1,IF($G706=0,0,$G706/$H706)),IF($G706=0,1,$H706/$G706)),0)</f>
        <v/>
      </c>
      <c r="J706" s="12">
        <f>IFERROR(IF($I706&gt;=1,"Green",IF($I706&gt;=INDEX(Tbl_KPIConfig[RAG Threshold %],MATCH($D706,Tbl_KPIConfig[KPI Name],0)),"Amber","Red")),"")</f>
        <v/>
      </c>
      <c r="K706" s="14" t="n"/>
    </row>
    <row r="707">
      <c r="A707" s="8" t="n"/>
      <c r="B707" s="8">
        <f>IF($A707="","",TEXT($A707,"mmm-yyyy"))</f>
        <v/>
      </c>
      <c r="C707" s="8">
        <f>IF($A707="","","W"&amp;WEEKNUM($A707,2))</f>
        <v/>
      </c>
      <c r="D707" s="8" t="n"/>
      <c r="E707" s="8">
        <f>IFERROR(INDEX(Tbl_KPIConfig[Department],MATCH($D707,Tbl_KPIConfig[KPI Name],0)),"")</f>
        <v/>
      </c>
      <c r="F707" s="8">
        <f>IFERROR(INDEX(Tbl_KPIConfig[Unit],MATCH($D707,Tbl_KPIConfig[KPI Name],0)),"")</f>
        <v/>
      </c>
      <c r="G707" s="8">
        <f>IFERROR(INDEX(Tbl_KPIConfig[Target],MATCH($D707,Tbl_KPIConfig[KPI Name],0)),"")</f>
        <v/>
      </c>
      <c r="H707" s="8" t="n"/>
      <c r="I707" s="9">
        <f>IFERROR(IF(INDEX(Tbl_KPIConfig[Direction],MATCH($D707,Tbl_KPIConfig[KPI Name],0))="Lower is Better",IF($H707=0,1,IF($G707=0,0,$G707/$H707)),IF($G707=0,1,$H707/$G707)),0)</f>
        <v/>
      </c>
      <c r="J707" s="8">
        <f>IFERROR(IF($I707&gt;=1,"Green",IF($I707&gt;=INDEX(Tbl_KPIConfig[RAG Threshold %],MATCH($D707,Tbl_KPIConfig[KPI Name],0)),"Amber","Red")),"")</f>
        <v/>
      </c>
      <c r="K707" s="10" t="n"/>
    </row>
    <row r="708">
      <c r="A708" s="12" t="n"/>
      <c r="B708" s="12">
        <f>IF($A708="","",TEXT($A708,"mmm-yyyy"))</f>
        <v/>
      </c>
      <c r="C708" s="12">
        <f>IF($A708="","","W"&amp;WEEKNUM($A708,2))</f>
        <v/>
      </c>
      <c r="D708" s="12" t="n"/>
      <c r="E708" s="12">
        <f>IFERROR(INDEX(Tbl_KPIConfig[Department],MATCH($D708,Tbl_KPIConfig[KPI Name],0)),"")</f>
        <v/>
      </c>
      <c r="F708" s="12">
        <f>IFERROR(INDEX(Tbl_KPIConfig[Unit],MATCH($D708,Tbl_KPIConfig[KPI Name],0)),"")</f>
        <v/>
      </c>
      <c r="G708" s="12">
        <f>IFERROR(INDEX(Tbl_KPIConfig[Target],MATCH($D708,Tbl_KPIConfig[KPI Name],0)),"")</f>
        <v/>
      </c>
      <c r="H708" s="12" t="n"/>
      <c r="I708" s="13">
        <f>IFERROR(IF(INDEX(Tbl_KPIConfig[Direction],MATCH($D708,Tbl_KPIConfig[KPI Name],0))="Lower is Better",IF($H708=0,1,IF($G708=0,0,$G708/$H708)),IF($G708=0,1,$H708/$G708)),0)</f>
        <v/>
      </c>
      <c r="J708" s="12">
        <f>IFERROR(IF($I708&gt;=1,"Green",IF($I708&gt;=INDEX(Tbl_KPIConfig[RAG Threshold %],MATCH($D708,Tbl_KPIConfig[KPI Name],0)),"Amber","Red")),"")</f>
        <v/>
      </c>
      <c r="K708" s="14" t="n"/>
    </row>
    <row r="709">
      <c r="A709" s="8" t="n"/>
      <c r="B709" s="8">
        <f>IF($A709="","",TEXT($A709,"mmm-yyyy"))</f>
        <v/>
      </c>
      <c r="C709" s="8">
        <f>IF($A709="","","W"&amp;WEEKNUM($A709,2))</f>
        <v/>
      </c>
      <c r="D709" s="8" t="n"/>
      <c r="E709" s="8">
        <f>IFERROR(INDEX(Tbl_KPIConfig[Department],MATCH($D709,Tbl_KPIConfig[KPI Name],0)),"")</f>
        <v/>
      </c>
      <c r="F709" s="8">
        <f>IFERROR(INDEX(Tbl_KPIConfig[Unit],MATCH($D709,Tbl_KPIConfig[KPI Name],0)),"")</f>
        <v/>
      </c>
      <c r="G709" s="8">
        <f>IFERROR(INDEX(Tbl_KPIConfig[Target],MATCH($D709,Tbl_KPIConfig[KPI Name],0)),"")</f>
        <v/>
      </c>
      <c r="H709" s="8" t="n"/>
      <c r="I709" s="9">
        <f>IFERROR(IF(INDEX(Tbl_KPIConfig[Direction],MATCH($D709,Tbl_KPIConfig[KPI Name],0))="Lower is Better",IF($H709=0,1,IF($G709=0,0,$G709/$H709)),IF($G709=0,1,$H709/$G709)),0)</f>
        <v/>
      </c>
      <c r="J709" s="8">
        <f>IFERROR(IF($I709&gt;=1,"Green",IF($I709&gt;=INDEX(Tbl_KPIConfig[RAG Threshold %],MATCH($D709,Tbl_KPIConfig[KPI Name],0)),"Amber","Red")),"")</f>
        <v/>
      </c>
      <c r="K709" s="10" t="n"/>
    </row>
    <row r="710">
      <c r="A710" s="12" t="n"/>
      <c r="B710" s="12">
        <f>IF($A710="","",TEXT($A710,"mmm-yyyy"))</f>
        <v/>
      </c>
      <c r="C710" s="12">
        <f>IF($A710="","","W"&amp;WEEKNUM($A710,2))</f>
        <v/>
      </c>
      <c r="D710" s="12" t="n"/>
      <c r="E710" s="12">
        <f>IFERROR(INDEX(Tbl_KPIConfig[Department],MATCH($D710,Tbl_KPIConfig[KPI Name],0)),"")</f>
        <v/>
      </c>
      <c r="F710" s="12">
        <f>IFERROR(INDEX(Tbl_KPIConfig[Unit],MATCH($D710,Tbl_KPIConfig[KPI Name],0)),"")</f>
        <v/>
      </c>
      <c r="G710" s="12">
        <f>IFERROR(INDEX(Tbl_KPIConfig[Target],MATCH($D710,Tbl_KPIConfig[KPI Name],0)),"")</f>
        <v/>
      </c>
      <c r="H710" s="12" t="n"/>
      <c r="I710" s="13">
        <f>IFERROR(IF(INDEX(Tbl_KPIConfig[Direction],MATCH($D710,Tbl_KPIConfig[KPI Name],0))="Lower is Better",IF($H710=0,1,IF($G710=0,0,$G710/$H710)),IF($G710=0,1,$H710/$G710)),0)</f>
        <v/>
      </c>
      <c r="J710" s="12">
        <f>IFERROR(IF($I710&gt;=1,"Green",IF($I710&gt;=INDEX(Tbl_KPIConfig[RAG Threshold %],MATCH($D710,Tbl_KPIConfig[KPI Name],0)),"Amber","Red")),"")</f>
        <v/>
      </c>
      <c r="K710" s="14" t="n"/>
    </row>
    <row r="711">
      <c r="A711" s="8" t="n"/>
      <c r="B711" s="8">
        <f>IF($A711="","",TEXT($A711,"mmm-yyyy"))</f>
        <v/>
      </c>
      <c r="C711" s="8">
        <f>IF($A711="","","W"&amp;WEEKNUM($A711,2))</f>
        <v/>
      </c>
      <c r="D711" s="8" t="n"/>
      <c r="E711" s="8">
        <f>IFERROR(INDEX(Tbl_KPIConfig[Department],MATCH($D711,Tbl_KPIConfig[KPI Name],0)),"")</f>
        <v/>
      </c>
      <c r="F711" s="8">
        <f>IFERROR(INDEX(Tbl_KPIConfig[Unit],MATCH($D711,Tbl_KPIConfig[KPI Name],0)),"")</f>
        <v/>
      </c>
      <c r="G711" s="8">
        <f>IFERROR(INDEX(Tbl_KPIConfig[Target],MATCH($D711,Tbl_KPIConfig[KPI Name],0)),"")</f>
        <v/>
      </c>
      <c r="H711" s="8" t="n"/>
      <c r="I711" s="9">
        <f>IFERROR(IF(INDEX(Tbl_KPIConfig[Direction],MATCH($D711,Tbl_KPIConfig[KPI Name],0))="Lower is Better",IF($H711=0,1,IF($G711=0,0,$G711/$H711)),IF($G711=0,1,$H711/$G711)),0)</f>
        <v/>
      </c>
      <c r="J711" s="8">
        <f>IFERROR(IF($I711&gt;=1,"Green",IF($I711&gt;=INDEX(Tbl_KPIConfig[RAG Threshold %],MATCH($D711,Tbl_KPIConfig[KPI Name],0)),"Amber","Red")),"")</f>
        <v/>
      </c>
      <c r="K711" s="10" t="n"/>
    </row>
    <row r="712">
      <c r="A712" s="12" t="n"/>
      <c r="B712" s="12">
        <f>IF($A712="","",TEXT($A712,"mmm-yyyy"))</f>
        <v/>
      </c>
      <c r="C712" s="12">
        <f>IF($A712="","","W"&amp;WEEKNUM($A712,2))</f>
        <v/>
      </c>
      <c r="D712" s="12" t="n"/>
      <c r="E712" s="12">
        <f>IFERROR(INDEX(Tbl_KPIConfig[Department],MATCH($D712,Tbl_KPIConfig[KPI Name],0)),"")</f>
        <v/>
      </c>
      <c r="F712" s="12">
        <f>IFERROR(INDEX(Tbl_KPIConfig[Unit],MATCH($D712,Tbl_KPIConfig[KPI Name],0)),"")</f>
        <v/>
      </c>
      <c r="G712" s="12">
        <f>IFERROR(INDEX(Tbl_KPIConfig[Target],MATCH($D712,Tbl_KPIConfig[KPI Name],0)),"")</f>
        <v/>
      </c>
      <c r="H712" s="12" t="n"/>
      <c r="I712" s="13">
        <f>IFERROR(IF(INDEX(Tbl_KPIConfig[Direction],MATCH($D712,Tbl_KPIConfig[KPI Name],0))="Lower is Better",IF($H712=0,1,IF($G712=0,0,$G712/$H712)),IF($G712=0,1,$H712/$G712)),0)</f>
        <v/>
      </c>
      <c r="J712" s="12">
        <f>IFERROR(IF($I712&gt;=1,"Green",IF($I712&gt;=INDEX(Tbl_KPIConfig[RAG Threshold %],MATCH($D712,Tbl_KPIConfig[KPI Name],0)),"Amber","Red")),"")</f>
        <v/>
      </c>
      <c r="K712" s="14" t="n"/>
    </row>
    <row r="713">
      <c r="A713" s="8" t="n"/>
      <c r="B713" s="8">
        <f>IF($A713="","",TEXT($A713,"mmm-yyyy"))</f>
        <v/>
      </c>
      <c r="C713" s="8">
        <f>IF($A713="","","W"&amp;WEEKNUM($A713,2))</f>
        <v/>
      </c>
      <c r="D713" s="8" t="n"/>
      <c r="E713" s="8">
        <f>IFERROR(INDEX(Tbl_KPIConfig[Department],MATCH($D713,Tbl_KPIConfig[KPI Name],0)),"")</f>
        <v/>
      </c>
      <c r="F713" s="8">
        <f>IFERROR(INDEX(Tbl_KPIConfig[Unit],MATCH($D713,Tbl_KPIConfig[KPI Name],0)),"")</f>
        <v/>
      </c>
      <c r="G713" s="8">
        <f>IFERROR(INDEX(Tbl_KPIConfig[Target],MATCH($D713,Tbl_KPIConfig[KPI Name],0)),"")</f>
        <v/>
      </c>
      <c r="H713" s="8" t="n"/>
      <c r="I713" s="9">
        <f>IFERROR(IF(INDEX(Tbl_KPIConfig[Direction],MATCH($D713,Tbl_KPIConfig[KPI Name],0))="Lower is Better",IF($H713=0,1,IF($G713=0,0,$G713/$H713)),IF($G713=0,1,$H713/$G713)),0)</f>
        <v/>
      </c>
      <c r="J713" s="8">
        <f>IFERROR(IF($I713&gt;=1,"Green",IF($I713&gt;=INDEX(Tbl_KPIConfig[RAG Threshold %],MATCH($D713,Tbl_KPIConfig[KPI Name],0)),"Amber","Red")),"")</f>
        <v/>
      </c>
      <c r="K713" s="10" t="n"/>
    </row>
    <row r="714">
      <c r="A714" s="12" t="n"/>
      <c r="B714" s="12">
        <f>IF($A714="","",TEXT($A714,"mmm-yyyy"))</f>
        <v/>
      </c>
      <c r="C714" s="12">
        <f>IF($A714="","","W"&amp;WEEKNUM($A714,2))</f>
        <v/>
      </c>
      <c r="D714" s="12" t="n"/>
      <c r="E714" s="12">
        <f>IFERROR(INDEX(Tbl_KPIConfig[Department],MATCH($D714,Tbl_KPIConfig[KPI Name],0)),"")</f>
        <v/>
      </c>
      <c r="F714" s="12">
        <f>IFERROR(INDEX(Tbl_KPIConfig[Unit],MATCH($D714,Tbl_KPIConfig[KPI Name],0)),"")</f>
        <v/>
      </c>
      <c r="G714" s="12">
        <f>IFERROR(INDEX(Tbl_KPIConfig[Target],MATCH($D714,Tbl_KPIConfig[KPI Name],0)),"")</f>
        <v/>
      </c>
      <c r="H714" s="12" t="n"/>
      <c r="I714" s="13">
        <f>IFERROR(IF(INDEX(Tbl_KPIConfig[Direction],MATCH($D714,Tbl_KPIConfig[KPI Name],0))="Lower is Better",IF($H714=0,1,IF($G714=0,0,$G714/$H714)),IF($G714=0,1,$H714/$G714)),0)</f>
        <v/>
      </c>
      <c r="J714" s="12">
        <f>IFERROR(IF($I714&gt;=1,"Green",IF($I714&gt;=INDEX(Tbl_KPIConfig[RAG Threshold %],MATCH($D714,Tbl_KPIConfig[KPI Name],0)),"Amber","Red")),"")</f>
        <v/>
      </c>
      <c r="K714" s="14" t="n"/>
    </row>
    <row r="715">
      <c r="A715" s="8" t="n"/>
      <c r="B715" s="8">
        <f>IF($A715="","",TEXT($A715,"mmm-yyyy"))</f>
        <v/>
      </c>
      <c r="C715" s="8">
        <f>IF($A715="","","W"&amp;WEEKNUM($A715,2))</f>
        <v/>
      </c>
      <c r="D715" s="8" t="n"/>
      <c r="E715" s="8">
        <f>IFERROR(INDEX(Tbl_KPIConfig[Department],MATCH($D715,Tbl_KPIConfig[KPI Name],0)),"")</f>
        <v/>
      </c>
      <c r="F715" s="8">
        <f>IFERROR(INDEX(Tbl_KPIConfig[Unit],MATCH($D715,Tbl_KPIConfig[KPI Name],0)),"")</f>
        <v/>
      </c>
      <c r="G715" s="8">
        <f>IFERROR(INDEX(Tbl_KPIConfig[Target],MATCH($D715,Tbl_KPIConfig[KPI Name],0)),"")</f>
        <v/>
      </c>
      <c r="H715" s="8" t="n"/>
      <c r="I715" s="9">
        <f>IFERROR(IF(INDEX(Tbl_KPIConfig[Direction],MATCH($D715,Tbl_KPIConfig[KPI Name],0))="Lower is Better",IF($H715=0,1,IF($G715=0,0,$G715/$H715)),IF($G715=0,1,$H715/$G715)),0)</f>
        <v/>
      </c>
      <c r="J715" s="8">
        <f>IFERROR(IF($I715&gt;=1,"Green",IF($I715&gt;=INDEX(Tbl_KPIConfig[RAG Threshold %],MATCH($D715,Tbl_KPIConfig[KPI Name],0)),"Amber","Red")),"")</f>
        <v/>
      </c>
      <c r="K715" s="10" t="n"/>
    </row>
    <row r="716">
      <c r="A716" s="12" t="n"/>
      <c r="B716" s="12">
        <f>IF($A716="","",TEXT($A716,"mmm-yyyy"))</f>
        <v/>
      </c>
      <c r="C716" s="12">
        <f>IF($A716="","","W"&amp;WEEKNUM($A716,2))</f>
        <v/>
      </c>
      <c r="D716" s="12" t="n"/>
      <c r="E716" s="12">
        <f>IFERROR(INDEX(Tbl_KPIConfig[Department],MATCH($D716,Tbl_KPIConfig[KPI Name],0)),"")</f>
        <v/>
      </c>
      <c r="F716" s="12">
        <f>IFERROR(INDEX(Tbl_KPIConfig[Unit],MATCH($D716,Tbl_KPIConfig[KPI Name],0)),"")</f>
        <v/>
      </c>
      <c r="G716" s="12">
        <f>IFERROR(INDEX(Tbl_KPIConfig[Target],MATCH($D716,Tbl_KPIConfig[KPI Name],0)),"")</f>
        <v/>
      </c>
      <c r="H716" s="12" t="n"/>
      <c r="I716" s="13">
        <f>IFERROR(IF(INDEX(Tbl_KPIConfig[Direction],MATCH($D716,Tbl_KPIConfig[KPI Name],0))="Lower is Better",IF($H716=0,1,IF($G716=0,0,$G716/$H716)),IF($G716=0,1,$H716/$G716)),0)</f>
        <v/>
      </c>
      <c r="J716" s="12">
        <f>IFERROR(IF($I716&gt;=1,"Green",IF($I716&gt;=INDEX(Tbl_KPIConfig[RAG Threshold %],MATCH($D716,Tbl_KPIConfig[KPI Name],0)),"Amber","Red")),"")</f>
        <v/>
      </c>
      <c r="K716" s="14" t="n"/>
    </row>
    <row r="717">
      <c r="A717" s="8" t="n"/>
      <c r="B717" s="8">
        <f>IF($A717="","",TEXT($A717,"mmm-yyyy"))</f>
        <v/>
      </c>
      <c r="C717" s="8">
        <f>IF($A717="","","W"&amp;WEEKNUM($A717,2))</f>
        <v/>
      </c>
      <c r="D717" s="8" t="n"/>
      <c r="E717" s="8">
        <f>IFERROR(INDEX(Tbl_KPIConfig[Department],MATCH($D717,Tbl_KPIConfig[KPI Name],0)),"")</f>
        <v/>
      </c>
      <c r="F717" s="8">
        <f>IFERROR(INDEX(Tbl_KPIConfig[Unit],MATCH($D717,Tbl_KPIConfig[KPI Name],0)),"")</f>
        <v/>
      </c>
      <c r="G717" s="8">
        <f>IFERROR(INDEX(Tbl_KPIConfig[Target],MATCH($D717,Tbl_KPIConfig[KPI Name],0)),"")</f>
        <v/>
      </c>
      <c r="H717" s="8" t="n"/>
      <c r="I717" s="9">
        <f>IFERROR(IF(INDEX(Tbl_KPIConfig[Direction],MATCH($D717,Tbl_KPIConfig[KPI Name],0))="Lower is Better",IF($H717=0,1,IF($G717=0,0,$G717/$H717)),IF($G717=0,1,$H717/$G717)),0)</f>
        <v/>
      </c>
      <c r="J717" s="8">
        <f>IFERROR(IF($I717&gt;=1,"Green",IF($I717&gt;=INDEX(Tbl_KPIConfig[RAG Threshold %],MATCH($D717,Tbl_KPIConfig[KPI Name],0)),"Amber","Red")),"")</f>
        <v/>
      </c>
      <c r="K717" s="10" t="n"/>
    </row>
  </sheetData>
  <mergeCells count="1">
    <mergeCell ref="A1:K1"/>
  </mergeCells>
  <conditionalFormatting sqref="J3:J717">
    <cfRule type="expression" priority="1" dxfId="0">
      <formula>$J3="Green"</formula>
    </cfRule>
    <cfRule type="expression" priority="2" dxfId="1">
      <formula>$J3="Amber"</formula>
    </cfRule>
    <cfRule type="expression" priority="3" dxfId="2">
      <formula>$J3="Red"</formula>
    </cfRule>
  </conditionalFormatting>
  <dataValidations count="1">
    <dataValidation sqref="D3:D717" showDropDown="0" showInputMessage="0" showErrorMessage="0" allowBlank="0" errorTitle="Invalid KPI" error="Choose a KPI Name from Master Config." type="list">
      <formula1>KPINameList</formula1>
    </dataValidation>
  </dataValidations>
  <pageMargins left="0.3" right="0.3" top="0.4" bottom="0.4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showGridLines="0" tabSelected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4" customWidth="1" min="1" max="1"/>
    <col width="3" customWidth="1" min="2" max="2"/>
    <col width="15" customWidth="1" min="3" max="3"/>
    <col width="26" customWidth="1" min="4" max="4"/>
    <col width="9" customWidth="1" min="5" max="5"/>
    <col width="10" customWidth="1" min="6" max="6"/>
    <col width="16" customWidth="1" min="7" max="7"/>
    <col width="14" customWidth="1" min="8" max="8"/>
    <col width="20" customWidth="1" min="9" max="9"/>
    <col width="9" customWidth="1" min="10" max="10"/>
    <col width="12" customWidth="1" min="11" max="11"/>
  </cols>
  <sheetData>
    <row r="1" ht="26" customHeight="1">
      <c r="A1" s="5" t="inlineStr">
        <is>
          <t>MASTER CONFIG — edit departments and KPIs here. Every dashboard reads from this sheet.</t>
        </is>
      </c>
      <c r="D1" s="15" t="inlineStr">
        <is>
          <t>Tip: keep rows for the same Department grouped together, and add new KPIs at the end of the list (or within your department's block) rather than leaving blank rows in between.</t>
        </is>
      </c>
    </row>
    <row r="2" ht="32" customHeight="1">
      <c r="A2" s="6" t="inlineStr">
        <is>
          <t>Department</t>
        </is>
      </c>
      <c r="C2" s="6" t="inlineStr">
        <is>
          <t>Department</t>
        </is>
      </c>
      <c r="D2" s="6" t="inlineStr">
        <is>
          <t>KPI Name</t>
        </is>
      </c>
      <c r="E2" s="6" t="inlineStr">
        <is>
          <t>Unit</t>
        </is>
      </c>
      <c r="F2" s="6" t="inlineStr">
        <is>
          <t>Target</t>
        </is>
      </c>
      <c r="G2" s="6" t="inlineStr">
        <is>
          <t>Direction</t>
        </is>
      </c>
      <c r="H2" s="6" t="inlineStr">
        <is>
          <t>RAG Threshold %</t>
        </is>
      </c>
      <c r="I2" s="6" t="inlineStr">
        <is>
          <t>Owner</t>
        </is>
      </c>
      <c r="J2" s="6" t="inlineStr">
        <is>
          <t>Active</t>
        </is>
      </c>
      <c r="K2" s="6" t="inlineStr">
        <is>
          <t>Display Order</t>
        </is>
      </c>
    </row>
    <row r="3">
      <c r="A3" s="8" t="inlineStr">
        <is>
          <t>Safety</t>
        </is>
      </c>
      <c r="C3" s="8" t="inlineStr">
        <is>
          <t>Safety</t>
        </is>
      </c>
      <c r="D3" s="10" t="inlineStr">
        <is>
          <t>Safety Incidents (LTI)</t>
        </is>
      </c>
      <c r="E3" s="8" t="inlineStr">
        <is>
          <t>Count</t>
        </is>
      </c>
      <c r="F3" s="8" t="n">
        <v>0</v>
      </c>
      <c r="G3" s="8" t="inlineStr">
        <is>
          <t>Lower is Better</t>
        </is>
      </c>
      <c r="H3" s="16" t="n">
        <v>0</v>
      </c>
      <c r="I3" s="8" t="inlineStr">
        <is>
          <t>Safety Officer</t>
        </is>
      </c>
      <c r="J3" s="8" t="inlineStr">
        <is>
          <t>Yes</t>
        </is>
      </c>
      <c r="K3" s="8" t="n">
        <v>1</v>
      </c>
    </row>
    <row r="4">
      <c r="A4" s="12" t="inlineStr">
        <is>
          <t>Production</t>
        </is>
      </c>
      <c r="C4" s="12" t="inlineStr">
        <is>
          <t>Safety</t>
        </is>
      </c>
      <c r="D4" s="14" t="inlineStr">
        <is>
          <t>Near Miss Reports</t>
        </is>
      </c>
      <c r="E4" s="12" t="inlineStr">
        <is>
          <t>Count</t>
        </is>
      </c>
      <c r="F4" s="12" t="n">
        <v>2</v>
      </c>
      <c r="G4" s="12" t="inlineStr">
        <is>
          <t>Higher is Better</t>
        </is>
      </c>
      <c r="H4" s="17" t="n">
        <v>0.5</v>
      </c>
      <c r="I4" s="12" t="inlineStr">
        <is>
          <t>Safety Officer</t>
        </is>
      </c>
      <c r="J4" s="12" t="inlineStr">
        <is>
          <t>Yes</t>
        </is>
      </c>
      <c r="K4" s="12" t="n">
        <v>2</v>
      </c>
    </row>
    <row r="5">
      <c r="A5" s="8" t="inlineStr">
        <is>
          <t>Quality</t>
        </is>
      </c>
      <c r="C5" s="8" t="inlineStr">
        <is>
          <t>Production</t>
        </is>
      </c>
      <c r="D5" s="10" t="inlineStr">
        <is>
          <t>Production Output</t>
        </is>
      </c>
      <c r="E5" s="8" t="inlineStr">
        <is>
          <t>Units</t>
        </is>
      </c>
      <c r="F5" s="8" t="n">
        <v>1000</v>
      </c>
      <c r="G5" s="8" t="inlineStr">
        <is>
          <t>Higher is Better</t>
        </is>
      </c>
      <c r="H5" s="16" t="n">
        <v>0.9</v>
      </c>
      <c r="I5" s="8" t="inlineStr">
        <is>
          <t>Production Manager</t>
        </is>
      </c>
      <c r="J5" s="8" t="inlineStr">
        <is>
          <t>Yes</t>
        </is>
      </c>
      <c r="K5" s="8" t="n">
        <v>1</v>
      </c>
    </row>
    <row r="6">
      <c r="A6" s="12" t="inlineStr">
        <is>
          <t>Maintenance</t>
        </is>
      </c>
      <c r="C6" s="12" t="inlineStr">
        <is>
          <t>Production</t>
        </is>
      </c>
      <c r="D6" s="14" t="inlineStr">
        <is>
          <t>OEE %</t>
        </is>
      </c>
      <c r="E6" s="12" t="inlineStr">
        <is>
          <t>%</t>
        </is>
      </c>
      <c r="F6" s="17" t="n">
        <v>0.85</v>
      </c>
      <c r="G6" s="12" t="inlineStr">
        <is>
          <t>Higher is Better</t>
        </is>
      </c>
      <c r="H6" s="17" t="n">
        <v>0.9</v>
      </c>
      <c r="I6" s="12" t="inlineStr">
        <is>
          <t>Production Manager</t>
        </is>
      </c>
      <c r="J6" s="12" t="inlineStr">
        <is>
          <t>Yes</t>
        </is>
      </c>
      <c r="K6" s="12" t="n">
        <v>2</v>
      </c>
    </row>
    <row r="7">
      <c r="A7" s="8" t="inlineStr">
        <is>
          <t>Utilities</t>
        </is>
      </c>
      <c r="C7" s="8" t="inlineStr">
        <is>
          <t>Quality</t>
        </is>
      </c>
      <c r="D7" s="10" t="inlineStr">
        <is>
          <t>Defect Rate %</t>
        </is>
      </c>
      <c r="E7" s="8" t="inlineStr">
        <is>
          <t>%</t>
        </is>
      </c>
      <c r="F7" s="16" t="n">
        <v>0.02</v>
      </c>
      <c r="G7" s="8" t="inlineStr">
        <is>
          <t>Lower is Better</t>
        </is>
      </c>
      <c r="H7" s="16" t="n">
        <v>0.75</v>
      </c>
      <c r="I7" s="8" t="inlineStr">
        <is>
          <t>Quality Manager</t>
        </is>
      </c>
      <c r="J7" s="8" t="inlineStr">
        <is>
          <t>Yes</t>
        </is>
      </c>
      <c r="K7" s="8" t="n">
        <v>1</v>
      </c>
    </row>
    <row r="8">
      <c r="A8" s="12" t="inlineStr">
        <is>
          <t>Warehouse</t>
        </is>
      </c>
      <c r="C8" s="12" t="inlineStr">
        <is>
          <t>Quality</t>
        </is>
      </c>
      <c r="D8" s="14" t="inlineStr">
        <is>
          <t>Customer Complaints</t>
        </is>
      </c>
      <c r="E8" s="12" t="inlineStr">
        <is>
          <t>Count</t>
        </is>
      </c>
      <c r="F8" s="12" t="n">
        <v>0</v>
      </c>
      <c r="G8" s="12" t="inlineStr">
        <is>
          <t>Lower is Better</t>
        </is>
      </c>
      <c r="H8" s="17" t="n">
        <v>1</v>
      </c>
      <c r="I8" s="12" t="inlineStr">
        <is>
          <t>Quality Manager</t>
        </is>
      </c>
      <c r="J8" s="12" t="inlineStr">
        <is>
          <t>Yes</t>
        </is>
      </c>
      <c r="K8" s="12" t="n">
        <v>2</v>
      </c>
    </row>
    <row r="9">
      <c r="A9" s="8" t="inlineStr">
        <is>
          <t>HR</t>
        </is>
      </c>
      <c r="C9" s="8" t="inlineStr">
        <is>
          <t>Maintenance</t>
        </is>
      </c>
      <c r="D9" s="10" t="inlineStr">
        <is>
          <t>Unplanned Downtime (Hrs)</t>
        </is>
      </c>
      <c r="E9" s="8" t="inlineStr">
        <is>
          <t>Hours</t>
        </is>
      </c>
      <c r="F9" s="8" t="n">
        <v>1</v>
      </c>
      <c r="G9" s="8" t="inlineStr">
        <is>
          <t>Lower is Better</t>
        </is>
      </c>
      <c r="H9" s="16" t="n">
        <v>0.6</v>
      </c>
      <c r="I9" s="8" t="inlineStr">
        <is>
          <t>Maintenance Manager</t>
        </is>
      </c>
      <c r="J9" s="8" t="inlineStr">
        <is>
          <t>Yes</t>
        </is>
      </c>
      <c r="K9" s="8" t="n">
        <v>1</v>
      </c>
    </row>
    <row r="10">
      <c r="A10" s="12" t="inlineStr">
        <is>
          <t>Engineering</t>
        </is>
      </c>
      <c r="C10" s="12" t="inlineStr">
        <is>
          <t>Maintenance</t>
        </is>
      </c>
      <c r="D10" s="14" t="inlineStr">
        <is>
          <t>PM Compliance %</t>
        </is>
      </c>
      <c r="E10" s="12" t="inlineStr">
        <is>
          <t>%</t>
        </is>
      </c>
      <c r="F10" s="17" t="n">
        <v>0.95</v>
      </c>
      <c r="G10" s="12" t="inlineStr">
        <is>
          <t>Higher is Better</t>
        </is>
      </c>
      <c r="H10" s="17" t="n">
        <v>0.9</v>
      </c>
      <c r="I10" s="12" t="inlineStr">
        <is>
          <t>Maintenance Manager</t>
        </is>
      </c>
      <c r="J10" s="12" t="inlineStr">
        <is>
          <t>Yes</t>
        </is>
      </c>
      <c r="K10" s="12" t="n">
        <v>2</v>
      </c>
    </row>
    <row r="11">
      <c r="A11" s="8" t="n"/>
      <c r="C11" s="8" t="inlineStr">
        <is>
          <t>Utilities</t>
        </is>
      </c>
      <c r="D11" s="10" t="inlineStr">
        <is>
          <t>Power Consumption (kWh)</t>
        </is>
      </c>
      <c r="E11" s="8" t="inlineStr">
        <is>
          <t>kWh</t>
        </is>
      </c>
      <c r="F11" s="8" t="n">
        <v>4500</v>
      </c>
      <c r="G11" s="8" t="inlineStr">
        <is>
          <t>Lower is Better</t>
        </is>
      </c>
      <c r="H11" s="16" t="n">
        <v>0.9</v>
      </c>
      <c r="I11" s="8" t="inlineStr">
        <is>
          <t>Utilities Engineer</t>
        </is>
      </c>
      <c r="J11" s="8" t="inlineStr">
        <is>
          <t>Yes</t>
        </is>
      </c>
      <c r="K11" s="8" t="n">
        <v>1</v>
      </c>
    </row>
    <row r="12">
      <c r="A12" s="12" t="n"/>
      <c r="C12" s="12" t="inlineStr">
        <is>
          <t>Warehouse</t>
        </is>
      </c>
      <c r="D12" s="14" t="inlineStr">
        <is>
          <t>On-Time Dispatch %</t>
        </is>
      </c>
      <c r="E12" s="12" t="inlineStr">
        <is>
          <t>%</t>
        </is>
      </c>
      <c r="F12" s="17" t="n">
        <v>0.95</v>
      </c>
      <c r="G12" s="12" t="inlineStr">
        <is>
          <t>Higher is Better</t>
        </is>
      </c>
      <c r="H12" s="17" t="n">
        <v>0.9</v>
      </c>
      <c r="I12" s="12" t="inlineStr">
        <is>
          <t>Warehouse Manager</t>
        </is>
      </c>
      <c r="J12" s="12" t="inlineStr">
        <is>
          <t>Yes</t>
        </is>
      </c>
      <c r="K12" s="12" t="n">
        <v>1</v>
      </c>
    </row>
    <row r="13">
      <c r="A13" s="8" t="n"/>
      <c r="C13" s="8" t="inlineStr">
        <is>
          <t>Warehouse</t>
        </is>
      </c>
      <c r="D13" s="10" t="inlineStr">
        <is>
          <t>Inventory Accuracy %</t>
        </is>
      </c>
      <c r="E13" s="8" t="inlineStr">
        <is>
          <t>%</t>
        </is>
      </c>
      <c r="F13" s="16" t="n">
        <v>0.98</v>
      </c>
      <c r="G13" s="8" t="inlineStr">
        <is>
          <t>Higher is Better</t>
        </is>
      </c>
      <c r="H13" s="16" t="n">
        <v>0.95</v>
      </c>
      <c r="I13" s="8" t="inlineStr">
        <is>
          <t>Warehouse Manager</t>
        </is>
      </c>
      <c r="J13" s="8" t="inlineStr">
        <is>
          <t>Yes</t>
        </is>
      </c>
      <c r="K13" s="8" t="n">
        <v>2</v>
      </c>
    </row>
    <row r="14">
      <c r="A14" s="12" t="n"/>
      <c r="C14" s="12" t="inlineStr">
        <is>
          <t>HR</t>
        </is>
      </c>
      <c r="D14" s="14" t="inlineStr">
        <is>
          <t>Absenteeism %</t>
        </is>
      </c>
      <c r="E14" s="12" t="inlineStr">
        <is>
          <t>%</t>
        </is>
      </c>
      <c r="F14" s="17" t="n">
        <v>0.03</v>
      </c>
      <c r="G14" s="12" t="inlineStr">
        <is>
          <t>Lower is Better</t>
        </is>
      </c>
      <c r="H14" s="17" t="n">
        <v>0.6</v>
      </c>
      <c r="I14" s="12" t="inlineStr">
        <is>
          <t>HR Manager</t>
        </is>
      </c>
      <c r="J14" s="12" t="inlineStr">
        <is>
          <t>Yes</t>
        </is>
      </c>
      <c r="K14" s="12" t="n">
        <v>1</v>
      </c>
    </row>
    <row r="15">
      <c r="A15" s="8" t="n"/>
      <c r="C15" s="8" t="inlineStr">
        <is>
          <t>HR</t>
        </is>
      </c>
      <c r="D15" s="10" t="inlineStr">
        <is>
          <t>Training Hours</t>
        </is>
      </c>
      <c r="E15" s="8" t="inlineStr">
        <is>
          <t>Hours</t>
        </is>
      </c>
      <c r="F15" s="8" t="n">
        <v>2</v>
      </c>
      <c r="G15" s="8" t="inlineStr">
        <is>
          <t>Higher is Better</t>
        </is>
      </c>
      <c r="H15" s="16" t="n">
        <v>0.5</v>
      </c>
      <c r="I15" s="8" t="inlineStr">
        <is>
          <t>HR Manager</t>
        </is>
      </c>
      <c r="J15" s="8" t="inlineStr">
        <is>
          <t>Yes</t>
        </is>
      </c>
      <c r="K15" s="8" t="n">
        <v>2</v>
      </c>
    </row>
    <row r="16">
      <c r="A16" s="12" t="n"/>
      <c r="C16" s="12" t="inlineStr">
        <is>
          <t>Engineering</t>
        </is>
      </c>
      <c r="D16" s="14" t="inlineStr">
        <is>
          <t>Milestone Adherence %</t>
        </is>
      </c>
      <c r="E16" s="12" t="inlineStr">
        <is>
          <t>%</t>
        </is>
      </c>
      <c r="F16" s="17" t="n">
        <v>0.9</v>
      </c>
      <c r="G16" s="12" t="inlineStr">
        <is>
          <t>Higher is Better</t>
        </is>
      </c>
      <c r="H16" s="17" t="n">
        <v>0.85</v>
      </c>
      <c r="I16" s="12" t="inlineStr">
        <is>
          <t>Engineering Manager</t>
        </is>
      </c>
      <c r="J16" s="12" t="inlineStr">
        <is>
          <t>Yes</t>
        </is>
      </c>
      <c r="K16" s="12" t="n">
        <v>1</v>
      </c>
    </row>
    <row r="17">
      <c r="A17" s="8" t="n"/>
      <c r="C17" s="8" t="inlineStr">
        <is>
          <t>Engineering</t>
        </is>
      </c>
      <c r="D17" s="10" t="inlineStr">
        <is>
          <t>Breakdown Resolution (Hrs)</t>
        </is>
      </c>
      <c r="E17" s="8" t="inlineStr">
        <is>
          <t>Hours</t>
        </is>
      </c>
      <c r="F17" s="8" t="n">
        <v>2</v>
      </c>
      <c r="G17" s="8" t="inlineStr">
        <is>
          <t>Lower is Better</t>
        </is>
      </c>
      <c r="H17" s="16" t="n">
        <v>0.75</v>
      </c>
      <c r="I17" s="8" t="inlineStr">
        <is>
          <t>Engineering Manager</t>
        </is>
      </c>
      <c r="J17" s="8" t="inlineStr">
        <is>
          <t>Yes</t>
        </is>
      </c>
      <c r="K17" s="8" t="n">
        <v>2</v>
      </c>
    </row>
    <row r="18">
      <c r="C18" s="12" t="n"/>
      <c r="D18" s="14" t="n"/>
      <c r="E18" s="12" t="n"/>
      <c r="F18" s="12" t="n"/>
      <c r="G18" s="12" t="n"/>
      <c r="H18" s="17" t="n"/>
      <c r="I18" s="12" t="n"/>
      <c r="J18" s="12" t="n"/>
      <c r="K18" s="12" t="n"/>
    </row>
    <row r="19">
      <c r="C19" s="8" t="n"/>
      <c r="D19" s="10" t="n"/>
      <c r="E19" s="8" t="n"/>
      <c r="F19" s="8" t="n"/>
      <c r="G19" s="8" t="n"/>
      <c r="H19" s="16" t="n"/>
      <c r="I19" s="8" t="n"/>
      <c r="J19" s="8" t="n"/>
      <c r="K19" s="8" t="n"/>
    </row>
    <row r="20">
      <c r="C20" s="12" t="n"/>
      <c r="D20" s="14" t="n"/>
      <c r="E20" s="12" t="n"/>
      <c r="F20" s="12" t="n"/>
      <c r="G20" s="12" t="n"/>
      <c r="H20" s="17" t="n"/>
      <c r="I20" s="12" t="n"/>
      <c r="J20" s="12" t="n"/>
      <c r="K20" s="12" t="n"/>
    </row>
    <row r="21">
      <c r="C21" s="8" t="n"/>
      <c r="D21" s="10" t="n"/>
      <c r="E21" s="8" t="n"/>
      <c r="F21" s="8" t="n"/>
      <c r="G21" s="8" t="n"/>
      <c r="H21" s="16" t="n"/>
      <c r="I21" s="8" t="n"/>
      <c r="J21" s="8" t="n"/>
      <c r="K21" s="8" t="n"/>
    </row>
    <row r="22">
      <c r="C22" s="12" t="n"/>
      <c r="D22" s="14" t="n"/>
      <c r="E22" s="12" t="n"/>
      <c r="F22" s="12" t="n"/>
      <c r="G22" s="12" t="n"/>
      <c r="H22" s="17" t="n"/>
      <c r="I22" s="12" t="n"/>
      <c r="J22" s="12" t="n"/>
      <c r="K22" s="12" t="n"/>
    </row>
    <row r="23">
      <c r="C23" s="8" t="n"/>
      <c r="D23" s="10" t="n"/>
      <c r="E23" s="8" t="n"/>
      <c r="F23" s="8" t="n"/>
      <c r="G23" s="8" t="n"/>
      <c r="H23" s="16" t="n"/>
      <c r="I23" s="8" t="n"/>
      <c r="J23" s="8" t="n"/>
      <c r="K23" s="8" t="n"/>
    </row>
    <row r="24">
      <c r="C24" s="12" t="n"/>
      <c r="D24" s="14" t="n"/>
      <c r="E24" s="12" t="n"/>
      <c r="F24" s="12" t="n"/>
      <c r="G24" s="12" t="n"/>
      <c r="H24" s="17" t="n"/>
      <c r="I24" s="12" t="n"/>
      <c r="J24" s="12" t="n"/>
      <c r="K24" s="12" t="n"/>
    </row>
    <row r="25">
      <c r="C25" s="8" t="n"/>
      <c r="D25" s="10" t="n"/>
      <c r="E25" s="8" t="n"/>
      <c r="F25" s="8" t="n"/>
      <c r="G25" s="8" t="n"/>
      <c r="H25" s="16" t="n"/>
      <c r="I25" s="8" t="n"/>
      <c r="J25" s="8" t="n"/>
      <c r="K25" s="8" t="n"/>
    </row>
    <row r="26">
      <c r="C26" s="12" t="n"/>
      <c r="D26" s="14" t="n"/>
      <c r="E26" s="12" t="n"/>
      <c r="F26" s="12" t="n"/>
      <c r="G26" s="12" t="n"/>
      <c r="H26" s="17" t="n"/>
      <c r="I26" s="12" t="n"/>
      <c r="J26" s="12" t="n"/>
      <c r="K26" s="12" t="n"/>
    </row>
    <row r="27">
      <c r="C27" s="8" t="n"/>
      <c r="D27" s="10" t="n"/>
      <c r="E27" s="8" t="n"/>
      <c r="F27" s="8" t="n"/>
      <c r="G27" s="8" t="n"/>
      <c r="H27" s="16" t="n"/>
      <c r="I27" s="8" t="n"/>
      <c r="J27" s="8" t="n"/>
      <c r="K27" s="8" t="n"/>
    </row>
    <row r="28">
      <c r="C28" s="12" t="n"/>
      <c r="D28" s="14" t="n"/>
      <c r="E28" s="12" t="n"/>
      <c r="F28" s="12" t="n"/>
      <c r="G28" s="12" t="n"/>
      <c r="H28" s="17" t="n"/>
      <c r="I28" s="12" t="n"/>
      <c r="J28" s="12" t="n"/>
      <c r="K28" s="12" t="n"/>
    </row>
    <row r="29">
      <c r="C29" s="8" t="n"/>
      <c r="D29" s="10" t="n"/>
      <c r="E29" s="8" t="n"/>
      <c r="F29" s="8" t="n"/>
      <c r="G29" s="8" t="n"/>
      <c r="H29" s="16" t="n"/>
      <c r="I29" s="8" t="n"/>
      <c r="J29" s="8" t="n"/>
      <c r="K29" s="8" t="n"/>
    </row>
    <row r="30">
      <c r="C30" s="12" t="n"/>
      <c r="D30" s="14" t="n"/>
      <c r="E30" s="12" t="n"/>
      <c r="F30" s="12" t="n"/>
      <c r="G30" s="12" t="n"/>
      <c r="H30" s="17" t="n"/>
      <c r="I30" s="12" t="n"/>
      <c r="J30" s="12" t="n"/>
      <c r="K30" s="12" t="n"/>
    </row>
    <row r="31">
      <c r="C31" s="8" t="n"/>
      <c r="D31" s="10" t="n"/>
      <c r="E31" s="8" t="n"/>
      <c r="F31" s="8" t="n"/>
      <c r="G31" s="8" t="n"/>
      <c r="H31" s="16" t="n"/>
      <c r="I31" s="8" t="n"/>
      <c r="J31" s="8" t="n"/>
      <c r="K31" s="8" t="n"/>
    </row>
    <row r="32">
      <c r="C32" s="12" t="n"/>
      <c r="D32" s="14" t="n"/>
      <c r="E32" s="12" t="n"/>
      <c r="F32" s="12" t="n"/>
      <c r="G32" s="12" t="n"/>
      <c r="H32" s="17" t="n"/>
      <c r="I32" s="12" t="n"/>
      <c r="J32" s="12" t="n"/>
      <c r="K32" s="12" t="n"/>
    </row>
    <row r="33">
      <c r="C33" s="8" t="n"/>
      <c r="D33" s="10" t="n"/>
      <c r="E33" s="8" t="n"/>
      <c r="F33" s="8" t="n"/>
      <c r="G33" s="8" t="n"/>
      <c r="H33" s="16" t="n"/>
      <c r="I33" s="8" t="n"/>
      <c r="J33" s="8" t="n"/>
      <c r="K33" s="8" t="n"/>
    </row>
    <row r="34">
      <c r="C34" s="12" t="n"/>
      <c r="D34" s="14" t="n"/>
      <c r="E34" s="12" t="n"/>
      <c r="F34" s="12" t="n"/>
      <c r="G34" s="12" t="n"/>
      <c r="H34" s="17" t="n"/>
      <c r="I34" s="12" t="n"/>
      <c r="J34" s="12" t="n"/>
      <c r="K34" s="12" t="n"/>
    </row>
    <row r="35">
      <c r="C35" s="8" t="n"/>
      <c r="D35" s="10" t="n"/>
      <c r="E35" s="8" t="n"/>
      <c r="F35" s="8" t="n"/>
      <c r="G35" s="8" t="n"/>
      <c r="H35" s="16" t="n"/>
      <c r="I35" s="8" t="n"/>
      <c r="J35" s="8" t="n"/>
      <c r="K35" s="8" t="n"/>
    </row>
    <row r="36">
      <c r="C36" s="12" t="n"/>
      <c r="D36" s="14" t="n"/>
      <c r="E36" s="12" t="n"/>
      <c r="F36" s="12" t="n"/>
      <c r="G36" s="12" t="n"/>
      <c r="H36" s="17" t="n"/>
      <c r="I36" s="12" t="n"/>
      <c r="J36" s="12" t="n"/>
      <c r="K36" s="12" t="n"/>
    </row>
    <row r="37">
      <c r="C37" s="8" t="n"/>
      <c r="D37" s="10" t="n"/>
      <c r="E37" s="8" t="n"/>
      <c r="F37" s="8" t="n"/>
      <c r="G37" s="8" t="n"/>
      <c r="H37" s="16" t="n"/>
      <c r="I37" s="8" t="n"/>
      <c r="J37" s="8" t="n"/>
      <c r="K37" s="8" t="n"/>
    </row>
    <row r="38">
      <c r="C38" s="12" t="n"/>
      <c r="D38" s="14" t="n"/>
      <c r="E38" s="12" t="n"/>
      <c r="F38" s="12" t="n"/>
      <c r="G38" s="12" t="n"/>
      <c r="H38" s="17" t="n"/>
      <c r="I38" s="12" t="n"/>
      <c r="J38" s="12" t="n"/>
      <c r="K38" s="12" t="n"/>
    </row>
    <row r="39">
      <c r="C39" s="8" t="n"/>
      <c r="D39" s="10" t="n"/>
      <c r="E39" s="8" t="n"/>
      <c r="F39" s="8" t="n"/>
      <c r="G39" s="8" t="n"/>
      <c r="H39" s="16" t="n"/>
      <c r="I39" s="8" t="n"/>
      <c r="J39" s="8" t="n"/>
      <c r="K39" s="8" t="n"/>
    </row>
    <row r="40">
      <c r="C40" s="12" t="n"/>
      <c r="D40" s="14" t="n"/>
      <c r="E40" s="12" t="n"/>
      <c r="F40" s="12" t="n"/>
      <c r="G40" s="12" t="n"/>
      <c r="H40" s="17" t="n"/>
      <c r="I40" s="12" t="n"/>
      <c r="J40" s="12" t="n"/>
      <c r="K40" s="12" t="n"/>
    </row>
    <row r="41">
      <c r="C41" s="8" t="n"/>
      <c r="D41" s="10" t="n"/>
      <c r="E41" s="8" t="n"/>
      <c r="F41" s="8" t="n"/>
      <c r="G41" s="8" t="n"/>
      <c r="H41" s="16" t="n"/>
      <c r="I41" s="8" t="n"/>
      <c r="J41" s="8" t="n"/>
      <c r="K41" s="8" t="n"/>
    </row>
    <row r="42">
      <c r="C42" s="12" t="n"/>
      <c r="D42" s="14" t="n"/>
      <c r="E42" s="12" t="n"/>
      <c r="F42" s="12" t="n"/>
      <c r="G42" s="12" t="n"/>
      <c r="H42" s="17" t="n"/>
      <c r="I42" s="12" t="n"/>
      <c r="J42" s="12" t="n"/>
      <c r="K42" s="12" t="n"/>
    </row>
  </sheetData>
  <mergeCells count="2">
    <mergeCell ref="A1:C1"/>
    <mergeCell ref="D1:K1"/>
  </mergeCells>
  <dataValidations count="3">
    <dataValidation sqref="C3:C42" showDropDown="0" showInputMessage="0" showErrorMessage="0" allowBlank="1" errorTitle="Invalid Department" error="Choose a department from Dept Config." type="list">
      <formula1>DeptList</formula1>
    </dataValidation>
    <dataValidation sqref="G3:G42" showDropDown="0" showInputMessage="0" showErrorMessage="0" allowBlank="1" type="list">
      <formula1>"Higher is Better,Lower is Better"</formula1>
    </dataValidation>
    <dataValidation sqref="J3:J42" showDropDown="0" showInputMessage="0" showErrorMessage="0" allowBlank="1" type="list">
      <formula1>"Yes,No"</formula1>
    </dataValidation>
  </dataValidations>
  <pageMargins left="0.3" right="0.3" top="0.4" bottom="0.4" header="0.2" footer="0.2"/>
  <pageSetup orientation="landscape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6"/>
  <sheetViews>
    <sheetView showGridLines="0" tabSelected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2" customWidth="1" min="2" max="2"/>
    <col width="13" customWidth="1" min="3" max="3"/>
    <col width="30" customWidth="1" min="4" max="4"/>
    <col width="30" customWidth="1" min="5" max="5"/>
    <col width="20" customWidth="1" min="6" max="6"/>
    <col width="12" customWidth="1" min="7" max="7"/>
    <col width="12" customWidth="1" min="8" max="8"/>
    <col width="9" customWidth="1" min="9" max="9"/>
    <col width="11" customWidth="1" min="10" max="10"/>
    <col width="24" customWidth="1" min="11" max="11"/>
    <col width="9" customWidth="1" min="12" max="12"/>
  </cols>
  <sheetData>
    <row r="1" ht="26" customHeight="1">
      <c r="A1" s="5" t="inlineStr">
        <is>
          <t>ACTION TRACKER — actions raised against KPI gaps</t>
        </is>
      </c>
    </row>
    <row r="2" ht="26" customHeight="1">
      <c r="A2" s="6" t="inlineStr">
        <is>
          <t>Action ID</t>
        </is>
      </c>
      <c r="B2" s="6" t="inlineStr">
        <is>
          <t>Date Raised</t>
        </is>
      </c>
      <c r="C2" s="6" t="inlineStr">
        <is>
          <t>Department</t>
        </is>
      </c>
      <c r="D2" s="6" t="inlineStr">
        <is>
          <t>Issue</t>
        </is>
      </c>
      <c r="E2" s="6" t="inlineStr">
        <is>
          <t>Action</t>
        </is>
      </c>
      <c r="F2" s="6" t="inlineStr">
        <is>
          <t>Owner</t>
        </is>
      </c>
      <c r="G2" s="6" t="inlineStr">
        <is>
          <t>Due Date</t>
        </is>
      </c>
      <c r="H2" s="6" t="inlineStr">
        <is>
          <t>Status</t>
        </is>
      </c>
      <c r="I2" s="6" t="inlineStr">
        <is>
          <t>Priority</t>
        </is>
      </c>
      <c r="J2" s="6" t="inlineStr">
        <is>
          <t>Completion %</t>
        </is>
      </c>
      <c r="K2" s="6" t="inlineStr">
        <is>
          <t>Remarks</t>
        </is>
      </c>
      <c r="L2" s="6" t="inlineStr">
        <is>
          <t>Overdue?</t>
        </is>
      </c>
    </row>
    <row r="3">
      <c r="A3" s="8" t="inlineStr">
        <is>
          <t>ACT-100</t>
        </is>
      </c>
      <c r="B3" s="7" t="n">
        <v>46212</v>
      </c>
      <c r="C3" s="8" t="inlineStr">
        <is>
          <t>Utilities</t>
        </is>
      </c>
      <c r="D3" s="10" t="inlineStr">
        <is>
          <t>Power consumption spike</t>
        </is>
      </c>
      <c r="E3" s="10" t="inlineStr">
        <is>
          <t>Install auto shutoff schedule</t>
        </is>
      </c>
      <c r="F3" s="8" t="inlineStr">
        <is>
          <t>Utilities Engineer</t>
        </is>
      </c>
      <c r="G3" s="7" t="n">
        <v>46217</v>
      </c>
      <c r="H3" s="8" t="inlineStr">
        <is>
          <t>Closed</t>
        </is>
      </c>
      <c r="I3" s="8" t="inlineStr">
        <is>
          <t>High</t>
        </is>
      </c>
      <c r="J3" s="16" t="n">
        <v>1</v>
      </c>
      <c r="K3" s="10" t="inlineStr">
        <is>
          <t>Preventive check done</t>
        </is>
      </c>
      <c r="L3" s="8">
        <f>IF($H3="Closed","No",IF($G3&lt;TODAY(),"Yes","No"))</f>
        <v/>
      </c>
    </row>
    <row r="4">
      <c r="A4" s="12" t="inlineStr">
        <is>
          <t>ACT-101</t>
        </is>
      </c>
      <c r="B4" s="11" t="n">
        <v>46201</v>
      </c>
      <c r="C4" s="12" t="inlineStr">
        <is>
          <t>Engineering</t>
        </is>
      </c>
      <c r="D4" s="14" t="inlineStr">
        <is>
          <t>Milestone slipped for Line 4 upgrade</t>
        </is>
      </c>
      <c r="E4" s="14" t="inlineStr">
        <is>
          <t>Escalate to vendor, expedite logistics</t>
        </is>
      </c>
      <c r="F4" s="12" t="inlineStr">
        <is>
          <t>Engineering Manager</t>
        </is>
      </c>
      <c r="G4" s="11" t="n">
        <v>46206</v>
      </c>
      <c r="H4" s="12" t="inlineStr">
        <is>
          <t>Closed</t>
        </is>
      </c>
      <c r="I4" s="12" t="inlineStr">
        <is>
          <t>Low</t>
        </is>
      </c>
      <c r="J4" s="17" t="n">
        <v>1</v>
      </c>
      <c r="K4" s="14" t="inlineStr">
        <is>
          <t>Awaiting spares</t>
        </is>
      </c>
      <c r="L4" s="12">
        <f>IF($H4="Closed","No",IF($G4&lt;TODAY(),"Yes","No"))</f>
        <v/>
      </c>
    </row>
    <row r="5">
      <c r="A5" s="8" t="inlineStr">
        <is>
          <t>ACT-102</t>
        </is>
      </c>
      <c r="B5" s="7" t="n">
        <v>46192</v>
      </c>
      <c r="C5" s="8" t="inlineStr">
        <is>
          <t>Engineering</t>
        </is>
      </c>
      <c r="D5" s="10" t="inlineStr">
        <is>
          <t>Milestone slipped for Line 4 upgrade</t>
        </is>
      </c>
      <c r="E5" s="10" t="inlineStr">
        <is>
          <t>Escalate to vendor, expedite logistics</t>
        </is>
      </c>
      <c r="F5" s="8" t="inlineStr">
        <is>
          <t>Engineering Manager</t>
        </is>
      </c>
      <c r="G5" s="7" t="n">
        <v>46202</v>
      </c>
      <c r="H5" s="8" t="inlineStr">
        <is>
          <t>In Progress</t>
        </is>
      </c>
      <c r="I5" s="8" t="inlineStr">
        <is>
          <t>Medium</t>
        </is>
      </c>
      <c r="J5" s="16" t="n">
        <v>0.75</v>
      </c>
      <c r="K5" s="10" t="inlineStr">
        <is>
          <t>Preventive check done</t>
        </is>
      </c>
      <c r="L5" s="8">
        <f>IF($H5="Closed","No",IF($G5&lt;TODAY(),"Yes","No"))</f>
        <v/>
      </c>
    </row>
    <row r="6">
      <c r="A6" s="12" t="inlineStr">
        <is>
          <t>ACT-103</t>
        </is>
      </c>
      <c r="B6" s="11" t="n">
        <v>46213</v>
      </c>
      <c r="C6" s="12" t="inlineStr">
        <is>
          <t>Safety</t>
        </is>
      </c>
      <c r="D6" s="14" t="inlineStr">
        <is>
          <t>Housekeeping non-compliance</t>
        </is>
      </c>
      <c r="E6" s="14" t="inlineStr">
        <is>
          <t>Conduct daily 5S audit</t>
        </is>
      </c>
      <c r="F6" s="12" t="inlineStr">
        <is>
          <t>Safety Officer</t>
        </is>
      </c>
      <c r="G6" s="11" t="n">
        <v>46220</v>
      </c>
      <c r="H6" s="12" t="inlineStr">
        <is>
          <t>Open</t>
        </is>
      </c>
      <c r="I6" s="12" t="inlineStr">
        <is>
          <t>Medium</t>
        </is>
      </c>
      <c r="J6" s="17" t="n">
        <v>0</v>
      </c>
      <c r="K6" s="14" t="inlineStr">
        <is>
          <t>Process improvement in progress</t>
        </is>
      </c>
      <c r="L6" s="12">
        <f>IF($H6="Closed","No",IF($G6&lt;TODAY(),"Yes","No"))</f>
        <v/>
      </c>
    </row>
    <row r="7">
      <c r="A7" s="8" t="inlineStr">
        <is>
          <t>ACT-104</t>
        </is>
      </c>
      <c r="B7" s="7" t="n">
        <v>46220</v>
      </c>
      <c r="C7" s="8" t="inlineStr">
        <is>
          <t>HR</t>
        </is>
      </c>
      <c r="D7" s="10" t="inlineStr">
        <is>
          <t>High absenteeism in Shift B</t>
        </is>
      </c>
      <c r="E7" s="10" t="inlineStr">
        <is>
          <t>Coordinate additional shuttle</t>
        </is>
      </c>
      <c r="F7" s="8" t="inlineStr">
        <is>
          <t>HR Manager</t>
        </is>
      </c>
      <c r="G7" s="7" t="n">
        <v>46227</v>
      </c>
      <c r="H7" s="8" t="inlineStr">
        <is>
          <t>Open</t>
        </is>
      </c>
      <c r="I7" s="8" t="inlineStr">
        <is>
          <t>High</t>
        </is>
      </c>
      <c r="J7" s="16" t="n">
        <v>0</v>
      </c>
      <c r="K7" s="10" t="inlineStr">
        <is>
          <t>Awaiting spares</t>
        </is>
      </c>
      <c r="L7" s="8">
        <f>IF($H7="Closed","No",IF($G7&lt;TODAY(),"Yes","No"))</f>
        <v/>
      </c>
    </row>
    <row r="8">
      <c r="A8" s="12" t="inlineStr">
        <is>
          <t>ACT-105</t>
        </is>
      </c>
      <c r="B8" s="11" t="n">
        <v>46205</v>
      </c>
      <c r="C8" s="12" t="inlineStr">
        <is>
          <t>Warehouse</t>
        </is>
      </c>
      <c r="D8" s="14" t="inlineStr">
        <is>
          <t>Dispatch delay for key customer</t>
        </is>
      </c>
      <c r="E8" s="14" t="inlineStr">
        <is>
          <t>Cycle count + WMS reconciliation</t>
        </is>
      </c>
      <c r="F8" s="12" t="inlineStr">
        <is>
          <t>Warehouse Manager</t>
        </is>
      </c>
      <c r="G8" s="11" t="n">
        <v>46211</v>
      </c>
      <c r="H8" s="12" t="inlineStr">
        <is>
          <t>Open</t>
        </is>
      </c>
      <c r="I8" s="12" t="inlineStr">
        <is>
          <t>High</t>
        </is>
      </c>
      <c r="J8" s="17" t="n">
        <v>0</v>
      </c>
      <c r="K8" s="14" t="inlineStr">
        <is>
          <t>Preventive check done</t>
        </is>
      </c>
      <c r="L8" s="12">
        <f>IF($H8="Closed","No",IF($G8&lt;TODAY(),"Yes","No"))</f>
        <v/>
      </c>
    </row>
    <row r="9">
      <c r="A9" s="8" t="inlineStr">
        <is>
          <t>ACT-106</t>
        </is>
      </c>
      <c r="B9" s="7" t="n">
        <v>46196</v>
      </c>
      <c r="C9" s="8" t="inlineStr">
        <is>
          <t>Safety</t>
        </is>
      </c>
      <c r="D9" s="10" t="inlineStr">
        <is>
          <t>Housekeeping non-compliance</t>
        </is>
      </c>
      <c r="E9" s="10" t="inlineStr">
        <is>
          <t>Conduct daily 5S audit</t>
        </is>
      </c>
      <c r="F9" s="8" t="inlineStr">
        <is>
          <t>Safety Officer</t>
        </is>
      </c>
      <c r="G9" s="7" t="n">
        <v>46198</v>
      </c>
      <c r="H9" s="8" t="inlineStr">
        <is>
          <t>Open</t>
        </is>
      </c>
      <c r="I9" s="8" t="inlineStr">
        <is>
          <t>Low</t>
        </is>
      </c>
      <c r="J9" s="16" t="n">
        <v>0</v>
      </c>
      <c r="K9" s="10" t="inlineStr">
        <is>
          <t>Awaiting spares</t>
        </is>
      </c>
      <c r="L9" s="8">
        <f>IF($H9="Closed","No",IF($G9&lt;TODAY(),"Yes","No"))</f>
        <v/>
      </c>
    </row>
    <row r="10">
      <c r="A10" s="12" t="inlineStr">
        <is>
          <t>ACT-107</t>
        </is>
      </c>
      <c r="B10" s="11" t="n">
        <v>46199</v>
      </c>
      <c r="C10" s="12" t="inlineStr">
        <is>
          <t>Engineering</t>
        </is>
      </c>
      <c r="D10" s="14" t="inlineStr">
        <is>
          <t>Milestone slipped for Line 4 upgrade</t>
        </is>
      </c>
      <c r="E10" s="14" t="inlineStr">
        <is>
          <t>Escalate to vendor, expedite logistics</t>
        </is>
      </c>
      <c r="F10" s="12" t="inlineStr">
        <is>
          <t>Engineering Manager</t>
        </is>
      </c>
      <c r="G10" s="11" t="n">
        <v>46201</v>
      </c>
      <c r="H10" s="12" t="inlineStr">
        <is>
          <t>In Progress</t>
        </is>
      </c>
      <c r="I10" s="12" t="inlineStr">
        <is>
          <t>Medium</t>
        </is>
      </c>
      <c r="J10" s="17" t="n">
        <v>0.75</v>
      </c>
      <c r="K10" s="14" t="inlineStr">
        <is>
          <t>Line changeover impact</t>
        </is>
      </c>
      <c r="L10" s="12">
        <f>IF($H10="Closed","No",IF($G10&lt;TODAY(),"Yes","No"))</f>
        <v/>
      </c>
    </row>
    <row r="11">
      <c r="A11" s="8" t="inlineStr">
        <is>
          <t>ACT-108</t>
        </is>
      </c>
      <c r="B11" s="7" t="n">
        <v>46190</v>
      </c>
      <c r="C11" s="8" t="inlineStr">
        <is>
          <t>Maintenance</t>
        </is>
      </c>
      <c r="D11" s="10" t="inlineStr">
        <is>
          <t>Repeat breakdown on Compressor-3</t>
        </is>
      </c>
      <c r="E11" s="10" t="inlineStr">
        <is>
          <t>Replace bearing, revise PM checklist</t>
        </is>
      </c>
      <c r="F11" s="8" t="inlineStr">
        <is>
          <t>Maintenance Manager</t>
        </is>
      </c>
      <c r="G11" s="7" t="n">
        <v>46194</v>
      </c>
      <c r="H11" s="8" t="inlineStr">
        <is>
          <t>In Progress</t>
        </is>
      </c>
      <c r="I11" s="8" t="inlineStr">
        <is>
          <t>Low</t>
        </is>
      </c>
      <c r="J11" s="16" t="n">
        <v>0.5</v>
      </c>
      <c r="K11" s="10" t="inlineStr">
        <is>
          <t>Manpower shortage</t>
        </is>
      </c>
      <c r="L11" s="8">
        <f>IF($H11="Closed","No",IF($G11&lt;TODAY(),"Yes","No"))</f>
        <v/>
      </c>
    </row>
    <row r="12">
      <c r="A12" s="12" t="inlineStr">
        <is>
          <t>ACT-109</t>
        </is>
      </c>
      <c r="B12" s="11" t="n">
        <v>46194</v>
      </c>
      <c r="C12" s="12" t="inlineStr">
        <is>
          <t>Utilities</t>
        </is>
      </c>
      <c r="D12" s="14" t="inlineStr">
        <is>
          <t>Power consumption spike</t>
        </is>
      </c>
      <c r="E12" s="14" t="inlineStr">
        <is>
          <t>Install auto shutoff schedule</t>
        </is>
      </c>
      <c r="F12" s="12" t="inlineStr">
        <is>
          <t>Utilities Engineer</t>
        </is>
      </c>
      <c r="G12" s="11" t="n">
        <v>46204</v>
      </c>
      <c r="H12" s="12" t="inlineStr">
        <is>
          <t>Open</t>
        </is>
      </c>
      <c r="I12" s="12" t="inlineStr">
        <is>
          <t>High</t>
        </is>
      </c>
      <c r="J12" s="17" t="n">
        <v>0</v>
      </c>
      <c r="K12" s="14" t="inlineStr"/>
      <c r="L12" s="12">
        <f>IF($H12="Closed","No",IF($G12&lt;TODAY(),"Yes","No"))</f>
        <v/>
      </c>
    </row>
    <row r="13">
      <c r="A13" s="8" t="inlineStr">
        <is>
          <t>ACT-110</t>
        </is>
      </c>
      <c r="B13" s="7" t="n">
        <v>46195</v>
      </c>
      <c r="C13" s="8" t="inlineStr">
        <is>
          <t>Utilities</t>
        </is>
      </c>
      <c r="D13" s="10" t="inlineStr">
        <is>
          <t>Power consumption spike</t>
        </is>
      </c>
      <c r="E13" s="10" t="inlineStr">
        <is>
          <t>Install auto shutoff schedule</t>
        </is>
      </c>
      <c r="F13" s="8" t="inlineStr">
        <is>
          <t>Utilities Engineer</t>
        </is>
      </c>
      <c r="G13" s="7" t="n">
        <v>46199</v>
      </c>
      <c r="H13" s="8" t="inlineStr">
        <is>
          <t>In Progress</t>
        </is>
      </c>
      <c r="I13" s="8" t="inlineStr">
        <is>
          <t>Low</t>
        </is>
      </c>
      <c r="J13" s="16" t="n">
        <v>0</v>
      </c>
      <c r="K13" s="10" t="inlineStr">
        <is>
          <t>Line changeover impact</t>
        </is>
      </c>
      <c r="L13" s="8">
        <f>IF($H13="Closed","No",IF($G13&lt;TODAY(),"Yes","No"))</f>
        <v/>
      </c>
    </row>
    <row r="14">
      <c r="A14" s="12" t="inlineStr">
        <is>
          <t>ACT-111</t>
        </is>
      </c>
      <c r="B14" s="11" t="n">
        <v>46208</v>
      </c>
      <c r="C14" s="12" t="inlineStr">
        <is>
          <t>Engineering</t>
        </is>
      </c>
      <c r="D14" s="14" t="inlineStr">
        <is>
          <t>Milestone slipped for Line 4 upgrade</t>
        </is>
      </c>
      <c r="E14" s="14" t="inlineStr">
        <is>
          <t>Escalate to vendor, expedite logistics</t>
        </is>
      </c>
      <c r="F14" s="12" t="inlineStr">
        <is>
          <t>Engineering Manager</t>
        </is>
      </c>
      <c r="G14" s="11" t="n">
        <v>46212</v>
      </c>
      <c r="H14" s="12" t="inlineStr">
        <is>
          <t>In Progress</t>
        </is>
      </c>
      <c r="I14" s="12" t="inlineStr">
        <is>
          <t>High</t>
        </is>
      </c>
      <c r="J14" s="17" t="n">
        <v>0.5</v>
      </c>
      <c r="K14" s="14" t="inlineStr">
        <is>
          <t>Line changeover impact</t>
        </is>
      </c>
      <c r="L14" s="12">
        <f>IF($H14="Closed","No",IF($G14&lt;TODAY(),"Yes","No"))</f>
        <v/>
      </c>
    </row>
    <row r="15">
      <c r="A15" s="8" t="inlineStr">
        <is>
          <t>ACT-112</t>
        </is>
      </c>
      <c r="B15" s="7" t="n">
        <v>46193</v>
      </c>
      <c r="C15" s="8" t="inlineStr">
        <is>
          <t>HR</t>
        </is>
      </c>
      <c r="D15" s="10" t="inlineStr">
        <is>
          <t>High absenteeism in Shift B</t>
        </is>
      </c>
      <c r="E15" s="10" t="inlineStr">
        <is>
          <t>Coordinate additional shuttle</t>
        </is>
      </c>
      <c r="F15" s="8" t="inlineStr">
        <is>
          <t>HR Manager</t>
        </is>
      </c>
      <c r="G15" s="7" t="n">
        <v>46202</v>
      </c>
      <c r="H15" s="8" t="inlineStr">
        <is>
          <t>Closed</t>
        </is>
      </c>
      <c r="I15" s="8" t="inlineStr">
        <is>
          <t>Low</t>
        </is>
      </c>
      <c r="J15" s="16" t="n">
        <v>1</v>
      </c>
      <c r="K15" s="10" t="inlineStr">
        <is>
          <t>Awaiting spares</t>
        </is>
      </c>
      <c r="L15" s="8">
        <f>IF($H15="Closed","No",IF($G15&lt;TODAY(),"Yes","No"))</f>
        <v/>
      </c>
    </row>
    <row r="16">
      <c r="A16" s="12" t="inlineStr">
        <is>
          <t>ACT-113</t>
        </is>
      </c>
      <c r="B16" s="11" t="n">
        <v>46209</v>
      </c>
      <c r="C16" s="12" t="inlineStr">
        <is>
          <t>Utilities</t>
        </is>
      </c>
      <c r="D16" s="14" t="inlineStr">
        <is>
          <t>Power consumption spike</t>
        </is>
      </c>
      <c r="E16" s="14" t="inlineStr">
        <is>
          <t>Install auto shutoff schedule</t>
        </is>
      </c>
      <c r="F16" s="12" t="inlineStr">
        <is>
          <t>Utilities Engineer</t>
        </is>
      </c>
      <c r="G16" s="11" t="n">
        <v>46217</v>
      </c>
      <c r="H16" s="12" t="inlineStr">
        <is>
          <t>In Progress</t>
        </is>
      </c>
      <c r="I16" s="12" t="inlineStr">
        <is>
          <t>Medium</t>
        </is>
      </c>
      <c r="J16" s="17" t="n">
        <v>0.75</v>
      </c>
      <c r="K16" s="14" t="inlineStr">
        <is>
          <t>Within normal range</t>
        </is>
      </c>
      <c r="L16" s="12">
        <f>IF($H16="Closed","No",IF($G16&lt;TODAY(),"Yes","No"))</f>
        <v/>
      </c>
    </row>
    <row r="17">
      <c r="A17" s="8" t="inlineStr">
        <is>
          <t>ACT-114</t>
        </is>
      </c>
      <c r="B17" s="7" t="n">
        <v>46208</v>
      </c>
      <c r="C17" s="8" t="inlineStr">
        <is>
          <t>Engineering</t>
        </is>
      </c>
      <c r="D17" s="10" t="inlineStr">
        <is>
          <t>Milestone slipped for Line 4 upgrade</t>
        </is>
      </c>
      <c r="E17" s="10" t="inlineStr">
        <is>
          <t>Escalate to vendor, expedite logistics</t>
        </is>
      </c>
      <c r="F17" s="8" t="inlineStr">
        <is>
          <t>Engineering Manager</t>
        </is>
      </c>
      <c r="G17" s="7" t="n">
        <v>46217</v>
      </c>
      <c r="H17" s="8" t="inlineStr">
        <is>
          <t>In Progress</t>
        </is>
      </c>
      <c r="I17" s="8" t="inlineStr">
        <is>
          <t>High</t>
        </is>
      </c>
      <c r="J17" s="16" t="n">
        <v>0.5</v>
      </c>
      <c r="K17" s="10" t="inlineStr">
        <is>
          <t>Process improvement in progress</t>
        </is>
      </c>
      <c r="L17" s="8">
        <f>IF($H17="Closed","No",IF($G17&lt;TODAY(),"Yes","No"))</f>
        <v/>
      </c>
    </row>
    <row r="18">
      <c r="A18" s="12" t="inlineStr">
        <is>
          <t>ACT-115</t>
        </is>
      </c>
      <c r="B18" s="11" t="n">
        <v>46202</v>
      </c>
      <c r="C18" s="12" t="inlineStr">
        <is>
          <t>HR</t>
        </is>
      </c>
      <c r="D18" s="14" t="inlineStr">
        <is>
          <t>High absenteeism in Shift B</t>
        </is>
      </c>
      <c r="E18" s="14" t="inlineStr">
        <is>
          <t>Coordinate additional shuttle</t>
        </is>
      </c>
      <c r="F18" s="12" t="inlineStr">
        <is>
          <t>HR Manager</t>
        </is>
      </c>
      <c r="G18" s="11" t="n">
        <v>46207</v>
      </c>
      <c r="H18" s="12" t="inlineStr">
        <is>
          <t>Open</t>
        </is>
      </c>
      <c r="I18" s="12" t="inlineStr">
        <is>
          <t>High</t>
        </is>
      </c>
      <c r="J18" s="17" t="n">
        <v>0</v>
      </c>
      <c r="K18" s="14" t="inlineStr">
        <is>
          <t>Awaiting spares</t>
        </is>
      </c>
      <c r="L18" s="12">
        <f>IF($H18="Closed","No",IF($G18&lt;TODAY(),"Yes","No"))</f>
        <v/>
      </c>
    </row>
    <row r="19">
      <c r="A19" s="8" t="inlineStr">
        <is>
          <t>ACT-116</t>
        </is>
      </c>
      <c r="B19" s="7" t="n">
        <v>46190</v>
      </c>
      <c r="C19" s="8" t="inlineStr">
        <is>
          <t>Maintenance</t>
        </is>
      </c>
      <c r="D19" s="10" t="inlineStr">
        <is>
          <t>Repeat breakdown on Compressor-3</t>
        </is>
      </c>
      <c r="E19" s="10" t="inlineStr">
        <is>
          <t>Replace bearing, revise PM checklist</t>
        </is>
      </c>
      <c r="F19" s="8" t="inlineStr">
        <is>
          <t>Maintenance Manager</t>
        </is>
      </c>
      <c r="G19" s="7" t="n">
        <v>46197</v>
      </c>
      <c r="H19" s="8" t="inlineStr">
        <is>
          <t>Open</t>
        </is>
      </c>
      <c r="I19" s="8" t="inlineStr">
        <is>
          <t>Medium</t>
        </is>
      </c>
      <c r="J19" s="16" t="n">
        <v>0</v>
      </c>
      <c r="K19" s="10" t="inlineStr">
        <is>
          <t>Within normal range</t>
        </is>
      </c>
      <c r="L19" s="8">
        <f>IF($H19="Closed","No",IF($G19&lt;TODAY(),"Yes","No"))</f>
        <v/>
      </c>
    </row>
    <row r="20">
      <c r="A20" s="12" t="inlineStr">
        <is>
          <t>ACT-117</t>
        </is>
      </c>
      <c r="B20" s="11" t="n">
        <v>46219</v>
      </c>
      <c r="C20" s="12" t="inlineStr">
        <is>
          <t>Safety</t>
        </is>
      </c>
      <c r="D20" s="14" t="inlineStr">
        <is>
          <t>Housekeeping non-compliance</t>
        </is>
      </c>
      <c r="E20" s="14" t="inlineStr">
        <is>
          <t>Conduct daily 5S audit</t>
        </is>
      </c>
      <c r="F20" s="12" t="inlineStr">
        <is>
          <t>Safety Officer</t>
        </is>
      </c>
      <c r="G20" s="11" t="n">
        <v>46225</v>
      </c>
      <c r="H20" s="12" t="inlineStr">
        <is>
          <t>In Progress</t>
        </is>
      </c>
      <c r="I20" s="12" t="inlineStr">
        <is>
          <t>Low</t>
        </is>
      </c>
      <c r="J20" s="17" t="n">
        <v>0.75</v>
      </c>
      <c r="K20" s="14" t="inlineStr">
        <is>
          <t>Preventive check done</t>
        </is>
      </c>
      <c r="L20" s="12">
        <f>IF($H20="Closed","No",IF($G20&lt;TODAY(),"Yes","No"))</f>
        <v/>
      </c>
    </row>
    <row r="21">
      <c r="A21" s="8" t="inlineStr">
        <is>
          <t>ACT-118</t>
        </is>
      </c>
      <c r="B21" s="7" t="n">
        <v>46204</v>
      </c>
      <c r="C21" s="8" t="inlineStr">
        <is>
          <t>HR</t>
        </is>
      </c>
      <c r="D21" s="10" t="inlineStr">
        <is>
          <t>High absenteeism in Shift B</t>
        </is>
      </c>
      <c r="E21" s="10" t="inlineStr">
        <is>
          <t>Coordinate additional shuttle</t>
        </is>
      </c>
      <c r="F21" s="8" t="inlineStr">
        <is>
          <t>HR Manager</t>
        </is>
      </c>
      <c r="G21" s="7" t="n">
        <v>46214</v>
      </c>
      <c r="H21" s="8" t="inlineStr">
        <is>
          <t>Closed</t>
        </is>
      </c>
      <c r="I21" s="8" t="inlineStr">
        <is>
          <t>Medium</t>
        </is>
      </c>
      <c r="J21" s="16" t="n">
        <v>1</v>
      </c>
      <c r="K21" s="10" t="inlineStr"/>
      <c r="L21" s="8">
        <f>IF($H21="Closed","No",IF($G21&lt;TODAY(),"Yes","No"))</f>
        <v/>
      </c>
    </row>
    <row r="22">
      <c r="A22" s="12" t="inlineStr">
        <is>
          <t>ACT-119</t>
        </is>
      </c>
      <c r="B22" s="11" t="n">
        <v>46219</v>
      </c>
      <c r="C22" s="12" t="inlineStr">
        <is>
          <t>Warehouse</t>
        </is>
      </c>
      <c r="D22" s="14" t="inlineStr">
        <is>
          <t>Dispatch delay for key customer</t>
        </is>
      </c>
      <c r="E22" s="14" t="inlineStr">
        <is>
          <t>Cycle count + WMS reconciliation</t>
        </is>
      </c>
      <c r="F22" s="12" t="inlineStr">
        <is>
          <t>Warehouse Manager</t>
        </is>
      </c>
      <c r="G22" s="11" t="n">
        <v>46226</v>
      </c>
      <c r="H22" s="12" t="inlineStr">
        <is>
          <t>In Progress</t>
        </is>
      </c>
      <c r="I22" s="12" t="inlineStr">
        <is>
          <t>Medium</t>
        </is>
      </c>
      <c r="J22" s="17" t="n">
        <v>0</v>
      </c>
      <c r="K22" s="14" t="inlineStr">
        <is>
          <t>Manpower shortage</t>
        </is>
      </c>
      <c r="L22" s="12">
        <f>IF($H22="Closed","No",IF($G22&lt;TODAY(),"Yes","No"))</f>
        <v/>
      </c>
    </row>
    <row r="23">
      <c r="A23" s="8" t="inlineStr">
        <is>
          <t>ACT-120</t>
        </is>
      </c>
      <c r="B23" s="7" t="n">
        <v>46207</v>
      </c>
      <c r="C23" s="8" t="inlineStr">
        <is>
          <t>Production</t>
        </is>
      </c>
      <c r="D23" s="10" t="inlineStr">
        <is>
          <t>Output below target 3 days running</t>
        </is>
      </c>
      <c r="E23" s="10" t="inlineStr">
        <is>
          <t>RCA on stoppages + retraining</t>
        </is>
      </c>
      <c r="F23" s="8" t="inlineStr">
        <is>
          <t>Production Manager</t>
        </is>
      </c>
      <c r="G23" s="7" t="n">
        <v>46214</v>
      </c>
      <c r="H23" s="8" t="inlineStr">
        <is>
          <t>In Progress</t>
        </is>
      </c>
      <c r="I23" s="8" t="inlineStr">
        <is>
          <t>High</t>
        </is>
      </c>
      <c r="J23" s="16" t="n">
        <v>0.25</v>
      </c>
      <c r="K23" s="10" t="inlineStr">
        <is>
          <t>Process improvement in progress</t>
        </is>
      </c>
      <c r="L23" s="8">
        <f>IF($H23="Closed","No",IF($G23&lt;TODAY(),"Yes","No"))</f>
        <v/>
      </c>
    </row>
    <row r="24">
      <c r="A24" s="12" t="inlineStr">
        <is>
          <t>ACT-121</t>
        </is>
      </c>
      <c r="B24" s="11" t="n">
        <v>46208</v>
      </c>
      <c r="C24" s="12" t="inlineStr">
        <is>
          <t>Engineering</t>
        </is>
      </c>
      <c r="D24" s="14" t="inlineStr">
        <is>
          <t>Milestone slipped for Line 4 upgrade</t>
        </is>
      </c>
      <c r="E24" s="14" t="inlineStr">
        <is>
          <t>Escalate to vendor, expedite logistics</t>
        </is>
      </c>
      <c r="F24" s="12" t="inlineStr">
        <is>
          <t>Engineering Manager</t>
        </is>
      </c>
      <c r="G24" s="11" t="n">
        <v>46217</v>
      </c>
      <c r="H24" s="12" t="inlineStr">
        <is>
          <t>Closed</t>
        </is>
      </c>
      <c r="I24" s="12" t="inlineStr">
        <is>
          <t>High</t>
        </is>
      </c>
      <c r="J24" s="17" t="n">
        <v>1</v>
      </c>
      <c r="K24" s="14" t="inlineStr">
        <is>
          <t>Awaiting spares</t>
        </is>
      </c>
      <c r="L24" s="12">
        <f>IF($H24="Closed","No",IF($G24&lt;TODAY(),"Yes","No"))</f>
        <v/>
      </c>
    </row>
    <row r="25">
      <c r="A25" s="8" t="inlineStr">
        <is>
          <t>ACT-122</t>
        </is>
      </c>
      <c r="B25" s="7" t="n">
        <v>46215</v>
      </c>
      <c r="C25" s="8" t="inlineStr">
        <is>
          <t>Production</t>
        </is>
      </c>
      <c r="D25" s="10" t="inlineStr">
        <is>
          <t>Output below target 3 days running</t>
        </is>
      </c>
      <c r="E25" s="10" t="inlineStr">
        <is>
          <t>RCA on stoppages + retraining</t>
        </is>
      </c>
      <c r="F25" s="8" t="inlineStr">
        <is>
          <t>Production Manager</t>
        </is>
      </c>
      <c r="G25" s="7" t="n">
        <v>46222</v>
      </c>
      <c r="H25" s="8" t="inlineStr">
        <is>
          <t>In Progress</t>
        </is>
      </c>
      <c r="I25" s="8" t="inlineStr">
        <is>
          <t>High</t>
        </is>
      </c>
      <c r="J25" s="16" t="n">
        <v>0</v>
      </c>
      <c r="K25" s="10" t="inlineStr">
        <is>
          <t>Vendor delay</t>
        </is>
      </c>
      <c r="L25" s="8">
        <f>IF($H25="Closed","No",IF($G25&lt;TODAY(),"Yes","No"))</f>
        <v/>
      </c>
    </row>
    <row r="26">
      <c r="A26" s="12" t="inlineStr">
        <is>
          <t>ACT-123</t>
        </is>
      </c>
      <c r="B26" s="11" t="n">
        <v>46200</v>
      </c>
      <c r="C26" s="12" t="inlineStr">
        <is>
          <t>Production</t>
        </is>
      </c>
      <c r="D26" s="14" t="inlineStr">
        <is>
          <t>Output below target 3 days running</t>
        </is>
      </c>
      <c r="E26" s="14" t="inlineStr">
        <is>
          <t>RCA on stoppages + retraining</t>
        </is>
      </c>
      <c r="F26" s="12" t="inlineStr">
        <is>
          <t>Production Manager</t>
        </is>
      </c>
      <c r="G26" s="11" t="n">
        <v>46206</v>
      </c>
      <c r="H26" s="12" t="inlineStr">
        <is>
          <t>Closed</t>
        </is>
      </c>
      <c r="I26" s="12" t="inlineStr">
        <is>
          <t>High</t>
        </is>
      </c>
      <c r="J26" s="17" t="n">
        <v>1</v>
      </c>
      <c r="K26" s="14" t="inlineStr">
        <is>
          <t>Process improvement in progress</t>
        </is>
      </c>
      <c r="L26" s="12">
        <f>IF($H26="Closed","No",IF($G26&lt;TODAY(),"Yes","No"))</f>
        <v/>
      </c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9" t="n"/>
      <c r="K27" s="18" t="n"/>
      <c r="L27" s="18">
        <f>IF($G27="","",IF($H27="Closed","No",IF($G27&lt;TODAY(),"Yes","No")))</f>
        <v/>
      </c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9" t="n"/>
      <c r="K28" s="18" t="n"/>
      <c r="L28" s="18">
        <f>IF($G28="","",IF($H28="Closed","No",IF($G28&lt;TODAY(),"Yes","No")))</f>
        <v/>
      </c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9" t="n"/>
      <c r="K29" s="18" t="n"/>
      <c r="L29" s="18">
        <f>IF($G29="","",IF($H29="Closed","No",IF($G29&lt;TODAY(),"Yes","No")))</f>
        <v/>
      </c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9" t="n"/>
      <c r="K30" s="18" t="n"/>
      <c r="L30" s="18">
        <f>IF($G30="","",IF($H30="Closed","No",IF($G30&lt;TODAY(),"Yes","No")))</f>
        <v/>
      </c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9" t="n"/>
      <c r="K31" s="18" t="n"/>
      <c r="L31" s="18">
        <f>IF($G31="","",IF($H31="Closed","No",IF($G31&lt;TODAY(),"Yes","No")))</f>
        <v/>
      </c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9" t="n"/>
      <c r="K32" s="18" t="n"/>
      <c r="L32" s="18">
        <f>IF($G32="","",IF($H32="Closed","No",IF($G32&lt;TODAY(),"Yes","No")))</f>
        <v/>
      </c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9" t="n"/>
      <c r="K33" s="18" t="n"/>
      <c r="L33" s="18">
        <f>IF($G33="","",IF($H33="Closed","No",IF($G33&lt;TODAY(),"Yes","No")))</f>
        <v/>
      </c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9" t="n"/>
      <c r="K34" s="18" t="n"/>
      <c r="L34" s="18">
        <f>IF($G34="","",IF($H34="Closed","No",IF($G34&lt;TODAY(),"Yes","No")))</f>
        <v/>
      </c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9" t="n"/>
      <c r="K35" s="18" t="n"/>
      <c r="L35" s="18">
        <f>IF($G35="","",IF($H35="Closed","No",IF($G35&lt;TODAY(),"Yes","No")))</f>
        <v/>
      </c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9" t="n"/>
      <c r="K36" s="18" t="n"/>
      <c r="L36" s="18">
        <f>IF($G36="","",IF($H36="Closed","No",IF($G36&lt;TODAY(),"Yes","No")))</f>
        <v/>
      </c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9" t="n"/>
      <c r="K37" s="18" t="n"/>
      <c r="L37" s="18">
        <f>IF($G37="","",IF($H37="Closed","No",IF($G37&lt;TODAY(),"Yes","No")))</f>
        <v/>
      </c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9" t="n"/>
      <c r="K38" s="18" t="n"/>
      <c r="L38" s="18">
        <f>IF($G38="","",IF($H38="Closed","No",IF($G38&lt;TODAY(),"Yes","No")))</f>
        <v/>
      </c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9" t="n"/>
      <c r="K39" s="18" t="n"/>
      <c r="L39" s="18">
        <f>IF($G39="","",IF($H39="Closed","No",IF($G39&lt;TODAY(),"Yes","No")))</f>
        <v/>
      </c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9" t="n"/>
      <c r="K40" s="18" t="n"/>
      <c r="L40" s="18">
        <f>IF($G40="","",IF($H40="Closed","No",IF($G40&lt;TODAY(),"Yes","No")))</f>
        <v/>
      </c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9" t="n"/>
      <c r="K41" s="18" t="n"/>
      <c r="L41" s="18">
        <f>IF($G41="","",IF($H41="Closed","No",IF($G41&lt;TODAY(),"Yes","No")))</f>
        <v/>
      </c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9" t="n"/>
      <c r="K42" s="18" t="n"/>
      <c r="L42" s="18">
        <f>IF($G42="","",IF($H42="Closed","No",IF($G42&lt;TODAY(),"Yes","No")))</f>
        <v/>
      </c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9" t="n"/>
      <c r="K43" s="18" t="n"/>
      <c r="L43" s="18">
        <f>IF($G43="","",IF($H43="Closed","No",IF($G43&lt;TODAY(),"Yes","No")))</f>
        <v/>
      </c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9" t="n"/>
      <c r="K44" s="18" t="n"/>
      <c r="L44" s="18">
        <f>IF($G44="","",IF($H44="Closed","No",IF($G44&lt;TODAY(),"Yes","No")))</f>
        <v/>
      </c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9" t="n"/>
      <c r="K45" s="18" t="n"/>
      <c r="L45" s="18">
        <f>IF($G45="","",IF($H45="Closed","No",IF($G45&lt;TODAY(),"Yes","No")))</f>
        <v/>
      </c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9" t="n"/>
      <c r="K46" s="18" t="n"/>
      <c r="L46" s="18">
        <f>IF($G46="","",IF($H46="Closed","No",IF($G46&lt;TODAY(),"Yes","No")))</f>
        <v/>
      </c>
    </row>
  </sheetData>
  <mergeCells count="1">
    <mergeCell ref="A1:L1"/>
  </mergeCells>
  <conditionalFormatting sqref="H3:H46">
    <cfRule type="expression" priority="1" dxfId="0">
      <formula>$H3="Closed"</formula>
    </cfRule>
    <cfRule type="expression" priority="2" dxfId="2">
      <formula>$H3="Open"</formula>
    </cfRule>
    <cfRule type="expression" priority="3" dxfId="1">
      <formula>$H3="In Progress"</formula>
    </cfRule>
  </conditionalFormatting>
  <conditionalFormatting sqref="L3:L46">
    <cfRule type="expression" priority="4" dxfId="2">
      <formula>$L3="Yes"</formula>
    </cfRule>
  </conditionalFormatting>
  <dataValidations count="4">
    <dataValidation sqref="C3:C46" showDropDown="0" showInputMessage="0" showErrorMessage="0" allowBlank="1" type="list">
      <formula1>DeptList</formula1>
    </dataValidation>
    <dataValidation sqref="F3:F46" showDropDown="0" showInputMessage="0" showErrorMessage="0" allowBlank="1" type="list">
      <formula1>OwnerList</formula1>
    </dataValidation>
    <dataValidation sqref="H3:H46" showDropDown="0" showInputMessage="0" showErrorMessage="0" allowBlank="1" type="list">
      <formula1>ActionStatusList</formula1>
    </dataValidation>
    <dataValidation sqref="I3:I46" showDropDown="0" showInputMessage="0" showErrorMessage="0" allowBlank="1" type="list">
      <formula1>PriorityList</formula1>
    </dataValidation>
  </dataValidations>
  <pageMargins left="0.3" right="0.3" top="0.4" bottom="0.4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D33"/>
  <sheetViews>
    <sheetView showGridLines="0" tabSelected="0" zoomScale="90" workbookViewId="0">
      <selection activeCell="A1" sqref="A1"/>
    </sheetView>
  </sheetViews>
  <sheetFormatPr baseColWidth="8" defaultRowHeight="15" outlineLevelCol="0"/>
  <cols>
    <col width="14" customWidth="1" min="1" max="1"/>
    <col width="9" customWidth="1" min="2" max="2"/>
    <col width="12" customWidth="1" min="3" max="3"/>
    <col width="9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hidden="1" width="13" customWidth="1" min="22" max="22"/>
    <col hidden="1" width="13" customWidth="1" min="23" max="23"/>
  </cols>
  <sheetData>
    <row r="1" ht="34" customHeight="1">
      <c r="A1" s="1" t="inlineStr">
        <is>
          <t xml:space="preserve">  ACTION DASHBOARD</t>
        </is>
      </c>
    </row>
    <row r="2" ht="14" customHeight="1"/>
    <row r="3" ht="20" customHeight="1">
      <c r="A3" s="2">
        <f>"  v2.0   |   "&amp;TEXT(TODAY(),"dddd, dd-mmm-yyyy")&amp;"   |   updates automatically from Action Tracker"</f>
        <v/>
      </c>
    </row>
    <row r="5" ht="20" customHeight="1">
      <c r="A5" s="21" t="inlineStr">
        <is>
          <t>ACTION SUMMARY</t>
        </is>
      </c>
    </row>
    <row r="6" ht="14" customHeight="1">
      <c r="A6" s="22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</row>
    <row r="7" ht="14" customHeight="1">
      <c r="A7" s="23" t="inlineStr">
        <is>
          <t>TOTAL ACTIONS</t>
        </is>
      </c>
      <c r="G7" s="23" t="inlineStr">
        <is>
          <t>OPEN</t>
        </is>
      </c>
      <c r="M7" s="23" t="inlineStr">
        <is>
          <t>IN PROGRESS</t>
        </is>
      </c>
      <c r="S7" s="23" t="inlineStr">
        <is>
          <t>CLOSED</t>
        </is>
      </c>
      <c r="Y7" s="23" t="inlineStr">
        <is>
          <t>OVERDUE</t>
        </is>
      </c>
    </row>
    <row r="8" ht="14" customHeight="1">
      <c r="A8" s="31">
        <f>COUNTA(Tbl_ActionTracker[Action ID])</f>
        <v/>
      </c>
      <c r="G8" s="31">
        <f>COUNTIFS(Tbl_ActionTracker[Status],"Open")</f>
        <v/>
      </c>
      <c r="M8" s="31">
        <f>COUNTIFS(Tbl_ActionTracker[Status],"In Progress")</f>
        <v/>
      </c>
      <c r="S8" s="31">
        <f>COUNTIFS(Tbl_ActionTracker[Status],"Closed")</f>
        <v/>
      </c>
      <c r="Y8" s="31">
        <f>COUNTIFS(Tbl_ActionTracker[Overdue?],"Yes")</f>
        <v/>
      </c>
    </row>
    <row r="9" ht="14" customHeight="1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</row>
    <row r="11" ht="20" customHeight="1">
      <c r="A11" s="21" t="inlineStr">
        <is>
          <t>DEPARTMENT-WISE ACTIONS</t>
        </is>
      </c>
    </row>
    <row r="12" ht="26" customHeight="1">
      <c r="A12" s="6" t="inlineStr">
        <is>
          <t>Department</t>
        </is>
      </c>
      <c r="B12" s="6" t="inlineStr">
        <is>
          <t>Open</t>
        </is>
      </c>
      <c r="C12" s="6" t="inlineStr">
        <is>
          <t>In Progress</t>
        </is>
      </c>
      <c r="D12" s="6" t="inlineStr">
        <is>
          <t>Closed</t>
        </is>
      </c>
      <c r="E12" s="6" t="inlineStr">
        <is>
          <t>Overdue</t>
        </is>
      </c>
      <c r="F12" s="6" t="inlineStr">
        <is>
          <t>Status</t>
        </is>
      </c>
    </row>
    <row r="13">
      <c r="A13" s="8">
        <f>IF(1&lt;=COUNTA(DeptList),INDEX(DeptList,1),"")</f>
        <v/>
      </c>
      <c r="B13" s="8">
        <f>IF($A13="","",COUNTIFS(Tbl_ActionTracker[Department],$A13,Tbl_ActionTracker[Status],"Open"))</f>
        <v/>
      </c>
      <c r="C13" s="8">
        <f>IF($A13="","",COUNTIFS(Tbl_ActionTracker[Department],$A13,Tbl_ActionTracker[Status],"In Progress"))</f>
        <v/>
      </c>
      <c r="D13" s="8">
        <f>IF($A13="","",COUNTIFS(Tbl_ActionTracker[Department],$A13,Tbl_ActionTracker[Status],"Closed"))</f>
        <v/>
      </c>
      <c r="E13" s="8">
        <f>IF($A13="","",COUNTIFS(Tbl_ActionTracker[Department],$A13,Tbl_ActionTracker[Overdue?],"Yes"))</f>
        <v/>
      </c>
      <c r="F13" s="8">
        <f>IF($A13="","",IF($E13&gt;0,"Red",IF($B13&gt;0,"Amber","Green")))</f>
        <v/>
      </c>
    </row>
    <row r="14">
      <c r="A14" s="12">
        <f>IF(2&lt;=COUNTA(DeptList),INDEX(DeptList,2),"")</f>
        <v/>
      </c>
      <c r="B14" s="12">
        <f>IF($A14="","",COUNTIFS(Tbl_ActionTracker[Department],$A14,Tbl_ActionTracker[Status],"Open"))</f>
        <v/>
      </c>
      <c r="C14" s="12">
        <f>IF($A14="","",COUNTIFS(Tbl_ActionTracker[Department],$A14,Tbl_ActionTracker[Status],"In Progress"))</f>
        <v/>
      </c>
      <c r="D14" s="12">
        <f>IF($A14="","",COUNTIFS(Tbl_ActionTracker[Department],$A14,Tbl_ActionTracker[Status],"Closed"))</f>
        <v/>
      </c>
      <c r="E14" s="12">
        <f>IF($A14="","",COUNTIFS(Tbl_ActionTracker[Department],$A14,Tbl_ActionTracker[Overdue?],"Yes"))</f>
        <v/>
      </c>
      <c r="F14" s="12">
        <f>IF($A14="","",IF($E14&gt;0,"Red",IF($B14&gt;0,"Amber","Green")))</f>
        <v/>
      </c>
    </row>
    <row r="15">
      <c r="A15" s="8">
        <f>IF(3&lt;=COUNTA(DeptList),INDEX(DeptList,3),"")</f>
        <v/>
      </c>
      <c r="B15" s="8">
        <f>IF($A15="","",COUNTIFS(Tbl_ActionTracker[Department],$A15,Tbl_ActionTracker[Status],"Open"))</f>
        <v/>
      </c>
      <c r="C15" s="8">
        <f>IF($A15="","",COUNTIFS(Tbl_ActionTracker[Department],$A15,Tbl_ActionTracker[Status],"In Progress"))</f>
        <v/>
      </c>
      <c r="D15" s="8">
        <f>IF($A15="","",COUNTIFS(Tbl_ActionTracker[Department],$A15,Tbl_ActionTracker[Status],"Closed"))</f>
        <v/>
      </c>
      <c r="E15" s="8">
        <f>IF($A15="","",COUNTIFS(Tbl_ActionTracker[Department],$A15,Tbl_ActionTracker[Overdue?],"Yes"))</f>
        <v/>
      </c>
      <c r="F15" s="8">
        <f>IF($A15="","",IF($E15&gt;0,"Red",IF($B15&gt;0,"Amber","Green")))</f>
        <v/>
      </c>
    </row>
    <row r="16">
      <c r="A16" s="12">
        <f>IF(4&lt;=COUNTA(DeptList),INDEX(DeptList,4),"")</f>
        <v/>
      </c>
      <c r="B16" s="12">
        <f>IF($A16="","",COUNTIFS(Tbl_ActionTracker[Department],$A16,Tbl_ActionTracker[Status],"Open"))</f>
        <v/>
      </c>
      <c r="C16" s="12">
        <f>IF($A16="","",COUNTIFS(Tbl_ActionTracker[Department],$A16,Tbl_ActionTracker[Status],"In Progress"))</f>
        <v/>
      </c>
      <c r="D16" s="12">
        <f>IF($A16="","",COUNTIFS(Tbl_ActionTracker[Department],$A16,Tbl_ActionTracker[Status],"Closed"))</f>
        <v/>
      </c>
      <c r="E16" s="12">
        <f>IF($A16="","",COUNTIFS(Tbl_ActionTracker[Department],$A16,Tbl_ActionTracker[Overdue?],"Yes"))</f>
        <v/>
      </c>
      <c r="F16" s="12">
        <f>IF($A16="","",IF($E16&gt;0,"Red",IF($B16&gt;0,"Amber","Green")))</f>
        <v/>
      </c>
    </row>
    <row r="17">
      <c r="A17" s="8">
        <f>IF(5&lt;=COUNTA(DeptList),INDEX(DeptList,5),"")</f>
        <v/>
      </c>
      <c r="B17" s="8">
        <f>IF($A17="","",COUNTIFS(Tbl_ActionTracker[Department],$A17,Tbl_ActionTracker[Status],"Open"))</f>
        <v/>
      </c>
      <c r="C17" s="8">
        <f>IF($A17="","",COUNTIFS(Tbl_ActionTracker[Department],$A17,Tbl_ActionTracker[Status],"In Progress"))</f>
        <v/>
      </c>
      <c r="D17" s="8">
        <f>IF($A17="","",COUNTIFS(Tbl_ActionTracker[Department],$A17,Tbl_ActionTracker[Status],"Closed"))</f>
        <v/>
      </c>
      <c r="E17" s="8">
        <f>IF($A17="","",COUNTIFS(Tbl_ActionTracker[Department],$A17,Tbl_ActionTracker[Overdue?],"Yes"))</f>
        <v/>
      </c>
      <c r="F17" s="8">
        <f>IF($A17="","",IF($E17&gt;0,"Red",IF($B17&gt;0,"Amber","Green")))</f>
        <v/>
      </c>
    </row>
    <row r="18">
      <c r="A18" s="12">
        <f>IF(6&lt;=COUNTA(DeptList),INDEX(DeptList,6),"")</f>
        <v/>
      </c>
      <c r="B18" s="12">
        <f>IF($A18="","",COUNTIFS(Tbl_ActionTracker[Department],$A18,Tbl_ActionTracker[Status],"Open"))</f>
        <v/>
      </c>
      <c r="C18" s="12">
        <f>IF($A18="","",COUNTIFS(Tbl_ActionTracker[Department],$A18,Tbl_ActionTracker[Status],"In Progress"))</f>
        <v/>
      </c>
      <c r="D18" s="12">
        <f>IF($A18="","",COUNTIFS(Tbl_ActionTracker[Department],$A18,Tbl_ActionTracker[Status],"Closed"))</f>
        <v/>
      </c>
      <c r="E18" s="12">
        <f>IF($A18="","",COUNTIFS(Tbl_ActionTracker[Department],$A18,Tbl_ActionTracker[Overdue?],"Yes"))</f>
        <v/>
      </c>
      <c r="F18" s="12">
        <f>IF($A18="","",IF($E18&gt;0,"Red",IF($B18&gt;0,"Amber","Green")))</f>
        <v/>
      </c>
    </row>
    <row r="19">
      <c r="A19" s="8">
        <f>IF(7&lt;=COUNTA(DeptList),INDEX(DeptList,7),"")</f>
        <v/>
      </c>
      <c r="B19" s="8">
        <f>IF($A19="","",COUNTIFS(Tbl_ActionTracker[Department],$A19,Tbl_ActionTracker[Status],"Open"))</f>
        <v/>
      </c>
      <c r="C19" s="8">
        <f>IF($A19="","",COUNTIFS(Tbl_ActionTracker[Department],$A19,Tbl_ActionTracker[Status],"In Progress"))</f>
        <v/>
      </c>
      <c r="D19" s="8">
        <f>IF($A19="","",COUNTIFS(Tbl_ActionTracker[Department],$A19,Tbl_ActionTracker[Status],"Closed"))</f>
        <v/>
      </c>
      <c r="E19" s="8">
        <f>IF($A19="","",COUNTIFS(Tbl_ActionTracker[Department],$A19,Tbl_ActionTracker[Overdue?],"Yes"))</f>
        <v/>
      </c>
      <c r="F19" s="8">
        <f>IF($A19="","",IF($E19&gt;0,"Red",IF($B19&gt;0,"Amber","Green")))</f>
        <v/>
      </c>
    </row>
    <row r="20">
      <c r="A20" s="12">
        <f>IF(8&lt;=COUNTA(DeptList),INDEX(DeptList,8),"")</f>
        <v/>
      </c>
      <c r="B20" s="12">
        <f>IF($A20="","",COUNTIFS(Tbl_ActionTracker[Department],$A20,Tbl_ActionTracker[Status],"Open"))</f>
        <v/>
      </c>
      <c r="C20" s="12">
        <f>IF($A20="","",COUNTIFS(Tbl_ActionTracker[Department],$A20,Tbl_ActionTracker[Status],"In Progress"))</f>
        <v/>
      </c>
      <c r="D20" s="12">
        <f>IF($A20="","",COUNTIFS(Tbl_ActionTracker[Department],$A20,Tbl_ActionTracker[Status],"Closed"))</f>
        <v/>
      </c>
      <c r="E20" s="12">
        <f>IF($A20="","",COUNTIFS(Tbl_ActionTracker[Department],$A20,Tbl_ActionTracker[Overdue?],"Yes"))</f>
        <v/>
      </c>
      <c r="F20" s="12">
        <f>IF($A20="","",IF($E20&gt;0,"Red",IF($B20&gt;0,"Amber","Green")))</f>
        <v/>
      </c>
    </row>
    <row r="21">
      <c r="A21" s="8">
        <f>IF(9&lt;=COUNTA(DeptList),INDEX(DeptList,9),"")</f>
        <v/>
      </c>
      <c r="B21" s="8">
        <f>IF($A21="","",COUNTIFS(Tbl_ActionTracker[Department],$A21,Tbl_ActionTracker[Status],"Open"))</f>
        <v/>
      </c>
      <c r="C21" s="8">
        <f>IF($A21="","",COUNTIFS(Tbl_ActionTracker[Department],$A21,Tbl_ActionTracker[Status],"In Progress"))</f>
        <v/>
      </c>
      <c r="D21" s="8">
        <f>IF($A21="","",COUNTIFS(Tbl_ActionTracker[Department],$A21,Tbl_ActionTracker[Status],"Closed"))</f>
        <v/>
      </c>
      <c r="E21" s="8">
        <f>IF($A21="","",COUNTIFS(Tbl_ActionTracker[Department],$A21,Tbl_ActionTracker[Overdue?],"Yes"))</f>
        <v/>
      </c>
      <c r="F21" s="8">
        <f>IF($A21="","",IF($E21&gt;0,"Red",IF($B21&gt;0,"Amber","Green")))</f>
        <v/>
      </c>
    </row>
    <row r="22">
      <c r="A22" s="12">
        <f>IF(10&lt;=COUNTA(DeptList),INDEX(DeptList,10),"")</f>
        <v/>
      </c>
      <c r="B22" s="12">
        <f>IF($A22="","",COUNTIFS(Tbl_ActionTracker[Department],$A22,Tbl_ActionTracker[Status],"Open"))</f>
        <v/>
      </c>
      <c r="C22" s="12">
        <f>IF($A22="","",COUNTIFS(Tbl_ActionTracker[Department],$A22,Tbl_ActionTracker[Status],"In Progress"))</f>
        <v/>
      </c>
      <c r="D22" s="12">
        <f>IF($A22="","",COUNTIFS(Tbl_ActionTracker[Department],$A22,Tbl_ActionTracker[Status],"Closed"))</f>
        <v/>
      </c>
      <c r="E22" s="12">
        <f>IF($A22="","",COUNTIFS(Tbl_ActionTracker[Department],$A22,Tbl_ActionTracker[Overdue?],"Yes"))</f>
        <v/>
      </c>
      <c r="F22" s="12">
        <f>IF($A22="","",IF($E22&gt;0,"Red",IF($B22&gt;0,"Amber","Green")))</f>
        <v/>
      </c>
    </row>
    <row r="23">
      <c r="A23" s="8">
        <f>IF(11&lt;=COUNTA(DeptList),INDEX(DeptList,11),"")</f>
        <v/>
      </c>
      <c r="B23" s="8">
        <f>IF($A23="","",COUNTIFS(Tbl_ActionTracker[Department],$A23,Tbl_ActionTracker[Status],"Open"))</f>
        <v/>
      </c>
      <c r="C23" s="8">
        <f>IF($A23="","",COUNTIFS(Tbl_ActionTracker[Department],$A23,Tbl_ActionTracker[Status],"In Progress"))</f>
        <v/>
      </c>
      <c r="D23" s="8">
        <f>IF($A23="","",COUNTIFS(Tbl_ActionTracker[Department],$A23,Tbl_ActionTracker[Status],"Closed"))</f>
        <v/>
      </c>
      <c r="E23" s="8">
        <f>IF($A23="","",COUNTIFS(Tbl_ActionTracker[Department],$A23,Tbl_ActionTracker[Overdue?],"Yes"))</f>
        <v/>
      </c>
      <c r="F23" s="8">
        <f>IF($A23="","",IF($E23&gt;0,"Red",IF($B23&gt;0,"Amber","Green")))</f>
        <v/>
      </c>
    </row>
    <row r="24">
      <c r="A24" s="12">
        <f>IF(12&lt;=COUNTA(DeptList),INDEX(DeptList,12),"")</f>
        <v/>
      </c>
      <c r="B24" s="12">
        <f>IF($A24="","",COUNTIFS(Tbl_ActionTracker[Department],$A24,Tbl_ActionTracker[Status],"Open"))</f>
        <v/>
      </c>
      <c r="C24" s="12">
        <f>IF($A24="","",COUNTIFS(Tbl_ActionTracker[Department],$A24,Tbl_ActionTracker[Status],"In Progress"))</f>
        <v/>
      </c>
      <c r="D24" s="12">
        <f>IF($A24="","",COUNTIFS(Tbl_ActionTracker[Department],$A24,Tbl_ActionTracker[Status],"Closed"))</f>
        <v/>
      </c>
      <c r="E24" s="12">
        <f>IF($A24="","",COUNTIFS(Tbl_ActionTracker[Department],$A24,Tbl_ActionTracker[Overdue?],"Yes"))</f>
        <v/>
      </c>
      <c r="F24" s="12">
        <f>IF($A24="","",IF($E24&gt;0,"Red",IF($B24&gt;0,"Amber","Green")))</f>
        <v/>
      </c>
    </row>
    <row r="25">
      <c r="A25" s="8">
        <f>IF(13&lt;=COUNTA(DeptList),INDEX(DeptList,13),"")</f>
        <v/>
      </c>
      <c r="B25" s="8">
        <f>IF($A25="","",COUNTIFS(Tbl_ActionTracker[Department],$A25,Tbl_ActionTracker[Status],"Open"))</f>
        <v/>
      </c>
      <c r="C25" s="8">
        <f>IF($A25="","",COUNTIFS(Tbl_ActionTracker[Department],$A25,Tbl_ActionTracker[Status],"In Progress"))</f>
        <v/>
      </c>
      <c r="D25" s="8">
        <f>IF($A25="","",COUNTIFS(Tbl_ActionTracker[Department],$A25,Tbl_ActionTracker[Status],"Closed"))</f>
        <v/>
      </c>
      <c r="E25" s="8">
        <f>IF($A25="","",COUNTIFS(Tbl_ActionTracker[Department],$A25,Tbl_ActionTracker[Overdue?],"Yes"))</f>
        <v/>
      </c>
      <c r="F25" s="8">
        <f>IF($A25="","",IF($E25&gt;0,"Red",IF($B25&gt;0,"Amber","Green")))</f>
        <v/>
      </c>
    </row>
    <row r="26">
      <c r="A26" s="12">
        <f>IF(14&lt;=COUNTA(DeptList),INDEX(DeptList,14),"")</f>
        <v/>
      </c>
      <c r="B26" s="12">
        <f>IF($A26="","",COUNTIFS(Tbl_ActionTracker[Department],$A26,Tbl_ActionTracker[Status],"Open"))</f>
        <v/>
      </c>
      <c r="C26" s="12">
        <f>IF($A26="","",COUNTIFS(Tbl_ActionTracker[Department],$A26,Tbl_ActionTracker[Status],"In Progress"))</f>
        <v/>
      </c>
      <c r="D26" s="12">
        <f>IF($A26="","",COUNTIFS(Tbl_ActionTracker[Department],$A26,Tbl_ActionTracker[Status],"Closed"))</f>
        <v/>
      </c>
      <c r="E26" s="12">
        <f>IF($A26="","",COUNTIFS(Tbl_ActionTracker[Department],$A26,Tbl_ActionTracker[Overdue?],"Yes"))</f>
        <v/>
      </c>
      <c r="F26" s="12">
        <f>IF($A26="","",IF($E26&gt;0,"Red",IF($B26&gt;0,"Amber","Green")))</f>
        <v/>
      </c>
    </row>
    <row r="27">
      <c r="A27" s="8">
        <f>IF(15&lt;=COUNTA(DeptList),INDEX(DeptList,15),"")</f>
        <v/>
      </c>
      <c r="B27" s="8">
        <f>IF($A27="","",COUNTIFS(Tbl_ActionTracker[Department],$A27,Tbl_ActionTracker[Status],"Open"))</f>
        <v/>
      </c>
      <c r="C27" s="8">
        <f>IF($A27="","",COUNTIFS(Tbl_ActionTracker[Department],$A27,Tbl_ActionTracker[Status],"In Progress"))</f>
        <v/>
      </c>
      <c r="D27" s="8">
        <f>IF($A27="","",COUNTIFS(Tbl_ActionTracker[Department],$A27,Tbl_ActionTracker[Status],"Closed"))</f>
        <v/>
      </c>
      <c r="E27" s="8">
        <f>IF($A27="","",COUNTIFS(Tbl_ActionTracker[Department],$A27,Tbl_ActionTracker[Overdue?],"Yes"))</f>
        <v/>
      </c>
      <c r="F27" s="8">
        <f>IF($A27="","",IF($E27&gt;0,"Red",IF($B27&gt;0,"Amber","Green")))</f>
        <v/>
      </c>
    </row>
    <row r="29" ht="20" customHeight="1">
      <c r="A29" s="21" t="inlineStr">
        <is>
          <t>CHARTS</t>
        </is>
      </c>
    </row>
    <row r="30">
      <c r="V30" s="26" t="inlineStr">
        <is>
          <t>Status</t>
        </is>
      </c>
      <c r="W30" s="26" t="inlineStr">
        <is>
          <t>Count</t>
        </is>
      </c>
    </row>
    <row r="31">
      <c r="V31" s="27" t="inlineStr">
        <is>
          <t>Open</t>
        </is>
      </c>
      <c r="W31" s="27">
        <f>COUNTIFS(Tbl_ActionTracker[Status],$V31)</f>
        <v/>
      </c>
    </row>
    <row r="32">
      <c r="V32" s="27" t="inlineStr">
        <is>
          <t>In Progress</t>
        </is>
      </c>
      <c r="W32" s="27">
        <f>COUNTIFS(Tbl_ActionTracker[Status],$V32)</f>
        <v/>
      </c>
    </row>
    <row r="33">
      <c r="V33" s="27" t="inlineStr">
        <is>
          <t>Closed</t>
        </is>
      </c>
      <c r="W33" s="27">
        <f>COUNTIFS(Tbl_ActionTracker[Status],$V33)</f>
        <v/>
      </c>
    </row>
  </sheetData>
  <mergeCells count="15">
    <mergeCell ref="Y7:AD7"/>
    <mergeCell ref="A5:S5"/>
    <mergeCell ref="S7:X7"/>
    <mergeCell ref="A1:S2"/>
    <mergeCell ref="A29:S29"/>
    <mergeCell ref="A8:F8"/>
    <mergeCell ref="A3:S3"/>
    <mergeCell ref="Y8:AD8"/>
    <mergeCell ref="G8:L8"/>
    <mergeCell ref="S8:X8"/>
    <mergeCell ref="M7:R7"/>
    <mergeCell ref="M8:R8"/>
    <mergeCell ref="A7:F7"/>
    <mergeCell ref="G7:L7"/>
    <mergeCell ref="A11:J11"/>
  </mergeCells>
  <conditionalFormatting sqref="F13:F27">
    <cfRule type="expression" priority="1" dxfId="0">
      <formula>$F13="Green"</formula>
    </cfRule>
    <cfRule type="expression" priority="2" dxfId="1">
      <formula>$F13="Amber"</formula>
    </cfRule>
    <cfRule type="expression" priority="3" dxfId="2">
      <formula>$F13="Red"</formula>
    </cfRule>
  </conditionalFormatting>
  <conditionalFormatting sqref="E13:E27">
    <cfRule type="cellIs" priority="4" operator="greaterThan" dxfId="2">
      <formula>0</formula>
    </cfRule>
  </conditionalFormatting>
  <pageMargins left="0.3" right="0.3" top="0.4" bottom="0.4" header="0.2" footer="0.2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showGridLines="0" tabSelected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1" customWidth="1" min="2" max="2"/>
    <col width="15" customWidth="1" min="3" max="3"/>
    <col width="15" customWidth="1" min="4" max="4"/>
    <col width="34" customWidth="1" min="5" max="5"/>
    <col width="34" customWidth="1" min="6" max="6"/>
    <col width="11" customWidth="1" min="7" max="7"/>
  </cols>
  <sheetData>
    <row r="1" ht="26" customHeight="1">
      <c r="A1" s="5" t="inlineStr">
        <is>
          <t>REVIEW LOG — manager's daily / weekly / monthly action review notes</t>
        </is>
      </c>
    </row>
    <row r="2" ht="26" customHeight="1">
      <c r="A2" s="6" t="inlineStr">
        <is>
          <t>Date</t>
        </is>
      </c>
      <c r="B2" s="6" t="inlineStr">
        <is>
          <t>Review Type</t>
        </is>
      </c>
      <c r="C2" s="6" t="inlineStr">
        <is>
          <t>Department</t>
        </is>
      </c>
      <c r="D2" s="6" t="inlineStr">
        <is>
          <t>Reviewed By</t>
        </is>
      </c>
      <c r="E2" s="6" t="inlineStr">
        <is>
          <t>Key Discussion Points</t>
        </is>
      </c>
      <c r="F2" s="6" t="inlineStr">
        <is>
          <t>Action Points Raised</t>
        </is>
      </c>
      <c r="G2" s="6" t="inlineStr">
        <is>
          <t>Status</t>
        </is>
      </c>
    </row>
    <row r="3">
      <c r="A3" s="7" t="n">
        <v>46220</v>
      </c>
      <c r="B3" s="8" t="inlineStr">
        <is>
          <t>Daily</t>
        </is>
      </c>
      <c r="C3" s="8" t="inlineStr">
        <is>
          <t>Production</t>
        </is>
      </c>
      <c r="D3" s="8" t="inlineStr">
        <is>
          <t>Factory Manager</t>
        </is>
      </c>
      <c r="E3" s="10" t="inlineStr">
        <is>
          <t>Line 2 output dip discussed</t>
        </is>
      </c>
      <c r="F3" s="10" t="inlineStr">
        <is>
          <t>RCA assigned to Production Manager</t>
        </is>
      </c>
      <c r="G3" s="8" t="inlineStr">
        <is>
          <t>Open</t>
        </is>
      </c>
    </row>
    <row r="4">
      <c r="A4" s="11" t="n">
        <v>46219</v>
      </c>
      <c r="B4" s="12" t="inlineStr">
        <is>
          <t>Daily</t>
        </is>
      </c>
      <c r="C4" s="12" t="inlineStr">
        <is>
          <t>Safety</t>
        </is>
      </c>
      <c r="D4" s="12" t="inlineStr">
        <is>
          <t>Factory Manager</t>
        </is>
      </c>
      <c r="E4" s="14" t="inlineStr">
        <is>
          <t>Zero incidents, good near-miss reporting</t>
        </is>
      </c>
      <c r="F4" s="14" t="inlineStr">
        <is>
          <t>Continue current practice</t>
        </is>
      </c>
      <c r="G4" s="12" t="inlineStr">
        <is>
          <t>Closed</t>
        </is>
      </c>
    </row>
    <row r="5">
      <c r="A5" s="7" t="n">
        <v>46213</v>
      </c>
      <c r="B5" s="8" t="inlineStr">
        <is>
          <t>Weekly</t>
        </is>
      </c>
      <c r="C5" s="8" t="inlineStr">
        <is>
          <t>Quality</t>
        </is>
      </c>
      <c r="D5" s="8" t="inlineStr">
        <is>
          <t>Factory Manager</t>
        </is>
      </c>
      <c r="E5" s="10" t="inlineStr">
        <is>
          <t>Defect rate trending above target</t>
        </is>
      </c>
      <c r="F5" s="10" t="inlineStr">
        <is>
          <t>Supplier audit follow-up</t>
        </is>
      </c>
      <c r="G5" s="8" t="inlineStr">
        <is>
          <t>Open</t>
        </is>
      </c>
    </row>
    <row r="6">
      <c r="A6" s="11" t="n">
        <v>46213</v>
      </c>
      <c r="B6" s="12" t="inlineStr">
        <is>
          <t>Weekly</t>
        </is>
      </c>
      <c r="C6" s="12" t="inlineStr">
        <is>
          <t>Maintenance</t>
        </is>
      </c>
      <c r="D6" s="12" t="inlineStr">
        <is>
          <t>Factory Manager</t>
        </is>
      </c>
      <c r="E6" s="14" t="inlineStr">
        <is>
          <t>Compressor-3 repeat breakdown reviewed</t>
        </is>
      </c>
      <c r="F6" s="14" t="inlineStr">
        <is>
          <t>PM checklist revision tracked</t>
        </is>
      </c>
      <c r="G6" s="12" t="inlineStr">
        <is>
          <t>In Progress</t>
        </is>
      </c>
    </row>
    <row r="7">
      <c r="A7" s="7" t="n">
        <v>46190</v>
      </c>
      <c r="B7" s="8" t="inlineStr">
        <is>
          <t>Monthly</t>
        </is>
      </c>
      <c r="C7" s="8" t="inlineStr">
        <is>
          <t>All Departments</t>
        </is>
      </c>
      <c r="D7" s="8" t="inlineStr">
        <is>
          <t>Factory Manager</t>
        </is>
      </c>
      <c r="E7" s="10" t="inlineStr">
        <is>
          <t>Month-end performance review</t>
        </is>
      </c>
      <c r="F7" s="10" t="inlineStr">
        <is>
          <t>Carry forward 3 open actions to next month</t>
        </is>
      </c>
      <c r="G7" s="8" t="inlineStr">
        <is>
          <t>Closed</t>
        </is>
      </c>
    </row>
    <row r="8">
      <c r="A8" s="20" t="n"/>
      <c r="B8" s="18" t="n"/>
      <c r="C8" s="18" t="n"/>
      <c r="D8" s="18" t="n"/>
      <c r="E8" s="18" t="n"/>
      <c r="F8" s="18" t="n"/>
      <c r="G8" s="18" t="n"/>
    </row>
    <row r="9">
      <c r="A9" s="20" t="n"/>
      <c r="B9" s="18" t="n"/>
      <c r="C9" s="18" t="n"/>
      <c r="D9" s="18" t="n"/>
      <c r="E9" s="18" t="n"/>
      <c r="F9" s="18" t="n"/>
      <c r="G9" s="18" t="n"/>
    </row>
    <row r="10">
      <c r="A10" s="20" t="n"/>
      <c r="B10" s="18" t="n"/>
      <c r="C10" s="18" t="n"/>
      <c r="D10" s="18" t="n"/>
      <c r="E10" s="18" t="n"/>
      <c r="F10" s="18" t="n"/>
      <c r="G10" s="18" t="n"/>
    </row>
    <row r="11">
      <c r="A11" s="20" t="n"/>
      <c r="B11" s="18" t="n"/>
      <c r="C11" s="18" t="n"/>
      <c r="D11" s="18" t="n"/>
      <c r="E11" s="18" t="n"/>
      <c r="F11" s="18" t="n"/>
      <c r="G11" s="18" t="n"/>
    </row>
    <row r="12">
      <c r="A12" s="20" t="n"/>
      <c r="B12" s="18" t="n"/>
      <c r="C12" s="18" t="n"/>
      <c r="D12" s="18" t="n"/>
      <c r="E12" s="18" t="n"/>
      <c r="F12" s="18" t="n"/>
      <c r="G12" s="18" t="n"/>
    </row>
    <row r="13">
      <c r="A13" s="20" t="n"/>
      <c r="B13" s="18" t="n"/>
      <c r="C13" s="18" t="n"/>
      <c r="D13" s="18" t="n"/>
      <c r="E13" s="18" t="n"/>
      <c r="F13" s="18" t="n"/>
      <c r="G13" s="18" t="n"/>
    </row>
    <row r="14">
      <c r="A14" s="20" t="n"/>
      <c r="B14" s="18" t="n"/>
      <c r="C14" s="18" t="n"/>
      <c r="D14" s="18" t="n"/>
      <c r="E14" s="18" t="n"/>
      <c r="F14" s="18" t="n"/>
      <c r="G14" s="18" t="n"/>
    </row>
    <row r="15">
      <c r="A15" s="20" t="n"/>
      <c r="B15" s="18" t="n"/>
      <c r="C15" s="18" t="n"/>
      <c r="D15" s="18" t="n"/>
      <c r="E15" s="18" t="n"/>
      <c r="F15" s="18" t="n"/>
      <c r="G15" s="18" t="n"/>
    </row>
    <row r="16">
      <c r="A16" s="20" t="n"/>
      <c r="B16" s="18" t="n"/>
      <c r="C16" s="18" t="n"/>
      <c r="D16" s="18" t="n"/>
      <c r="E16" s="18" t="n"/>
      <c r="F16" s="18" t="n"/>
      <c r="G16" s="18" t="n"/>
    </row>
    <row r="17">
      <c r="A17" s="20" t="n"/>
      <c r="B17" s="18" t="n"/>
      <c r="C17" s="18" t="n"/>
      <c r="D17" s="18" t="n"/>
      <c r="E17" s="18" t="n"/>
      <c r="F17" s="18" t="n"/>
      <c r="G17" s="18" t="n"/>
    </row>
    <row r="18">
      <c r="A18" s="20" t="n"/>
      <c r="B18" s="18" t="n"/>
      <c r="C18" s="18" t="n"/>
      <c r="D18" s="18" t="n"/>
      <c r="E18" s="18" t="n"/>
      <c r="F18" s="18" t="n"/>
      <c r="G18" s="18" t="n"/>
    </row>
    <row r="19">
      <c r="A19" s="20" t="n"/>
      <c r="B19" s="18" t="n"/>
      <c r="C19" s="18" t="n"/>
      <c r="D19" s="18" t="n"/>
      <c r="E19" s="18" t="n"/>
      <c r="F19" s="18" t="n"/>
      <c r="G19" s="18" t="n"/>
    </row>
    <row r="20">
      <c r="A20" s="20" t="n"/>
      <c r="B20" s="18" t="n"/>
      <c r="C20" s="18" t="n"/>
      <c r="D20" s="18" t="n"/>
      <c r="E20" s="18" t="n"/>
      <c r="F20" s="18" t="n"/>
      <c r="G20" s="18" t="n"/>
    </row>
    <row r="21">
      <c r="A21" s="20" t="n"/>
      <c r="B21" s="18" t="n"/>
      <c r="C21" s="18" t="n"/>
      <c r="D21" s="18" t="n"/>
      <c r="E21" s="18" t="n"/>
      <c r="F21" s="18" t="n"/>
      <c r="G21" s="18" t="n"/>
    </row>
    <row r="22">
      <c r="A22" s="20" t="n"/>
      <c r="B22" s="18" t="n"/>
      <c r="C22" s="18" t="n"/>
      <c r="D22" s="18" t="n"/>
      <c r="E22" s="18" t="n"/>
      <c r="F22" s="18" t="n"/>
      <c r="G22" s="18" t="n"/>
    </row>
    <row r="23">
      <c r="A23" s="20" t="n"/>
      <c r="B23" s="18" t="n"/>
      <c r="C23" s="18" t="n"/>
      <c r="D23" s="18" t="n"/>
      <c r="E23" s="18" t="n"/>
      <c r="F23" s="18" t="n"/>
      <c r="G23" s="18" t="n"/>
    </row>
    <row r="24">
      <c r="A24" s="20" t="n"/>
      <c r="B24" s="18" t="n"/>
      <c r="C24" s="18" t="n"/>
      <c r="D24" s="18" t="n"/>
      <c r="E24" s="18" t="n"/>
      <c r="F24" s="18" t="n"/>
      <c r="G24" s="18" t="n"/>
    </row>
    <row r="25">
      <c r="A25" s="20" t="n"/>
      <c r="B25" s="18" t="n"/>
      <c r="C25" s="18" t="n"/>
      <c r="D25" s="18" t="n"/>
      <c r="E25" s="18" t="n"/>
      <c r="F25" s="18" t="n"/>
      <c r="G25" s="18" t="n"/>
    </row>
    <row r="26">
      <c r="A26" s="20" t="n"/>
      <c r="B26" s="18" t="n"/>
      <c r="C26" s="18" t="n"/>
      <c r="D26" s="18" t="n"/>
      <c r="E26" s="18" t="n"/>
      <c r="F26" s="18" t="n"/>
      <c r="G26" s="18" t="n"/>
    </row>
    <row r="27">
      <c r="A27" s="20" t="n"/>
      <c r="B27" s="18" t="n"/>
      <c r="C27" s="18" t="n"/>
      <c r="D27" s="18" t="n"/>
      <c r="E27" s="18" t="n"/>
      <c r="F27" s="18" t="n"/>
      <c r="G27" s="18" t="n"/>
    </row>
    <row r="28">
      <c r="A28" s="20" t="n"/>
      <c r="B28" s="18" t="n"/>
      <c r="C28" s="18" t="n"/>
      <c r="D28" s="18" t="n"/>
      <c r="E28" s="18" t="n"/>
      <c r="F28" s="18" t="n"/>
      <c r="G28" s="18" t="n"/>
    </row>
    <row r="29">
      <c r="A29" s="20" t="n"/>
      <c r="B29" s="18" t="n"/>
      <c r="C29" s="18" t="n"/>
      <c r="D29" s="18" t="n"/>
      <c r="E29" s="18" t="n"/>
      <c r="F29" s="18" t="n"/>
      <c r="G29" s="18" t="n"/>
    </row>
    <row r="30">
      <c r="A30" s="20" t="n"/>
      <c r="B30" s="18" t="n"/>
      <c r="C30" s="18" t="n"/>
      <c r="D30" s="18" t="n"/>
      <c r="E30" s="18" t="n"/>
      <c r="F30" s="18" t="n"/>
      <c r="G30" s="18" t="n"/>
    </row>
    <row r="31">
      <c r="A31" s="20" t="n"/>
      <c r="B31" s="18" t="n"/>
      <c r="C31" s="18" t="n"/>
      <c r="D31" s="18" t="n"/>
      <c r="E31" s="18" t="n"/>
      <c r="F31" s="18" t="n"/>
      <c r="G31" s="18" t="n"/>
    </row>
    <row r="32">
      <c r="A32" s="20" t="n"/>
      <c r="B32" s="18" t="n"/>
      <c r="C32" s="18" t="n"/>
      <c r="D32" s="18" t="n"/>
      <c r="E32" s="18" t="n"/>
      <c r="F32" s="18" t="n"/>
      <c r="G32" s="18" t="n"/>
    </row>
    <row r="33">
      <c r="A33" s="20" t="n"/>
      <c r="B33" s="18" t="n"/>
      <c r="C33" s="18" t="n"/>
      <c r="D33" s="18" t="n"/>
      <c r="E33" s="18" t="n"/>
      <c r="F33" s="18" t="n"/>
      <c r="G33" s="18" t="n"/>
    </row>
    <row r="34">
      <c r="A34" s="20" t="n"/>
      <c r="B34" s="18" t="n"/>
      <c r="C34" s="18" t="n"/>
      <c r="D34" s="18" t="n"/>
      <c r="E34" s="18" t="n"/>
      <c r="F34" s="18" t="n"/>
      <c r="G34" s="18" t="n"/>
    </row>
    <row r="35">
      <c r="A35" s="20" t="n"/>
      <c r="B35" s="18" t="n"/>
      <c r="C35" s="18" t="n"/>
      <c r="D35" s="18" t="n"/>
      <c r="E35" s="18" t="n"/>
      <c r="F35" s="18" t="n"/>
      <c r="G35" s="18" t="n"/>
    </row>
    <row r="36">
      <c r="A36" s="20" t="n"/>
      <c r="B36" s="18" t="n"/>
      <c r="C36" s="18" t="n"/>
      <c r="D36" s="18" t="n"/>
      <c r="E36" s="18" t="n"/>
      <c r="F36" s="18" t="n"/>
      <c r="G36" s="18" t="n"/>
    </row>
    <row r="37">
      <c r="A37" s="20" t="n"/>
      <c r="B37" s="18" t="n"/>
      <c r="C37" s="18" t="n"/>
      <c r="D37" s="18" t="n"/>
      <c r="E37" s="18" t="n"/>
      <c r="F37" s="18" t="n"/>
      <c r="G37" s="18" t="n"/>
    </row>
  </sheetData>
  <mergeCells count="1">
    <mergeCell ref="A1:G1"/>
  </mergeCells>
  <conditionalFormatting sqref="G3:G37">
    <cfRule type="expression" priority="1" dxfId="0">
      <formula>$G3="Closed"</formula>
    </cfRule>
    <cfRule type="expression" priority="2" dxfId="2">
      <formula>$G3="Open"</formula>
    </cfRule>
    <cfRule type="expression" priority="3" dxfId="1">
      <formula>$G3="In Progress"</formula>
    </cfRule>
  </conditionalFormatting>
  <conditionalFormatting sqref="B3:B37">
    <cfRule type="expression" priority="4" dxfId="3">
      <formula>$B3="Daily"</formula>
    </cfRule>
    <cfRule type="expression" priority="5" dxfId="4">
      <formula>$B3="Weekly"</formula>
    </cfRule>
    <cfRule type="expression" priority="6" dxfId="5">
      <formula>$B3="Monthly"</formula>
    </cfRule>
  </conditionalFormatting>
  <dataValidations count="3">
    <dataValidation sqref="B3:B37" showDropDown="0" showInputMessage="0" showErrorMessage="0" allowBlank="1" type="list">
      <formula1>"Daily,Weekly,Monthly"</formula1>
    </dataValidation>
    <dataValidation sqref="C3:C37" showDropDown="0" showInputMessage="0" showErrorMessage="0" allowBlank="1" type="list">
      <formula1>DeptListWithAll</formula1>
    </dataValidation>
    <dataValidation sqref="G3:G37" showDropDown="0" showInputMessage="0" showErrorMessage="0" allowBlank="1" type="list">
      <formula1>"Open,In Progress,Closed"</formula1>
    </dataValidation>
  </dataValidations>
  <pageMargins left="0.3" right="0.3" top="0.4" bottom="0.4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tabSelected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3" customWidth="1" min="3" max="3"/>
    <col width="50" customWidth="1" min="4" max="4"/>
    <col width="3" customWidth="1" min="5" max="5"/>
    <col width="20" customWidth="1" min="6" max="6"/>
  </cols>
  <sheetData>
    <row r="1" ht="26" customHeight="1">
      <c r="A1" s="5" t="inlineStr">
        <is>
          <t>TRACKER DROPDOWN MASTER — Status/Priority lists for Action Tracker (Department &amp; Owner link to Master Config)</t>
        </is>
      </c>
    </row>
    <row r="2">
      <c r="A2" s="6" t="inlineStr">
        <is>
          <t>Status</t>
        </is>
      </c>
      <c r="B2" s="6" t="inlineStr">
        <is>
          <t>Priority</t>
        </is>
      </c>
      <c r="D2" s="15" t="inlineStr">
        <is>
          <t>Department and Owner dropdowns pull live from Master Config — edit them there, not here.</t>
        </is>
      </c>
      <c r="F2" s="6" t="inlineStr">
        <is>
          <t>Department (All + live list)</t>
        </is>
      </c>
    </row>
    <row r="3">
      <c r="A3" s="8" t="inlineStr">
        <is>
          <t>Open</t>
        </is>
      </c>
      <c r="B3" s="8" t="inlineStr">
        <is>
          <t>Low</t>
        </is>
      </c>
      <c r="F3" s="8" t="inlineStr">
        <is>
          <t>All Departments</t>
        </is>
      </c>
    </row>
    <row r="4">
      <c r="A4" s="8" t="inlineStr">
        <is>
          <t>In Progress</t>
        </is>
      </c>
      <c r="B4" s="8" t="inlineStr">
        <is>
          <t>Medium</t>
        </is>
      </c>
      <c r="F4" s="8">
        <f>IF(1&lt;=COUNTA(DeptList),INDEX(DeptList,1),"")</f>
        <v/>
      </c>
    </row>
    <row r="5">
      <c r="A5" s="8" t="inlineStr">
        <is>
          <t>Closed</t>
        </is>
      </c>
      <c r="B5" s="8" t="inlineStr">
        <is>
          <t>High</t>
        </is>
      </c>
      <c r="F5" s="8">
        <f>IF(2&lt;=COUNTA(DeptList),INDEX(DeptList,2),"")</f>
        <v/>
      </c>
    </row>
    <row r="6">
      <c r="F6" s="8">
        <f>IF(3&lt;=COUNTA(DeptList),INDEX(DeptList,3),"")</f>
        <v/>
      </c>
    </row>
    <row r="7">
      <c r="F7" s="8">
        <f>IF(4&lt;=COUNTA(DeptList),INDEX(DeptList,4),"")</f>
        <v/>
      </c>
    </row>
    <row r="8">
      <c r="F8" s="8">
        <f>IF(5&lt;=COUNTA(DeptList),INDEX(DeptList,5),"")</f>
        <v/>
      </c>
    </row>
    <row r="9">
      <c r="F9" s="8">
        <f>IF(6&lt;=COUNTA(DeptList),INDEX(DeptList,6),"")</f>
        <v/>
      </c>
    </row>
    <row r="10">
      <c r="F10" s="8">
        <f>IF(7&lt;=COUNTA(DeptList),INDEX(DeptList,7),"")</f>
        <v/>
      </c>
    </row>
    <row r="11">
      <c r="F11" s="8">
        <f>IF(8&lt;=COUNTA(DeptList),INDEX(DeptList,8),"")</f>
        <v/>
      </c>
    </row>
    <row r="12">
      <c r="F12" s="8">
        <f>IF(9&lt;=COUNTA(DeptList),INDEX(DeptList,9),"")</f>
        <v/>
      </c>
    </row>
    <row r="13">
      <c r="F13" s="8">
        <f>IF(10&lt;=COUNTA(DeptList),INDEX(DeptList,10),"")</f>
        <v/>
      </c>
    </row>
    <row r="14">
      <c r="F14" s="8">
        <f>IF(11&lt;=COUNTA(DeptList),INDEX(DeptList,11),"")</f>
        <v/>
      </c>
    </row>
    <row r="15">
      <c r="F15" s="8">
        <f>IF(12&lt;=COUNTA(DeptList),INDEX(DeptList,12),"")</f>
        <v/>
      </c>
    </row>
    <row r="16">
      <c r="F16" s="8">
        <f>IF(13&lt;=COUNTA(DeptList),INDEX(DeptList,13),"")</f>
        <v/>
      </c>
    </row>
    <row r="17">
      <c r="F17" s="8">
        <f>IF(14&lt;=COUNTA(DeptList),INDEX(DeptList,14),"")</f>
        <v/>
      </c>
    </row>
    <row r="18">
      <c r="F18" s="8">
        <f>IF(15&lt;=COUNTA(DeptList),INDEX(DeptList,15),"")</f>
        <v/>
      </c>
    </row>
  </sheetData>
  <mergeCells count="1">
    <mergeCell ref="A1:D1"/>
  </mergeCells>
  <pageMargins left="0.3" right="0.3" top="0.4" bottom="0.4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KPI Dashboard Generator</dc:creator>
  <dc:title>KPI &amp; Action Tracker Dashboard</dc:title>
  <dc:description>v2.0 — config-driven KPI + Action Tracker dashboard. Add/edit departments and KPIs in Master Config; enter data in KPI Data Entry and Action Tracker. Both dashboards refresh automatically. See the Read Me sheet.</dc:description>
  <dcterms:created xsi:type="dcterms:W3CDTF">2026-07-17T03:40:00Z</dcterms:created>
  <dcterms:modified xsi:type="dcterms:W3CDTF">2026-07-17T03:40:01Z</dcterms:modified>
</cp:coreProperties>
</file>