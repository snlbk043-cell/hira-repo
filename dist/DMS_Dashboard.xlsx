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 KPI" sheetId="2" state="visible" r:id="rId2"/>
    <sheet name="KPI Master" sheetId="3" state="visible" r:id="rId3"/>
    <sheet name="Action Tracker" sheetId="4" state="visible" r:id="rId4"/>
    <sheet name="Challenges Register" sheetId="5" state="visible" r:id="rId5"/>
    <sheet name="Trend Analysis" sheetId="6" state="visible" r:id="rId6"/>
    <sheet name="Monthly Summary" sheetId="7" state="visible" r:id="rId7"/>
  </sheets>
  <definedNames>
    <definedName name="KPI_Safety">'KPI Master'!$B$3:$B$4</definedName>
    <definedName name="KPI_Production">'KPI Master'!$B$5:$B$6</definedName>
    <definedName name="KPI_Quality">'KPI Master'!$B$7:$B$8</definedName>
    <definedName name="KPI_Maintenance">'KPI Master'!$B$9:$B$10</definedName>
    <definedName name="KPI_Utilities">'KPI Master'!$B$11:$B$12</definedName>
    <definedName name="KPI_Warehouse">'KPI Master'!$B$13:$B$14</definedName>
    <definedName name="KPI_HR">'KPI Master'!$B$15:$B$16</definedName>
    <definedName name="KPI_Engineering">'KPI Master'!$B$17:$B$18</definedName>
    <definedName name="KPI_Cost">'KPI Master'!$B$19:$B$20</definedName>
    <definedName name="KPI_Energy">'KPI Master'!$B$21:$B$22</definedName>
    <definedName name="DeptList">'KPI Master'!$N$3:$N$12</definedName>
    <definedName name="_xlnm.Print_Area" localSheetId="0">'Dashboard'!$A$1:$Z$102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%"/>
    <numFmt numFmtId="167" formatCode="dd-mmm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.5"/>
    </font>
    <font>
      <name val="Segoe UI"/>
      <color rgb="001B1F27"/>
      <sz val="10"/>
    </font>
    <font>
      <name val="Segoe UI"/>
      <b val="1"/>
      <color rgb="001B1F27"/>
      <sz val="10"/>
    </font>
    <font>
      <name val="Segoe UI"/>
      <b val="1"/>
      <color rgb="00FFFFFF"/>
      <sz val="12"/>
    </font>
    <font>
      <name val="Segoe UI"/>
      <b val="1"/>
      <color rgb="002E75B6"/>
      <sz val="11"/>
    </font>
    <font>
      <name val="Segoe UI"/>
      <b val="1"/>
      <color rgb="00FFFFFF"/>
      <sz val="22"/>
    </font>
    <font>
      <name val="Segoe UI"/>
      <color rgb="00C7D1E0"/>
      <sz val="11"/>
    </font>
    <font>
      <name val="Segoe UI"/>
      <b val="1"/>
      <color rgb="002E75B6"/>
      <sz val="10"/>
    </font>
    <font>
      <name val="Segoe UI"/>
      <i val="1"/>
      <color rgb="008A93A6"/>
      <sz val="8.5"/>
    </font>
    <font>
      <name val="Segoe UI"/>
      <b val="1"/>
      <color rgb="00C7D1E0"/>
      <sz val="9.5"/>
    </font>
    <font>
      <name val="Segoe UI"/>
      <b val="1"/>
      <color rgb="00FFFFFF"/>
      <sz val="20"/>
    </font>
    <font>
      <name val="Segoe UI"/>
      <i val="1"/>
      <color rgb="008A93A6"/>
      <sz val="9"/>
    </font>
    <font>
      <name val="Segoe UI"/>
      <b val="1"/>
      <color rgb="008A93A6"/>
      <sz val="8"/>
    </font>
    <font>
      <name val="Segoe UI"/>
      <color rgb="008A93A6"/>
      <sz val="8"/>
    </font>
    <font>
      <name val="Segoe UI"/>
      <b val="1"/>
      <color rgb="00C7D1E0"/>
      <sz val="8.5"/>
    </font>
    <font>
      <name val="Segoe UI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41B2D"/>
      </patternFill>
    </fill>
    <fill>
      <patternFill patternType="solid">
        <fgColor rgb="001F2A44"/>
      </patternFill>
    </fill>
    <fill>
      <patternFill patternType="solid">
        <fgColor rgb="00F2F3F5"/>
      </patternFill>
    </fill>
    <fill>
      <patternFill patternType="solid">
        <fgColor rgb="003A5A7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1" fontId="3" fillId="0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9" fontId="3" fillId="0" borderId="1" pivotButton="0" quotePrefix="0" xfId="0"/>
    <xf numFmtId="0" fontId="1" fillId="5" borderId="0" pivotButton="0" quotePrefix="0" xfId="0"/>
    <xf numFmtId="167" fontId="3" fillId="0" borderId="0" pivotButton="0" quotePrefix="0" xfId="0"/>
    <xf numFmtId="9" fontId="3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165" fontId="10" fillId="0" borderId="0" pivotButton="0" quotePrefix="0" xfId="0"/>
    <xf numFmtId="0" fontId="0" fillId="3" borderId="0" pivotButton="0" quotePrefix="0" xfId="0"/>
    <xf numFmtId="0" fontId="11" fillId="3" borderId="0" applyAlignment="1" pivotButton="0" quotePrefix="0" xfId="0">
      <alignment horizontal="center" vertical="center" wrapText="1"/>
    </xf>
    <xf numFmtId="166" fontId="12" fillId="3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0" applyAlignment="1" pivotButton="0" quotePrefix="0" xfId="0">
      <alignment horizontal="center" vertical="center" wrapText="1"/>
    </xf>
    <xf numFmtId="1" fontId="17" fillId="3" borderId="0" applyAlignment="1" pivotButton="0" quotePrefix="0" xfId="0">
      <alignment horizontal="center" vertical="center" wrapText="1"/>
    </xf>
    <xf numFmtId="9" fontId="17" fillId="3" borderId="0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3" fillId="4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9" fontId="0" fillId="0" borderId="0" pivotButton="0" quotePrefix="0" xfId="0"/>
  </cellXfs>
  <cellStyles count="1">
    <cellStyle name="Normal" xfId="0" builtinId="0" hidden="0"/>
  </cellStyles>
  <dxfs count="16">
    <dxf>
      <font>
        <b val="1"/>
        <color rgb="002E7D32"/>
      </font>
      <fill>
        <patternFill patternType="solid">
          <fgColor rgb="00C6EFCE"/>
        </patternFill>
      </fill>
    </dxf>
    <dxf>
      <font>
        <b val="1"/>
        <color rgb="00B7791F"/>
      </font>
      <fill>
        <patternFill patternType="solid">
          <fgColor rgb="00FFEB9C"/>
        </patternFill>
      </fill>
    </dxf>
    <dxf>
      <font>
        <b val="1"/>
        <color rgb="00C0392B"/>
      </font>
      <fill>
        <patternFill patternType="solid">
          <fgColor rgb="00FFC7CE"/>
        </patternFill>
      </fill>
    </dxf>
    <dxf>
      <fill>
        <patternFill patternType="solid">
          <fgColor rgb="00FFD9D9"/>
        </patternFill>
      </fill>
    </dxf>
    <dxf>
      <font>
        <b val="1"/>
        <color rgb="00C0392B"/>
      </font>
    </dxf>
    <dxf>
      <font>
        <b val="1"/>
        <color rgb="002E7D32"/>
      </font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ont>
        <name val="Segoe UI"/>
        <b val="1"/>
        <color rgb="007BD88F"/>
        <sz val="20"/>
      </font>
    </dxf>
    <dxf>
      <font>
        <name val="Segoe UI"/>
        <b val="1"/>
        <color rgb="00FFD966"/>
        <sz val="20"/>
      </font>
    </dxf>
    <dxf>
      <font>
        <name val="Segoe UI"/>
        <b val="1"/>
        <color rgb="00FF8A80"/>
        <sz val="20"/>
      </font>
    </dxf>
    <dxf>
      <font>
        <b val="1"/>
        <color rgb="002E7D32"/>
        <sz val="12"/>
      </font>
    </dxf>
    <dxf>
      <font>
        <b val="1"/>
        <color rgb="00C0392B"/>
        <sz val="12"/>
      </font>
    </dxf>
    <dxf>
      <fill>
        <patternFill patternType="solid">
          <fgColor rgb="00D6F5DD"/>
        </patternFill>
      </fill>
    </dxf>
    <dxf>
      <fill>
        <patternFill patternType="solid">
          <fgColor rgb="00FBE0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Plant Score (Gauge)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6A085"/>
              </a:solidFill>
              <a:ln>
                <a:prstDash val="solid"/>
              </a:ln>
            </spPr>
          </dPt>
          <dPt>
            <idx val="1"/>
            <spPr>
              <a:solidFill>
                <a:srgbClr val="D9DCE1"/>
              </a:solidFill>
              <a:ln>
                <a:prstDash val="solid"/>
              </a:ln>
            </spPr>
          </dPt>
          <cat>
            <numRef>
              <f>'Dashboard'!$AP$32:$AP$33</f>
            </numRef>
          </cat>
          <val>
            <numRef>
              <f>'Dashboard'!$AQ$32:$AQ$33</f>
            </numRef>
          </val>
        </ser>
        <dLbls>
          <showVal val="1"/>
          <showPercent val="0"/>
        </dLbls>
        <firstSliceAng val="0"/>
        <holeSize val="7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Achievement % vs Target (Bullet-style)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'Dashboard'!E22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'Dashboard'!$A$23:$A$32</f>
            </numRef>
          </cat>
          <val>
            <numRef>
              <f>'Dashboard'!$E$23:$E$32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Target vs Actual by Department (Headline KPI)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'Dashboard'!C22</f>
            </strRef>
          </tx>
          <spPr>
            <a:solidFill>
              <a:srgbClr val="3A5A7D"/>
            </a:solidFill>
            <a:ln>
              <a:prstDash val="solid"/>
            </a:ln>
          </spPr>
          <cat>
            <numRef>
              <f>'Dashboard'!$A$23:$A$32</f>
            </numRef>
          </cat>
          <val>
            <numRef>
              <f>'Dashboard'!$C$23:$C$32</f>
            </numRef>
          </val>
        </ser>
        <ser>
          <idx val="1"/>
          <order val="1"/>
          <tx>
            <strRef>
              <f>'Dashboard'!D22</f>
            </strRef>
          </tx>
          <spPr>
            <a:solidFill>
              <a:srgbClr val="16A085"/>
            </a:solidFill>
            <a:ln>
              <a:prstDash val="solid"/>
            </a:ln>
          </spPr>
          <cat>
            <numRef>
              <f>'Dashboard'!$A$23:$A$32</f>
            </numRef>
          </cat>
          <val>
            <numRef>
              <f>'Dashboard'!$D$23:$D$32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Overall Achievement % — 90 Day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Analysis'!M18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Analysis'!$M$19:$M$108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Pareto — Top Issues by Red Occurrences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'Dashboard'!D35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'Dashboard'!$B$36:$B$45</f>
            </numRef>
          </cat>
          <val>
            <numRef>
              <f>'Dashboard'!$D$36:$D$45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'Dashboard'!F35</f>
            </strRef>
          </tx>
          <spPr>
            <a:ln w="18000">
              <a:solidFill>
                <a:srgbClr val="1F2A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'Dashboard'!$F$36:$F$45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Red Count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Action Status Distribution</a:t>
            </a:r>
          </a:p>
        </rich>
      </tx>
    </title>
    <plotArea>
      <pieChart>
        <varyColors val="1"/>
        <ser>
          <idx val="0"/>
          <order val="0"/>
          <spPr>
            <a:solidFill>
              <a:srgbClr val="2E75B6"/>
            </a:solidFill>
            <a:ln>
              <a:prstDash val="solid"/>
            </a:ln>
          </spPr>
          <dPt>
            <idx val="0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1"/>
            <spPr>
              <a:solidFill>
                <a:srgbClr val="B7791F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D32"/>
              </a:solidFill>
              <a:ln>
                <a:prstDash val="solid"/>
              </a:ln>
            </spPr>
          </dPt>
          <cat>
            <numRef>
              <f>'Dashboard'!$AP$27:$AP$29</f>
            </numRef>
          </cat>
          <val>
            <numRef>
              <f>'Dashboard'!$AQ$27:$AQ$29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Department Comparison — Achievement %</a:t>
            </a:r>
          </a:p>
        </rich>
      </tx>
    </title>
    <plotArea>
      <radarChart>
        <radarStyle val="filled"/>
        <ser>
          <idx val="0"/>
          <order val="0"/>
          <tx>
            <strRef>
              <f>'Dashboard'!E22</f>
            </strRef>
          </tx>
          <spPr>
            <a:solidFill>
              <a:srgbClr val="2E75B64D"/>
            </a:solidFill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'Dashboard'!$A$23:$A$32</f>
            </numRef>
          </cat>
          <val>
            <numRef>
              <f>'Dashboard'!$E$23:$E$32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Safety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Analysis'!B18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Analysis'!$B$19:$B$108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Production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Analysis'!C18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Analysis'!$C$19:$C$108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Quality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Analysis'!D18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Analysis'!$D$19:$D$108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Maintenance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Analysis'!E18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Analysis'!$E$19:$E$108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Utilities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Analysis'!F18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Analysis'!$F$19:$F$108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Warehouse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Analysis'!G18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Analysis'!$G$19:$G$108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HR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Analysis'!H18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Analysis'!$H$19:$H$108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Engineering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Analysis'!I18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Analysis'!$I$19:$I$108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Cost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Analysis'!J18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Analysis'!$J$19:$J$108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Energy — Achievement % Trend (90 Days)</a:t>
            </a:r>
          </a:p>
        </rich>
      </tx>
    </title>
    <plotArea>
      <lineChart>
        <grouping val="standard"/>
        <ser>
          <idx val="0"/>
          <order val="0"/>
          <tx>
            <strRef>
              <f>'Trend Analysis'!K18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 Analysis'!$A$19:$A$108</f>
            </numRef>
          </cat>
          <val>
            <numRef>
              <f>'Trend Analysis'!$K$19:$K$108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Achievement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Achievement % by Department (Selected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Summary'!D5</f>
            </strRef>
          </tx>
          <spPr>
            <a:ln>
              <a:prstDash val="solid"/>
            </a:ln>
          </spPr>
          <cat>
            <numRef>
              <f>'Monthly Summary'!$A$6:$A$15</f>
            </numRef>
          </cat>
          <val>
            <numRef>
              <f>'Monthly Summary'!$D$6:$D$15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Red / Amber / Green KPI-Days by Department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Summary'!E5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'Monthly Summary'!$A$6:$A$15</f>
            </numRef>
          </cat>
          <val>
            <numRef>
              <f>'Monthly Summary'!$E$6:$E$15</f>
            </numRef>
          </val>
        </ser>
        <ser>
          <idx val="1"/>
          <order val="1"/>
          <tx>
            <strRef>
              <f>'Monthly Summary'!F5</f>
            </strRef>
          </tx>
          <spPr>
            <a:solidFill>
              <a:srgbClr val="B7791F"/>
            </a:solidFill>
            <a:ln>
              <a:prstDash val="solid"/>
            </a:ln>
          </spPr>
          <cat>
            <numRef>
              <f>'Monthly Summary'!$A$6:$A$15</f>
            </numRef>
          </cat>
          <val>
            <numRef>
              <f>'Monthly Summary'!$F$6:$F$15</f>
            </numRef>
          </val>
        </ser>
        <ser>
          <idx val="2"/>
          <order val="2"/>
          <tx>
            <strRef>
              <f>'Monthly Summary'!G5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'Monthly Summary'!$A$6:$A$15</f>
            </numRef>
          </cat>
          <val>
            <numRef>
              <f>'Monthly Summary'!$G$6:$G$15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Actions Closed vs Pending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Summary'!H5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'Monthly Summary'!$A$6:$A$15</f>
            </numRef>
          </cat>
          <val>
            <numRef>
              <f>'Monthly Summary'!$H$6:$H$15</f>
            </numRef>
          </val>
        </ser>
        <ser>
          <idx val="1"/>
          <order val="1"/>
          <tx>
            <strRef>
              <f>'Monthly Summary'!I5</f>
            </strRef>
          </tx>
          <spPr>
            <a:solidFill>
              <a:srgbClr val="C0392B"/>
            </a:solidFill>
            <a:ln>
              <a:prstDash val="solid"/>
            </a:ln>
          </spPr>
          <cat>
            <numRef>
              <f>'Monthly Summary'!$A$6:$A$15</f>
            </numRef>
          </cat>
          <val>
            <numRef>
              <f>'Monthly Summary'!$I$6:$I$15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Relationship Type="http://schemas.openxmlformats.org/officeDocument/2006/relationships/chart" Target="/xl/charts/chart11.xml" Id="rId4" /><Relationship Type="http://schemas.openxmlformats.org/officeDocument/2006/relationships/chart" Target="/xl/charts/chart12.xml" Id="rId5" /><Relationship Type="http://schemas.openxmlformats.org/officeDocument/2006/relationships/chart" Target="/xl/charts/chart13.xml" Id="rId6" /><Relationship Type="http://schemas.openxmlformats.org/officeDocument/2006/relationships/chart" Target="/xl/charts/chart14.xml" Id="rId7" /><Relationship Type="http://schemas.openxmlformats.org/officeDocument/2006/relationships/chart" Target="/xl/charts/chart15.xml" Id="rId8" /><Relationship Type="http://schemas.openxmlformats.org/officeDocument/2006/relationships/chart" Target="/xl/charts/chart16.xml" Id="rId9" /><Relationship Type="http://schemas.openxmlformats.org/officeDocument/2006/relationships/chart" Target="/xl/charts/chart17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50</row>
      <rowOff>0</rowOff>
    </from>
    <ext cx="41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50</row>
      <rowOff>0</rowOff>
    </from>
    <ext cx="41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50</row>
      <rowOff>0</rowOff>
    </from>
    <ext cx="41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67</row>
      <rowOff>0</rowOff>
    </from>
    <ext cx="41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67</row>
      <rowOff>0</rowOff>
    </from>
    <ext cx="414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67</row>
      <rowOff>0</rowOff>
    </from>
    <ext cx="414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84</row>
      <rowOff>0</rowOff>
    </from>
    <ext cx="900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2</row>
      <rowOff>0</rowOff>
    </from>
    <ext cx="540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2</row>
      <rowOff>0</rowOff>
    </from>
    <ext cx="540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18</row>
      <rowOff>0</rowOff>
    </from>
    <ext cx="540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18</row>
      <rowOff>0</rowOff>
    </from>
    <ext cx="540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34</row>
      <rowOff>0</rowOff>
    </from>
    <ext cx="540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24</col>
      <colOff>0</colOff>
      <row>34</row>
      <rowOff>0</rowOff>
    </from>
    <ext cx="540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13</col>
      <colOff>0</colOff>
      <row>50</row>
      <rowOff>0</rowOff>
    </from>
    <ext cx="5400000" cy="259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24</col>
      <colOff>0</colOff>
      <row>50</row>
      <rowOff>0</rowOff>
    </from>
    <ext cx="5400000" cy="259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13</col>
      <colOff>0</colOff>
      <row>66</row>
      <rowOff>0</rowOff>
    </from>
    <ext cx="5400000" cy="259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24</col>
      <colOff>0</colOff>
      <row>66</row>
      <rowOff>0</rowOff>
    </from>
    <ext cx="5400000" cy="259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40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sterKPI" displayName="Tbl_MasterKPI" ref="A2:T1842" headerRowCount="1">
  <autoFilter ref="A2:T1842"/>
  <tableColumns count="20">
    <tableColumn id="1" name="Date"/>
    <tableColumn id="2" name="Month"/>
    <tableColumn id="3" name="Week"/>
    <tableColumn id="4" name="Day"/>
    <tableColumn id="5" name="Department"/>
    <tableColumn id="6" name="KPI Category"/>
    <tableColumn id="7" name="KPI Name"/>
    <tableColumn id="8" name="Unit"/>
    <tableColumn id="9" name="Target"/>
    <tableColumn id="10" name="Actual"/>
    <tableColumn id="11" name="Tolerance"/>
    <tableColumn id="12" name="Responsible HOD"/>
    <tableColumn id="13" name="Remarks"/>
    <tableColumn id="14" name="Support Required"/>
    <tableColumn id="15" name="Priority"/>
    <tableColumn id="16" name="Status"/>
    <tableColumn id="17" name="Achievement %"/>
    <tableColumn id="18" name="Variance"/>
    <tableColumn id="19" name="Traffic Light"/>
    <tableColumn id="20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KPIMaster" displayName="Tbl_KPIMaster" ref="A2:K22" headerRowCount="1">
  <autoFilter ref="A2:K22"/>
  <tableColumns count="11">
    <tableColumn id="1" name="Department"/>
    <tableColumn id="2" name="KPI"/>
    <tableColumn id="3" name="Target Frequency"/>
    <tableColumn id="4" name="Unit"/>
    <tableColumn id="5" name="Owner"/>
    <tableColumn id="6" name="Minimum Target"/>
    <tableColumn id="7" name="Maximum Target"/>
    <tableColumn id="8" name="Tolerance"/>
    <tableColumn id="9" name="Display Order"/>
    <tableColumn id="10" name="Direction"/>
    <tableColumn id="11" name="Category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_ActionTracker" displayName="Tbl_ActionTracker" ref="A2:P72" headerRowCount="1">
  <autoFilter ref="A2:P72"/>
  <tableColumns count="16">
    <tableColumn id="1" name="Action ID"/>
    <tableColumn id="2" name="Meeting Date"/>
    <tableColumn id="3" name="Department"/>
    <tableColumn id="4" name="Issue"/>
    <tableColumn id="5" name="Root Cause"/>
    <tableColumn id="6" name="Action"/>
    <tableColumn id="7" name="Owner"/>
    <tableColumn id="8" name="Supporting Department"/>
    <tableColumn id="9" name="Due Date"/>
    <tableColumn id="10" name="Status"/>
    <tableColumn id="11" name="Priority"/>
    <tableColumn id="12" name="Completion %"/>
    <tableColumn id="13" name="Closed Date"/>
    <tableColumn id="14" name="Remarks"/>
    <tableColumn id="15" name="Overdue?"/>
    <tableColumn id="16" name="Days Overdue"/>
  </tableColumns>
  <tableStyleInfo name="TableStyleMedium2" showRowStripes="1"/>
</table>
</file>

<file path=xl/tables/table4.xml><?xml version="1.0" encoding="utf-8"?>
<table xmlns="http://schemas.openxmlformats.org/spreadsheetml/2006/main" id="4" name="Tbl_Challenges" displayName="Tbl_Challenges" ref="A2:G27" headerRowCount="1">
  <autoFilter ref="A2:G27"/>
  <tableColumns count="7">
    <tableColumn id="1" name="Department"/>
    <tableColumn id="2" name="Challenge"/>
    <tableColumn id="3" name="Impact"/>
    <tableColumn id="4" name="Support Required"/>
    <tableColumn id="5" name="Decision Taken"/>
    <tableColumn id="6" name="Factory Manager Comments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U50"/>
  <sheetViews>
    <sheetView showGridLines="0" tabSelected="1" zoomScale="85" workbookViewId="0">
      <selection activeCell="A1" sqref="A1"/>
    </sheetView>
  </sheetViews>
  <sheetFormatPr baseColWidth="8" defaultRowHeight="15" outlineLevelCol="0"/>
  <cols>
    <col width="13" customWidth="1" min="1" max="1"/>
    <col width="11" customWidth="1" min="2" max="2"/>
    <col width="11" customWidth="1" min="3" max="3"/>
    <col width="11" customWidth="1" min="4" max="4"/>
    <col width="12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30" customWidth="1" min="16" max="16"/>
    <col width="16" customWidth="1" min="17" max="17"/>
    <col width="10" customWidth="1" min="18" max="18"/>
    <col width="10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40" customHeight="1">
      <c r="A1" s="25" t="inlineStr">
        <is>
          <t xml:space="preserve">  PLANT DAILY MANAGEMENT SYSTEM (DMS) DASHBOARD</t>
        </is>
      </c>
    </row>
    <row r="2" ht="14" customHeight="1">
      <c r="AP2" s="34" t="inlineStr">
        <is>
          <t>CALC ENGINE — issue ranking (auto, do not delete)</t>
        </is>
      </c>
    </row>
    <row r="3" ht="16" customHeight="1">
      <c r="AP3" s="35" t="inlineStr">
        <is>
          <t>KPI Name</t>
        </is>
      </c>
      <c r="AQ3" s="35" t="inlineStr">
        <is>
          <t>Department</t>
        </is>
      </c>
      <c r="AR3" s="35" t="inlineStr">
        <is>
          <t>Red Count (period)</t>
        </is>
      </c>
      <c r="AS3" s="35" t="inlineStr">
        <is>
          <t>Avg Achievement %</t>
        </is>
      </c>
      <c r="AT3" s="35" t="inlineStr">
        <is>
          <t>Score</t>
        </is>
      </c>
      <c r="AU3" s="35" t="inlineStr">
        <is>
          <t>Unique Rank</t>
        </is>
      </c>
    </row>
    <row r="4" ht="20" customHeight="1">
      <c r="A4" s="26">
        <f>"  Morning DMS Review Meeting   |   Today: "&amp;TEXT(TODAY(),"dddd, dd-mmm-yyyy")&amp;"   |   Data refreshes automatically from Master KPI sheet"</f>
        <v/>
      </c>
      <c r="AP4" s="36" t="inlineStr">
        <is>
          <t>Safety Incidents (LTI)</t>
        </is>
      </c>
      <c r="AQ4" s="36" t="inlineStr">
        <is>
          <t>Safety</t>
        </is>
      </c>
      <c r="AR4" s="36">
        <f>COUNTIFS(Tbl_MasterKPI[KPI Name],$AP4,Tbl_MasterKPI[Traffic Light],"Red",Tbl_MasterKPI[Date],"&gt;="&amp;$B$8,Tbl_MasterKPI[Date],"&lt;="&amp;$D$8)</f>
        <v/>
      </c>
      <c r="AS4" s="36">
        <f>IFERROR(AVERAGEIFS(Tbl_MasterKPI[Achievement %],Tbl_MasterKPI[KPI Name],$AP4,Tbl_MasterKPI[Date],"&gt;="&amp;$B$8,Tbl_MasterKPI[Date],"&lt;="&amp;$D$8),1)</f>
        <v/>
      </c>
      <c r="AT4" s="36">
        <f>$AR4*1000+(1-$AS4)*100</f>
        <v/>
      </c>
      <c r="AU4" s="36">
        <f>RANK.EQ($AT4,$AT$4:$AT$23)+COUNTIF($AT$4:$AT3,$AT4)</f>
        <v/>
      </c>
    </row>
    <row r="5">
      <c r="AP5" s="36" t="inlineStr">
        <is>
          <t>Near Miss Reports</t>
        </is>
      </c>
      <c r="AQ5" s="36" t="inlineStr">
        <is>
          <t>Safety</t>
        </is>
      </c>
      <c r="AR5" s="36">
        <f>COUNTIFS(Tbl_MasterKPI[KPI Name],$AP5,Tbl_MasterKPI[Traffic Light],"Red",Tbl_MasterKPI[Date],"&gt;="&amp;$B$8,Tbl_MasterKPI[Date],"&lt;="&amp;$D$8)</f>
        <v/>
      </c>
      <c r="AS5" s="36">
        <f>IFERROR(AVERAGEIFS(Tbl_MasterKPI[Achievement %],Tbl_MasterKPI[KPI Name],$AP5,Tbl_MasterKPI[Date],"&gt;="&amp;$B$8,Tbl_MasterKPI[Date],"&lt;="&amp;$D$8),1)</f>
        <v/>
      </c>
      <c r="AT5" s="36">
        <f>$AR5*1000+(1-$AS5)*100</f>
        <v/>
      </c>
      <c r="AU5" s="36">
        <f>RANK.EQ($AT5,$AT$4:$AT$23)+COUNTIF($AT$4:$AT4,$AT5)</f>
        <v/>
      </c>
    </row>
    <row r="6" ht="20" customHeight="1">
      <c r="A6" s="19" t="inlineStr">
        <is>
          <t>FILTERS</t>
        </is>
      </c>
      <c r="AP6" s="36" t="inlineStr">
        <is>
          <t>Production Output</t>
        </is>
      </c>
      <c r="AQ6" s="36" t="inlineStr">
        <is>
          <t>Production</t>
        </is>
      </c>
      <c r="AR6" s="36">
        <f>COUNTIFS(Tbl_MasterKPI[KPI Name],$AP6,Tbl_MasterKPI[Traffic Light],"Red",Tbl_MasterKPI[Date],"&gt;="&amp;$B$8,Tbl_MasterKPI[Date],"&lt;="&amp;$D$8)</f>
        <v/>
      </c>
      <c r="AS6" s="36">
        <f>IFERROR(AVERAGEIFS(Tbl_MasterKPI[Achievement %],Tbl_MasterKPI[KPI Name],$AP6,Tbl_MasterKPI[Date],"&gt;="&amp;$B$8,Tbl_MasterKPI[Date],"&lt;="&amp;$D$8),1)</f>
        <v/>
      </c>
      <c r="AT6" s="36">
        <f>$AR6*1000+(1-$AS6)*100</f>
        <v/>
      </c>
      <c r="AU6" s="36">
        <f>RANK.EQ($AT6,$AT$4:$AT$23)+COUNTIF($AT$4:$AT5,$AT6)</f>
        <v/>
      </c>
    </row>
    <row r="7">
      <c r="A7" s="27" t="inlineStr">
        <is>
          <t>Review Period:</t>
        </is>
      </c>
      <c r="B7" s="28" t="inlineStr">
        <is>
          <t>Last 30 Days</t>
        </is>
      </c>
      <c r="F7" s="27" t="inlineStr">
        <is>
          <t>Department:</t>
        </is>
      </c>
      <c r="G7" s="28" t="inlineStr">
        <is>
          <t>All</t>
        </is>
      </c>
      <c r="K7" s="27" t="inlineStr">
        <is>
          <t>Owner:</t>
        </is>
      </c>
      <c r="L7" s="28" t="inlineStr">
        <is>
          <t>All</t>
        </is>
      </c>
      <c r="P7" s="27" t="inlineStr">
        <is>
          <t>Status:</t>
        </is>
      </c>
      <c r="Q7" s="28" t="inlineStr">
        <is>
          <t>All</t>
        </is>
      </c>
      <c r="U7" s="27" t="inlineStr">
        <is>
          <t>Priority:</t>
        </is>
      </c>
      <c r="V7" s="28" t="inlineStr">
        <is>
          <t>All</t>
        </is>
      </c>
      <c r="AP7" s="36" t="inlineStr">
        <is>
          <t>OEE %</t>
        </is>
      </c>
      <c r="AQ7" s="36" t="inlineStr">
        <is>
          <t>Production</t>
        </is>
      </c>
      <c r="AR7" s="36">
        <f>COUNTIFS(Tbl_MasterKPI[KPI Name],$AP7,Tbl_MasterKPI[Traffic Light],"Red",Tbl_MasterKPI[Date],"&gt;="&amp;$B$8,Tbl_MasterKPI[Date],"&lt;="&amp;$D$8)</f>
        <v/>
      </c>
      <c r="AS7" s="36">
        <f>IFERROR(AVERAGEIFS(Tbl_MasterKPI[Achievement %],Tbl_MasterKPI[KPI Name],$AP7,Tbl_MasterKPI[Date],"&gt;="&amp;$B$8,Tbl_MasterKPI[Date],"&lt;="&amp;$D$8),1)</f>
        <v/>
      </c>
      <c r="AT7" s="36">
        <f>$AR7*1000+(1-$AS7)*100</f>
        <v/>
      </c>
      <c r="AU7" s="36">
        <f>RANK.EQ($AT7,$AT$4:$AT$23)+COUNTIF($AT$4:$AT6,$AT7)</f>
        <v/>
      </c>
    </row>
    <row r="8">
      <c r="A8" s="29" t="inlineStr">
        <is>
          <t>Window:</t>
        </is>
      </c>
      <c r="B8" s="30">
        <f>IF($B$7="Today",TODAY(),IF($B$7="Yesterday",TODAY()-1,IF($B$7="This Week (7 Days)",TODAY()-6,IF($B$7="This Month",DATE(YEAR(TODAY()),MONTH(TODAY()),1),IF($B$7="Last 30 Days",TODAY()-29,IF($B$7="YTD",DATE(YEAR(TODAY()),1,1),DATE(2000,1,1)))))))</f>
        <v/>
      </c>
      <c r="C8" s="29" t="inlineStr">
        <is>
          <t>to</t>
        </is>
      </c>
      <c r="D8" s="30">
        <f>IF($B$7="Yesterday",TODAY()-1,TODAY())</f>
        <v/>
      </c>
      <c r="AP8" s="36" t="inlineStr">
        <is>
          <t>Defect Rate %</t>
        </is>
      </c>
      <c r="AQ8" s="36" t="inlineStr">
        <is>
          <t>Quality</t>
        </is>
      </c>
      <c r="AR8" s="36">
        <f>COUNTIFS(Tbl_MasterKPI[KPI Name],$AP8,Tbl_MasterKPI[Traffic Light],"Red",Tbl_MasterKPI[Date],"&gt;="&amp;$B$8,Tbl_MasterKPI[Date],"&lt;="&amp;$D$8)</f>
        <v/>
      </c>
      <c r="AS8" s="36">
        <f>IFERROR(AVERAGEIFS(Tbl_MasterKPI[Achievement %],Tbl_MasterKPI[KPI Name],$AP8,Tbl_MasterKPI[Date],"&gt;="&amp;$B$8,Tbl_MasterKPI[Date],"&lt;="&amp;$D$8),1)</f>
        <v/>
      </c>
      <c r="AT8" s="36">
        <f>$AR8*1000+(1-$AS8)*100</f>
        <v/>
      </c>
      <c r="AU8" s="36">
        <f>RANK.EQ($AT8,$AT$4:$AT$23)+COUNTIF($AT$4:$AT7,$AT8)</f>
        <v/>
      </c>
    </row>
    <row r="9">
      <c r="AP9" s="36" t="inlineStr">
        <is>
          <t>Customer Complaints</t>
        </is>
      </c>
      <c r="AQ9" s="36" t="inlineStr">
        <is>
          <t>Quality</t>
        </is>
      </c>
      <c r="AR9" s="36">
        <f>COUNTIFS(Tbl_MasterKPI[KPI Name],$AP9,Tbl_MasterKPI[Traffic Light],"Red",Tbl_MasterKPI[Date],"&gt;="&amp;$B$8,Tbl_MasterKPI[Date],"&lt;="&amp;$D$8)</f>
        <v/>
      </c>
      <c r="AS9" s="36">
        <f>IFERROR(AVERAGEIFS(Tbl_MasterKPI[Achievement %],Tbl_MasterKPI[KPI Name],$AP9,Tbl_MasterKPI[Date],"&gt;="&amp;$B$8,Tbl_MasterKPI[Date],"&lt;="&amp;$D$8),1)</f>
        <v/>
      </c>
      <c r="AT9" s="36">
        <f>$AR9*1000+(1-$AS9)*100</f>
        <v/>
      </c>
      <c r="AU9" s="36">
        <f>RANK.EQ($AT9,$AT$4:$AT$23)+COUNTIF($AT$4:$AT8,$AT9)</f>
        <v/>
      </c>
    </row>
    <row r="10" ht="20" customHeight="1">
      <c r="A10" s="19" t="inlineStr">
        <is>
          <t>EXECUTIVE KPI SCORECARD</t>
        </is>
      </c>
      <c r="AP10" s="36" t="inlineStr">
        <is>
          <t>Unplanned Downtime</t>
        </is>
      </c>
      <c r="AQ10" s="36" t="inlineStr">
        <is>
          <t>Maintenance</t>
        </is>
      </c>
      <c r="AR10" s="36">
        <f>COUNTIFS(Tbl_MasterKPI[KPI Name],$AP10,Tbl_MasterKPI[Traffic Light],"Red",Tbl_MasterKPI[Date],"&gt;="&amp;$B$8,Tbl_MasterKPI[Date],"&lt;="&amp;$D$8)</f>
        <v/>
      </c>
      <c r="AS10" s="36">
        <f>IFERROR(AVERAGEIFS(Tbl_MasterKPI[Achievement %],Tbl_MasterKPI[KPI Name],$AP10,Tbl_MasterKPI[Date],"&gt;="&amp;$B$8,Tbl_MasterKPI[Date],"&lt;="&amp;$D$8),1)</f>
        <v/>
      </c>
      <c r="AT10" s="36">
        <f>$AR10*1000+(1-$AS10)*100</f>
        <v/>
      </c>
      <c r="AU10" s="36">
        <f>RANK.EQ($AT10,$AT$4:$AT$23)+COUNTIF($AT$4:$AT9,$AT10)</f>
        <v/>
      </c>
    </row>
    <row r="11" ht="14" customHeight="1">
      <c r="A11" s="31" t="n"/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AP11" s="36" t="inlineStr">
        <is>
          <t>PM Compliance %</t>
        </is>
      </c>
      <c r="AQ11" s="36" t="inlineStr">
        <is>
          <t>Maintenance</t>
        </is>
      </c>
      <c r="AR11" s="36">
        <f>COUNTIFS(Tbl_MasterKPI[KPI Name],$AP11,Tbl_MasterKPI[Traffic Light],"Red",Tbl_MasterKPI[Date],"&gt;="&amp;$B$8,Tbl_MasterKPI[Date],"&lt;="&amp;$D$8)</f>
        <v/>
      </c>
      <c r="AS11" s="36">
        <f>IFERROR(AVERAGEIFS(Tbl_MasterKPI[Achievement %],Tbl_MasterKPI[KPI Name],$AP11,Tbl_MasterKPI[Date],"&gt;="&amp;$B$8,Tbl_MasterKPI[Date],"&lt;="&amp;$D$8),1)</f>
        <v/>
      </c>
      <c r="AT11" s="36">
        <f>$AR11*1000+(1-$AS11)*100</f>
        <v/>
      </c>
      <c r="AU11" s="36">
        <f>RANK.EQ($AT11,$AT$4:$AT$23)+COUNTIF($AT$4:$AT10,$AT11)</f>
        <v/>
      </c>
    </row>
    <row r="12" ht="14" customHeight="1">
      <c r="A12" s="32" t="inlineStr">
        <is>
          <t>OVERALL PLANT SCORE</t>
        </is>
      </c>
      <c r="F12" s="32" t="inlineStr">
        <is>
          <t>SAFETY</t>
        </is>
      </c>
      <c r="K12" s="32" t="inlineStr">
        <is>
          <t>PRODUCTION</t>
        </is>
      </c>
      <c r="P12" s="32" t="inlineStr">
        <is>
          <t>QUALITY</t>
        </is>
      </c>
      <c r="U12" s="32" t="inlineStr">
        <is>
          <t>MAINTENANCE</t>
        </is>
      </c>
      <c r="AP12" s="36" t="inlineStr">
        <is>
          <t>Power Consumption</t>
        </is>
      </c>
      <c r="AQ12" s="36" t="inlineStr">
        <is>
          <t>Utilities</t>
        </is>
      </c>
      <c r="AR12" s="36">
        <f>COUNTIFS(Tbl_MasterKPI[KPI Name],$AP12,Tbl_MasterKPI[Traffic Light],"Red",Tbl_MasterKPI[Date],"&gt;="&amp;$B$8,Tbl_MasterKPI[Date],"&lt;="&amp;$D$8)</f>
        <v/>
      </c>
      <c r="AS12" s="36">
        <f>IFERROR(AVERAGEIFS(Tbl_MasterKPI[Achievement %],Tbl_MasterKPI[KPI Name],$AP12,Tbl_MasterKPI[Date],"&gt;="&amp;$B$8,Tbl_MasterKPI[Date],"&lt;="&amp;$D$8),1)</f>
        <v/>
      </c>
      <c r="AT12" s="36">
        <f>$AR12*1000+(1-$AS12)*100</f>
        <v/>
      </c>
      <c r="AU12" s="36">
        <f>RANK.EQ($AT12,$AT$4:$AT$23)+COUNTIF($AT$4:$AT11,$AT12)</f>
        <v/>
      </c>
    </row>
    <row r="13" ht="14" customHeight="1">
      <c r="A13" s="33">
        <f>IFERROR(AVERAGEIFS(Tbl_MasterKPI[Achievement %],Tbl_MasterKPI[Date],"&gt;="&amp;$B$8,Tbl_MasterKPI[Date],"&lt;="&amp;$D$8),0)</f>
        <v/>
      </c>
      <c r="F13" s="33">
        <f>IFERROR(AVERAGEIFS(Tbl_MasterKPI[Achievement %],Tbl_MasterKPI[Department],"Safety",Tbl_MasterKPI[Date],"&gt;="&amp;$B$8,Tbl_MasterKPI[Date],"&lt;="&amp;$D$8),0)</f>
        <v/>
      </c>
      <c r="K13" s="33">
        <f>IFERROR(AVERAGEIFS(Tbl_MasterKPI[Achievement %],Tbl_MasterKPI[Department],"Production",Tbl_MasterKPI[Date],"&gt;="&amp;$B$8,Tbl_MasterKPI[Date],"&lt;="&amp;$D$8),0)</f>
        <v/>
      </c>
      <c r="P13" s="33">
        <f>IFERROR(AVERAGEIFS(Tbl_MasterKPI[Achievement %],Tbl_MasterKPI[Department],"Quality",Tbl_MasterKPI[Date],"&gt;="&amp;$B$8,Tbl_MasterKPI[Date],"&lt;="&amp;$D$8),0)</f>
        <v/>
      </c>
      <c r="U13" s="33">
        <f>IFERROR(AVERAGEIFS(Tbl_MasterKPI[Achievement %],Tbl_MasterKPI[Department],"Maintenance",Tbl_MasterKPI[Date],"&gt;="&amp;$B$8,Tbl_MasterKPI[Date],"&lt;="&amp;$D$8),0)</f>
        <v/>
      </c>
      <c r="AP13" s="36" t="inlineStr">
        <is>
          <t>Water Consumption</t>
        </is>
      </c>
      <c r="AQ13" s="36" t="inlineStr">
        <is>
          <t>Utilities</t>
        </is>
      </c>
      <c r="AR13" s="36">
        <f>COUNTIFS(Tbl_MasterKPI[KPI Name],$AP13,Tbl_MasterKPI[Traffic Light],"Red",Tbl_MasterKPI[Date],"&gt;="&amp;$B$8,Tbl_MasterKPI[Date],"&lt;="&amp;$D$8)</f>
        <v/>
      </c>
      <c r="AS13" s="36">
        <f>IFERROR(AVERAGEIFS(Tbl_MasterKPI[Achievement %],Tbl_MasterKPI[KPI Name],$AP13,Tbl_MasterKPI[Date],"&gt;="&amp;$B$8,Tbl_MasterKPI[Date],"&lt;="&amp;$D$8),1)</f>
        <v/>
      </c>
      <c r="AT13" s="36">
        <f>$AR13*1000+(1-$AS13)*100</f>
        <v/>
      </c>
      <c r="AU13" s="36">
        <f>RANK.EQ($AT13,$AT$4:$AT$23)+COUNTIF($AT$4:$AT12,$AT13)</f>
        <v/>
      </c>
    </row>
    <row r="14" ht="14" customHeight="1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AP14" s="36" t="inlineStr">
        <is>
          <t>On-Time Dispatch %</t>
        </is>
      </c>
      <c r="AQ14" s="36" t="inlineStr">
        <is>
          <t>Warehouse</t>
        </is>
      </c>
      <c r="AR14" s="36">
        <f>COUNTIFS(Tbl_MasterKPI[KPI Name],$AP14,Tbl_MasterKPI[Traffic Light],"Red",Tbl_MasterKPI[Date],"&gt;="&amp;$B$8,Tbl_MasterKPI[Date],"&lt;="&amp;$D$8)</f>
        <v/>
      </c>
      <c r="AS14" s="36">
        <f>IFERROR(AVERAGEIFS(Tbl_MasterKPI[Achievement %],Tbl_MasterKPI[KPI Name],$AP14,Tbl_MasterKPI[Date],"&gt;="&amp;$B$8,Tbl_MasterKPI[Date],"&lt;="&amp;$D$8),1)</f>
        <v/>
      </c>
      <c r="AT14" s="36">
        <f>$AR14*1000+(1-$AS14)*100</f>
        <v/>
      </c>
      <c r="AU14" s="36">
        <f>RANK.EQ($AT14,$AT$4:$AT$23)+COUNTIF($AT$4:$AT13,$AT14)</f>
        <v/>
      </c>
    </row>
    <row r="15">
      <c r="AP15" s="36" t="inlineStr">
        <is>
          <t>Inventory Accuracy %</t>
        </is>
      </c>
      <c r="AQ15" s="36" t="inlineStr">
        <is>
          <t>Warehouse</t>
        </is>
      </c>
      <c r="AR15" s="36">
        <f>COUNTIFS(Tbl_MasterKPI[KPI Name],$AP15,Tbl_MasterKPI[Traffic Light],"Red",Tbl_MasterKPI[Date],"&gt;="&amp;$B$8,Tbl_MasterKPI[Date],"&lt;="&amp;$D$8)</f>
        <v/>
      </c>
      <c r="AS15" s="36">
        <f>IFERROR(AVERAGEIFS(Tbl_MasterKPI[Achievement %],Tbl_MasterKPI[KPI Name],$AP15,Tbl_MasterKPI[Date],"&gt;="&amp;$B$8,Tbl_MasterKPI[Date],"&lt;="&amp;$D$8),1)</f>
        <v/>
      </c>
      <c r="AT15" s="36">
        <f>$AR15*1000+(1-$AS15)*100</f>
        <v/>
      </c>
      <c r="AU15" s="36">
        <f>RANK.EQ($AT15,$AT$4:$AT$23)+COUNTIF($AT$4:$AT14,$AT15)</f>
        <v/>
      </c>
    </row>
    <row r="16" ht="14" customHeight="1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AP16" s="36" t="inlineStr">
        <is>
          <t>Absenteeism %</t>
        </is>
      </c>
      <c r="AQ16" s="36" t="inlineStr">
        <is>
          <t>HR</t>
        </is>
      </c>
      <c r="AR16" s="36">
        <f>COUNTIFS(Tbl_MasterKPI[KPI Name],$AP16,Tbl_MasterKPI[Traffic Light],"Red",Tbl_MasterKPI[Date],"&gt;="&amp;$B$8,Tbl_MasterKPI[Date],"&lt;="&amp;$D$8)</f>
        <v/>
      </c>
      <c r="AS16" s="36">
        <f>IFERROR(AVERAGEIFS(Tbl_MasterKPI[Achievement %],Tbl_MasterKPI[KPI Name],$AP16,Tbl_MasterKPI[Date],"&gt;="&amp;$B$8,Tbl_MasterKPI[Date],"&lt;="&amp;$D$8),1)</f>
        <v/>
      </c>
      <c r="AT16" s="36">
        <f>$AR16*1000+(1-$AS16)*100</f>
        <v/>
      </c>
      <c r="AU16" s="36">
        <f>RANK.EQ($AT16,$AT$4:$AT$23)+COUNTIF($AT$4:$AT15,$AT16)</f>
        <v/>
      </c>
    </row>
    <row r="17" ht="14" customHeight="1">
      <c r="A17" s="32" t="inlineStr">
        <is>
          <t>UTILITIES</t>
        </is>
      </c>
      <c r="F17" s="32" t="inlineStr">
        <is>
          <t>WAREHOUSE</t>
        </is>
      </c>
      <c r="K17" s="32" t="inlineStr">
        <is>
          <t>HR</t>
        </is>
      </c>
      <c r="P17" s="32" t="inlineStr">
        <is>
          <t>ENGINEERING</t>
        </is>
      </c>
      <c r="U17" s="32" t="inlineStr">
        <is>
          <t>OVERALL ACHIEVEMENT %</t>
        </is>
      </c>
      <c r="AP17" s="36" t="inlineStr">
        <is>
          <t>Training Hours</t>
        </is>
      </c>
      <c r="AQ17" s="36" t="inlineStr">
        <is>
          <t>HR</t>
        </is>
      </c>
      <c r="AR17" s="36">
        <f>COUNTIFS(Tbl_MasterKPI[KPI Name],$AP17,Tbl_MasterKPI[Traffic Light],"Red",Tbl_MasterKPI[Date],"&gt;="&amp;$B$8,Tbl_MasterKPI[Date],"&lt;="&amp;$D$8)</f>
        <v/>
      </c>
      <c r="AS17" s="36">
        <f>IFERROR(AVERAGEIFS(Tbl_MasterKPI[Achievement %],Tbl_MasterKPI[KPI Name],$AP17,Tbl_MasterKPI[Date],"&gt;="&amp;$B$8,Tbl_MasterKPI[Date],"&lt;="&amp;$D$8),1)</f>
        <v/>
      </c>
      <c r="AT17" s="36">
        <f>$AR17*1000+(1-$AS17)*100</f>
        <v/>
      </c>
      <c r="AU17" s="36">
        <f>RANK.EQ($AT17,$AT$4:$AT$23)+COUNTIF($AT$4:$AT16,$AT17)</f>
        <v/>
      </c>
    </row>
    <row r="18" ht="14" customHeight="1">
      <c r="A18" s="33">
        <f>IFERROR(AVERAGEIFS(Tbl_MasterKPI[Achievement %],Tbl_MasterKPI[Department],"Utilities",Tbl_MasterKPI[Date],"&gt;="&amp;$B$8,Tbl_MasterKPI[Date],"&lt;="&amp;$D$8),0)</f>
        <v/>
      </c>
      <c r="F18" s="33">
        <f>IFERROR(AVERAGEIFS(Tbl_MasterKPI[Achievement %],Tbl_MasterKPI[Department],"Warehouse",Tbl_MasterKPI[Date],"&gt;="&amp;$B$8,Tbl_MasterKPI[Date],"&lt;="&amp;$D$8),0)</f>
        <v/>
      </c>
      <c r="K18" s="33">
        <f>IFERROR(AVERAGEIFS(Tbl_MasterKPI[Achievement %],Tbl_MasterKPI[Department],"HR",Tbl_MasterKPI[Date],"&gt;="&amp;$B$8,Tbl_MasterKPI[Date],"&lt;="&amp;$D$8),0)</f>
        <v/>
      </c>
      <c r="P18" s="33">
        <f>IFERROR(AVERAGEIFS(Tbl_MasterKPI[Achievement %],Tbl_MasterKPI[Department],"Engineering",Tbl_MasterKPI[Date],"&gt;="&amp;$B$8,Tbl_MasterKPI[Date],"&lt;="&amp;$D$8),0)</f>
        <v/>
      </c>
      <c r="U18" s="33">
        <f>IFERROR(COUNTIFS(Tbl_MasterKPI[Traffic Light],"Green",Tbl_MasterKPI[Date],"&gt;="&amp;$B$8,Tbl_MasterKPI[Date],"&lt;="&amp;$D$8)/COUNTIFS(Tbl_MasterKPI[Date],"&gt;="&amp;$B$8,Tbl_MasterKPI[Date],"&lt;="&amp;$D$8),0)</f>
        <v/>
      </c>
      <c r="AP18" s="36" t="inlineStr">
        <is>
          <t>Project Milestone Adherence %</t>
        </is>
      </c>
      <c r="AQ18" s="36" t="inlineStr">
        <is>
          <t>Engineering</t>
        </is>
      </c>
      <c r="AR18" s="36">
        <f>COUNTIFS(Tbl_MasterKPI[KPI Name],$AP18,Tbl_MasterKPI[Traffic Light],"Red",Tbl_MasterKPI[Date],"&gt;="&amp;$B$8,Tbl_MasterKPI[Date],"&lt;="&amp;$D$8)</f>
        <v/>
      </c>
      <c r="AS18" s="36">
        <f>IFERROR(AVERAGEIFS(Tbl_MasterKPI[Achievement %],Tbl_MasterKPI[KPI Name],$AP18,Tbl_MasterKPI[Date],"&gt;="&amp;$B$8,Tbl_MasterKPI[Date],"&lt;="&amp;$D$8),1)</f>
        <v/>
      </c>
      <c r="AT18" s="36">
        <f>$AR18*1000+(1-$AS18)*100</f>
        <v/>
      </c>
      <c r="AU18" s="36">
        <f>RANK.EQ($AT18,$AT$4:$AT$23)+COUNTIF($AT$4:$AT17,$AT18)</f>
        <v/>
      </c>
    </row>
    <row r="19" ht="14" customHeight="1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AP19" s="36" t="inlineStr">
        <is>
          <t>Breakdown Resolution Time</t>
        </is>
      </c>
      <c r="AQ19" s="36" t="inlineStr">
        <is>
          <t>Engineering</t>
        </is>
      </c>
      <c r="AR19" s="36">
        <f>COUNTIFS(Tbl_MasterKPI[KPI Name],$AP19,Tbl_MasterKPI[Traffic Light],"Red",Tbl_MasterKPI[Date],"&gt;="&amp;$B$8,Tbl_MasterKPI[Date],"&lt;="&amp;$D$8)</f>
        <v/>
      </c>
      <c r="AS19" s="36">
        <f>IFERROR(AVERAGEIFS(Tbl_MasterKPI[Achievement %],Tbl_MasterKPI[KPI Name],$AP19,Tbl_MasterKPI[Date],"&gt;="&amp;$B$8,Tbl_MasterKPI[Date],"&lt;="&amp;$D$8),1)</f>
        <v/>
      </c>
      <c r="AT19" s="36">
        <f>$AR19*1000+(1-$AS19)*100</f>
        <v/>
      </c>
      <c r="AU19" s="36">
        <f>RANK.EQ($AT19,$AT$4:$AT$23)+COUNTIF($AT$4:$AT18,$AT19)</f>
        <v/>
      </c>
    </row>
    <row r="20">
      <c r="AP20" s="36" t="inlineStr">
        <is>
          <t>Cost per Unit</t>
        </is>
      </c>
      <c r="AQ20" s="36" t="inlineStr">
        <is>
          <t>Cost</t>
        </is>
      </c>
      <c r="AR20" s="36">
        <f>COUNTIFS(Tbl_MasterKPI[KPI Name],$AP20,Tbl_MasterKPI[Traffic Light],"Red",Tbl_MasterKPI[Date],"&gt;="&amp;$B$8,Tbl_MasterKPI[Date],"&lt;="&amp;$D$8)</f>
        <v/>
      </c>
      <c r="AS20" s="36">
        <f>IFERROR(AVERAGEIFS(Tbl_MasterKPI[Achievement %],Tbl_MasterKPI[KPI Name],$AP20,Tbl_MasterKPI[Date],"&gt;="&amp;$B$8,Tbl_MasterKPI[Date],"&lt;="&amp;$D$8),1)</f>
        <v/>
      </c>
      <c r="AT20" s="36">
        <f>$AR20*1000+(1-$AS20)*100</f>
        <v/>
      </c>
      <c r="AU20" s="36">
        <f>RANK.EQ($AT20,$AT$4:$AT$23)+COUNTIF($AT$4:$AT19,$AT20)</f>
        <v/>
      </c>
    </row>
    <row r="21" ht="20" customHeight="1">
      <c r="A21" s="19" t="inlineStr">
        <is>
          <t>DEPARTMENT PERFORMANCE (headline KPI, selected period)</t>
        </is>
      </c>
      <c r="N21" s="19" t="inlineStr">
        <is>
          <t>PLANT SCORE GAUGE</t>
        </is>
      </c>
      <c r="AP21" s="36" t="inlineStr">
        <is>
          <t>Budget Variance %</t>
        </is>
      </c>
      <c r="AQ21" s="36" t="inlineStr">
        <is>
          <t>Cost</t>
        </is>
      </c>
      <c r="AR21" s="36">
        <f>COUNTIFS(Tbl_MasterKPI[KPI Name],$AP21,Tbl_MasterKPI[Traffic Light],"Red",Tbl_MasterKPI[Date],"&gt;="&amp;$B$8,Tbl_MasterKPI[Date],"&lt;="&amp;$D$8)</f>
        <v/>
      </c>
      <c r="AS21" s="36">
        <f>IFERROR(AVERAGEIFS(Tbl_MasterKPI[Achievement %],Tbl_MasterKPI[KPI Name],$AP21,Tbl_MasterKPI[Date],"&gt;="&amp;$B$8,Tbl_MasterKPI[Date],"&lt;="&amp;$D$8),1)</f>
        <v/>
      </c>
      <c r="AT21" s="36">
        <f>$AR21*1000+(1-$AS21)*100</f>
        <v/>
      </c>
      <c r="AU21" s="36">
        <f>RANK.EQ($AT21,$AT$4:$AT$23)+COUNTIF($AT$4:$AT20,$AT21)</f>
        <v/>
      </c>
    </row>
    <row r="22" ht="24" customHeight="1">
      <c r="A22" s="2" t="inlineStr">
        <is>
          <t>Department</t>
        </is>
      </c>
      <c r="B22" s="2" t="inlineStr">
        <is>
          <t>Headline KPI</t>
        </is>
      </c>
      <c r="C22" s="2" t="inlineStr">
        <is>
          <t>Target</t>
        </is>
      </c>
      <c r="D22" s="2" t="inlineStr">
        <is>
          <t>Actual</t>
        </is>
      </c>
      <c r="E22" s="2" t="inlineStr">
        <is>
          <t>Achievement %</t>
        </is>
      </c>
      <c r="F22" s="2" t="inlineStr">
        <is>
          <t>Status</t>
        </is>
      </c>
      <c r="G22" s="2" t="inlineStr">
        <is>
          <t>Trend</t>
        </is>
      </c>
      <c r="H22" s="2" t="inlineStr">
        <is>
          <t>Variance</t>
        </is>
      </c>
      <c r="AP22" s="36" t="inlineStr">
        <is>
          <t>Energy Intensity (kWh/unit)</t>
        </is>
      </c>
      <c r="AQ22" s="36" t="inlineStr">
        <is>
          <t>Energy</t>
        </is>
      </c>
      <c r="AR22" s="36">
        <f>COUNTIFS(Tbl_MasterKPI[KPI Name],$AP22,Tbl_MasterKPI[Traffic Light],"Red",Tbl_MasterKPI[Date],"&gt;="&amp;$B$8,Tbl_MasterKPI[Date],"&lt;="&amp;$D$8)</f>
        <v/>
      </c>
      <c r="AS22" s="36">
        <f>IFERROR(AVERAGEIFS(Tbl_MasterKPI[Achievement %],Tbl_MasterKPI[KPI Name],$AP22,Tbl_MasterKPI[Date],"&gt;="&amp;$B$8,Tbl_MasterKPI[Date],"&lt;="&amp;$D$8),1)</f>
        <v/>
      </c>
      <c r="AT22" s="36">
        <f>$AR22*1000+(1-$AS22)*100</f>
        <v/>
      </c>
      <c r="AU22" s="36">
        <f>RANK.EQ($AT22,$AT$4:$AT$23)+COUNTIF($AT$4:$AT21,$AT22)</f>
        <v/>
      </c>
    </row>
    <row r="23">
      <c r="A23" s="4" t="inlineStr">
        <is>
          <t>Safety</t>
        </is>
      </c>
      <c r="B23" s="6" t="inlineStr">
        <is>
          <t>Safety Incidents (LTI)</t>
        </is>
      </c>
      <c r="C23" s="23">
        <f>IFERROR(INDEX(Tbl_KPIMaster[Maximum Target],MATCH("Safety Incidents (LTI)",Tbl_KPIMaster[KPI],0)),0)</f>
        <v/>
      </c>
      <c r="D23" s="23">
        <f>IFERROR(AVERAGEIFS(Tbl_MasterKPI[Actual],Tbl_MasterKPI[KPI Name],"Safety Incidents (LTI)",Tbl_MasterKPI[Date],"&gt;="&amp;$B$8,Tbl_MasterKPI[Date],"&lt;="&amp;$D$8),0)</f>
        <v/>
      </c>
      <c r="E23" s="5">
        <f>IFERROR(AVERAGEIFS(Tbl_MasterKPI[Achievement %],Tbl_MasterKPI[KPI Name],"Safety Incidents (LTI)",Tbl_MasterKPI[Date],"&gt;="&amp;$B$8,Tbl_MasterKPI[Date],"&lt;="&amp;$D$8),0)</f>
        <v/>
      </c>
      <c r="F23" s="4">
        <f>IF($E23&gt;=1,"Green",IF($E23&gt;=0.85,"Amber","Red"))</f>
        <v/>
      </c>
      <c r="G23" s="4">
        <f>IF(AVERAGEIFS(Tbl_MasterKPI[Achievement %],Tbl_MasterKPI[KPI Name],"Safety Incidents (LTI)",Tbl_MasterKPI[Date],"&gt;="&amp;$B$8,Tbl_MasterKPI[Date],"&lt;="&amp;$D$8)&gt;=AVERAGEIFS(Tbl_MasterKPI[Achievement %],Tbl_MasterKPI[KPI Name],"Safety Incidents (LTI)",Tbl_MasterKPI[Date],"&gt;="&amp;($B$8-($D$8-$B$8+1)),Tbl_MasterKPI[Date],"&lt;"&amp;$B$8),"▲","▼")</f>
        <v/>
      </c>
      <c r="H23" s="23">
        <f>$D23-$C23</f>
        <v/>
      </c>
      <c r="AP23" s="36" t="inlineStr">
        <is>
          <t>Renewable Energy Share %</t>
        </is>
      </c>
      <c r="AQ23" s="36" t="inlineStr">
        <is>
          <t>Energy</t>
        </is>
      </c>
      <c r="AR23" s="36">
        <f>COUNTIFS(Tbl_MasterKPI[KPI Name],$AP23,Tbl_MasterKPI[Traffic Light],"Red",Tbl_MasterKPI[Date],"&gt;="&amp;$B$8,Tbl_MasterKPI[Date],"&lt;="&amp;$D$8)</f>
        <v/>
      </c>
      <c r="AS23" s="36">
        <f>IFERROR(AVERAGEIFS(Tbl_MasterKPI[Achievement %],Tbl_MasterKPI[KPI Name],$AP23,Tbl_MasterKPI[Date],"&gt;="&amp;$B$8,Tbl_MasterKPI[Date],"&lt;="&amp;$D$8),1)</f>
        <v/>
      </c>
      <c r="AT23" s="36">
        <f>$AR23*1000+(1-$AS23)*100</f>
        <v/>
      </c>
      <c r="AU23" s="36">
        <f>RANK.EQ($AT23,$AT$4:$AT$23)+COUNTIF($AT$4:$AT22,$AT23)</f>
        <v/>
      </c>
    </row>
    <row r="24">
      <c r="A24" s="8" t="inlineStr">
        <is>
          <t>Production</t>
        </is>
      </c>
      <c r="B24" s="10" t="inlineStr">
        <is>
          <t>Production Output</t>
        </is>
      </c>
      <c r="C24" s="24">
        <f>IFERROR(INDEX(Tbl_KPIMaster[Maximum Target],MATCH("Production Output",Tbl_KPIMaster[KPI],0)),0)</f>
        <v/>
      </c>
      <c r="D24" s="24">
        <f>IFERROR(AVERAGEIFS(Tbl_MasterKPI[Actual],Tbl_MasterKPI[KPI Name],"Production Output",Tbl_MasterKPI[Date],"&gt;="&amp;$B$8,Tbl_MasterKPI[Date],"&lt;="&amp;$D$8),0)</f>
        <v/>
      </c>
      <c r="E24" s="9">
        <f>IFERROR(AVERAGEIFS(Tbl_MasterKPI[Achievement %],Tbl_MasterKPI[KPI Name],"Production Output",Tbl_MasterKPI[Date],"&gt;="&amp;$B$8,Tbl_MasterKPI[Date],"&lt;="&amp;$D$8),0)</f>
        <v/>
      </c>
      <c r="F24" s="8">
        <f>IF($E24&gt;=1,"Green",IF($E24&gt;=0.85,"Amber","Red"))</f>
        <v/>
      </c>
      <c r="G24" s="8">
        <f>IF(AVERAGEIFS(Tbl_MasterKPI[Achievement %],Tbl_MasterKPI[KPI Name],"Production Output",Tbl_MasterKPI[Date],"&gt;="&amp;$B$8,Tbl_MasterKPI[Date],"&lt;="&amp;$D$8)&gt;=AVERAGEIFS(Tbl_MasterKPI[Achievement %],Tbl_MasterKPI[KPI Name],"Production Output",Tbl_MasterKPI[Date],"&gt;="&amp;($B$8-($D$8-$B$8+1)),Tbl_MasterKPI[Date],"&lt;"&amp;$B$8),"▲","▼")</f>
        <v/>
      </c>
      <c r="H24" s="24">
        <f>$D24-$C24</f>
        <v/>
      </c>
    </row>
    <row r="25">
      <c r="A25" s="4" t="inlineStr">
        <is>
          <t>Quality</t>
        </is>
      </c>
      <c r="B25" s="6" t="inlineStr">
        <is>
          <t>Defect Rate %</t>
        </is>
      </c>
      <c r="C25" s="23">
        <f>IFERROR(INDEX(Tbl_KPIMaster[Maximum Target],MATCH("Defect Rate %",Tbl_KPIMaster[KPI],0)),0)</f>
        <v/>
      </c>
      <c r="D25" s="23">
        <f>IFERROR(AVERAGEIFS(Tbl_MasterKPI[Actual],Tbl_MasterKPI[KPI Name],"Defect Rate %",Tbl_MasterKPI[Date],"&gt;="&amp;$B$8,Tbl_MasterKPI[Date],"&lt;="&amp;$D$8),0)</f>
        <v/>
      </c>
      <c r="E25" s="5">
        <f>IFERROR(AVERAGEIFS(Tbl_MasterKPI[Achievement %],Tbl_MasterKPI[KPI Name],"Defect Rate %",Tbl_MasterKPI[Date],"&gt;="&amp;$B$8,Tbl_MasterKPI[Date],"&lt;="&amp;$D$8),0)</f>
        <v/>
      </c>
      <c r="F25" s="4">
        <f>IF($E25&gt;=1,"Green",IF($E25&gt;=0.85,"Amber","Red"))</f>
        <v/>
      </c>
      <c r="G25" s="4">
        <f>IF(AVERAGEIFS(Tbl_MasterKPI[Achievement %],Tbl_MasterKPI[KPI Name],"Defect Rate %",Tbl_MasterKPI[Date],"&gt;="&amp;$B$8,Tbl_MasterKPI[Date],"&lt;="&amp;$D$8)&gt;=AVERAGEIFS(Tbl_MasterKPI[Achievement %],Tbl_MasterKPI[KPI Name],"Defect Rate %",Tbl_MasterKPI[Date],"&gt;="&amp;($B$8-($D$8-$B$8+1)),Tbl_MasterKPI[Date],"&lt;"&amp;$B$8),"▲","▼")</f>
        <v/>
      </c>
      <c r="H25" s="23">
        <f>$D25-$C25</f>
        <v/>
      </c>
      <c r="AP25" s="34" t="inlineStr">
        <is>
          <t>Action status distribution (chart source)</t>
        </is>
      </c>
    </row>
    <row r="26">
      <c r="A26" s="8" t="inlineStr">
        <is>
          <t>Maintenance</t>
        </is>
      </c>
      <c r="B26" s="10" t="inlineStr">
        <is>
          <t>Unplanned Downtime</t>
        </is>
      </c>
      <c r="C26" s="24">
        <f>IFERROR(INDEX(Tbl_KPIMaster[Maximum Target],MATCH("Unplanned Downtime",Tbl_KPIMaster[KPI],0)),0)</f>
        <v/>
      </c>
      <c r="D26" s="24">
        <f>IFERROR(AVERAGEIFS(Tbl_MasterKPI[Actual],Tbl_MasterKPI[KPI Name],"Unplanned Downtime",Tbl_MasterKPI[Date],"&gt;="&amp;$B$8,Tbl_MasterKPI[Date],"&lt;="&amp;$D$8),0)</f>
        <v/>
      </c>
      <c r="E26" s="9">
        <f>IFERROR(AVERAGEIFS(Tbl_MasterKPI[Achievement %],Tbl_MasterKPI[KPI Name],"Unplanned Downtime",Tbl_MasterKPI[Date],"&gt;="&amp;$B$8,Tbl_MasterKPI[Date],"&lt;="&amp;$D$8),0)</f>
        <v/>
      </c>
      <c r="F26" s="8">
        <f>IF($E26&gt;=1,"Green",IF($E26&gt;=0.85,"Amber","Red"))</f>
        <v/>
      </c>
      <c r="G26" s="8">
        <f>IF(AVERAGEIFS(Tbl_MasterKPI[Achievement %],Tbl_MasterKPI[KPI Name],"Unplanned Downtime",Tbl_MasterKPI[Date],"&gt;="&amp;$B$8,Tbl_MasterKPI[Date],"&lt;="&amp;$D$8)&gt;=AVERAGEIFS(Tbl_MasterKPI[Achievement %],Tbl_MasterKPI[KPI Name],"Unplanned Downtime",Tbl_MasterKPI[Date],"&gt;="&amp;($B$8-($D$8-$B$8+1)),Tbl_MasterKPI[Date],"&lt;"&amp;$B$8),"▲","▼")</f>
        <v/>
      </c>
      <c r="H26" s="24">
        <f>$D26-$C26</f>
        <v/>
      </c>
      <c r="AP26" t="inlineStr">
        <is>
          <t>Status</t>
        </is>
      </c>
      <c r="AQ26" t="inlineStr">
        <is>
          <t>Count</t>
        </is>
      </c>
    </row>
    <row r="27">
      <c r="A27" s="4" t="inlineStr">
        <is>
          <t>Utilities</t>
        </is>
      </c>
      <c r="B27" s="6" t="inlineStr">
        <is>
          <t>Power Consumption</t>
        </is>
      </c>
      <c r="C27" s="23">
        <f>IFERROR(INDEX(Tbl_KPIMaster[Maximum Target],MATCH("Power Consumption",Tbl_KPIMaster[KPI],0)),0)</f>
        <v/>
      </c>
      <c r="D27" s="23">
        <f>IFERROR(AVERAGEIFS(Tbl_MasterKPI[Actual],Tbl_MasterKPI[KPI Name],"Power Consumption",Tbl_MasterKPI[Date],"&gt;="&amp;$B$8,Tbl_MasterKPI[Date],"&lt;="&amp;$D$8),0)</f>
        <v/>
      </c>
      <c r="E27" s="5">
        <f>IFERROR(AVERAGEIFS(Tbl_MasterKPI[Achievement %],Tbl_MasterKPI[KPI Name],"Power Consumption",Tbl_MasterKPI[Date],"&gt;="&amp;$B$8,Tbl_MasterKPI[Date],"&lt;="&amp;$D$8),0)</f>
        <v/>
      </c>
      <c r="F27" s="4">
        <f>IF($E27&gt;=1,"Green",IF($E27&gt;=0.85,"Amber","Red"))</f>
        <v/>
      </c>
      <c r="G27" s="4">
        <f>IF(AVERAGEIFS(Tbl_MasterKPI[Achievement %],Tbl_MasterKPI[KPI Name],"Power Consumption",Tbl_MasterKPI[Date],"&gt;="&amp;$B$8,Tbl_MasterKPI[Date],"&lt;="&amp;$D$8)&gt;=AVERAGEIFS(Tbl_MasterKPI[Achievement %],Tbl_MasterKPI[KPI Name],"Power Consumption",Tbl_MasterKPI[Date],"&gt;="&amp;($B$8-($D$8-$B$8+1)),Tbl_MasterKPI[Date],"&lt;"&amp;$B$8),"▲","▼")</f>
        <v/>
      </c>
      <c r="H27" s="23">
        <f>$D27-$C27</f>
        <v/>
      </c>
      <c r="AB27" s="36" t="n"/>
      <c r="AC27" s="36" t="n"/>
      <c r="AP27" t="inlineStr">
        <is>
          <t>Open</t>
        </is>
      </c>
      <c r="AQ27">
        <f>COUNTIFS(Tbl_ActionTracker[Status],$AP27)</f>
        <v/>
      </c>
    </row>
    <row r="28">
      <c r="A28" s="8" t="inlineStr">
        <is>
          <t>Warehouse</t>
        </is>
      </c>
      <c r="B28" s="10" t="inlineStr">
        <is>
          <t>On-Time Dispatch %</t>
        </is>
      </c>
      <c r="C28" s="24">
        <f>IFERROR(INDEX(Tbl_KPIMaster[Maximum Target],MATCH("On-Time Dispatch %",Tbl_KPIMaster[KPI],0)),0)</f>
        <v/>
      </c>
      <c r="D28" s="24">
        <f>IFERROR(AVERAGEIFS(Tbl_MasterKPI[Actual],Tbl_MasterKPI[KPI Name],"On-Time Dispatch %",Tbl_MasterKPI[Date],"&gt;="&amp;$B$8,Tbl_MasterKPI[Date],"&lt;="&amp;$D$8),0)</f>
        <v/>
      </c>
      <c r="E28" s="9">
        <f>IFERROR(AVERAGEIFS(Tbl_MasterKPI[Achievement %],Tbl_MasterKPI[KPI Name],"On-Time Dispatch %",Tbl_MasterKPI[Date],"&gt;="&amp;$B$8,Tbl_MasterKPI[Date],"&lt;="&amp;$D$8),0)</f>
        <v/>
      </c>
      <c r="F28" s="8">
        <f>IF($E28&gt;=1,"Green",IF($E28&gt;=0.85,"Amber","Red"))</f>
        <v/>
      </c>
      <c r="G28" s="8">
        <f>IF(AVERAGEIFS(Tbl_MasterKPI[Achievement %],Tbl_MasterKPI[KPI Name],"On-Time Dispatch %",Tbl_MasterKPI[Date],"&gt;="&amp;$B$8,Tbl_MasterKPI[Date],"&lt;="&amp;$D$8)&gt;=AVERAGEIFS(Tbl_MasterKPI[Achievement %],Tbl_MasterKPI[KPI Name],"On-Time Dispatch %",Tbl_MasterKPI[Date],"&gt;="&amp;($B$8-($D$8-$B$8+1)),Tbl_MasterKPI[Date],"&lt;"&amp;$B$8),"▲","▼")</f>
        <v/>
      </c>
      <c r="H28" s="24">
        <f>$D28-$C28</f>
        <v/>
      </c>
      <c r="AB28" s="36" t="n"/>
      <c r="AC28" s="36" t="n"/>
      <c r="AP28" t="inlineStr">
        <is>
          <t>In Progress</t>
        </is>
      </c>
      <c r="AQ28">
        <f>COUNTIFS(Tbl_ActionTracker[Status],$AP28)</f>
        <v/>
      </c>
    </row>
    <row r="29">
      <c r="A29" s="4" t="inlineStr">
        <is>
          <t>HR</t>
        </is>
      </c>
      <c r="B29" s="6" t="inlineStr">
        <is>
          <t>Absenteeism %</t>
        </is>
      </c>
      <c r="C29" s="23">
        <f>IFERROR(INDEX(Tbl_KPIMaster[Maximum Target],MATCH("Absenteeism %",Tbl_KPIMaster[KPI],0)),0)</f>
        <v/>
      </c>
      <c r="D29" s="23">
        <f>IFERROR(AVERAGEIFS(Tbl_MasterKPI[Actual],Tbl_MasterKPI[KPI Name],"Absenteeism %",Tbl_MasterKPI[Date],"&gt;="&amp;$B$8,Tbl_MasterKPI[Date],"&lt;="&amp;$D$8),0)</f>
        <v/>
      </c>
      <c r="E29" s="5">
        <f>IFERROR(AVERAGEIFS(Tbl_MasterKPI[Achievement %],Tbl_MasterKPI[KPI Name],"Absenteeism %",Tbl_MasterKPI[Date],"&gt;="&amp;$B$8,Tbl_MasterKPI[Date],"&lt;="&amp;$D$8),0)</f>
        <v/>
      </c>
      <c r="F29" s="4">
        <f>IF($E29&gt;=1,"Green",IF($E29&gt;=0.85,"Amber","Red"))</f>
        <v/>
      </c>
      <c r="G29" s="4">
        <f>IF(AVERAGEIFS(Tbl_MasterKPI[Achievement %],Tbl_MasterKPI[KPI Name],"Absenteeism %",Tbl_MasterKPI[Date],"&gt;="&amp;$B$8,Tbl_MasterKPI[Date],"&lt;="&amp;$D$8)&gt;=AVERAGEIFS(Tbl_MasterKPI[Achievement %],Tbl_MasterKPI[KPI Name],"Absenteeism %",Tbl_MasterKPI[Date],"&gt;="&amp;($B$8-($D$8-$B$8+1)),Tbl_MasterKPI[Date],"&lt;"&amp;$B$8),"▲","▼")</f>
        <v/>
      </c>
      <c r="H29" s="23">
        <f>$D29-$C29</f>
        <v/>
      </c>
      <c r="AB29" s="36" t="n"/>
      <c r="AC29" s="36" t="n"/>
      <c r="AP29" t="inlineStr">
        <is>
          <t>Closed</t>
        </is>
      </c>
      <c r="AQ29">
        <f>COUNTIFS(Tbl_ActionTracker[Status],$AP29)</f>
        <v/>
      </c>
    </row>
    <row r="30">
      <c r="A30" s="8" t="inlineStr">
        <is>
          <t>Engineering</t>
        </is>
      </c>
      <c r="B30" s="10" t="inlineStr">
        <is>
          <t>Project Milestone Adherence %</t>
        </is>
      </c>
      <c r="C30" s="24">
        <f>IFERROR(INDEX(Tbl_KPIMaster[Maximum Target],MATCH("Project Milestone Adherence %",Tbl_KPIMaster[KPI],0)),0)</f>
        <v/>
      </c>
      <c r="D30" s="24">
        <f>IFERROR(AVERAGEIFS(Tbl_MasterKPI[Actual],Tbl_MasterKPI[KPI Name],"Project Milestone Adherence %",Tbl_MasterKPI[Date],"&gt;="&amp;$B$8,Tbl_MasterKPI[Date],"&lt;="&amp;$D$8),0)</f>
        <v/>
      </c>
      <c r="E30" s="9">
        <f>IFERROR(AVERAGEIFS(Tbl_MasterKPI[Achievement %],Tbl_MasterKPI[KPI Name],"Project Milestone Adherence %",Tbl_MasterKPI[Date],"&gt;="&amp;$B$8,Tbl_MasterKPI[Date],"&lt;="&amp;$D$8),0)</f>
        <v/>
      </c>
      <c r="F30" s="8">
        <f>IF($E30&gt;=1,"Green",IF($E30&gt;=0.85,"Amber","Red"))</f>
        <v/>
      </c>
      <c r="G30" s="8">
        <f>IF(AVERAGEIFS(Tbl_MasterKPI[Achievement %],Tbl_MasterKPI[KPI Name],"Project Milestone Adherence %",Tbl_MasterKPI[Date],"&gt;="&amp;$B$8,Tbl_MasterKPI[Date],"&lt;="&amp;$D$8)&gt;=AVERAGEIFS(Tbl_MasterKPI[Achievement %],Tbl_MasterKPI[KPI Name],"Project Milestone Adherence %",Tbl_MasterKPI[Date],"&gt;="&amp;($B$8-($D$8-$B$8+1)),Tbl_MasterKPI[Date],"&lt;"&amp;$B$8),"▲","▼")</f>
        <v/>
      </c>
      <c r="H30" s="24">
        <f>$D30-$C30</f>
        <v/>
      </c>
      <c r="AP30" s="34" t="inlineStr">
        <is>
          <t>Gauge helper (chart source)</t>
        </is>
      </c>
    </row>
    <row r="31">
      <c r="A31" s="4" t="inlineStr">
        <is>
          <t>Cost</t>
        </is>
      </c>
      <c r="B31" s="6" t="inlineStr">
        <is>
          <t>Cost per Unit</t>
        </is>
      </c>
      <c r="C31" s="23">
        <f>IFERROR(INDEX(Tbl_KPIMaster[Maximum Target],MATCH("Cost per Unit",Tbl_KPIMaster[KPI],0)),0)</f>
        <v/>
      </c>
      <c r="D31" s="23">
        <f>IFERROR(AVERAGEIFS(Tbl_MasterKPI[Actual],Tbl_MasterKPI[KPI Name],"Cost per Unit",Tbl_MasterKPI[Date],"&gt;="&amp;$B$8,Tbl_MasterKPI[Date],"&lt;="&amp;$D$8),0)</f>
        <v/>
      </c>
      <c r="E31" s="5">
        <f>IFERROR(AVERAGEIFS(Tbl_MasterKPI[Achievement %],Tbl_MasterKPI[KPI Name],"Cost per Unit",Tbl_MasterKPI[Date],"&gt;="&amp;$B$8,Tbl_MasterKPI[Date],"&lt;="&amp;$D$8),0)</f>
        <v/>
      </c>
      <c r="F31" s="4">
        <f>IF($E31&gt;=1,"Green",IF($E31&gt;=0.85,"Amber","Red"))</f>
        <v/>
      </c>
      <c r="G31" s="4">
        <f>IF(AVERAGEIFS(Tbl_MasterKPI[Achievement %],Tbl_MasterKPI[KPI Name],"Cost per Unit",Tbl_MasterKPI[Date],"&gt;="&amp;$B$8,Tbl_MasterKPI[Date],"&lt;="&amp;$D$8)&gt;=AVERAGEIFS(Tbl_MasterKPI[Achievement %],Tbl_MasterKPI[KPI Name],"Cost per Unit",Tbl_MasterKPI[Date],"&gt;="&amp;($B$8-($D$8-$B$8+1)),Tbl_MasterKPI[Date],"&lt;"&amp;$B$8),"▲","▼")</f>
        <v/>
      </c>
      <c r="H31" s="23">
        <f>$D31-$C31</f>
        <v/>
      </c>
      <c r="AP31" t="inlineStr">
        <is>
          <t>Segment</t>
        </is>
      </c>
      <c r="AQ31" t="inlineStr">
        <is>
          <t>Value</t>
        </is>
      </c>
    </row>
    <row r="32">
      <c r="A32" s="8" t="inlineStr">
        <is>
          <t>Energy</t>
        </is>
      </c>
      <c r="B32" s="10" t="inlineStr">
        <is>
          <t>Energy Intensity (kWh/unit)</t>
        </is>
      </c>
      <c r="C32" s="24">
        <f>IFERROR(INDEX(Tbl_KPIMaster[Maximum Target],MATCH("Energy Intensity (kWh/unit)",Tbl_KPIMaster[KPI],0)),0)</f>
        <v/>
      </c>
      <c r="D32" s="24">
        <f>IFERROR(AVERAGEIFS(Tbl_MasterKPI[Actual],Tbl_MasterKPI[KPI Name],"Energy Intensity (kWh/unit)",Tbl_MasterKPI[Date],"&gt;="&amp;$B$8,Tbl_MasterKPI[Date],"&lt;="&amp;$D$8),0)</f>
        <v/>
      </c>
      <c r="E32" s="9">
        <f>IFERROR(AVERAGEIFS(Tbl_MasterKPI[Achievement %],Tbl_MasterKPI[KPI Name],"Energy Intensity (kWh/unit)",Tbl_MasterKPI[Date],"&gt;="&amp;$B$8,Tbl_MasterKPI[Date],"&lt;="&amp;$D$8),0)</f>
        <v/>
      </c>
      <c r="F32" s="8">
        <f>IF($E32&gt;=1,"Green",IF($E32&gt;=0.85,"Amber","Red"))</f>
        <v/>
      </c>
      <c r="G32" s="8">
        <f>IF(AVERAGEIFS(Tbl_MasterKPI[Achievement %],Tbl_MasterKPI[KPI Name],"Energy Intensity (kWh/unit)",Tbl_MasterKPI[Date],"&gt;="&amp;$B$8,Tbl_MasterKPI[Date],"&lt;="&amp;$D$8)&gt;=AVERAGEIFS(Tbl_MasterKPI[Achievement %],Tbl_MasterKPI[KPI Name],"Energy Intensity (kWh/unit)",Tbl_MasterKPI[Date],"&gt;="&amp;($B$8-($D$8-$B$8+1)),Tbl_MasterKPI[Date],"&lt;"&amp;$B$8),"▲","▼")</f>
        <v/>
      </c>
      <c r="H32" s="24">
        <f>$D32-$C32</f>
        <v/>
      </c>
      <c r="AB32" s="36" t="n"/>
      <c r="AC32" s="36" t="n"/>
      <c r="AP32" t="inlineStr">
        <is>
          <t>Achieved</t>
        </is>
      </c>
      <c r="AQ32">
        <f>A13</f>
        <v/>
      </c>
    </row>
    <row r="33">
      <c r="AB33" s="36" t="n"/>
      <c r="AC33" s="36" t="n"/>
      <c r="AP33" t="inlineStr">
        <is>
          <t>Remaining</t>
        </is>
      </c>
      <c r="AQ33">
        <f>MAX(0,1-A13)</f>
        <v/>
      </c>
    </row>
    <row r="34" ht="20" customHeight="1">
      <c r="A34" s="19" t="inlineStr">
        <is>
          <t>TOP 10 ISSUES (most Red occurrences in selected period)</t>
        </is>
      </c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  <c r="AL34" s="31" t="n"/>
      <c r="AM34" s="31" t="n"/>
    </row>
    <row r="35" ht="22" customHeight="1">
      <c r="A35" s="2" t="inlineStr">
        <is>
          <t>Rank</t>
        </is>
      </c>
      <c r="B35" s="2" t="inlineStr">
        <is>
          <t>KPI Name</t>
        </is>
      </c>
      <c r="C35" s="2" t="inlineStr">
        <is>
          <t>Department</t>
        </is>
      </c>
      <c r="D35" s="2" t="inlineStr">
        <is>
          <t>Red Count</t>
        </is>
      </c>
      <c r="E35" s="2" t="inlineStr">
        <is>
          <t>Achievement %</t>
        </is>
      </c>
      <c r="F35" s="42" t="inlineStr">
        <is>
          <t>Cum %</t>
        </is>
      </c>
      <c r="O35" s="37" t="inlineStr">
        <is>
          <t>OPEN ACTIONS</t>
        </is>
      </c>
      <c r="T35" s="37" t="inlineStr">
        <is>
          <t>OVERDUE ACTIONS</t>
        </is>
      </c>
      <c r="Y35" s="37" t="inlineStr">
        <is>
          <t>ACTIONS DUE TODAY</t>
        </is>
      </c>
      <c r="AD35" s="37" t="inlineStr">
        <is>
          <t>TODAY'S ESCALATIONS (HIGH PRIORITY, DUE/OVERDUE)</t>
        </is>
      </c>
      <c r="AI35" s="37" t="inlineStr">
        <is>
          <t>PREVIOUS DAY ACTION CLOSURE %</t>
        </is>
      </c>
    </row>
    <row r="36">
      <c r="A36" s="4" t="n">
        <v>1</v>
      </c>
      <c r="B36" s="6">
        <f>IFERROR(INDEX($AP$4:$AP$23,MATCH($A36,$AU$4:$AU$23,0)),"")</f>
        <v/>
      </c>
      <c r="C36" s="4">
        <f>IFERROR(INDEX($AQ$4:$AQ$23,MATCH($A36,$AU$4:$AU$23,0)),"")</f>
        <v/>
      </c>
      <c r="D36" s="4">
        <f>IFERROR(INDEX($AR$4:$AR$23,MATCH($A36,$AU$4:$AU$23,0)),"")</f>
        <v/>
      </c>
      <c r="E36" s="5">
        <f>IFERROR(INDEX($AS$4:$AS$23,MATCH($A36,$AU$4:$AU$23,0)),"")</f>
        <v/>
      </c>
      <c r="F36" s="15">
        <f>IFERROR(SUM($D$36:$D36)/SUM($D$36:$D$45),0)</f>
        <v/>
      </c>
      <c r="O36" s="38">
        <f>COUNTIFS(Tbl_ActionTracker[Department],IF($G$7="All","*",$G$7),Tbl_ActionTracker[Owner],IF($L$7="All","*",$L$7),Tbl_ActionTracker[Priority],IF($V$7="All","*",$V$7),Tbl_ActionTracker[Status],"Open")</f>
        <v/>
      </c>
      <c r="T36" s="38">
        <f>COUNTIFS(Tbl_ActionTracker[Department],IF($G$7="All","*",$G$7),Tbl_ActionTracker[Owner],IF($L$7="All","*",$L$7),Tbl_ActionTracker[Priority],IF($V$7="All","*",$V$7),Tbl_ActionTracker[Overdue?],"Yes")</f>
        <v/>
      </c>
      <c r="Y36" s="38">
        <f>COUNTIFS(Tbl_ActionTracker[Department],IF($G$7="All","*",$G$7),Tbl_ActionTracker[Owner],IF($L$7="All","*",$L$7),Tbl_ActionTracker[Priority],IF($V$7="All","*",$V$7),Tbl_ActionTracker[Due Date],TODAY(),Tbl_ActionTracker[Status],"&lt;&gt;Closed")</f>
        <v/>
      </c>
      <c r="AD36" s="38">
        <f>COUNTIFS(Tbl_ActionTracker[Department],IF($G$7="All","*",$G$7),Tbl_ActionTracker[Owner],IF($L$7="All","*",$L$7),Tbl_ActionTracker[Priority],"High",Tbl_ActionTracker[Due Date],"&lt;="&amp;TODAY(),Tbl_ActionTracker[Status],"&lt;&gt;Closed")</f>
        <v/>
      </c>
      <c r="AI36" s="39">
        <f>IFERROR(COUNTIFS(Tbl_ActionTracker[Due Date],TODAY()-1,Tbl_ActionTracker[Status],"Closed")/COUNTIFS(Tbl_ActionTracker[Due Date],TODAY()-1),0)</f>
        <v/>
      </c>
    </row>
    <row r="37">
      <c r="A37" s="8" t="n">
        <v>2</v>
      </c>
      <c r="B37" s="10">
        <f>IFERROR(INDEX($AP$4:$AP$23,MATCH($A37,$AU$4:$AU$23,0)),"")</f>
        <v/>
      </c>
      <c r="C37" s="8">
        <f>IFERROR(INDEX($AQ$4:$AQ$23,MATCH($A37,$AU$4:$AU$23,0)),"")</f>
        <v/>
      </c>
      <c r="D37" s="8">
        <f>IFERROR(INDEX($AR$4:$AR$23,MATCH($A37,$AU$4:$AU$23,0)),"")</f>
        <v/>
      </c>
      <c r="E37" s="9">
        <f>IFERROR(INDEX($AS$4:$AS$23,MATCH($A37,$AU$4:$AU$23,0)),"")</f>
        <v/>
      </c>
      <c r="F37" s="15">
        <f>IFERROR(SUM($D$36:$D37)/SUM($D$36:$D$45),0)</f>
        <v/>
      </c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</row>
    <row r="38">
      <c r="A38" s="4" t="n">
        <v>3</v>
      </c>
      <c r="B38" s="6">
        <f>IFERROR(INDEX($AP$4:$AP$23,MATCH($A38,$AU$4:$AU$23,0)),"")</f>
        <v/>
      </c>
      <c r="C38" s="4">
        <f>IFERROR(INDEX($AQ$4:$AQ$23,MATCH($A38,$AU$4:$AU$23,0)),"")</f>
        <v/>
      </c>
      <c r="D38" s="4">
        <f>IFERROR(INDEX($AR$4:$AR$23,MATCH($A38,$AU$4:$AU$23,0)),"")</f>
        <v/>
      </c>
      <c r="E38" s="5">
        <f>IFERROR(INDEX($AS$4:$AS$23,MATCH($A38,$AU$4:$AU$23,0)),"")</f>
        <v/>
      </c>
      <c r="F38" s="15">
        <f>IFERROR(SUM($D$36:$D38)/SUM($D$36:$D$45),0)</f>
        <v/>
      </c>
    </row>
    <row r="39" ht="20" customHeight="1">
      <c r="A39" s="8" t="n">
        <v>4</v>
      </c>
      <c r="B39" s="10">
        <f>IFERROR(INDEX($AP$4:$AP$23,MATCH($A39,$AU$4:$AU$23,0)),"")</f>
        <v/>
      </c>
      <c r="C39" s="8">
        <f>IFERROR(INDEX($AQ$4:$AQ$23,MATCH($A39,$AU$4:$AU$23,0)),"")</f>
        <v/>
      </c>
      <c r="D39" s="8">
        <f>IFERROR(INDEX($AR$4:$AR$23,MATCH($A39,$AU$4:$AU$23,0)),"")</f>
        <v/>
      </c>
      <c r="E39" s="9">
        <f>IFERROR(INDEX($AS$4:$AS$23,MATCH($A39,$AU$4:$AU$23,0)),"")</f>
        <v/>
      </c>
      <c r="F39" s="15">
        <f>IFERROR(SUM($D$36:$D39)/SUM($D$36:$D$45),0)</f>
        <v/>
      </c>
      <c r="N39" s="19" t="inlineStr">
        <is>
          <t>TODAY'S ESCALATIONS — High priority, due or overdue, open now</t>
        </is>
      </c>
    </row>
    <row r="40" ht="22" customHeight="1">
      <c r="A40" s="4" t="n">
        <v>5</v>
      </c>
      <c r="B40" s="6">
        <f>IFERROR(INDEX($AP$4:$AP$23,MATCH($A40,$AU$4:$AU$23,0)),"")</f>
        <v/>
      </c>
      <c r="C40" s="4">
        <f>IFERROR(INDEX($AQ$4:$AQ$23,MATCH($A40,$AU$4:$AU$23,0)),"")</f>
        <v/>
      </c>
      <c r="D40" s="4">
        <f>IFERROR(INDEX($AR$4:$AR$23,MATCH($A40,$AU$4:$AU$23,0)),"")</f>
        <v/>
      </c>
      <c r="E40" s="5">
        <f>IFERROR(INDEX($AS$4:$AS$23,MATCH($A40,$AU$4:$AU$23,0)),"")</f>
        <v/>
      </c>
      <c r="F40" s="15">
        <f>IFERROR(SUM($D$36:$D40)/SUM($D$36:$D$45),0)</f>
        <v/>
      </c>
      <c r="N40" s="2" t="inlineStr">
        <is>
          <t>Action ID</t>
        </is>
      </c>
      <c r="O40" s="2" t="inlineStr">
        <is>
          <t>Department</t>
        </is>
      </c>
      <c r="P40" s="2" t="inlineStr">
        <is>
          <t>Issue</t>
        </is>
      </c>
      <c r="Q40" s="2" t="inlineStr">
        <is>
          <t>Owner</t>
        </is>
      </c>
      <c r="R40" s="2" t="inlineStr">
        <is>
          <t>Due Date</t>
        </is>
      </c>
      <c r="S40" s="2" t="inlineStr">
        <is>
          <t>Days Overdue</t>
        </is>
      </c>
    </row>
    <row r="41" ht="30" customHeight="1">
      <c r="A41" s="8" t="n">
        <v>6</v>
      </c>
      <c r="B41" s="10">
        <f>IFERROR(INDEX($AP$4:$AP$23,MATCH($A41,$AU$4:$AU$23,0)),"")</f>
        <v/>
      </c>
      <c r="C41" s="8">
        <f>IFERROR(INDEX($AQ$4:$AQ$23,MATCH($A41,$AU$4:$AU$23,0)),"")</f>
        <v/>
      </c>
      <c r="D41" s="8">
        <f>IFERROR(INDEX($AR$4:$AR$23,MATCH($A41,$AU$4:$AU$23,0)),"")</f>
        <v/>
      </c>
      <c r="E41" s="9">
        <f>IFERROR(INDEX($AS$4:$AS$23,MATCH($A41,$AU$4:$AU$23,0)),"")</f>
        <v/>
      </c>
      <c r="F41" s="15">
        <f>IFERROR(SUM($D$36:$D41)/SUM($D$36:$D$45),0)</f>
        <v/>
      </c>
      <c r="N41" s="4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Date]&lt;=TODAY()))),1)),"")</f>
        <v/>
      </c>
      <c r="O41" s="4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Date]&lt;=TODAY()))),1)),"")</f>
        <v/>
      </c>
      <c r="P41" s="6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Date]&lt;=TODAY()))),1)),"")</f>
        <v/>
      </c>
      <c r="Q41" s="4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Date]&lt;=TODAY()))),1)),"")</f>
        <v/>
      </c>
      <c r="R41" s="40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Date]&lt;=TODAY()))),1)),"")</f>
        <v/>
      </c>
      <c r="S41" s="4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Date]&lt;=TODAY()))),1)),"")</f>
        <v/>
      </c>
    </row>
    <row r="42" ht="30" customHeight="1">
      <c r="A42" s="4" t="n">
        <v>7</v>
      </c>
      <c r="B42" s="6">
        <f>IFERROR(INDEX($AP$4:$AP$23,MATCH($A42,$AU$4:$AU$23,0)),"")</f>
        <v/>
      </c>
      <c r="C42" s="4">
        <f>IFERROR(INDEX($AQ$4:$AQ$23,MATCH($A42,$AU$4:$AU$23,0)),"")</f>
        <v/>
      </c>
      <c r="D42" s="4">
        <f>IFERROR(INDEX($AR$4:$AR$23,MATCH($A42,$AU$4:$AU$23,0)),"")</f>
        <v/>
      </c>
      <c r="E42" s="5">
        <f>IFERROR(INDEX($AS$4:$AS$23,MATCH($A42,$AU$4:$AU$23,0)),"")</f>
        <v/>
      </c>
      <c r="F42" s="15">
        <f>IFERROR(SUM($D$36:$D42)/SUM($D$36:$D$45),0)</f>
        <v/>
      </c>
      <c r="N42" s="8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Date]&lt;=TODAY()))),2)),"")</f>
        <v/>
      </c>
      <c r="O42" s="8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Date]&lt;=TODAY()))),2)),"")</f>
        <v/>
      </c>
      <c r="P42" s="10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Date]&lt;=TODAY()))),2)),"")</f>
        <v/>
      </c>
      <c r="Q42" s="8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Date]&lt;=TODAY()))),2)),"")</f>
        <v/>
      </c>
      <c r="R42" s="41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Date]&lt;=TODAY()))),2)),"")</f>
        <v/>
      </c>
      <c r="S42" s="8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Date]&lt;=TODAY()))),2)),"")</f>
        <v/>
      </c>
    </row>
    <row r="43" ht="30" customHeight="1">
      <c r="A43" s="8" t="n">
        <v>8</v>
      </c>
      <c r="B43" s="10">
        <f>IFERROR(INDEX($AP$4:$AP$23,MATCH($A43,$AU$4:$AU$23,0)),"")</f>
        <v/>
      </c>
      <c r="C43" s="8">
        <f>IFERROR(INDEX($AQ$4:$AQ$23,MATCH($A43,$AU$4:$AU$23,0)),"")</f>
        <v/>
      </c>
      <c r="D43" s="8">
        <f>IFERROR(INDEX($AR$4:$AR$23,MATCH($A43,$AU$4:$AU$23,0)),"")</f>
        <v/>
      </c>
      <c r="E43" s="9">
        <f>IFERROR(INDEX($AS$4:$AS$23,MATCH($A43,$AU$4:$AU$23,0)),"")</f>
        <v/>
      </c>
      <c r="F43" s="15">
        <f>IFERROR(SUM($D$36:$D43)/SUM($D$36:$D$45),0)</f>
        <v/>
      </c>
      <c r="N43" s="4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Date]&lt;=TODAY()))),3)),"")</f>
        <v/>
      </c>
      <c r="O43" s="4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Date]&lt;=TODAY()))),3)),"")</f>
        <v/>
      </c>
      <c r="P43" s="6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Date]&lt;=TODAY()))),3)),"")</f>
        <v/>
      </c>
      <c r="Q43" s="4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Date]&lt;=TODAY()))),3)),"")</f>
        <v/>
      </c>
      <c r="R43" s="40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Date]&lt;=TODAY()))),3)),"")</f>
        <v/>
      </c>
      <c r="S43" s="4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Date]&lt;=TODAY()))),3)),"")</f>
        <v/>
      </c>
    </row>
    <row r="44" ht="30" customHeight="1">
      <c r="A44" s="4" t="n">
        <v>9</v>
      </c>
      <c r="B44" s="6">
        <f>IFERROR(INDEX($AP$4:$AP$23,MATCH($A44,$AU$4:$AU$23,0)),"")</f>
        <v/>
      </c>
      <c r="C44" s="4">
        <f>IFERROR(INDEX($AQ$4:$AQ$23,MATCH($A44,$AU$4:$AU$23,0)),"")</f>
        <v/>
      </c>
      <c r="D44" s="4">
        <f>IFERROR(INDEX($AR$4:$AR$23,MATCH($A44,$AU$4:$AU$23,0)),"")</f>
        <v/>
      </c>
      <c r="E44" s="5">
        <f>IFERROR(INDEX($AS$4:$AS$23,MATCH($A44,$AU$4:$AU$23,0)),"")</f>
        <v/>
      </c>
      <c r="F44" s="15">
        <f>IFERROR(SUM($D$36:$D44)/SUM($D$36:$D$45),0)</f>
        <v/>
      </c>
      <c r="N44" s="8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Date]&lt;=TODAY()))),4)),"")</f>
        <v/>
      </c>
      <c r="O44" s="8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Date]&lt;=TODAY()))),4)),"")</f>
        <v/>
      </c>
      <c r="P44" s="10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Date]&lt;=TODAY()))),4)),"")</f>
        <v/>
      </c>
      <c r="Q44" s="8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Date]&lt;=TODAY()))),4)),"")</f>
        <v/>
      </c>
      <c r="R44" s="41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Date]&lt;=TODAY()))),4)),"")</f>
        <v/>
      </c>
      <c r="S44" s="8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Date]&lt;=TODAY()))),4)),"")</f>
        <v/>
      </c>
    </row>
    <row r="45" ht="30" customHeight="1">
      <c r="A45" s="8" t="n">
        <v>10</v>
      </c>
      <c r="B45" s="10">
        <f>IFERROR(INDEX($AP$4:$AP$23,MATCH($A45,$AU$4:$AU$23,0)),"")</f>
        <v/>
      </c>
      <c r="C45" s="8">
        <f>IFERROR(INDEX($AQ$4:$AQ$23,MATCH($A45,$AU$4:$AU$23,0)),"")</f>
        <v/>
      </c>
      <c r="D45" s="8">
        <f>IFERROR(INDEX($AR$4:$AR$23,MATCH($A45,$AU$4:$AU$23,0)),"")</f>
        <v/>
      </c>
      <c r="E45" s="9">
        <f>IFERROR(INDEX($AS$4:$AS$23,MATCH($A45,$AU$4:$AU$23,0)),"")</f>
        <v/>
      </c>
      <c r="F45" s="15">
        <f>IFERROR(SUM($D$36:$D45)/SUM($D$36:$D$45),0)</f>
        <v/>
      </c>
      <c r="N45" s="4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Date]&lt;=TODAY()))),5)),"")</f>
        <v/>
      </c>
      <c r="O45" s="4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Date]&lt;=TODAY()))),5)),"")</f>
        <v/>
      </c>
      <c r="P45" s="6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Date]&lt;=TODAY()))),5)),"")</f>
        <v/>
      </c>
      <c r="Q45" s="4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Date]&lt;=TODAY()))),5)),"")</f>
        <v/>
      </c>
      <c r="R45" s="40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Date]&lt;=TODAY()))),5)),"")</f>
        <v/>
      </c>
      <c r="S45" s="4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Date]&lt;=TODAY()))),5)),"")</f>
        <v/>
      </c>
    </row>
    <row r="46" ht="30" customHeight="1">
      <c r="N46" s="8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Date]&lt;=TODAY()))),6)),"")</f>
        <v/>
      </c>
      <c r="O46" s="8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Date]&lt;=TODAY()))),6)),"")</f>
        <v/>
      </c>
      <c r="P46" s="10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Date]&lt;=TODAY()))),6)),"")</f>
        <v/>
      </c>
      <c r="Q46" s="8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Date]&lt;=TODAY()))),6)),"")</f>
        <v/>
      </c>
      <c r="R46" s="41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Date]&lt;=TODAY()))),6)),"")</f>
        <v/>
      </c>
      <c r="S46" s="8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Date]&lt;=TODAY()))),6)),"")</f>
        <v/>
      </c>
    </row>
    <row r="47" ht="30" customHeight="1">
      <c r="N47" s="4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Date]&lt;=TODAY()))),7)),"")</f>
        <v/>
      </c>
      <c r="O47" s="4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Date]&lt;=TODAY()))),7)),"")</f>
        <v/>
      </c>
      <c r="P47" s="6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Date]&lt;=TODAY()))),7)),"")</f>
        <v/>
      </c>
      <c r="Q47" s="4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Date]&lt;=TODAY()))),7)),"")</f>
        <v/>
      </c>
      <c r="R47" s="40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Date]&lt;=TODAY()))),7)),"")</f>
        <v/>
      </c>
      <c r="S47" s="4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Date]&lt;=TODAY()))),7)),"")</f>
        <v/>
      </c>
    </row>
    <row r="48" ht="30" customHeight="1">
      <c r="N48" s="8">
        <f>IFERROR(INDEX(Tbl_ActionTracker[Action ID],AGGREGATE(15,6,(ROW(Tbl_ActionTracker[Action ID])-ROW(INDEX(Tbl_ActionTracker[Action ID],1))+1)/(((Tbl_ActionTracker[Priority]="High"))*((Tbl_ActionTracker[Status]&lt;&gt;"Closed"))*((Tbl_ActionTracker[Due Date]&lt;=TODAY()))),8)),"")</f>
        <v/>
      </c>
      <c r="O48" s="8">
        <f>IFERROR(INDEX(Tbl_ActionTracker[Department],AGGREGATE(15,6,(ROW(Tbl_ActionTracker[Action ID])-ROW(INDEX(Tbl_ActionTracker[Action ID],1))+1)/(((Tbl_ActionTracker[Priority]="High"))*((Tbl_ActionTracker[Status]&lt;&gt;"Closed"))*((Tbl_ActionTracker[Due Date]&lt;=TODAY()))),8)),"")</f>
        <v/>
      </c>
      <c r="P48" s="10">
        <f>IFERROR(INDEX(Tbl_ActionTracker[Issue],AGGREGATE(15,6,(ROW(Tbl_ActionTracker[Action ID])-ROW(INDEX(Tbl_ActionTracker[Action ID],1))+1)/(((Tbl_ActionTracker[Priority]="High"))*((Tbl_ActionTracker[Status]&lt;&gt;"Closed"))*((Tbl_ActionTracker[Due Date]&lt;=TODAY()))),8)),"")</f>
        <v/>
      </c>
      <c r="Q48" s="8">
        <f>IFERROR(INDEX(Tbl_ActionTracker[Owner],AGGREGATE(15,6,(ROW(Tbl_ActionTracker[Action ID])-ROW(INDEX(Tbl_ActionTracker[Action ID],1))+1)/(((Tbl_ActionTracker[Priority]="High"))*((Tbl_ActionTracker[Status]&lt;&gt;"Closed"))*((Tbl_ActionTracker[Due Date]&lt;=TODAY()))),8)),"")</f>
        <v/>
      </c>
      <c r="R48" s="41">
        <f>IFERROR(INDEX(Tbl_ActionTracker[Due Date],AGGREGATE(15,6,(ROW(Tbl_ActionTracker[Action ID])-ROW(INDEX(Tbl_ActionTracker[Action ID],1))+1)/(((Tbl_ActionTracker[Priority]="High"))*((Tbl_ActionTracker[Status]&lt;&gt;"Closed"))*((Tbl_ActionTracker[Due Date]&lt;=TODAY()))),8)),"")</f>
        <v/>
      </c>
      <c r="S48" s="8">
        <f>IFERROR(INDEX(Tbl_ActionTracker[Days Overdue],AGGREGATE(15,6,(ROW(Tbl_ActionTracker[Action ID])-ROW(INDEX(Tbl_ActionTracker[Action ID],1))+1)/(((Tbl_ActionTracker[Priority]="High"))*((Tbl_ActionTracker[Status]&lt;&gt;"Closed"))*((Tbl_ActionTracker[Due Date]&lt;=TODAY()))),8)),"")</f>
        <v/>
      </c>
    </row>
    <row r="50" ht="20" customHeight="1">
      <c r="A50" s="19" t="inlineStr">
        <is>
          <t>PERFORMANCE CHARTS</t>
        </is>
      </c>
    </row>
  </sheetData>
  <mergeCells count="39">
    <mergeCell ref="O36:S36"/>
    <mergeCell ref="T35:X35"/>
    <mergeCell ref="AD35:AH35"/>
    <mergeCell ref="U17:Y17"/>
    <mergeCell ref="A1:Z3"/>
    <mergeCell ref="F12:J12"/>
    <mergeCell ref="Y35:AC35"/>
    <mergeCell ref="A6:Z6"/>
    <mergeCell ref="A34:M34"/>
    <mergeCell ref="F18:J18"/>
    <mergeCell ref="T36:X36"/>
    <mergeCell ref="AI36:AM36"/>
    <mergeCell ref="A18:E18"/>
    <mergeCell ref="O35:S35"/>
    <mergeCell ref="U13:Y13"/>
    <mergeCell ref="F17:J17"/>
    <mergeCell ref="A12:E12"/>
    <mergeCell ref="K12:O12"/>
    <mergeCell ref="AD36:AH36"/>
    <mergeCell ref="AI35:AM35"/>
    <mergeCell ref="P17:T17"/>
    <mergeCell ref="U12:Y12"/>
    <mergeCell ref="A50:Z50"/>
    <mergeCell ref="P13:T13"/>
    <mergeCell ref="A17:E17"/>
    <mergeCell ref="F13:J13"/>
    <mergeCell ref="U18:Y18"/>
    <mergeCell ref="N21:Z21"/>
    <mergeCell ref="Y36:AC36"/>
    <mergeCell ref="K17:O17"/>
    <mergeCell ref="P12:T12"/>
    <mergeCell ref="P18:T18"/>
    <mergeCell ref="A4:Z4"/>
    <mergeCell ref="A21:M21"/>
    <mergeCell ref="N39:Z39"/>
    <mergeCell ref="A13:E13"/>
    <mergeCell ref="K13:O13"/>
    <mergeCell ref="A10:Z10"/>
    <mergeCell ref="K18:O18"/>
  </mergeCells>
  <conditionalFormatting sqref="A13">
    <cfRule type="cellIs" priority="1" operator="greaterThanOrEqual" dxfId="9">
      <formula>1</formula>
    </cfRule>
    <cfRule type="cellIs" priority="2" operator="between" dxfId="10">
      <formula>0.85</formula>
      <formula>1</formula>
    </cfRule>
    <cfRule type="cellIs" priority="3" operator="lessThan" dxfId="11">
      <formula>0.85</formula>
    </cfRule>
  </conditionalFormatting>
  <conditionalFormatting sqref="F13">
    <cfRule type="cellIs" priority="4" operator="greaterThanOrEqual" dxfId="9">
      <formula>1</formula>
    </cfRule>
    <cfRule type="cellIs" priority="5" operator="between" dxfId="10">
      <formula>0.85</formula>
      <formula>1</formula>
    </cfRule>
    <cfRule type="cellIs" priority="6" operator="lessThan" dxfId="11">
      <formula>0.85</formula>
    </cfRule>
  </conditionalFormatting>
  <conditionalFormatting sqref="K13">
    <cfRule type="cellIs" priority="7" operator="greaterThanOrEqual" dxfId="9">
      <formula>1</formula>
    </cfRule>
    <cfRule type="cellIs" priority="8" operator="between" dxfId="10">
      <formula>0.85</formula>
      <formula>1</formula>
    </cfRule>
    <cfRule type="cellIs" priority="9" operator="lessThan" dxfId="11">
      <formula>0.85</formula>
    </cfRule>
  </conditionalFormatting>
  <conditionalFormatting sqref="P13">
    <cfRule type="cellIs" priority="10" operator="greaterThanOrEqual" dxfId="9">
      <formula>1</formula>
    </cfRule>
    <cfRule type="cellIs" priority="11" operator="between" dxfId="10">
      <formula>0.85</formula>
      <formula>1</formula>
    </cfRule>
    <cfRule type="cellIs" priority="12" operator="lessThan" dxfId="11">
      <formula>0.85</formula>
    </cfRule>
  </conditionalFormatting>
  <conditionalFormatting sqref="U13">
    <cfRule type="cellIs" priority="13" operator="greaterThanOrEqual" dxfId="9">
      <formula>1</formula>
    </cfRule>
    <cfRule type="cellIs" priority="14" operator="between" dxfId="10">
      <formula>0.85</formula>
      <formula>1</formula>
    </cfRule>
    <cfRule type="cellIs" priority="15" operator="lessThan" dxfId="11">
      <formula>0.85</formula>
    </cfRule>
  </conditionalFormatting>
  <conditionalFormatting sqref="A18">
    <cfRule type="cellIs" priority="16" operator="greaterThanOrEqual" dxfId="9">
      <formula>1</formula>
    </cfRule>
    <cfRule type="cellIs" priority="17" operator="between" dxfId="10">
      <formula>0.85</formula>
      <formula>1</formula>
    </cfRule>
    <cfRule type="cellIs" priority="18" operator="lessThan" dxfId="11">
      <formula>0.85</formula>
    </cfRule>
  </conditionalFormatting>
  <conditionalFormatting sqref="F18">
    <cfRule type="cellIs" priority="19" operator="greaterThanOrEqual" dxfId="9">
      <formula>1</formula>
    </cfRule>
    <cfRule type="cellIs" priority="20" operator="between" dxfId="10">
      <formula>0.85</formula>
      <formula>1</formula>
    </cfRule>
    <cfRule type="cellIs" priority="21" operator="lessThan" dxfId="11">
      <formula>0.85</formula>
    </cfRule>
  </conditionalFormatting>
  <conditionalFormatting sqref="K18">
    <cfRule type="cellIs" priority="22" operator="greaterThanOrEqual" dxfId="9">
      <formula>1</formula>
    </cfRule>
    <cfRule type="cellIs" priority="23" operator="between" dxfId="10">
      <formula>0.85</formula>
      <formula>1</formula>
    </cfRule>
    <cfRule type="cellIs" priority="24" operator="lessThan" dxfId="11">
      <formula>0.85</formula>
    </cfRule>
  </conditionalFormatting>
  <conditionalFormatting sqref="P18">
    <cfRule type="cellIs" priority="25" operator="greaterThanOrEqual" dxfId="9">
      <formula>1</formula>
    </cfRule>
    <cfRule type="cellIs" priority="26" operator="between" dxfId="10">
      <formula>0.85</formula>
      <formula>1</formula>
    </cfRule>
    <cfRule type="cellIs" priority="27" operator="lessThan" dxfId="11">
      <formula>0.85</formula>
    </cfRule>
  </conditionalFormatting>
  <conditionalFormatting sqref="U18">
    <cfRule type="cellIs" priority="28" operator="greaterThanOrEqual" dxfId="9">
      <formula>1</formula>
    </cfRule>
    <cfRule type="cellIs" priority="29" operator="between" dxfId="10">
      <formula>0.85</formula>
      <formula>1</formula>
    </cfRule>
    <cfRule type="cellIs" priority="30" operator="lessThan" dxfId="11">
      <formula>0.85</formula>
    </cfRule>
  </conditionalFormatting>
  <conditionalFormatting sqref="F23:F32">
    <cfRule type="expression" priority="31" dxfId="0">
      <formula>$F23="Green"</formula>
    </cfRule>
    <cfRule type="expression" priority="32" dxfId="1">
      <formula>$F23="Amber"</formula>
    </cfRule>
    <cfRule type="expression" priority="33" dxfId="2">
      <formula>$F23="Red"</formula>
    </cfRule>
  </conditionalFormatting>
  <conditionalFormatting sqref="E23:E32">
    <cfRule type="iconSet" priority="34">
      <iconSet iconSet="3TrafficLights1" showValue="1" reverse="0">
        <cfvo type="percent" val="0"/>
        <cfvo type="percent" val="50"/>
        <cfvo type="percent" val="85"/>
      </iconSet>
    </cfRule>
  </conditionalFormatting>
  <conditionalFormatting sqref="G23:G32">
    <cfRule type="expression" priority="35" dxfId="12">
      <formula>$G23="▲"</formula>
    </cfRule>
    <cfRule type="expression" priority="36" dxfId="13">
      <formula>$G23="▼"</formula>
    </cfRule>
  </conditionalFormatting>
  <conditionalFormatting sqref="A23:H32">
    <cfRule type="expression" priority="37" dxfId="14">
      <formula>$E23=MAX($E$23:$E$32)</formula>
    </cfRule>
    <cfRule type="expression" priority="38" dxfId="15">
      <formula>$E23=MIN($E$23:$E$32)</formula>
    </cfRule>
  </conditionalFormatting>
  <conditionalFormatting sqref="D36:D45">
    <cfRule type="expression" priority="39" dxfId="2">
      <formula>$D36&gt;=3</formula>
    </cfRule>
    <cfRule type="expression" priority="40" dxfId="7">
      <formula>AND($D36&gt;0,$D36&lt;3)</formula>
    </cfRule>
  </conditionalFormatting>
  <conditionalFormatting sqref="S41:S48">
    <cfRule type="expression" priority="41" dxfId="2">
      <formula>AND(ISNUMBER($S41),$S41&gt;0)</formula>
    </cfRule>
  </conditionalFormatting>
  <dataValidations count="5">
    <dataValidation sqref="B7" showDropDown="0" showInputMessage="0" showErrorMessage="0" allowBlank="0" type="list">
      <formula1>"Today,Yesterday,This Week (7 Days),This Month,Last 30 Days,YTD,All Data"</formula1>
    </dataValidation>
    <dataValidation sqref="G7" showDropDown="0" showInputMessage="0" showErrorMessage="0" allowBlank="0" type="list">
      <formula1>"All,Safety,Production,Quality,Maintenance,Utilities,Warehouse,HR,Engineering,Cost,Energy"</formula1>
    </dataValidation>
    <dataValidation sqref="L7" showDropDown="0" showInputMessage="0" showErrorMessage="0" allowBlank="0" type="list">
      <formula1>"All,Safety Officer,Production Manager,Quality Manager,Maintenance Manager,Utilities Engineer,Warehouse Manager,HR Manager,Engineering Manager,Cost Controller,Energy Manager"</formula1>
    </dataValidation>
    <dataValidation sqref="Q7" showDropDown="0" showInputMessage="0" showErrorMessage="0" allowBlank="0" type="list">
      <formula1>"All,Open,In Progress,Closed"</formula1>
    </dataValidation>
    <dataValidation sqref="V7" showDropDown="0" showInputMessage="0" showErrorMessage="0" allowBlank="0" type="list">
      <formula1>"All,Low,Medium,High"</formula1>
    </dataValidation>
  </dataValidations>
  <pageMargins left="0.3" right="0.3" top="0.4" bottom="0.4" header="0.2" footer="0.2"/>
  <pageSetup orientation="landscape" paperSize="8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842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1" customWidth="1" min="2" max="2"/>
    <col width="6" customWidth="1" min="3" max="3"/>
    <col width="6" customWidth="1" min="4" max="4"/>
    <col width="13" customWidth="1" min="5" max="5"/>
    <col width="11" customWidth="1" min="6" max="6"/>
    <col width="26" customWidth="1" min="7" max="7"/>
    <col width="9" customWidth="1" min="8" max="8"/>
    <col width="9" customWidth="1" min="9" max="9"/>
    <col width="9" customWidth="1" min="10" max="10"/>
    <col width="10" customWidth="1" min="11" max="11"/>
    <col width="18" customWidth="1" min="12" max="12"/>
    <col width="22" customWidth="1" min="13" max="13"/>
    <col width="16" customWidth="1" min="14" max="14"/>
    <col width="9" customWidth="1" min="15" max="15"/>
    <col width="11" customWidth="1" min="16" max="16"/>
    <col width="11" customWidth="1" min="17" max="17"/>
    <col width="9" customWidth="1" min="18" max="18"/>
    <col width="11" customWidth="1" min="19" max="19"/>
    <col width="20" customWidth="1" min="20" max="20"/>
  </cols>
  <sheetData>
    <row r="1" ht="30" customHeight="1">
      <c r="A1" s="1" t="inlineStr">
        <is>
          <t>MASTER KPI SHEET — Daily Data Entry  (type only Date / Department / KPI Name / Actual / Remarks / Support / Priority / Status / Notes — everything else auto-fills)</t>
        </is>
      </c>
    </row>
    <row r="2" ht="32" customHeight="1">
      <c r="A2" s="2" t="inlineStr">
        <is>
          <t>Date</t>
        </is>
      </c>
      <c r="B2" s="2" t="inlineStr">
        <is>
          <t>Month</t>
        </is>
      </c>
      <c r="C2" s="2" t="inlineStr">
        <is>
          <t>Week</t>
        </is>
      </c>
      <c r="D2" s="2" t="inlineStr">
        <is>
          <t>Day</t>
        </is>
      </c>
      <c r="E2" s="2" t="inlineStr">
        <is>
          <t>Department</t>
        </is>
      </c>
      <c r="F2" s="2" t="inlineStr">
        <is>
          <t>KPI Category</t>
        </is>
      </c>
      <c r="G2" s="2" t="inlineStr">
        <is>
          <t>KPI Name</t>
        </is>
      </c>
      <c r="H2" s="2" t="inlineStr">
        <is>
          <t>Unit</t>
        </is>
      </c>
      <c r="I2" s="2" t="inlineStr">
        <is>
          <t>Target</t>
        </is>
      </c>
      <c r="J2" s="2" t="inlineStr">
        <is>
          <t>Actual</t>
        </is>
      </c>
      <c r="K2" s="2" t="inlineStr">
        <is>
          <t>Tolerance</t>
        </is>
      </c>
      <c r="L2" s="2" t="inlineStr">
        <is>
          <t>Responsible HOD</t>
        </is>
      </c>
      <c r="M2" s="2" t="inlineStr">
        <is>
          <t>Remarks</t>
        </is>
      </c>
      <c r="N2" s="2" t="inlineStr">
        <is>
          <t>Support Required</t>
        </is>
      </c>
      <c r="O2" s="2" t="inlineStr">
        <is>
          <t>Priority</t>
        </is>
      </c>
      <c r="P2" s="2" t="inlineStr">
        <is>
          <t>Status</t>
        </is>
      </c>
      <c r="Q2" s="2" t="inlineStr">
        <is>
          <t>Achievement %</t>
        </is>
      </c>
      <c r="R2" s="2" t="inlineStr">
        <is>
          <t>Variance</t>
        </is>
      </c>
      <c r="S2" s="2" t="inlineStr">
        <is>
          <t>Traffic Light</t>
        </is>
      </c>
      <c r="T2" s="2" t="inlineStr">
        <is>
          <t>Notes</t>
        </is>
      </c>
    </row>
    <row r="3">
      <c r="A3" s="3" t="n">
        <v>46130</v>
      </c>
      <c r="B3" s="4">
        <f>IF($A3="","",TEXT($A3,"mmm-yyyy"))</f>
        <v/>
      </c>
      <c r="C3" s="4">
        <f>IF($A3="","","W"&amp;WEEKNUM($A3,2))</f>
        <v/>
      </c>
      <c r="D3" s="4">
        <f>IF($A3="","",TEXT($A3,"ddd"))</f>
        <v/>
      </c>
      <c r="E3" s="4" t="inlineStr">
        <is>
          <t>Safety</t>
        </is>
      </c>
      <c r="F3" s="4">
        <f>IFERROR(INDEX(Tbl_KPIMaster[Category],MATCH($G3,Tbl_KPIMaster[KPI],0)),"")</f>
        <v/>
      </c>
      <c r="G3" s="4" t="inlineStr">
        <is>
          <t>Safety Incidents (LTI)</t>
        </is>
      </c>
      <c r="H3" s="4">
        <f>IFERROR(INDEX(Tbl_KPIMaster[Unit],MATCH($G3,Tbl_KPIMaster[KPI],0)),"")</f>
        <v/>
      </c>
      <c r="I3" s="5">
        <f>IFERROR(INDEX(Tbl_KPIMaster[Maximum Target],MATCH($G3,Tbl_KPIMaster[KPI],0)),"")</f>
        <v/>
      </c>
      <c r="J3" s="5" t="n">
        <v>1</v>
      </c>
      <c r="K3" s="4">
        <f>IFERROR(INDEX(Tbl_KPIMaster[Tolerance],MATCH($G3,Tbl_KPIMaster[KPI],0)),"")</f>
        <v/>
      </c>
      <c r="L3" s="4">
        <f>IFERROR(INDEX(Tbl_KPIMaster[Owner],MATCH($G3,Tbl_KPIMaster[KPI],0)),"")</f>
        <v/>
      </c>
      <c r="M3" s="6" t="inlineStr"/>
      <c r="N3" s="4" t="inlineStr"/>
      <c r="O3" s="4" t="inlineStr">
        <is>
          <t>Low</t>
        </is>
      </c>
      <c r="P3" s="4" t="inlineStr">
        <is>
          <t>Open</t>
        </is>
      </c>
      <c r="Q3" s="5">
        <f>IFERROR(IF(INDEX(Tbl_KPIMaster[Direction],MATCH($G3,Tbl_KPIMaster[KPI],0))="Lower is Better",IF($J3=0,1,IF($I3=0,0,$I3/$J3)),IF($I3=0,1,$J3/$I3)),0)</f>
        <v/>
      </c>
      <c r="R3" s="4">
        <f>IF(OR($I3="",$J3=""),"",$J3-$I3)</f>
        <v/>
      </c>
      <c r="S3" s="4">
        <f>IFERROR(IF(INDEX(Tbl_KPIMaster[Direction],MATCH($G3,Tbl_KPIMaster[KPI],0))="Lower is Better",IF($J3&lt;=$I3,"Green",IF($J3&lt;=$I3+IF($I3=0,$K3,$I3*$K3),"Amber","Red")),IF($J3&gt;=$I3,"Green",IF($J3&gt;=$I3-IF($I3=0,$K3,$I3*$K3),"Amber","Red"))),"")</f>
        <v/>
      </c>
      <c r="T3" s="6" t="inlineStr"/>
    </row>
    <row r="4">
      <c r="A4" s="7" t="n">
        <v>46130</v>
      </c>
      <c r="B4" s="8">
        <f>IF($A4="","",TEXT($A4,"mmm-yyyy"))</f>
        <v/>
      </c>
      <c r="C4" s="8">
        <f>IF($A4="","","W"&amp;WEEKNUM($A4,2))</f>
        <v/>
      </c>
      <c r="D4" s="8">
        <f>IF($A4="","",TEXT($A4,"ddd"))</f>
        <v/>
      </c>
      <c r="E4" s="8" t="inlineStr">
        <is>
          <t>Safety</t>
        </is>
      </c>
      <c r="F4" s="8">
        <f>IFERROR(INDEX(Tbl_KPIMaster[Category],MATCH($G4,Tbl_KPIMaster[KPI],0)),"")</f>
        <v/>
      </c>
      <c r="G4" s="8" t="inlineStr">
        <is>
          <t>Near Miss Reports</t>
        </is>
      </c>
      <c r="H4" s="8">
        <f>IFERROR(INDEX(Tbl_KPIMaster[Unit],MATCH($G4,Tbl_KPIMaster[KPI],0)),"")</f>
        <v/>
      </c>
      <c r="I4" s="9">
        <f>IFERROR(INDEX(Tbl_KPIMaster[Maximum Target],MATCH($G4,Tbl_KPIMaster[KPI],0)),"")</f>
        <v/>
      </c>
      <c r="J4" s="9" t="n">
        <v>2</v>
      </c>
      <c r="K4" s="8">
        <f>IFERROR(INDEX(Tbl_KPIMaster[Tolerance],MATCH($G4,Tbl_KPIMaster[KPI],0)),"")</f>
        <v/>
      </c>
      <c r="L4" s="8">
        <f>IFERROR(INDEX(Tbl_KPIMaster[Owner],MATCH($G4,Tbl_KPIMaster[KPI],0)),"")</f>
        <v/>
      </c>
      <c r="M4" s="10" t="inlineStr">
        <is>
          <t>Preventive check done</t>
        </is>
      </c>
      <c r="N4" s="8" t="inlineStr">
        <is>
          <t>Management approval pending</t>
        </is>
      </c>
      <c r="O4" s="8" t="inlineStr">
        <is>
          <t>Low</t>
        </is>
      </c>
      <c r="P4" s="8" t="inlineStr">
        <is>
          <t>Open</t>
        </is>
      </c>
      <c r="Q4" s="9">
        <f>IFERROR(IF(INDEX(Tbl_KPIMaster[Direction],MATCH($G4,Tbl_KPIMaster[KPI],0))="Lower is Better",IF($J4=0,1,IF($I4=0,0,$I4/$J4)),IF($I4=0,1,$J4/$I4)),0)</f>
        <v/>
      </c>
      <c r="R4" s="8">
        <f>IF(OR($I4="",$J4=""),"",$J4-$I4)</f>
        <v/>
      </c>
      <c r="S4" s="8">
        <f>IFERROR(IF(INDEX(Tbl_KPIMaster[Direction],MATCH($G4,Tbl_KPIMaster[KPI],0))="Lower is Better",IF($J4&lt;=$I4,"Green",IF($J4&lt;=$I4+IF($I4=0,$K4,$I4*$K4),"Amber","Red")),IF($J4&gt;=$I4,"Green",IF($J4&gt;=$I4-IF($I4=0,$K4,$I4*$K4),"Amber","Red"))),"")</f>
        <v/>
      </c>
      <c r="T4" s="10" t="inlineStr"/>
    </row>
    <row r="5">
      <c r="A5" s="3" t="n">
        <v>46130</v>
      </c>
      <c r="B5" s="4">
        <f>IF($A5="","",TEXT($A5,"mmm-yyyy"))</f>
        <v/>
      </c>
      <c r="C5" s="4">
        <f>IF($A5="","","W"&amp;WEEKNUM($A5,2))</f>
        <v/>
      </c>
      <c r="D5" s="4">
        <f>IF($A5="","",TEXT($A5,"ddd"))</f>
        <v/>
      </c>
      <c r="E5" s="4" t="inlineStr">
        <is>
          <t>Production</t>
        </is>
      </c>
      <c r="F5" s="4">
        <f>IFERROR(INDEX(Tbl_KPIMaster[Category],MATCH($G5,Tbl_KPIMaster[KPI],0)),"")</f>
        <v/>
      </c>
      <c r="G5" s="4" t="inlineStr">
        <is>
          <t>Production Output</t>
        </is>
      </c>
      <c r="H5" s="4">
        <f>IFERROR(INDEX(Tbl_KPIMaster[Unit],MATCH($G5,Tbl_KPIMaster[KPI],0)),"")</f>
        <v/>
      </c>
      <c r="I5" s="5">
        <f>IFERROR(INDEX(Tbl_KPIMaster[Maximum Target],MATCH($G5,Tbl_KPIMaster[KPI],0)),"")</f>
        <v/>
      </c>
      <c r="J5" s="5" t="n">
        <v>887.4299999999999</v>
      </c>
      <c r="K5" s="4">
        <f>IFERROR(INDEX(Tbl_KPIMaster[Tolerance],MATCH($G5,Tbl_KPIMaster[KPI],0)),"")</f>
        <v/>
      </c>
      <c r="L5" s="4">
        <f>IFERROR(INDEX(Tbl_KPIMaster[Owner],MATCH($G5,Tbl_KPIMaster[KPI],0)),"")</f>
        <v/>
      </c>
      <c r="M5" s="6" t="inlineStr"/>
      <c r="N5" s="4" t="inlineStr"/>
      <c r="O5" s="4" t="inlineStr">
        <is>
          <t>Medium</t>
        </is>
      </c>
      <c r="P5" s="4" t="inlineStr">
        <is>
          <t>Open</t>
        </is>
      </c>
      <c r="Q5" s="5">
        <f>IFERROR(IF(INDEX(Tbl_KPIMaster[Direction],MATCH($G5,Tbl_KPIMaster[KPI],0))="Lower is Better",IF($J5=0,1,IF($I5=0,0,$I5/$J5)),IF($I5=0,1,$J5/$I5)),0)</f>
        <v/>
      </c>
      <c r="R5" s="4">
        <f>IF(OR($I5="",$J5=""),"",$J5-$I5)</f>
        <v/>
      </c>
      <c r="S5" s="4">
        <f>IFERROR(IF(INDEX(Tbl_KPIMaster[Direction],MATCH($G5,Tbl_KPIMaster[KPI],0))="Lower is Better",IF($J5&lt;=$I5,"Green",IF($J5&lt;=$I5+IF($I5=0,$K5,$I5*$K5),"Amber","Red")),IF($J5&gt;=$I5,"Green",IF($J5&gt;=$I5-IF($I5=0,$K5,$I5*$K5),"Amber","Red"))),"")</f>
        <v/>
      </c>
      <c r="T5" s="6" t="inlineStr"/>
    </row>
    <row r="6">
      <c r="A6" s="7" t="n">
        <v>46130</v>
      </c>
      <c r="B6" s="8">
        <f>IF($A6="","",TEXT($A6,"mmm-yyyy"))</f>
        <v/>
      </c>
      <c r="C6" s="8">
        <f>IF($A6="","","W"&amp;WEEKNUM($A6,2))</f>
        <v/>
      </c>
      <c r="D6" s="8">
        <f>IF($A6="","",TEXT($A6,"ddd"))</f>
        <v/>
      </c>
      <c r="E6" s="8" t="inlineStr">
        <is>
          <t>Production</t>
        </is>
      </c>
      <c r="F6" s="8">
        <f>IFERROR(INDEX(Tbl_KPIMaster[Category],MATCH($G6,Tbl_KPIMaster[KPI],0)),"")</f>
        <v/>
      </c>
      <c r="G6" s="8" t="inlineStr">
        <is>
          <t>OEE %</t>
        </is>
      </c>
      <c r="H6" s="8">
        <f>IFERROR(INDEX(Tbl_KPIMaster[Unit],MATCH($G6,Tbl_KPIMaster[KPI],0)),"")</f>
        <v/>
      </c>
      <c r="I6" s="9">
        <f>IFERROR(INDEX(Tbl_KPIMaster[Maximum Target],MATCH($G6,Tbl_KPIMaster[KPI],0)),"")</f>
        <v/>
      </c>
      <c r="J6" s="9" t="n">
        <v>0.6572</v>
      </c>
      <c r="K6" s="8">
        <f>IFERROR(INDEX(Tbl_KPIMaster[Tolerance],MATCH($G6,Tbl_KPIMaster[KPI],0)),"")</f>
        <v/>
      </c>
      <c r="L6" s="8">
        <f>IFERROR(INDEX(Tbl_KPIMaster[Owner],MATCH($G6,Tbl_KPIMaster[KPI],0)),"")</f>
        <v/>
      </c>
      <c r="M6" s="10" t="inlineStr">
        <is>
          <t>Awaiting spares</t>
        </is>
      </c>
      <c r="N6" s="8" t="inlineStr">
        <is>
          <t>Management approval pending</t>
        </is>
      </c>
      <c r="O6" s="8" t="inlineStr">
        <is>
          <t>Low</t>
        </is>
      </c>
      <c r="P6" s="8" t="inlineStr">
        <is>
          <t>Closed</t>
        </is>
      </c>
      <c r="Q6" s="9">
        <f>IFERROR(IF(INDEX(Tbl_KPIMaster[Direction],MATCH($G6,Tbl_KPIMaster[KPI],0))="Lower is Better",IF($J6=0,1,IF($I6=0,0,$I6/$J6)),IF($I6=0,1,$J6/$I6)),0)</f>
        <v/>
      </c>
      <c r="R6" s="8">
        <f>IF(OR($I6="",$J6=""),"",$J6-$I6)</f>
        <v/>
      </c>
      <c r="S6" s="8">
        <f>IFERROR(IF(INDEX(Tbl_KPIMaster[Direction],MATCH($G6,Tbl_KPIMaster[KPI],0))="Lower is Better",IF($J6&lt;=$I6,"Green",IF($J6&lt;=$I6+IF($I6=0,$K6,$I6*$K6),"Amber","Red")),IF($J6&gt;=$I6,"Green",IF($J6&gt;=$I6-IF($I6=0,$K6,$I6*$K6),"Amber","Red"))),"")</f>
        <v/>
      </c>
      <c r="T6" s="10" t="inlineStr"/>
    </row>
    <row r="7">
      <c r="A7" s="3" t="n">
        <v>46130</v>
      </c>
      <c r="B7" s="4">
        <f>IF($A7="","",TEXT($A7,"mmm-yyyy"))</f>
        <v/>
      </c>
      <c r="C7" s="4">
        <f>IF($A7="","","W"&amp;WEEKNUM($A7,2))</f>
        <v/>
      </c>
      <c r="D7" s="4">
        <f>IF($A7="","",TEXT($A7,"ddd"))</f>
        <v/>
      </c>
      <c r="E7" s="4" t="inlineStr">
        <is>
          <t>Quality</t>
        </is>
      </c>
      <c r="F7" s="4">
        <f>IFERROR(INDEX(Tbl_KPIMaster[Category],MATCH($G7,Tbl_KPIMaster[KPI],0)),"")</f>
        <v/>
      </c>
      <c r="G7" s="4" t="inlineStr">
        <is>
          <t>Defect Rate %</t>
        </is>
      </c>
      <c r="H7" s="4">
        <f>IFERROR(INDEX(Tbl_KPIMaster[Unit],MATCH($G7,Tbl_KPIMaster[KPI],0)),"")</f>
        <v/>
      </c>
      <c r="I7" s="5">
        <f>IFERROR(INDEX(Tbl_KPIMaster[Maximum Target],MATCH($G7,Tbl_KPIMaster[KPI],0)),"")</f>
        <v/>
      </c>
      <c r="J7" s="5" t="n">
        <v>0.3451</v>
      </c>
      <c r="K7" s="4">
        <f>IFERROR(INDEX(Tbl_KPIMaster[Tolerance],MATCH($G7,Tbl_KPIMaster[KPI],0)),"")</f>
        <v/>
      </c>
      <c r="L7" s="4">
        <f>IFERROR(INDEX(Tbl_KPIMaster[Owner],MATCH($G7,Tbl_KPIMaster[KPI],0)),"")</f>
        <v/>
      </c>
      <c r="M7" s="6" t="inlineStr">
        <is>
          <t>New operator training effect</t>
        </is>
      </c>
      <c r="N7" s="4" t="inlineStr">
        <is>
          <t>Procurement follow-up</t>
        </is>
      </c>
      <c r="O7" s="4" t="inlineStr">
        <is>
          <t>Medium</t>
        </is>
      </c>
      <c r="P7" s="4" t="inlineStr">
        <is>
          <t>Open</t>
        </is>
      </c>
      <c r="Q7" s="5">
        <f>IFERROR(IF(INDEX(Tbl_KPIMaster[Direction],MATCH($G7,Tbl_KPIMaster[KPI],0))="Lower is Better",IF($J7=0,1,IF($I7=0,0,$I7/$J7)),IF($I7=0,1,$J7/$I7)),0)</f>
        <v/>
      </c>
      <c r="R7" s="4">
        <f>IF(OR($I7="",$J7=""),"",$J7-$I7)</f>
        <v/>
      </c>
      <c r="S7" s="4">
        <f>IFERROR(IF(INDEX(Tbl_KPIMaster[Direction],MATCH($G7,Tbl_KPIMaster[KPI],0))="Lower is Better",IF($J7&lt;=$I7,"Green",IF($J7&lt;=$I7+IF($I7=0,$K7,$I7*$K7),"Amber","Red")),IF($J7&gt;=$I7,"Green",IF($J7&gt;=$I7-IF($I7=0,$K7,$I7*$K7),"Amber","Red"))),"")</f>
        <v/>
      </c>
      <c r="T7" s="6" t="inlineStr"/>
    </row>
    <row r="8">
      <c r="A8" s="7" t="n">
        <v>46130</v>
      </c>
      <c r="B8" s="8">
        <f>IF($A8="","",TEXT($A8,"mmm-yyyy"))</f>
        <v/>
      </c>
      <c r="C8" s="8">
        <f>IF($A8="","","W"&amp;WEEKNUM($A8,2))</f>
        <v/>
      </c>
      <c r="D8" s="8">
        <f>IF($A8="","",TEXT($A8,"ddd"))</f>
        <v/>
      </c>
      <c r="E8" s="8" t="inlineStr">
        <is>
          <t>Quality</t>
        </is>
      </c>
      <c r="F8" s="8">
        <f>IFERROR(INDEX(Tbl_KPIMaster[Category],MATCH($G8,Tbl_KPIMaster[KPI],0)),"")</f>
        <v/>
      </c>
      <c r="G8" s="8" t="inlineStr">
        <is>
          <t>Customer Complaints</t>
        </is>
      </c>
      <c r="H8" s="8">
        <f>IFERROR(INDEX(Tbl_KPIMaster[Unit],MATCH($G8,Tbl_KPIMaster[KPI],0)),"")</f>
        <v/>
      </c>
      <c r="I8" s="9">
        <f>IFERROR(INDEX(Tbl_KPIMaster[Maximum Target],MATCH($G8,Tbl_KPIMaster[KPI],0)),"")</f>
        <v/>
      </c>
      <c r="J8" s="9" t="n">
        <v>0</v>
      </c>
      <c r="K8" s="8">
        <f>IFERROR(INDEX(Tbl_KPIMaster[Tolerance],MATCH($G8,Tbl_KPIMaster[KPI],0)),"")</f>
        <v/>
      </c>
      <c r="L8" s="8">
        <f>IFERROR(INDEX(Tbl_KPIMaster[Owner],MATCH($G8,Tbl_KPIMaster[KPI],0)),"")</f>
        <v/>
      </c>
      <c r="M8" s="10" t="inlineStr">
        <is>
          <t>Process improvement in progress</t>
        </is>
      </c>
      <c r="N8" s="8" t="inlineStr">
        <is>
          <t>Management approval pending</t>
        </is>
      </c>
      <c r="O8" s="8" t="inlineStr">
        <is>
          <t>Medium</t>
        </is>
      </c>
      <c r="P8" s="8" t="inlineStr">
        <is>
          <t>In Progress</t>
        </is>
      </c>
      <c r="Q8" s="9">
        <f>IFERROR(IF(INDEX(Tbl_KPIMaster[Direction],MATCH($G8,Tbl_KPIMaster[KPI],0))="Lower is Better",IF($J8=0,1,IF($I8=0,0,$I8/$J8)),IF($I8=0,1,$J8/$I8)),0)</f>
        <v/>
      </c>
      <c r="R8" s="8">
        <f>IF(OR($I8="",$J8=""),"",$J8-$I8)</f>
        <v/>
      </c>
      <c r="S8" s="8">
        <f>IFERROR(IF(INDEX(Tbl_KPIMaster[Direction],MATCH($G8,Tbl_KPIMaster[KPI],0))="Lower is Better",IF($J8&lt;=$I8,"Green",IF($J8&lt;=$I8+IF($I8=0,$K8,$I8*$K8),"Amber","Red")),IF($J8&gt;=$I8,"Green",IF($J8&gt;=$I8-IF($I8=0,$K8,$I8*$K8),"Amber","Red"))),"")</f>
        <v/>
      </c>
      <c r="T8" s="10" t="inlineStr"/>
    </row>
    <row r="9">
      <c r="A9" s="3" t="n">
        <v>46130</v>
      </c>
      <c r="B9" s="4">
        <f>IF($A9="","",TEXT($A9,"mmm-yyyy"))</f>
        <v/>
      </c>
      <c r="C9" s="4">
        <f>IF($A9="","","W"&amp;WEEKNUM($A9,2))</f>
        <v/>
      </c>
      <c r="D9" s="4">
        <f>IF($A9="","",TEXT($A9,"ddd"))</f>
        <v/>
      </c>
      <c r="E9" s="4" t="inlineStr">
        <is>
          <t>Maintenance</t>
        </is>
      </c>
      <c r="F9" s="4">
        <f>IFERROR(INDEX(Tbl_KPIMaster[Category],MATCH($G9,Tbl_KPIMaster[KPI],0)),"")</f>
        <v/>
      </c>
      <c r="G9" s="4" t="inlineStr">
        <is>
          <t>Unplanned Downtime</t>
        </is>
      </c>
      <c r="H9" s="4">
        <f>IFERROR(INDEX(Tbl_KPIMaster[Unit],MATCH($G9,Tbl_KPIMaster[KPI],0)),"")</f>
        <v/>
      </c>
      <c r="I9" s="5">
        <f>IFERROR(INDEX(Tbl_KPIMaster[Maximum Target],MATCH($G9,Tbl_KPIMaster[KPI],0)),"")</f>
        <v/>
      </c>
      <c r="J9" s="5" t="n">
        <v>0.57</v>
      </c>
      <c r="K9" s="4">
        <f>IFERROR(INDEX(Tbl_KPIMaster[Tolerance],MATCH($G9,Tbl_KPIMaster[KPI],0)),"")</f>
        <v/>
      </c>
      <c r="L9" s="4">
        <f>IFERROR(INDEX(Tbl_KPIMaster[Owner],MATCH($G9,Tbl_KPIMaster[KPI],0)),"")</f>
        <v/>
      </c>
      <c r="M9" s="6" t="inlineStr">
        <is>
          <t>Preventive check done</t>
        </is>
      </c>
      <c r="N9" s="4" t="inlineStr">
        <is>
          <t>Engineering support needed</t>
        </is>
      </c>
      <c r="O9" s="4" t="inlineStr">
        <is>
          <t>High</t>
        </is>
      </c>
      <c r="P9" s="4" t="inlineStr">
        <is>
          <t>Closed</t>
        </is>
      </c>
      <c r="Q9" s="5">
        <f>IFERROR(IF(INDEX(Tbl_KPIMaster[Direction],MATCH($G9,Tbl_KPIMaster[KPI],0))="Lower is Better",IF($J9=0,1,IF($I9=0,0,$I9/$J9)),IF($I9=0,1,$J9/$I9)),0)</f>
        <v/>
      </c>
      <c r="R9" s="4">
        <f>IF(OR($I9="",$J9=""),"",$J9-$I9)</f>
        <v/>
      </c>
      <c r="S9" s="4">
        <f>IFERROR(IF(INDEX(Tbl_KPIMaster[Direction],MATCH($G9,Tbl_KPIMaster[KPI],0))="Lower is Better",IF($J9&lt;=$I9,"Green",IF($J9&lt;=$I9+IF($I9=0,$K9,$I9*$K9),"Amber","Red")),IF($J9&gt;=$I9,"Green",IF($J9&gt;=$I9-IF($I9=0,$K9,$I9*$K9),"Amber","Red"))),"")</f>
        <v/>
      </c>
      <c r="T9" s="6" t="inlineStr"/>
    </row>
    <row r="10">
      <c r="A10" s="7" t="n">
        <v>46130</v>
      </c>
      <c r="B10" s="8">
        <f>IF($A10="","",TEXT($A10,"mmm-yyyy"))</f>
        <v/>
      </c>
      <c r="C10" s="8">
        <f>IF($A10="","","W"&amp;WEEKNUM($A10,2))</f>
        <v/>
      </c>
      <c r="D10" s="8">
        <f>IF($A10="","",TEXT($A10,"ddd"))</f>
        <v/>
      </c>
      <c r="E10" s="8" t="inlineStr">
        <is>
          <t>Maintenance</t>
        </is>
      </c>
      <c r="F10" s="8">
        <f>IFERROR(INDEX(Tbl_KPIMaster[Category],MATCH($G10,Tbl_KPIMaster[KPI],0)),"")</f>
        <v/>
      </c>
      <c r="G10" s="8" t="inlineStr">
        <is>
          <t>PM Compliance %</t>
        </is>
      </c>
      <c r="H10" s="8">
        <f>IFERROR(INDEX(Tbl_KPIMaster[Unit],MATCH($G10,Tbl_KPIMaster[KPI],0)),"")</f>
        <v/>
      </c>
      <c r="I10" s="9">
        <f>IFERROR(INDEX(Tbl_KPIMaster[Maximum Target],MATCH($G10,Tbl_KPIMaster[KPI],0)),"")</f>
        <v/>
      </c>
      <c r="J10" s="9" t="n">
        <v>1.1649</v>
      </c>
      <c r="K10" s="8">
        <f>IFERROR(INDEX(Tbl_KPIMaster[Tolerance],MATCH($G10,Tbl_KPIMaster[KPI],0)),"")</f>
        <v/>
      </c>
      <c r="L10" s="8">
        <f>IFERROR(INDEX(Tbl_KPIMaster[Owner],MATCH($G10,Tbl_KPIMaster[KPI],0)),"")</f>
        <v/>
      </c>
      <c r="M10" s="10" t="inlineStr">
        <is>
          <t>Within normal range</t>
        </is>
      </c>
      <c r="N10" s="8" t="inlineStr">
        <is>
          <t>Engineering support needed</t>
        </is>
      </c>
      <c r="O10" s="8" t="inlineStr">
        <is>
          <t>Low</t>
        </is>
      </c>
      <c r="P10" s="8" t="inlineStr">
        <is>
          <t>Open</t>
        </is>
      </c>
      <c r="Q10" s="9">
        <f>IFERROR(IF(INDEX(Tbl_KPIMaster[Direction],MATCH($G10,Tbl_KPIMaster[KPI],0))="Lower is Better",IF($J10=0,1,IF($I10=0,0,$I10/$J10)),IF($I10=0,1,$J10/$I10)),0)</f>
        <v/>
      </c>
      <c r="R10" s="8">
        <f>IF(OR($I10="",$J10=""),"",$J10-$I10)</f>
        <v/>
      </c>
      <c r="S10" s="8">
        <f>IFERROR(IF(INDEX(Tbl_KPIMaster[Direction],MATCH($G10,Tbl_KPIMaster[KPI],0))="Lower is Better",IF($J10&lt;=$I10,"Green",IF($J10&lt;=$I10+IF($I10=0,$K10,$I10*$K10),"Amber","Red")),IF($J10&gt;=$I10,"Green",IF($J10&gt;=$I10-IF($I10=0,$K10,$I10*$K10),"Amber","Red"))),"")</f>
        <v/>
      </c>
      <c r="T10" s="10" t="inlineStr"/>
    </row>
    <row r="11">
      <c r="A11" s="3" t="n">
        <v>46130</v>
      </c>
      <c r="B11" s="4">
        <f>IF($A11="","",TEXT($A11,"mmm-yyyy"))</f>
        <v/>
      </c>
      <c r="C11" s="4">
        <f>IF($A11="","","W"&amp;WEEKNUM($A11,2))</f>
        <v/>
      </c>
      <c r="D11" s="4">
        <f>IF($A11="","",TEXT($A11,"ddd"))</f>
        <v/>
      </c>
      <c r="E11" s="4" t="inlineStr">
        <is>
          <t>Utilities</t>
        </is>
      </c>
      <c r="F11" s="4">
        <f>IFERROR(INDEX(Tbl_KPIMaster[Category],MATCH($G11,Tbl_KPIMaster[KPI],0)),"")</f>
        <v/>
      </c>
      <c r="G11" s="4" t="inlineStr">
        <is>
          <t>Power Consumption</t>
        </is>
      </c>
      <c r="H11" s="4">
        <f>IFERROR(INDEX(Tbl_KPIMaster[Unit],MATCH($G11,Tbl_KPIMaster[KPI],0)),"")</f>
        <v/>
      </c>
      <c r="I11" s="5">
        <f>IFERROR(INDEX(Tbl_KPIMaster[Maximum Target],MATCH($G11,Tbl_KPIMaster[KPI],0)),"")</f>
        <v/>
      </c>
      <c r="J11" s="5" t="n">
        <v>3259.9</v>
      </c>
      <c r="K11" s="4">
        <f>IFERROR(INDEX(Tbl_KPIMaster[Tolerance],MATCH($G11,Tbl_KPIMaster[KPI],0)),"")</f>
        <v/>
      </c>
      <c r="L11" s="4">
        <f>IFERROR(INDEX(Tbl_KPIMaster[Owner],MATCH($G11,Tbl_KPIMaster[KPI],0)),"")</f>
        <v/>
      </c>
      <c r="M11" s="6" t="inlineStr">
        <is>
          <t>Manpower shortage</t>
        </is>
      </c>
      <c r="N11" s="4" t="inlineStr"/>
      <c r="O11" s="4" t="inlineStr">
        <is>
          <t>Medium</t>
        </is>
      </c>
      <c r="P11" s="4" t="inlineStr">
        <is>
          <t>Closed</t>
        </is>
      </c>
      <c r="Q11" s="5">
        <f>IFERROR(IF(INDEX(Tbl_KPIMaster[Direction],MATCH($G11,Tbl_KPIMaster[KPI],0))="Lower is Better",IF($J11=0,1,IF($I11=0,0,$I11/$J11)),IF($I11=0,1,$J11/$I11)),0)</f>
        <v/>
      </c>
      <c r="R11" s="4">
        <f>IF(OR($I11="",$J11=""),"",$J11-$I11)</f>
        <v/>
      </c>
      <c r="S11" s="4">
        <f>IFERROR(IF(INDEX(Tbl_KPIMaster[Direction],MATCH($G11,Tbl_KPIMaster[KPI],0))="Lower is Better",IF($J11&lt;=$I11,"Green",IF($J11&lt;=$I11+IF($I11=0,$K11,$I11*$K11),"Amber","Red")),IF($J11&gt;=$I11,"Green",IF($J11&gt;=$I11-IF($I11=0,$K11,$I11*$K11),"Amber","Red"))),"")</f>
        <v/>
      </c>
      <c r="T11" s="6" t="inlineStr"/>
    </row>
    <row r="12">
      <c r="A12" s="7" t="n">
        <v>46130</v>
      </c>
      <c r="B12" s="8">
        <f>IF($A12="","",TEXT($A12,"mmm-yyyy"))</f>
        <v/>
      </c>
      <c r="C12" s="8">
        <f>IF($A12="","","W"&amp;WEEKNUM($A12,2))</f>
        <v/>
      </c>
      <c r="D12" s="8">
        <f>IF($A12="","",TEXT($A12,"ddd"))</f>
        <v/>
      </c>
      <c r="E12" s="8" t="inlineStr">
        <is>
          <t>Utilities</t>
        </is>
      </c>
      <c r="F12" s="8">
        <f>IFERROR(INDEX(Tbl_KPIMaster[Category],MATCH($G12,Tbl_KPIMaster[KPI],0)),"")</f>
        <v/>
      </c>
      <c r="G12" s="8" t="inlineStr">
        <is>
          <t>Water Consumption</t>
        </is>
      </c>
      <c r="H12" s="8">
        <f>IFERROR(INDEX(Tbl_KPIMaster[Unit],MATCH($G12,Tbl_KPIMaster[KPI],0)),"")</f>
        <v/>
      </c>
      <c r="I12" s="9">
        <f>IFERROR(INDEX(Tbl_KPIMaster[Maximum Target],MATCH($G12,Tbl_KPIMaster[KPI],0)),"")</f>
        <v/>
      </c>
      <c r="J12" s="9" t="n">
        <v>64.53</v>
      </c>
      <c r="K12" s="8">
        <f>IFERROR(INDEX(Tbl_KPIMaster[Tolerance],MATCH($G12,Tbl_KPIMaster[KPI],0)),"")</f>
        <v/>
      </c>
      <c r="L12" s="8">
        <f>IFERROR(INDEX(Tbl_KPIMaster[Owner],MATCH($G12,Tbl_KPIMaster[KPI],0)),"")</f>
        <v/>
      </c>
      <c r="M12" s="10" t="inlineStr">
        <is>
          <t>Preventive check done</t>
        </is>
      </c>
      <c r="N12" s="8" t="inlineStr">
        <is>
          <t>Management approval pending</t>
        </is>
      </c>
      <c r="O12" s="8" t="inlineStr">
        <is>
          <t>Low</t>
        </is>
      </c>
      <c r="P12" s="8" t="inlineStr">
        <is>
          <t>In Progress</t>
        </is>
      </c>
      <c r="Q12" s="9">
        <f>IFERROR(IF(INDEX(Tbl_KPIMaster[Direction],MATCH($G12,Tbl_KPIMaster[KPI],0))="Lower is Better",IF($J12=0,1,IF($I12=0,0,$I12/$J12)),IF($I12=0,1,$J12/$I12)),0)</f>
        <v/>
      </c>
      <c r="R12" s="8">
        <f>IF(OR($I12="",$J12=""),"",$J12-$I12)</f>
        <v/>
      </c>
      <c r="S12" s="8">
        <f>IFERROR(IF(INDEX(Tbl_KPIMaster[Direction],MATCH($G12,Tbl_KPIMaster[KPI],0))="Lower is Better",IF($J12&lt;=$I12,"Green",IF($J12&lt;=$I12+IF($I12=0,$K12,$I12*$K12),"Amber","Red")),IF($J12&gt;=$I12,"Green",IF($J12&gt;=$I12-IF($I12=0,$K12,$I12*$K12),"Amber","Red"))),"")</f>
        <v/>
      </c>
      <c r="T12" s="10" t="inlineStr"/>
    </row>
    <row r="13">
      <c r="A13" s="3" t="n">
        <v>46130</v>
      </c>
      <c r="B13" s="4">
        <f>IF($A13="","",TEXT($A13,"mmm-yyyy"))</f>
        <v/>
      </c>
      <c r="C13" s="4">
        <f>IF($A13="","","W"&amp;WEEKNUM($A13,2))</f>
        <v/>
      </c>
      <c r="D13" s="4">
        <f>IF($A13="","",TEXT($A13,"ddd"))</f>
        <v/>
      </c>
      <c r="E13" s="4" t="inlineStr">
        <is>
          <t>Warehouse</t>
        </is>
      </c>
      <c r="F13" s="4">
        <f>IFERROR(INDEX(Tbl_KPIMaster[Category],MATCH($G13,Tbl_KPIMaster[KPI],0)),"")</f>
        <v/>
      </c>
      <c r="G13" s="4" t="inlineStr">
        <is>
          <t>On-Time Dispatch %</t>
        </is>
      </c>
      <c r="H13" s="4">
        <f>IFERROR(INDEX(Tbl_KPIMaster[Unit],MATCH($G13,Tbl_KPIMaster[KPI],0)),"")</f>
        <v/>
      </c>
      <c r="I13" s="5">
        <f>IFERROR(INDEX(Tbl_KPIMaster[Maximum Target],MATCH($G13,Tbl_KPIMaster[KPI],0)),"")</f>
        <v/>
      </c>
      <c r="J13" s="5" t="n">
        <v>0.9457</v>
      </c>
      <c r="K13" s="4">
        <f>IFERROR(INDEX(Tbl_KPIMaster[Tolerance],MATCH($G13,Tbl_KPIMaster[KPI],0)),"")</f>
        <v/>
      </c>
      <c r="L13" s="4">
        <f>IFERROR(INDEX(Tbl_KPIMaster[Owner],MATCH($G13,Tbl_KPIMaster[KPI],0)),"")</f>
        <v/>
      </c>
      <c r="M13" s="6" t="inlineStr">
        <is>
          <t>Preventive check done</t>
        </is>
      </c>
      <c r="N13" s="4" t="inlineStr"/>
      <c r="O13" s="4" t="inlineStr">
        <is>
          <t>Medium</t>
        </is>
      </c>
      <c r="P13" s="4" t="inlineStr">
        <is>
          <t>Closed</t>
        </is>
      </c>
      <c r="Q13" s="5">
        <f>IFERROR(IF(INDEX(Tbl_KPIMaster[Direction],MATCH($G13,Tbl_KPIMaster[KPI],0))="Lower is Better",IF($J13=0,1,IF($I13=0,0,$I13/$J13)),IF($I13=0,1,$J13/$I13)),0)</f>
        <v/>
      </c>
      <c r="R13" s="4">
        <f>IF(OR($I13="",$J13=""),"",$J13-$I13)</f>
        <v/>
      </c>
      <c r="S13" s="4">
        <f>IFERROR(IF(INDEX(Tbl_KPIMaster[Direction],MATCH($G13,Tbl_KPIMaster[KPI],0))="Lower is Better",IF($J13&lt;=$I13,"Green",IF($J13&lt;=$I13+IF($I13=0,$K13,$I13*$K13),"Amber","Red")),IF($J13&gt;=$I13,"Green",IF($J13&gt;=$I13-IF($I13=0,$K13,$I13*$K13),"Amber","Red"))),"")</f>
        <v/>
      </c>
      <c r="T13" s="6" t="inlineStr"/>
    </row>
    <row r="14">
      <c r="A14" s="7" t="n">
        <v>46130</v>
      </c>
      <c r="B14" s="8">
        <f>IF($A14="","",TEXT($A14,"mmm-yyyy"))</f>
        <v/>
      </c>
      <c r="C14" s="8">
        <f>IF($A14="","","W"&amp;WEEKNUM($A14,2))</f>
        <v/>
      </c>
      <c r="D14" s="8">
        <f>IF($A14="","",TEXT($A14,"ddd"))</f>
        <v/>
      </c>
      <c r="E14" s="8" t="inlineStr">
        <is>
          <t>Warehouse</t>
        </is>
      </c>
      <c r="F14" s="8">
        <f>IFERROR(INDEX(Tbl_KPIMaster[Category],MATCH($G14,Tbl_KPIMaster[KPI],0)),"")</f>
        <v/>
      </c>
      <c r="G14" s="8" t="inlineStr">
        <is>
          <t>Inventory Accuracy %</t>
        </is>
      </c>
      <c r="H14" s="8">
        <f>IFERROR(INDEX(Tbl_KPIMaster[Unit],MATCH($G14,Tbl_KPIMaster[KPI],0)),"")</f>
        <v/>
      </c>
      <c r="I14" s="9">
        <f>IFERROR(INDEX(Tbl_KPIMaster[Maximum Target],MATCH($G14,Tbl_KPIMaster[KPI],0)),"")</f>
        <v/>
      </c>
      <c r="J14" s="9" t="n">
        <v>0.8784</v>
      </c>
      <c r="K14" s="8">
        <f>IFERROR(INDEX(Tbl_KPIMaster[Tolerance],MATCH($G14,Tbl_KPIMaster[KPI],0)),"")</f>
        <v/>
      </c>
      <c r="L14" s="8">
        <f>IFERROR(INDEX(Tbl_KPIMaster[Owner],MATCH($G14,Tbl_KPIMaster[KPI],0)),"")</f>
        <v/>
      </c>
      <c r="M14" s="10" t="inlineStr">
        <is>
          <t>New operator training effect</t>
        </is>
      </c>
      <c r="N14" s="8" t="inlineStr"/>
      <c r="O14" s="8" t="inlineStr">
        <is>
          <t>Medium</t>
        </is>
      </c>
      <c r="P14" s="8" t="inlineStr">
        <is>
          <t>Open</t>
        </is>
      </c>
      <c r="Q14" s="9">
        <f>IFERROR(IF(INDEX(Tbl_KPIMaster[Direction],MATCH($G14,Tbl_KPIMaster[KPI],0))="Lower is Better",IF($J14=0,1,IF($I14=0,0,$I14/$J14)),IF($I14=0,1,$J14/$I14)),0)</f>
        <v/>
      </c>
      <c r="R14" s="8">
        <f>IF(OR($I14="",$J14=""),"",$J14-$I14)</f>
        <v/>
      </c>
      <c r="S14" s="8">
        <f>IFERROR(IF(INDEX(Tbl_KPIMaster[Direction],MATCH($G14,Tbl_KPIMaster[KPI],0))="Lower is Better",IF($J14&lt;=$I14,"Green",IF($J14&lt;=$I14+IF($I14=0,$K14,$I14*$K14),"Amber","Red")),IF($J14&gt;=$I14,"Green",IF($J14&gt;=$I14-IF($I14=0,$K14,$I14*$K14),"Amber","Red"))),"")</f>
        <v/>
      </c>
      <c r="T14" s="10" t="inlineStr"/>
    </row>
    <row r="15">
      <c r="A15" s="3" t="n">
        <v>46130</v>
      </c>
      <c r="B15" s="4">
        <f>IF($A15="","",TEXT($A15,"mmm-yyyy"))</f>
        <v/>
      </c>
      <c r="C15" s="4">
        <f>IF($A15="","","W"&amp;WEEKNUM($A15,2))</f>
        <v/>
      </c>
      <c r="D15" s="4">
        <f>IF($A15="","",TEXT($A15,"ddd"))</f>
        <v/>
      </c>
      <c r="E15" s="4" t="inlineStr">
        <is>
          <t>HR</t>
        </is>
      </c>
      <c r="F15" s="4">
        <f>IFERROR(INDEX(Tbl_KPIMaster[Category],MATCH($G15,Tbl_KPIMaster[KPI],0)),"")</f>
        <v/>
      </c>
      <c r="G15" s="4" t="inlineStr">
        <is>
          <t>Absenteeism %</t>
        </is>
      </c>
      <c r="H15" s="4">
        <f>IFERROR(INDEX(Tbl_KPIMaster[Unit],MATCH($G15,Tbl_KPIMaster[KPI],0)),"")</f>
        <v/>
      </c>
      <c r="I15" s="5">
        <f>IFERROR(INDEX(Tbl_KPIMaster[Maximum Target],MATCH($G15,Tbl_KPIMaster[KPI],0)),"")</f>
        <v/>
      </c>
      <c r="J15" s="5" t="n">
        <v>0</v>
      </c>
      <c r="K15" s="4">
        <f>IFERROR(INDEX(Tbl_KPIMaster[Tolerance],MATCH($G15,Tbl_KPIMaster[KPI],0)),"")</f>
        <v/>
      </c>
      <c r="L15" s="4">
        <f>IFERROR(INDEX(Tbl_KPIMaster[Owner],MATCH($G15,Tbl_KPIMaster[KPI],0)),"")</f>
        <v/>
      </c>
      <c r="M15" s="6" t="inlineStr">
        <is>
          <t>Weather impact</t>
        </is>
      </c>
      <c r="N15" s="4" t="inlineStr"/>
      <c r="O15" s="4" t="inlineStr">
        <is>
          <t>Medium</t>
        </is>
      </c>
      <c r="P15" s="4" t="inlineStr">
        <is>
          <t>Closed</t>
        </is>
      </c>
      <c r="Q15" s="5">
        <f>IFERROR(IF(INDEX(Tbl_KPIMaster[Direction],MATCH($G15,Tbl_KPIMaster[KPI],0))="Lower is Better",IF($J15=0,1,IF($I15=0,0,$I15/$J15)),IF($I15=0,1,$J15/$I15)),0)</f>
        <v/>
      </c>
      <c r="R15" s="4">
        <f>IF(OR($I15="",$J15=""),"",$J15-$I15)</f>
        <v/>
      </c>
      <c r="S15" s="4">
        <f>IFERROR(IF(INDEX(Tbl_KPIMaster[Direction],MATCH($G15,Tbl_KPIMaster[KPI],0))="Lower is Better",IF($J15&lt;=$I15,"Green",IF($J15&lt;=$I15+IF($I15=0,$K15,$I15*$K15),"Amber","Red")),IF($J15&gt;=$I15,"Green",IF($J15&gt;=$I15-IF($I15=0,$K15,$I15*$K15),"Amber","Red"))),"")</f>
        <v/>
      </c>
      <c r="T15" s="6" t="inlineStr"/>
    </row>
    <row r="16">
      <c r="A16" s="7" t="n">
        <v>46130</v>
      </c>
      <c r="B16" s="8">
        <f>IF($A16="","",TEXT($A16,"mmm-yyyy"))</f>
        <v/>
      </c>
      <c r="C16" s="8">
        <f>IF($A16="","","W"&amp;WEEKNUM($A16,2))</f>
        <v/>
      </c>
      <c r="D16" s="8">
        <f>IF($A16="","",TEXT($A16,"ddd"))</f>
        <v/>
      </c>
      <c r="E16" s="8" t="inlineStr">
        <is>
          <t>HR</t>
        </is>
      </c>
      <c r="F16" s="8">
        <f>IFERROR(INDEX(Tbl_KPIMaster[Category],MATCH($G16,Tbl_KPIMaster[KPI],0)),"")</f>
        <v/>
      </c>
      <c r="G16" s="8" t="inlineStr">
        <is>
          <t>Training Hours</t>
        </is>
      </c>
      <c r="H16" s="8">
        <f>IFERROR(INDEX(Tbl_KPIMaster[Unit],MATCH($G16,Tbl_KPIMaster[KPI],0)),"")</f>
        <v/>
      </c>
      <c r="I16" s="9">
        <f>IFERROR(INDEX(Tbl_KPIMaster[Maximum Target],MATCH($G16,Tbl_KPIMaster[KPI],0)),"")</f>
        <v/>
      </c>
      <c r="J16" s="9" t="n">
        <v>1.91</v>
      </c>
      <c r="K16" s="8">
        <f>IFERROR(INDEX(Tbl_KPIMaster[Tolerance],MATCH($G16,Tbl_KPIMaster[KPI],0)),"")</f>
        <v/>
      </c>
      <c r="L16" s="8">
        <f>IFERROR(INDEX(Tbl_KPIMaster[Owner],MATCH($G16,Tbl_KPIMaster[KPI],0)),"")</f>
        <v/>
      </c>
      <c r="M16" s="10" t="inlineStr">
        <is>
          <t>Manpower shortage</t>
        </is>
      </c>
      <c r="N16" s="8" t="inlineStr">
        <is>
          <t>Procurement follow-up</t>
        </is>
      </c>
      <c r="O16" s="8" t="inlineStr">
        <is>
          <t>Medium</t>
        </is>
      </c>
      <c r="P16" s="8" t="inlineStr">
        <is>
          <t>Open</t>
        </is>
      </c>
      <c r="Q16" s="9">
        <f>IFERROR(IF(INDEX(Tbl_KPIMaster[Direction],MATCH($G16,Tbl_KPIMaster[KPI],0))="Lower is Better",IF($J16=0,1,IF($I16=0,0,$I16/$J16)),IF($I16=0,1,$J16/$I16)),0)</f>
        <v/>
      </c>
      <c r="R16" s="8">
        <f>IF(OR($I16="",$J16=""),"",$J16-$I16)</f>
        <v/>
      </c>
      <c r="S16" s="8">
        <f>IFERROR(IF(INDEX(Tbl_KPIMaster[Direction],MATCH($G16,Tbl_KPIMaster[KPI],0))="Lower is Better",IF($J16&lt;=$I16,"Green",IF($J16&lt;=$I16+IF($I16=0,$K16,$I16*$K16),"Amber","Red")),IF($J16&gt;=$I16,"Green",IF($J16&gt;=$I16-IF($I16=0,$K16,$I16*$K16),"Amber","Red"))),"")</f>
        <v/>
      </c>
      <c r="T16" s="10" t="inlineStr"/>
    </row>
    <row r="17">
      <c r="A17" s="3" t="n">
        <v>46130</v>
      </c>
      <c r="B17" s="4">
        <f>IF($A17="","",TEXT($A17,"mmm-yyyy"))</f>
        <v/>
      </c>
      <c r="C17" s="4">
        <f>IF($A17="","","W"&amp;WEEKNUM($A17,2))</f>
        <v/>
      </c>
      <c r="D17" s="4">
        <f>IF($A17="","",TEXT($A17,"ddd"))</f>
        <v/>
      </c>
      <c r="E17" s="4" t="inlineStr">
        <is>
          <t>Engineering</t>
        </is>
      </c>
      <c r="F17" s="4">
        <f>IFERROR(INDEX(Tbl_KPIMaster[Category],MATCH($G17,Tbl_KPIMaster[KPI],0)),"")</f>
        <v/>
      </c>
      <c r="G17" s="4" t="inlineStr">
        <is>
          <t>Project Milestone Adherence %</t>
        </is>
      </c>
      <c r="H17" s="4">
        <f>IFERROR(INDEX(Tbl_KPIMaster[Unit],MATCH($G17,Tbl_KPIMaster[KPI],0)),"")</f>
        <v/>
      </c>
      <c r="I17" s="5">
        <f>IFERROR(INDEX(Tbl_KPIMaster[Maximum Target],MATCH($G17,Tbl_KPIMaster[KPI],0)),"")</f>
        <v/>
      </c>
      <c r="J17" s="5" t="n">
        <v>0.7856</v>
      </c>
      <c r="K17" s="4">
        <f>IFERROR(INDEX(Tbl_KPIMaster[Tolerance],MATCH($G17,Tbl_KPIMaster[KPI],0)),"")</f>
        <v/>
      </c>
      <c r="L17" s="4">
        <f>IFERROR(INDEX(Tbl_KPIMaster[Owner],MATCH($G17,Tbl_KPIMaster[KPI],0)),"")</f>
        <v/>
      </c>
      <c r="M17" s="6" t="inlineStr">
        <is>
          <t>Preventive check done</t>
        </is>
      </c>
      <c r="N17" s="4" t="inlineStr">
        <is>
          <t>Management approval pending</t>
        </is>
      </c>
      <c r="O17" s="4" t="inlineStr">
        <is>
          <t>Medium</t>
        </is>
      </c>
      <c r="P17" s="4" t="inlineStr">
        <is>
          <t>In Progress</t>
        </is>
      </c>
      <c r="Q17" s="5">
        <f>IFERROR(IF(INDEX(Tbl_KPIMaster[Direction],MATCH($G17,Tbl_KPIMaster[KPI],0))="Lower is Better",IF($J17=0,1,IF($I17=0,0,$I17/$J17)),IF($I17=0,1,$J17/$I17)),0)</f>
        <v/>
      </c>
      <c r="R17" s="4">
        <f>IF(OR($I17="",$J17=""),"",$J17-$I17)</f>
        <v/>
      </c>
      <c r="S17" s="4">
        <f>IFERROR(IF(INDEX(Tbl_KPIMaster[Direction],MATCH($G17,Tbl_KPIMaster[KPI],0))="Lower is Better",IF($J17&lt;=$I17,"Green",IF($J17&lt;=$I17+IF($I17=0,$K17,$I17*$K17),"Amber","Red")),IF($J17&gt;=$I17,"Green",IF($J17&gt;=$I17-IF($I17=0,$K17,$I17*$K17),"Amber","Red"))),"")</f>
        <v/>
      </c>
      <c r="T17" s="6" t="inlineStr"/>
    </row>
    <row r="18">
      <c r="A18" s="7" t="n">
        <v>46130</v>
      </c>
      <c r="B18" s="8">
        <f>IF($A18="","",TEXT($A18,"mmm-yyyy"))</f>
        <v/>
      </c>
      <c r="C18" s="8">
        <f>IF($A18="","","W"&amp;WEEKNUM($A18,2))</f>
        <v/>
      </c>
      <c r="D18" s="8">
        <f>IF($A18="","",TEXT($A18,"ddd"))</f>
        <v/>
      </c>
      <c r="E18" s="8" t="inlineStr">
        <is>
          <t>Engineering</t>
        </is>
      </c>
      <c r="F18" s="8">
        <f>IFERROR(INDEX(Tbl_KPIMaster[Category],MATCH($G18,Tbl_KPIMaster[KPI],0)),"")</f>
        <v/>
      </c>
      <c r="G18" s="8" t="inlineStr">
        <is>
          <t>Breakdown Resolution Time</t>
        </is>
      </c>
      <c r="H18" s="8">
        <f>IFERROR(INDEX(Tbl_KPIMaster[Unit],MATCH($G18,Tbl_KPIMaster[KPI],0)),"")</f>
        <v/>
      </c>
      <c r="I18" s="9">
        <f>IFERROR(INDEX(Tbl_KPIMaster[Maximum Target],MATCH($G18,Tbl_KPIMaster[KPI],0)),"")</f>
        <v/>
      </c>
      <c r="J18" s="9" t="n">
        <v>0</v>
      </c>
      <c r="K18" s="8">
        <f>IFERROR(INDEX(Tbl_KPIMaster[Tolerance],MATCH($G18,Tbl_KPIMaster[KPI],0)),"")</f>
        <v/>
      </c>
      <c r="L18" s="8">
        <f>IFERROR(INDEX(Tbl_KPIMaster[Owner],MATCH($G18,Tbl_KPIMaster[KPI],0)),"")</f>
        <v/>
      </c>
      <c r="M18" s="10" t="inlineStr">
        <is>
          <t>Process improvement in progress</t>
        </is>
      </c>
      <c r="N18" s="8" t="inlineStr">
        <is>
          <t>Engineering support needed</t>
        </is>
      </c>
      <c r="O18" s="8" t="inlineStr">
        <is>
          <t>High</t>
        </is>
      </c>
      <c r="P18" s="8" t="inlineStr">
        <is>
          <t>In Progress</t>
        </is>
      </c>
      <c r="Q18" s="9">
        <f>IFERROR(IF(INDEX(Tbl_KPIMaster[Direction],MATCH($G18,Tbl_KPIMaster[KPI],0))="Lower is Better",IF($J18=0,1,IF($I18=0,0,$I18/$J18)),IF($I18=0,1,$J18/$I18)),0)</f>
        <v/>
      </c>
      <c r="R18" s="8">
        <f>IF(OR($I18="",$J18=""),"",$J18-$I18)</f>
        <v/>
      </c>
      <c r="S18" s="8">
        <f>IFERROR(IF(INDEX(Tbl_KPIMaster[Direction],MATCH($G18,Tbl_KPIMaster[KPI],0))="Lower is Better",IF($J18&lt;=$I18,"Green",IF($J18&lt;=$I18+IF($I18=0,$K18,$I18*$K18),"Amber","Red")),IF($J18&gt;=$I18,"Green",IF($J18&gt;=$I18-IF($I18=0,$K18,$I18*$K18),"Amber","Red"))),"")</f>
        <v/>
      </c>
      <c r="T18" s="10" t="inlineStr"/>
    </row>
    <row r="19">
      <c r="A19" s="3" t="n">
        <v>46130</v>
      </c>
      <c r="B19" s="4">
        <f>IF($A19="","",TEXT($A19,"mmm-yyyy"))</f>
        <v/>
      </c>
      <c r="C19" s="4">
        <f>IF($A19="","","W"&amp;WEEKNUM($A19,2))</f>
        <v/>
      </c>
      <c r="D19" s="4">
        <f>IF($A19="","",TEXT($A19,"ddd"))</f>
        <v/>
      </c>
      <c r="E19" s="4" t="inlineStr">
        <is>
          <t>Cost</t>
        </is>
      </c>
      <c r="F19" s="4">
        <f>IFERROR(INDEX(Tbl_KPIMaster[Category],MATCH($G19,Tbl_KPIMaster[KPI],0)),"")</f>
        <v/>
      </c>
      <c r="G19" s="4" t="inlineStr">
        <is>
          <t>Cost per Unit</t>
        </is>
      </c>
      <c r="H19" s="4">
        <f>IFERROR(INDEX(Tbl_KPIMaster[Unit],MATCH($G19,Tbl_KPIMaster[KPI],0)),"")</f>
        <v/>
      </c>
      <c r="I19" s="5">
        <f>IFERROR(INDEX(Tbl_KPIMaster[Maximum Target],MATCH($G19,Tbl_KPIMaster[KPI],0)),"")</f>
        <v/>
      </c>
      <c r="J19" s="5" t="n">
        <v>44.62</v>
      </c>
      <c r="K19" s="4">
        <f>IFERROR(INDEX(Tbl_KPIMaster[Tolerance],MATCH($G19,Tbl_KPIMaster[KPI],0)),"")</f>
        <v/>
      </c>
      <c r="L19" s="4">
        <f>IFERROR(INDEX(Tbl_KPIMaster[Owner],MATCH($G19,Tbl_KPIMaster[KPI],0)),"")</f>
        <v/>
      </c>
      <c r="M19" s="6" t="inlineStr">
        <is>
          <t>Awaiting spares</t>
        </is>
      </c>
      <c r="N19" s="4" t="inlineStr">
        <is>
          <t>Procurement follow-up</t>
        </is>
      </c>
      <c r="O19" s="4" t="inlineStr">
        <is>
          <t>Low</t>
        </is>
      </c>
      <c r="P19" s="4" t="inlineStr">
        <is>
          <t>Open</t>
        </is>
      </c>
      <c r="Q19" s="5">
        <f>IFERROR(IF(INDEX(Tbl_KPIMaster[Direction],MATCH($G19,Tbl_KPIMaster[KPI],0))="Lower is Better",IF($J19=0,1,IF($I19=0,0,$I19/$J19)),IF($I19=0,1,$J19/$I19)),0)</f>
        <v/>
      </c>
      <c r="R19" s="4">
        <f>IF(OR($I19="",$J19=""),"",$J19-$I19)</f>
        <v/>
      </c>
      <c r="S19" s="4">
        <f>IFERROR(IF(INDEX(Tbl_KPIMaster[Direction],MATCH($G19,Tbl_KPIMaster[KPI],0))="Lower is Better",IF($J19&lt;=$I19,"Green",IF($J19&lt;=$I19+IF($I19=0,$K19,$I19*$K19),"Amber","Red")),IF($J19&gt;=$I19,"Green",IF($J19&gt;=$I19-IF($I19=0,$K19,$I19*$K19),"Amber","Red"))),"")</f>
        <v/>
      </c>
      <c r="T19" s="6" t="inlineStr"/>
    </row>
    <row r="20">
      <c r="A20" s="7" t="n">
        <v>46130</v>
      </c>
      <c r="B20" s="8">
        <f>IF($A20="","",TEXT($A20,"mmm-yyyy"))</f>
        <v/>
      </c>
      <c r="C20" s="8">
        <f>IF($A20="","","W"&amp;WEEKNUM($A20,2))</f>
        <v/>
      </c>
      <c r="D20" s="8">
        <f>IF($A20="","",TEXT($A20,"ddd"))</f>
        <v/>
      </c>
      <c r="E20" s="8" t="inlineStr">
        <is>
          <t>Cost</t>
        </is>
      </c>
      <c r="F20" s="8">
        <f>IFERROR(INDEX(Tbl_KPIMaster[Category],MATCH($G20,Tbl_KPIMaster[KPI],0)),"")</f>
        <v/>
      </c>
      <c r="G20" s="8" t="inlineStr">
        <is>
          <t>Budget Variance %</t>
        </is>
      </c>
      <c r="H20" s="8">
        <f>IFERROR(INDEX(Tbl_KPIMaster[Unit],MATCH($G20,Tbl_KPIMaster[KPI],0)),"")</f>
        <v/>
      </c>
      <c r="I20" s="9">
        <f>IFERROR(INDEX(Tbl_KPIMaster[Maximum Target],MATCH($G20,Tbl_KPIMaster[KPI],0)),"")</f>
        <v/>
      </c>
      <c r="J20" s="9" t="n">
        <v>0</v>
      </c>
      <c r="K20" s="8">
        <f>IFERROR(INDEX(Tbl_KPIMaster[Tolerance],MATCH($G20,Tbl_KPIMaster[KPI],0)),"")</f>
        <v/>
      </c>
      <c r="L20" s="8">
        <f>IFERROR(INDEX(Tbl_KPIMaster[Owner],MATCH($G20,Tbl_KPIMaster[KPI],0)),"")</f>
        <v/>
      </c>
      <c r="M20" s="10" t="inlineStr">
        <is>
          <t>Manpower shortage</t>
        </is>
      </c>
      <c r="N20" s="8" t="inlineStr">
        <is>
          <t>Procurement follow-up</t>
        </is>
      </c>
      <c r="O20" s="8" t="inlineStr">
        <is>
          <t>High</t>
        </is>
      </c>
      <c r="P20" s="8" t="inlineStr">
        <is>
          <t>In Progress</t>
        </is>
      </c>
      <c r="Q20" s="9">
        <f>IFERROR(IF(INDEX(Tbl_KPIMaster[Direction],MATCH($G20,Tbl_KPIMaster[KPI],0))="Lower is Better",IF($J20=0,1,IF($I20=0,0,$I20/$J20)),IF($I20=0,1,$J20/$I20)),0)</f>
        <v/>
      </c>
      <c r="R20" s="8">
        <f>IF(OR($I20="",$J20=""),"",$J20-$I20)</f>
        <v/>
      </c>
      <c r="S20" s="8">
        <f>IFERROR(IF(INDEX(Tbl_KPIMaster[Direction],MATCH($G20,Tbl_KPIMaster[KPI],0))="Lower is Better",IF($J20&lt;=$I20,"Green",IF($J20&lt;=$I20+IF($I20=0,$K20,$I20*$K20),"Amber","Red")),IF($J20&gt;=$I20,"Green",IF($J20&gt;=$I20-IF($I20=0,$K20,$I20*$K20),"Amber","Red"))),"")</f>
        <v/>
      </c>
      <c r="T20" s="10" t="inlineStr"/>
    </row>
    <row r="21">
      <c r="A21" s="3" t="n">
        <v>46130</v>
      </c>
      <c r="B21" s="4">
        <f>IF($A21="","",TEXT($A21,"mmm-yyyy"))</f>
        <v/>
      </c>
      <c r="C21" s="4">
        <f>IF($A21="","","W"&amp;WEEKNUM($A21,2))</f>
        <v/>
      </c>
      <c r="D21" s="4">
        <f>IF($A21="","",TEXT($A21,"ddd"))</f>
        <v/>
      </c>
      <c r="E21" s="4" t="inlineStr">
        <is>
          <t>Energy</t>
        </is>
      </c>
      <c r="F21" s="4">
        <f>IFERROR(INDEX(Tbl_KPIMaster[Category],MATCH($G21,Tbl_KPIMaster[KPI],0)),"")</f>
        <v/>
      </c>
      <c r="G21" s="4" t="inlineStr">
        <is>
          <t>Energy Intensity (kWh/unit)</t>
        </is>
      </c>
      <c r="H21" s="4">
        <f>IFERROR(INDEX(Tbl_KPIMaster[Unit],MATCH($G21,Tbl_KPIMaster[KPI],0)),"")</f>
        <v/>
      </c>
      <c r="I21" s="5">
        <f>IFERROR(INDEX(Tbl_KPIMaster[Maximum Target],MATCH($G21,Tbl_KPIMaster[KPI],0)),"")</f>
        <v/>
      </c>
      <c r="J21" s="5" t="n">
        <v>3.3</v>
      </c>
      <c r="K21" s="4">
        <f>IFERROR(INDEX(Tbl_KPIMaster[Tolerance],MATCH($G21,Tbl_KPIMaster[KPI],0)),"")</f>
        <v/>
      </c>
      <c r="L21" s="4">
        <f>IFERROR(INDEX(Tbl_KPIMaster[Owner],MATCH($G21,Tbl_KPIMaster[KPI],0)),"")</f>
        <v/>
      </c>
      <c r="M21" s="6" t="inlineStr">
        <is>
          <t>New operator training effect</t>
        </is>
      </c>
      <c r="N21" s="4" t="inlineStr"/>
      <c r="O21" s="4" t="inlineStr">
        <is>
          <t>High</t>
        </is>
      </c>
      <c r="P21" s="4" t="inlineStr">
        <is>
          <t>Open</t>
        </is>
      </c>
      <c r="Q21" s="5">
        <f>IFERROR(IF(INDEX(Tbl_KPIMaster[Direction],MATCH($G21,Tbl_KPIMaster[KPI],0))="Lower is Better",IF($J21=0,1,IF($I21=0,0,$I21/$J21)),IF($I21=0,1,$J21/$I21)),0)</f>
        <v/>
      </c>
      <c r="R21" s="4">
        <f>IF(OR($I21="",$J21=""),"",$J21-$I21)</f>
        <v/>
      </c>
      <c r="S21" s="4">
        <f>IFERROR(IF(INDEX(Tbl_KPIMaster[Direction],MATCH($G21,Tbl_KPIMaster[KPI],0))="Lower is Better",IF($J21&lt;=$I21,"Green",IF($J21&lt;=$I21+IF($I21=0,$K21,$I21*$K21),"Amber","Red")),IF($J21&gt;=$I21,"Green",IF($J21&gt;=$I21-IF($I21=0,$K21,$I21*$K21),"Amber","Red"))),"")</f>
        <v/>
      </c>
      <c r="T21" s="6" t="inlineStr"/>
    </row>
    <row r="22">
      <c r="A22" s="7" t="n">
        <v>46130</v>
      </c>
      <c r="B22" s="8">
        <f>IF($A22="","",TEXT($A22,"mmm-yyyy"))</f>
        <v/>
      </c>
      <c r="C22" s="8">
        <f>IF($A22="","","W"&amp;WEEKNUM($A22,2))</f>
        <v/>
      </c>
      <c r="D22" s="8">
        <f>IF($A22="","",TEXT($A22,"ddd"))</f>
        <v/>
      </c>
      <c r="E22" s="8" t="inlineStr">
        <is>
          <t>Energy</t>
        </is>
      </c>
      <c r="F22" s="8">
        <f>IFERROR(INDEX(Tbl_KPIMaster[Category],MATCH($G22,Tbl_KPIMaster[KPI],0)),"")</f>
        <v/>
      </c>
      <c r="G22" s="8" t="inlineStr">
        <is>
          <t>Renewable Energy Share %</t>
        </is>
      </c>
      <c r="H22" s="8">
        <f>IFERROR(INDEX(Tbl_KPIMaster[Unit],MATCH($G22,Tbl_KPIMaster[KPI],0)),"")</f>
        <v/>
      </c>
      <c r="I22" s="9">
        <f>IFERROR(INDEX(Tbl_KPIMaster[Maximum Target],MATCH($G22,Tbl_KPIMaster[KPI],0)),"")</f>
        <v/>
      </c>
      <c r="J22" s="9" t="n">
        <v>0.2096</v>
      </c>
      <c r="K22" s="8">
        <f>IFERROR(INDEX(Tbl_KPIMaster[Tolerance],MATCH($G22,Tbl_KPIMaster[KPI],0)),"")</f>
        <v/>
      </c>
      <c r="L22" s="8">
        <f>IFERROR(INDEX(Tbl_KPIMaster[Owner],MATCH($G22,Tbl_KPIMaster[KPI],0)),"")</f>
        <v/>
      </c>
      <c r="M22" s="10" t="inlineStr"/>
      <c r="N22" s="8" t="inlineStr"/>
      <c r="O22" s="8" t="inlineStr">
        <is>
          <t>Medium</t>
        </is>
      </c>
      <c r="P22" s="8" t="inlineStr">
        <is>
          <t>Closed</t>
        </is>
      </c>
      <c r="Q22" s="9">
        <f>IFERROR(IF(INDEX(Tbl_KPIMaster[Direction],MATCH($G22,Tbl_KPIMaster[KPI],0))="Lower is Better",IF($J22=0,1,IF($I22=0,0,$I22/$J22)),IF($I22=0,1,$J22/$I22)),0)</f>
        <v/>
      </c>
      <c r="R22" s="8">
        <f>IF(OR($I22="",$J22=""),"",$J22-$I22)</f>
        <v/>
      </c>
      <c r="S22" s="8">
        <f>IFERROR(IF(INDEX(Tbl_KPIMaster[Direction],MATCH($G22,Tbl_KPIMaster[KPI],0))="Lower is Better",IF($J22&lt;=$I22,"Green",IF($J22&lt;=$I22+IF($I22=0,$K22,$I22*$K22),"Amber","Red")),IF($J22&gt;=$I22,"Green",IF($J22&gt;=$I22-IF($I22=0,$K22,$I22*$K22),"Amber","Red"))),"")</f>
        <v/>
      </c>
      <c r="T22" s="10" t="inlineStr"/>
    </row>
    <row r="23">
      <c r="A23" s="3" t="n">
        <v>46131</v>
      </c>
      <c r="B23" s="4">
        <f>IF($A23="","",TEXT($A23,"mmm-yyyy"))</f>
        <v/>
      </c>
      <c r="C23" s="4">
        <f>IF($A23="","","W"&amp;WEEKNUM($A23,2))</f>
        <v/>
      </c>
      <c r="D23" s="4">
        <f>IF($A23="","",TEXT($A23,"ddd"))</f>
        <v/>
      </c>
      <c r="E23" s="4" t="inlineStr">
        <is>
          <t>Safety</t>
        </is>
      </c>
      <c r="F23" s="4">
        <f>IFERROR(INDEX(Tbl_KPIMaster[Category],MATCH($G23,Tbl_KPIMaster[KPI],0)),"")</f>
        <v/>
      </c>
      <c r="G23" s="4" t="inlineStr">
        <is>
          <t>Safety Incidents (LTI)</t>
        </is>
      </c>
      <c r="H23" s="4">
        <f>IFERROR(INDEX(Tbl_KPIMaster[Unit],MATCH($G23,Tbl_KPIMaster[KPI],0)),"")</f>
        <v/>
      </c>
      <c r="I23" s="5">
        <f>IFERROR(INDEX(Tbl_KPIMaster[Maximum Target],MATCH($G23,Tbl_KPIMaster[KPI],0)),"")</f>
        <v/>
      </c>
      <c r="J23" s="5" t="n">
        <v>1</v>
      </c>
      <c r="K23" s="4">
        <f>IFERROR(INDEX(Tbl_KPIMaster[Tolerance],MATCH($G23,Tbl_KPIMaster[KPI],0)),"")</f>
        <v/>
      </c>
      <c r="L23" s="4">
        <f>IFERROR(INDEX(Tbl_KPIMaster[Owner],MATCH($G23,Tbl_KPIMaster[KPI],0)),"")</f>
        <v/>
      </c>
      <c r="M23" s="6" t="inlineStr">
        <is>
          <t>Equipment breakdown</t>
        </is>
      </c>
      <c r="N23" s="4" t="inlineStr"/>
      <c r="O23" s="4" t="inlineStr">
        <is>
          <t>Medium</t>
        </is>
      </c>
      <c r="P23" s="4" t="inlineStr">
        <is>
          <t>In Progress</t>
        </is>
      </c>
      <c r="Q23" s="5">
        <f>IFERROR(IF(INDEX(Tbl_KPIMaster[Direction],MATCH($G23,Tbl_KPIMaster[KPI],0))="Lower is Better",IF($J23=0,1,IF($I23=0,0,$I23/$J23)),IF($I23=0,1,$J23/$I23)),0)</f>
        <v/>
      </c>
      <c r="R23" s="4">
        <f>IF(OR($I23="",$J23=""),"",$J23-$I23)</f>
        <v/>
      </c>
      <c r="S23" s="4">
        <f>IFERROR(IF(INDEX(Tbl_KPIMaster[Direction],MATCH($G23,Tbl_KPIMaster[KPI],0))="Lower is Better",IF($J23&lt;=$I23,"Green",IF($J23&lt;=$I23+IF($I23=0,$K23,$I23*$K23),"Amber","Red")),IF($J23&gt;=$I23,"Green",IF($J23&gt;=$I23-IF($I23=0,$K23,$I23*$K23),"Amber","Red"))),"")</f>
        <v/>
      </c>
      <c r="T23" s="6" t="inlineStr"/>
    </row>
    <row r="24">
      <c r="A24" s="7" t="n">
        <v>46131</v>
      </c>
      <c r="B24" s="8">
        <f>IF($A24="","",TEXT($A24,"mmm-yyyy"))</f>
        <v/>
      </c>
      <c r="C24" s="8">
        <f>IF($A24="","","W"&amp;WEEKNUM($A24,2))</f>
        <v/>
      </c>
      <c r="D24" s="8">
        <f>IF($A24="","",TEXT($A24,"ddd"))</f>
        <v/>
      </c>
      <c r="E24" s="8" t="inlineStr">
        <is>
          <t>Safety</t>
        </is>
      </c>
      <c r="F24" s="8">
        <f>IFERROR(INDEX(Tbl_KPIMaster[Category],MATCH($G24,Tbl_KPIMaster[KPI],0)),"")</f>
        <v/>
      </c>
      <c r="G24" s="8" t="inlineStr">
        <is>
          <t>Near Miss Reports</t>
        </is>
      </c>
      <c r="H24" s="8">
        <f>IFERROR(INDEX(Tbl_KPIMaster[Unit],MATCH($G24,Tbl_KPIMaster[KPI],0)),"")</f>
        <v/>
      </c>
      <c r="I24" s="9">
        <f>IFERROR(INDEX(Tbl_KPIMaster[Maximum Target],MATCH($G24,Tbl_KPIMaster[KPI],0)),"")</f>
        <v/>
      </c>
      <c r="J24" s="9" t="n">
        <v>2</v>
      </c>
      <c r="K24" s="8">
        <f>IFERROR(INDEX(Tbl_KPIMaster[Tolerance],MATCH($G24,Tbl_KPIMaster[KPI],0)),"")</f>
        <v/>
      </c>
      <c r="L24" s="8">
        <f>IFERROR(INDEX(Tbl_KPIMaster[Owner],MATCH($G24,Tbl_KPIMaster[KPI],0)),"")</f>
        <v/>
      </c>
      <c r="M24" s="10" t="inlineStr">
        <is>
          <t>Preventive check done</t>
        </is>
      </c>
      <c r="N24" s="8" t="inlineStr">
        <is>
          <t>Engineering support needed</t>
        </is>
      </c>
      <c r="O24" s="8" t="inlineStr">
        <is>
          <t>Low</t>
        </is>
      </c>
      <c r="P24" s="8" t="inlineStr">
        <is>
          <t>Open</t>
        </is>
      </c>
      <c r="Q24" s="9">
        <f>IFERROR(IF(INDEX(Tbl_KPIMaster[Direction],MATCH($G24,Tbl_KPIMaster[KPI],0))="Lower is Better",IF($J24=0,1,IF($I24=0,0,$I24/$J24)),IF($I24=0,1,$J24/$I24)),0)</f>
        <v/>
      </c>
      <c r="R24" s="8">
        <f>IF(OR($I24="",$J24=""),"",$J24-$I24)</f>
        <v/>
      </c>
      <c r="S24" s="8">
        <f>IFERROR(IF(INDEX(Tbl_KPIMaster[Direction],MATCH($G24,Tbl_KPIMaster[KPI],0))="Lower is Better",IF($J24&lt;=$I24,"Green",IF($J24&lt;=$I24+IF($I24=0,$K24,$I24*$K24),"Amber","Red")),IF($J24&gt;=$I24,"Green",IF($J24&gt;=$I24-IF($I24=0,$K24,$I24*$K24),"Amber","Red"))),"")</f>
        <v/>
      </c>
      <c r="T24" s="10" t="inlineStr"/>
    </row>
    <row r="25">
      <c r="A25" s="3" t="n">
        <v>46131</v>
      </c>
      <c r="B25" s="4">
        <f>IF($A25="","",TEXT($A25,"mmm-yyyy"))</f>
        <v/>
      </c>
      <c r="C25" s="4">
        <f>IF($A25="","","W"&amp;WEEKNUM($A25,2))</f>
        <v/>
      </c>
      <c r="D25" s="4">
        <f>IF($A25="","",TEXT($A25,"ddd"))</f>
        <v/>
      </c>
      <c r="E25" s="4" t="inlineStr">
        <is>
          <t>Production</t>
        </is>
      </c>
      <c r="F25" s="4">
        <f>IFERROR(INDEX(Tbl_KPIMaster[Category],MATCH($G25,Tbl_KPIMaster[KPI],0)),"")</f>
        <v/>
      </c>
      <c r="G25" s="4" t="inlineStr">
        <is>
          <t>Production Output</t>
        </is>
      </c>
      <c r="H25" s="4">
        <f>IFERROR(INDEX(Tbl_KPIMaster[Unit],MATCH($G25,Tbl_KPIMaster[KPI],0)),"")</f>
        <v/>
      </c>
      <c r="I25" s="5">
        <f>IFERROR(INDEX(Tbl_KPIMaster[Maximum Target],MATCH($G25,Tbl_KPIMaster[KPI],0)),"")</f>
        <v/>
      </c>
      <c r="J25" s="5" t="n">
        <v>994.02</v>
      </c>
      <c r="K25" s="4">
        <f>IFERROR(INDEX(Tbl_KPIMaster[Tolerance],MATCH($G25,Tbl_KPIMaster[KPI],0)),"")</f>
        <v/>
      </c>
      <c r="L25" s="4">
        <f>IFERROR(INDEX(Tbl_KPIMaster[Owner],MATCH($G25,Tbl_KPIMaster[KPI],0)),"")</f>
        <v/>
      </c>
      <c r="M25" s="6" t="inlineStr">
        <is>
          <t>Vendor delay</t>
        </is>
      </c>
      <c r="N25" s="4" t="inlineStr"/>
      <c r="O25" s="4" t="inlineStr">
        <is>
          <t>Medium</t>
        </is>
      </c>
      <c r="P25" s="4" t="inlineStr">
        <is>
          <t>Closed</t>
        </is>
      </c>
      <c r="Q25" s="5">
        <f>IFERROR(IF(INDEX(Tbl_KPIMaster[Direction],MATCH($G25,Tbl_KPIMaster[KPI],0))="Lower is Better",IF($J25=0,1,IF($I25=0,0,$I25/$J25)),IF($I25=0,1,$J25/$I25)),0)</f>
        <v/>
      </c>
      <c r="R25" s="4">
        <f>IF(OR($I25="",$J25=""),"",$J25-$I25)</f>
        <v/>
      </c>
      <c r="S25" s="4">
        <f>IFERROR(IF(INDEX(Tbl_KPIMaster[Direction],MATCH($G25,Tbl_KPIMaster[KPI],0))="Lower is Better",IF($J25&lt;=$I25,"Green",IF($J25&lt;=$I25+IF($I25=0,$K25,$I25*$K25),"Amber","Red")),IF($J25&gt;=$I25,"Green",IF($J25&gt;=$I25-IF($I25=0,$K25,$I25*$K25),"Amber","Red"))),"")</f>
        <v/>
      </c>
      <c r="T25" s="6" t="inlineStr"/>
    </row>
    <row r="26">
      <c r="A26" s="7" t="n">
        <v>46131</v>
      </c>
      <c r="B26" s="8">
        <f>IF($A26="","",TEXT($A26,"mmm-yyyy"))</f>
        <v/>
      </c>
      <c r="C26" s="8">
        <f>IF($A26="","","W"&amp;WEEKNUM($A26,2))</f>
        <v/>
      </c>
      <c r="D26" s="8">
        <f>IF($A26="","",TEXT($A26,"ddd"))</f>
        <v/>
      </c>
      <c r="E26" s="8" t="inlineStr">
        <is>
          <t>Production</t>
        </is>
      </c>
      <c r="F26" s="8">
        <f>IFERROR(INDEX(Tbl_KPIMaster[Category],MATCH($G26,Tbl_KPIMaster[KPI],0)),"")</f>
        <v/>
      </c>
      <c r="G26" s="8" t="inlineStr">
        <is>
          <t>OEE %</t>
        </is>
      </c>
      <c r="H26" s="8">
        <f>IFERROR(INDEX(Tbl_KPIMaster[Unit],MATCH($G26,Tbl_KPIMaster[KPI],0)),"")</f>
        <v/>
      </c>
      <c r="I26" s="9">
        <f>IFERROR(INDEX(Tbl_KPIMaster[Maximum Target],MATCH($G26,Tbl_KPIMaster[KPI],0)),"")</f>
        <v/>
      </c>
      <c r="J26" s="9" t="n">
        <v>0.8968</v>
      </c>
      <c r="K26" s="8">
        <f>IFERROR(INDEX(Tbl_KPIMaster[Tolerance],MATCH($G26,Tbl_KPIMaster[KPI],0)),"")</f>
        <v/>
      </c>
      <c r="L26" s="8">
        <f>IFERROR(INDEX(Tbl_KPIMaster[Owner],MATCH($G26,Tbl_KPIMaster[KPI],0)),"")</f>
        <v/>
      </c>
      <c r="M26" s="10" t="inlineStr">
        <is>
          <t>Within normal range</t>
        </is>
      </c>
      <c r="N26" s="8" t="inlineStr">
        <is>
          <t>Engineering support needed</t>
        </is>
      </c>
      <c r="O26" s="8" t="inlineStr">
        <is>
          <t>Low</t>
        </is>
      </c>
      <c r="P26" s="8" t="inlineStr">
        <is>
          <t>Closed</t>
        </is>
      </c>
      <c r="Q26" s="9">
        <f>IFERROR(IF(INDEX(Tbl_KPIMaster[Direction],MATCH($G26,Tbl_KPIMaster[KPI],0))="Lower is Better",IF($J26=0,1,IF($I26=0,0,$I26/$J26)),IF($I26=0,1,$J26/$I26)),0)</f>
        <v/>
      </c>
      <c r="R26" s="8">
        <f>IF(OR($I26="",$J26=""),"",$J26-$I26)</f>
        <v/>
      </c>
      <c r="S26" s="8">
        <f>IFERROR(IF(INDEX(Tbl_KPIMaster[Direction],MATCH($G26,Tbl_KPIMaster[KPI],0))="Lower is Better",IF($J26&lt;=$I26,"Green",IF($J26&lt;=$I26+IF($I26=0,$K26,$I26*$K26),"Amber","Red")),IF($J26&gt;=$I26,"Green",IF($J26&gt;=$I26-IF($I26=0,$K26,$I26*$K26),"Amber","Red"))),"")</f>
        <v/>
      </c>
      <c r="T26" s="10" t="inlineStr"/>
    </row>
    <row r="27">
      <c r="A27" s="3" t="n">
        <v>46131</v>
      </c>
      <c r="B27" s="4">
        <f>IF($A27="","",TEXT($A27,"mmm-yyyy"))</f>
        <v/>
      </c>
      <c r="C27" s="4">
        <f>IF($A27="","","W"&amp;WEEKNUM($A27,2))</f>
        <v/>
      </c>
      <c r="D27" s="4">
        <f>IF($A27="","",TEXT($A27,"ddd"))</f>
        <v/>
      </c>
      <c r="E27" s="4" t="inlineStr">
        <is>
          <t>Quality</t>
        </is>
      </c>
      <c r="F27" s="4">
        <f>IFERROR(INDEX(Tbl_KPIMaster[Category],MATCH($G27,Tbl_KPIMaster[KPI],0)),"")</f>
        <v/>
      </c>
      <c r="G27" s="4" t="inlineStr">
        <is>
          <t>Defect Rate %</t>
        </is>
      </c>
      <c r="H27" s="4">
        <f>IFERROR(INDEX(Tbl_KPIMaster[Unit],MATCH($G27,Tbl_KPIMaster[KPI],0)),"")</f>
        <v/>
      </c>
      <c r="I27" s="5">
        <f>IFERROR(INDEX(Tbl_KPIMaster[Maximum Target],MATCH($G27,Tbl_KPIMaster[KPI],0)),"")</f>
        <v/>
      </c>
      <c r="J27" s="5" t="n">
        <v>0</v>
      </c>
      <c r="K27" s="4">
        <f>IFERROR(INDEX(Tbl_KPIMaster[Tolerance],MATCH($G27,Tbl_KPIMaster[KPI],0)),"")</f>
        <v/>
      </c>
      <c r="L27" s="4">
        <f>IFERROR(INDEX(Tbl_KPIMaster[Owner],MATCH($G27,Tbl_KPIMaster[KPI],0)),"")</f>
        <v/>
      </c>
      <c r="M27" s="6" t="inlineStr">
        <is>
          <t>Vendor delay</t>
        </is>
      </c>
      <c r="N27" s="4" t="inlineStr">
        <is>
          <t>Procurement follow-up</t>
        </is>
      </c>
      <c r="O27" s="4" t="inlineStr">
        <is>
          <t>High</t>
        </is>
      </c>
      <c r="P27" s="4" t="inlineStr">
        <is>
          <t>Closed</t>
        </is>
      </c>
      <c r="Q27" s="5">
        <f>IFERROR(IF(INDEX(Tbl_KPIMaster[Direction],MATCH($G27,Tbl_KPIMaster[KPI],0))="Lower is Better",IF($J27=0,1,IF($I27=0,0,$I27/$J27)),IF($I27=0,1,$J27/$I27)),0)</f>
        <v/>
      </c>
      <c r="R27" s="4">
        <f>IF(OR($I27="",$J27=""),"",$J27-$I27)</f>
        <v/>
      </c>
      <c r="S27" s="4">
        <f>IFERROR(IF(INDEX(Tbl_KPIMaster[Direction],MATCH($G27,Tbl_KPIMaster[KPI],0))="Lower is Better",IF($J27&lt;=$I27,"Green",IF($J27&lt;=$I27+IF($I27=0,$K27,$I27*$K27),"Amber","Red")),IF($J27&gt;=$I27,"Green",IF($J27&gt;=$I27-IF($I27=0,$K27,$I27*$K27),"Amber","Red"))),"")</f>
        <v/>
      </c>
      <c r="T27" s="6" t="inlineStr"/>
    </row>
    <row r="28">
      <c r="A28" s="7" t="n">
        <v>46131</v>
      </c>
      <c r="B28" s="8">
        <f>IF($A28="","",TEXT($A28,"mmm-yyyy"))</f>
        <v/>
      </c>
      <c r="C28" s="8">
        <f>IF($A28="","","W"&amp;WEEKNUM($A28,2))</f>
        <v/>
      </c>
      <c r="D28" s="8">
        <f>IF($A28="","",TEXT($A28,"ddd"))</f>
        <v/>
      </c>
      <c r="E28" s="8" t="inlineStr">
        <is>
          <t>Quality</t>
        </is>
      </c>
      <c r="F28" s="8">
        <f>IFERROR(INDEX(Tbl_KPIMaster[Category],MATCH($G28,Tbl_KPIMaster[KPI],0)),"")</f>
        <v/>
      </c>
      <c r="G28" s="8" t="inlineStr">
        <is>
          <t>Customer Complaints</t>
        </is>
      </c>
      <c r="H28" s="8">
        <f>IFERROR(INDEX(Tbl_KPIMaster[Unit],MATCH($G28,Tbl_KPIMaster[KPI],0)),"")</f>
        <v/>
      </c>
      <c r="I28" s="9">
        <f>IFERROR(INDEX(Tbl_KPIMaster[Maximum Target],MATCH($G28,Tbl_KPIMaster[KPI],0)),"")</f>
        <v/>
      </c>
      <c r="J28" s="9" t="n">
        <v>1</v>
      </c>
      <c r="K28" s="8">
        <f>IFERROR(INDEX(Tbl_KPIMaster[Tolerance],MATCH($G28,Tbl_KPIMaster[KPI],0)),"")</f>
        <v/>
      </c>
      <c r="L28" s="8">
        <f>IFERROR(INDEX(Tbl_KPIMaster[Owner],MATCH($G28,Tbl_KPIMaster[KPI],0)),"")</f>
        <v/>
      </c>
      <c r="M28" s="10" t="inlineStr">
        <is>
          <t>New operator training effect</t>
        </is>
      </c>
      <c r="N28" s="8" t="inlineStr">
        <is>
          <t>Management approval pending</t>
        </is>
      </c>
      <c r="O28" s="8" t="inlineStr">
        <is>
          <t>High</t>
        </is>
      </c>
      <c r="P28" s="8" t="inlineStr">
        <is>
          <t>Closed</t>
        </is>
      </c>
      <c r="Q28" s="9">
        <f>IFERROR(IF(INDEX(Tbl_KPIMaster[Direction],MATCH($G28,Tbl_KPIMaster[KPI],0))="Lower is Better",IF($J28=0,1,IF($I28=0,0,$I28/$J28)),IF($I28=0,1,$J28/$I28)),0)</f>
        <v/>
      </c>
      <c r="R28" s="8">
        <f>IF(OR($I28="",$J28=""),"",$J28-$I28)</f>
        <v/>
      </c>
      <c r="S28" s="8">
        <f>IFERROR(IF(INDEX(Tbl_KPIMaster[Direction],MATCH($G28,Tbl_KPIMaster[KPI],0))="Lower is Better",IF($J28&lt;=$I28,"Green",IF($J28&lt;=$I28+IF($I28=0,$K28,$I28*$K28),"Amber","Red")),IF($J28&gt;=$I28,"Green",IF($J28&gt;=$I28-IF($I28=0,$K28,$I28*$K28),"Amber","Red"))),"")</f>
        <v/>
      </c>
      <c r="T28" s="10" t="inlineStr"/>
    </row>
    <row r="29">
      <c r="A29" s="3" t="n">
        <v>46131</v>
      </c>
      <c r="B29" s="4">
        <f>IF($A29="","",TEXT($A29,"mmm-yyyy"))</f>
        <v/>
      </c>
      <c r="C29" s="4">
        <f>IF($A29="","","W"&amp;WEEKNUM($A29,2))</f>
        <v/>
      </c>
      <c r="D29" s="4">
        <f>IF($A29="","",TEXT($A29,"ddd"))</f>
        <v/>
      </c>
      <c r="E29" s="4" t="inlineStr">
        <is>
          <t>Maintenance</t>
        </is>
      </c>
      <c r="F29" s="4">
        <f>IFERROR(INDEX(Tbl_KPIMaster[Category],MATCH($G29,Tbl_KPIMaster[KPI],0)),"")</f>
        <v/>
      </c>
      <c r="G29" s="4" t="inlineStr">
        <is>
          <t>Unplanned Downtime</t>
        </is>
      </c>
      <c r="H29" s="4">
        <f>IFERROR(INDEX(Tbl_KPIMaster[Unit],MATCH($G29,Tbl_KPIMaster[KPI],0)),"")</f>
        <v/>
      </c>
      <c r="I29" s="5">
        <f>IFERROR(INDEX(Tbl_KPIMaster[Maximum Target],MATCH($G29,Tbl_KPIMaster[KPI],0)),"")</f>
        <v/>
      </c>
      <c r="J29" s="5" t="n">
        <v>0.67</v>
      </c>
      <c r="K29" s="4">
        <f>IFERROR(INDEX(Tbl_KPIMaster[Tolerance],MATCH($G29,Tbl_KPIMaster[KPI],0)),"")</f>
        <v/>
      </c>
      <c r="L29" s="4">
        <f>IFERROR(INDEX(Tbl_KPIMaster[Owner],MATCH($G29,Tbl_KPIMaster[KPI],0)),"")</f>
        <v/>
      </c>
      <c r="M29" s="6" t="inlineStr">
        <is>
          <t>Awaiting spares</t>
        </is>
      </c>
      <c r="N29" s="4" t="inlineStr">
        <is>
          <t>Procurement follow-up</t>
        </is>
      </c>
      <c r="O29" s="4" t="inlineStr">
        <is>
          <t>Low</t>
        </is>
      </c>
      <c r="P29" s="4" t="inlineStr">
        <is>
          <t>In Progress</t>
        </is>
      </c>
      <c r="Q29" s="5">
        <f>IFERROR(IF(INDEX(Tbl_KPIMaster[Direction],MATCH($G29,Tbl_KPIMaster[KPI],0))="Lower is Better",IF($J29=0,1,IF($I29=0,0,$I29/$J29)),IF($I29=0,1,$J29/$I29)),0)</f>
        <v/>
      </c>
      <c r="R29" s="4">
        <f>IF(OR($I29="",$J29=""),"",$J29-$I29)</f>
        <v/>
      </c>
      <c r="S29" s="4">
        <f>IFERROR(IF(INDEX(Tbl_KPIMaster[Direction],MATCH($G29,Tbl_KPIMaster[KPI],0))="Lower is Better",IF($J29&lt;=$I29,"Green",IF($J29&lt;=$I29+IF($I29=0,$K29,$I29*$K29),"Amber","Red")),IF($J29&gt;=$I29,"Green",IF($J29&gt;=$I29-IF($I29=0,$K29,$I29*$K29),"Amber","Red"))),"")</f>
        <v/>
      </c>
      <c r="T29" s="6" t="inlineStr"/>
    </row>
    <row r="30">
      <c r="A30" s="7" t="n">
        <v>46131</v>
      </c>
      <c r="B30" s="8">
        <f>IF($A30="","",TEXT($A30,"mmm-yyyy"))</f>
        <v/>
      </c>
      <c r="C30" s="8">
        <f>IF($A30="","","W"&amp;WEEKNUM($A30,2))</f>
        <v/>
      </c>
      <c r="D30" s="8">
        <f>IF($A30="","",TEXT($A30,"ddd"))</f>
        <v/>
      </c>
      <c r="E30" s="8" t="inlineStr">
        <is>
          <t>Maintenance</t>
        </is>
      </c>
      <c r="F30" s="8">
        <f>IFERROR(INDEX(Tbl_KPIMaster[Category],MATCH($G30,Tbl_KPIMaster[KPI],0)),"")</f>
        <v/>
      </c>
      <c r="G30" s="8" t="inlineStr">
        <is>
          <t>PM Compliance %</t>
        </is>
      </c>
      <c r="H30" s="8">
        <f>IFERROR(INDEX(Tbl_KPIMaster[Unit],MATCH($G30,Tbl_KPIMaster[KPI],0)),"")</f>
        <v/>
      </c>
      <c r="I30" s="9">
        <f>IFERROR(INDEX(Tbl_KPIMaster[Maximum Target],MATCH($G30,Tbl_KPIMaster[KPI],0)),"")</f>
        <v/>
      </c>
      <c r="J30" s="9" t="n">
        <v>0.9328</v>
      </c>
      <c r="K30" s="8">
        <f>IFERROR(INDEX(Tbl_KPIMaster[Tolerance],MATCH($G30,Tbl_KPIMaster[KPI],0)),"")</f>
        <v/>
      </c>
      <c r="L30" s="8">
        <f>IFERROR(INDEX(Tbl_KPIMaster[Owner],MATCH($G30,Tbl_KPIMaster[KPI],0)),"")</f>
        <v/>
      </c>
      <c r="M30" s="10" t="inlineStr">
        <is>
          <t>Equipment breakdown</t>
        </is>
      </c>
      <c r="N30" s="8" t="inlineStr">
        <is>
          <t>Management approval pending</t>
        </is>
      </c>
      <c r="O30" s="8" t="inlineStr">
        <is>
          <t>Low</t>
        </is>
      </c>
      <c r="P30" s="8" t="inlineStr">
        <is>
          <t>Open</t>
        </is>
      </c>
      <c r="Q30" s="9">
        <f>IFERROR(IF(INDEX(Tbl_KPIMaster[Direction],MATCH($G30,Tbl_KPIMaster[KPI],0))="Lower is Better",IF($J30=0,1,IF($I30=0,0,$I30/$J30)),IF($I30=0,1,$J30/$I30)),0)</f>
        <v/>
      </c>
      <c r="R30" s="8">
        <f>IF(OR($I30="",$J30=""),"",$J30-$I30)</f>
        <v/>
      </c>
      <c r="S30" s="8">
        <f>IFERROR(IF(INDEX(Tbl_KPIMaster[Direction],MATCH($G30,Tbl_KPIMaster[KPI],0))="Lower is Better",IF($J30&lt;=$I30,"Green",IF($J30&lt;=$I30+IF($I30=0,$K30,$I30*$K30),"Amber","Red")),IF($J30&gt;=$I30,"Green",IF($J30&gt;=$I30-IF($I30=0,$K30,$I30*$K30),"Amber","Red"))),"")</f>
        <v/>
      </c>
      <c r="T30" s="10" t="inlineStr"/>
    </row>
    <row r="31">
      <c r="A31" s="3" t="n">
        <v>46131</v>
      </c>
      <c r="B31" s="4">
        <f>IF($A31="","",TEXT($A31,"mmm-yyyy"))</f>
        <v/>
      </c>
      <c r="C31" s="4">
        <f>IF($A31="","","W"&amp;WEEKNUM($A31,2))</f>
        <v/>
      </c>
      <c r="D31" s="4">
        <f>IF($A31="","",TEXT($A31,"ddd"))</f>
        <v/>
      </c>
      <c r="E31" s="4" t="inlineStr">
        <is>
          <t>Utilities</t>
        </is>
      </c>
      <c r="F31" s="4">
        <f>IFERROR(INDEX(Tbl_KPIMaster[Category],MATCH($G31,Tbl_KPIMaster[KPI],0)),"")</f>
        <v/>
      </c>
      <c r="G31" s="4" t="inlineStr">
        <is>
          <t>Power Consumption</t>
        </is>
      </c>
      <c r="H31" s="4">
        <f>IFERROR(INDEX(Tbl_KPIMaster[Unit],MATCH($G31,Tbl_KPIMaster[KPI],0)),"")</f>
        <v/>
      </c>
      <c r="I31" s="5">
        <f>IFERROR(INDEX(Tbl_KPIMaster[Maximum Target],MATCH($G31,Tbl_KPIMaster[KPI],0)),"")</f>
        <v/>
      </c>
      <c r="J31" s="5" t="n">
        <v>3962.5</v>
      </c>
      <c r="K31" s="4">
        <f>IFERROR(INDEX(Tbl_KPIMaster[Tolerance],MATCH($G31,Tbl_KPIMaster[KPI],0)),"")</f>
        <v/>
      </c>
      <c r="L31" s="4">
        <f>IFERROR(INDEX(Tbl_KPIMaster[Owner],MATCH($G31,Tbl_KPIMaster[KPI],0)),"")</f>
        <v/>
      </c>
      <c r="M31" s="6" t="inlineStr">
        <is>
          <t>Weather impact</t>
        </is>
      </c>
      <c r="N31" s="4" t="inlineStr"/>
      <c r="O31" s="4" t="inlineStr">
        <is>
          <t>Low</t>
        </is>
      </c>
      <c r="P31" s="4" t="inlineStr">
        <is>
          <t>Open</t>
        </is>
      </c>
      <c r="Q31" s="5">
        <f>IFERROR(IF(INDEX(Tbl_KPIMaster[Direction],MATCH($G31,Tbl_KPIMaster[KPI],0))="Lower is Better",IF($J31=0,1,IF($I31=0,0,$I31/$J31)),IF($I31=0,1,$J31/$I31)),0)</f>
        <v/>
      </c>
      <c r="R31" s="4">
        <f>IF(OR($I31="",$J31=""),"",$J31-$I31)</f>
        <v/>
      </c>
      <c r="S31" s="4">
        <f>IFERROR(IF(INDEX(Tbl_KPIMaster[Direction],MATCH($G31,Tbl_KPIMaster[KPI],0))="Lower is Better",IF($J31&lt;=$I31,"Green",IF($J31&lt;=$I31+IF($I31=0,$K31,$I31*$K31),"Amber","Red")),IF($J31&gt;=$I31,"Green",IF($J31&gt;=$I31-IF($I31=0,$K31,$I31*$K31),"Amber","Red"))),"")</f>
        <v/>
      </c>
      <c r="T31" s="6" t="inlineStr"/>
    </row>
    <row r="32">
      <c r="A32" s="7" t="n">
        <v>46131</v>
      </c>
      <c r="B32" s="8">
        <f>IF($A32="","",TEXT($A32,"mmm-yyyy"))</f>
        <v/>
      </c>
      <c r="C32" s="8">
        <f>IF($A32="","","W"&amp;WEEKNUM($A32,2))</f>
        <v/>
      </c>
      <c r="D32" s="8">
        <f>IF($A32="","",TEXT($A32,"ddd"))</f>
        <v/>
      </c>
      <c r="E32" s="8" t="inlineStr">
        <is>
          <t>Utilities</t>
        </is>
      </c>
      <c r="F32" s="8">
        <f>IFERROR(INDEX(Tbl_KPIMaster[Category],MATCH($G32,Tbl_KPIMaster[KPI],0)),"")</f>
        <v/>
      </c>
      <c r="G32" s="8" t="inlineStr">
        <is>
          <t>Water Consumption</t>
        </is>
      </c>
      <c r="H32" s="8">
        <f>IFERROR(INDEX(Tbl_KPIMaster[Unit],MATCH($G32,Tbl_KPIMaster[KPI],0)),"")</f>
        <v/>
      </c>
      <c r="I32" s="9">
        <f>IFERROR(INDEX(Tbl_KPIMaster[Maximum Target],MATCH($G32,Tbl_KPIMaster[KPI],0)),"")</f>
        <v/>
      </c>
      <c r="J32" s="9" t="n">
        <v>46.45</v>
      </c>
      <c r="K32" s="8">
        <f>IFERROR(INDEX(Tbl_KPIMaster[Tolerance],MATCH($G32,Tbl_KPIMaster[KPI],0)),"")</f>
        <v/>
      </c>
      <c r="L32" s="8">
        <f>IFERROR(INDEX(Tbl_KPIMaster[Owner],MATCH($G32,Tbl_KPIMaster[KPI],0)),"")</f>
        <v/>
      </c>
      <c r="M32" s="10" t="inlineStr">
        <is>
          <t>Weather impact</t>
        </is>
      </c>
      <c r="N32" s="8" t="inlineStr"/>
      <c r="O32" s="8" t="inlineStr">
        <is>
          <t>High</t>
        </is>
      </c>
      <c r="P32" s="8" t="inlineStr">
        <is>
          <t>Closed</t>
        </is>
      </c>
      <c r="Q32" s="9">
        <f>IFERROR(IF(INDEX(Tbl_KPIMaster[Direction],MATCH($G32,Tbl_KPIMaster[KPI],0))="Lower is Better",IF($J32=0,1,IF($I32=0,0,$I32/$J32)),IF($I32=0,1,$J32/$I32)),0)</f>
        <v/>
      </c>
      <c r="R32" s="8">
        <f>IF(OR($I32="",$J32=""),"",$J32-$I32)</f>
        <v/>
      </c>
      <c r="S32" s="8">
        <f>IFERROR(IF(INDEX(Tbl_KPIMaster[Direction],MATCH($G32,Tbl_KPIMaster[KPI],0))="Lower is Better",IF($J32&lt;=$I32,"Green",IF($J32&lt;=$I32+IF($I32=0,$K32,$I32*$K32),"Amber","Red")),IF($J32&gt;=$I32,"Green",IF($J32&gt;=$I32-IF($I32=0,$K32,$I32*$K32),"Amber","Red"))),"")</f>
        <v/>
      </c>
      <c r="T32" s="10" t="inlineStr"/>
    </row>
    <row r="33">
      <c r="A33" s="3" t="n">
        <v>46131</v>
      </c>
      <c r="B33" s="4">
        <f>IF($A33="","",TEXT($A33,"mmm-yyyy"))</f>
        <v/>
      </c>
      <c r="C33" s="4">
        <f>IF($A33="","","W"&amp;WEEKNUM($A33,2))</f>
        <v/>
      </c>
      <c r="D33" s="4">
        <f>IF($A33="","",TEXT($A33,"ddd"))</f>
        <v/>
      </c>
      <c r="E33" s="4" t="inlineStr">
        <is>
          <t>Warehouse</t>
        </is>
      </c>
      <c r="F33" s="4">
        <f>IFERROR(INDEX(Tbl_KPIMaster[Category],MATCH($G33,Tbl_KPIMaster[KPI],0)),"")</f>
        <v/>
      </c>
      <c r="G33" s="4" t="inlineStr">
        <is>
          <t>On-Time Dispatch %</t>
        </is>
      </c>
      <c r="H33" s="4">
        <f>IFERROR(INDEX(Tbl_KPIMaster[Unit],MATCH($G33,Tbl_KPIMaster[KPI],0)),"")</f>
        <v/>
      </c>
      <c r="I33" s="5">
        <f>IFERROR(INDEX(Tbl_KPIMaster[Maximum Target],MATCH($G33,Tbl_KPIMaster[KPI],0)),"")</f>
        <v/>
      </c>
      <c r="J33" s="5" t="n">
        <v>0.8844</v>
      </c>
      <c r="K33" s="4">
        <f>IFERROR(INDEX(Tbl_KPIMaster[Tolerance],MATCH($G33,Tbl_KPIMaster[KPI],0)),"")</f>
        <v/>
      </c>
      <c r="L33" s="4">
        <f>IFERROR(INDEX(Tbl_KPIMaster[Owner],MATCH($G33,Tbl_KPIMaster[KPI],0)),"")</f>
        <v/>
      </c>
      <c r="M33" s="6" t="inlineStr">
        <is>
          <t>Weather impact</t>
        </is>
      </c>
      <c r="N33" s="4" t="inlineStr"/>
      <c r="O33" s="4" t="inlineStr">
        <is>
          <t>Low</t>
        </is>
      </c>
      <c r="P33" s="4" t="inlineStr">
        <is>
          <t>Closed</t>
        </is>
      </c>
      <c r="Q33" s="5">
        <f>IFERROR(IF(INDEX(Tbl_KPIMaster[Direction],MATCH($G33,Tbl_KPIMaster[KPI],0))="Lower is Better",IF($J33=0,1,IF($I33=0,0,$I33/$J33)),IF($I33=0,1,$J33/$I33)),0)</f>
        <v/>
      </c>
      <c r="R33" s="4">
        <f>IF(OR($I33="",$J33=""),"",$J33-$I33)</f>
        <v/>
      </c>
      <c r="S33" s="4">
        <f>IFERROR(IF(INDEX(Tbl_KPIMaster[Direction],MATCH($G33,Tbl_KPIMaster[KPI],0))="Lower is Better",IF($J33&lt;=$I33,"Green",IF($J33&lt;=$I33+IF($I33=0,$K33,$I33*$K33),"Amber","Red")),IF($J33&gt;=$I33,"Green",IF($J33&gt;=$I33-IF($I33=0,$K33,$I33*$K33),"Amber","Red"))),"")</f>
        <v/>
      </c>
      <c r="T33" s="6" t="inlineStr"/>
    </row>
    <row r="34">
      <c r="A34" s="7" t="n">
        <v>46131</v>
      </c>
      <c r="B34" s="8">
        <f>IF($A34="","",TEXT($A34,"mmm-yyyy"))</f>
        <v/>
      </c>
      <c r="C34" s="8">
        <f>IF($A34="","","W"&amp;WEEKNUM($A34,2))</f>
        <v/>
      </c>
      <c r="D34" s="8">
        <f>IF($A34="","",TEXT($A34,"ddd"))</f>
        <v/>
      </c>
      <c r="E34" s="8" t="inlineStr">
        <is>
          <t>Warehouse</t>
        </is>
      </c>
      <c r="F34" s="8">
        <f>IFERROR(INDEX(Tbl_KPIMaster[Category],MATCH($G34,Tbl_KPIMaster[KPI],0)),"")</f>
        <v/>
      </c>
      <c r="G34" s="8" t="inlineStr">
        <is>
          <t>Inventory Accuracy %</t>
        </is>
      </c>
      <c r="H34" s="8">
        <f>IFERROR(INDEX(Tbl_KPIMaster[Unit],MATCH($G34,Tbl_KPIMaster[KPI],0)),"")</f>
        <v/>
      </c>
      <c r="I34" s="9">
        <f>IFERROR(INDEX(Tbl_KPIMaster[Maximum Target],MATCH($G34,Tbl_KPIMaster[KPI],0)),"")</f>
        <v/>
      </c>
      <c r="J34" s="9" t="n">
        <v>0.8643999999999999</v>
      </c>
      <c r="K34" s="8">
        <f>IFERROR(INDEX(Tbl_KPIMaster[Tolerance],MATCH($G34,Tbl_KPIMaster[KPI],0)),"")</f>
        <v/>
      </c>
      <c r="L34" s="8">
        <f>IFERROR(INDEX(Tbl_KPIMaster[Owner],MATCH($G34,Tbl_KPIMaster[KPI],0)),"")</f>
        <v/>
      </c>
      <c r="M34" s="10" t="inlineStr">
        <is>
          <t>Line changeover impact</t>
        </is>
      </c>
      <c r="N34" s="8" t="inlineStr"/>
      <c r="O34" s="8" t="inlineStr">
        <is>
          <t>Low</t>
        </is>
      </c>
      <c r="P34" s="8" t="inlineStr">
        <is>
          <t>Closed</t>
        </is>
      </c>
      <c r="Q34" s="9">
        <f>IFERROR(IF(INDEX(Tbl_KPIMaster[Direction],MATCH($G34,Tbl_KPIMaster[KPI],0))="Lower is Better",IF($J34=0,1,IF($I34=0,0,$I34/$J34)),IF($I34=0,1,$J34/$I34)),0)</f>
        <v/>
      </c>
      <c r="R34" s="8">
        <f>IF(OR($I34="",$J34=""),"",$J34-$I34)</f>
        <v/>
      </c>
      <c r="S34" s="8">
        <f>IFERROR(IF(INDEX(Tbl_KPIMaster[Direction],MATCH($G34,Tbl_KPIMaster[KPI],0))="Lower is Better",IF($J34&lt;=$I34,"Green",IF($J34&lt;=$I34+IF($I34=0,$K34,$I34*$K34),"Amber","Red")),IF($J34&gt;=$I34,"Green",IF($J34&gt;=$I34-IF($I34=0,$K34,$I34*$K34),"Amber","Red"))),"")</f>
        <v/>
      </c>
      <c r="T34" s="10" t="inlineStr"/>
    </row>
    <row r="35">
      <c r="A35" s="3" t="n">
        <v>46131</v>
      </c>
      <c r="B35" s="4">
        <f>IF($A35="","",TEXT($A35,"mmm-yyyy"))</f>
        <v/>
      </c>
      <c r="C35" s="4">
        <f>IF($A35="","","W"&amp;WEEKNUM($A35,2))</f>
        <v/>
      </c>
      <c r="D35" s="4">
        <f>IF($A35="","",TEXT($A35,"ddd"))</f>
        <v/>
      </c>
      <c r="E35" s="4" t="inlineStr">
        <is>
          <t>HR</t>
        </is>
      </c>
      <c r="F35" s="4">
        <f>IFERROR(INDEX(Tbl_KPIMaster[Category],MATCH($G35,Tbl_KPIMaster[KPI],0)),"")</f>
        <v/>
      </c>
      <c r="G35" s="4" t="inlineStr">
        <is>
          <t>Absenteeism %</t>
        </is>
      </c>
      <c r="H35" s="4">
        <f>IFERROR(INDEX(Tbl_KPIMaster[Unit],MATCH($G35,Tbl_KPIMaster[KPI],0)),"")</f>
        <v/>
      </c>
      <c r="I35" s="5">
        <f>IFERROR(INDEX(Tbl_KPIMaster[Maximum Target],MATCH($G35,Tbl_KPIMaster[KPI],0)),"")</f>
        <v/>
      </c>
      <c r="J35" s="5" t="n">
        <v>0.0587</v>
      </c>
      <c r="K35" s="4">
        <f>IFERROR(INDEX(Tbl_KPIMaster[Tolerance],MATCH($G35,Tbl_KPIMaster[KPI],0)),"")</f>
        <v/>
      </c>
      <c r="L35" s="4">
        <f>IFERROR(INDEX(Tbl_KPIMaster[Owner],MATCH($G35,Tbl_KPIMaster[KPI],0)),"")</f>
        <v/>
      </c>
      <c r="M35" s="6" t="inlineStr">
        <is>
          <t>Awaiting spares</t>
        </is>
      </c>
      <c r="N35" s="4" t="inlineStr"/>
      <c r="O35" s="4" t="inlineStr">
        <is>
          <t>Low</t>
        </is>
      </c>
      <c r="P35" s="4" t="inlineStr">
        <is>
          <t>Closed</t>
        </is>
      </c>
      <c r="Q35" s="5">
        <f>IFERROR(IF(INDEX(Tbl_KPIMaster[Direction],MATCH($G35,Tbl_KPIMaster[KPI],0))="Lower is Better",IF($J35=0,1,IF($I35=0,0,$I35/$J35)),IF($I35=0,1,$J35/$I35)),0)</f>
        <v/>
      </c>
      <c r="R35" s="4">
        <f>IF(OR($I35="",$J35=""),"",$J35-$I35)</f>
        <v/>
      </c>
      <c r="S35" s="4">
        <f>IFERROR(IF(INDEX(Tbl_KPIMaster[Direction],MATCH($G35,Tbl_KPIMaster[KPI],0))="Lower is Better",IF($J35&lt;=$I35,"Green",IF($J35&lt;=$I35+IF($I35=0,$K35,$I35*$K35),"Amber","Red")),IF($J35&gt;=$I35,"Green",IF($J35&gt;=$I35-IF($I35=0,$K35,$I35*$K35),"Amber","Red"))),"")</f>
        <v/>
      </c>
      <c r="T35" s="6" t="inlineStr"/>
    </row>
    <row r="36">
      <c r="A36" s="7" t="n">
        <v>46131</v>
      </c>
      <c r="B36" s="8">
        <f>IF($A36="","",TEXT($A36,"mmm-yyyy"))</f>
        <v/>
      </c>
      <c r="C36" s="8">
        <f>IF($A36="","","W"&amp;WEEKNUM($A36,2))</f>
        <v/>
      </c>
      <c r="D36" s="8">
        <f>IF($A36="","",TEXT($A36,"ddd"))</f>
        <v/>
      </c>
      <c r="E36" s="8" t="inlineStr">
        <is>
          <t>HR</t>
        </is>
      </c>
      <c r="F36" s="8">
        <f>IFERROR(INDEX(Tbl_KPIMaster[Category],MATCH($G36,Tbl_KPIMaster[KPI],0)),"")</f>
        <v/>
      </c>
      <c r="G36" s="8" t="inlineStr">
        <is>
          <t>Training Hours</t>
        </is>
      </c>
      <c r="H36" s="8">
        <f>IFERROR(INDEX(Tbl_KPIMaster[Unit],MATCH($G36,Tbl_KPIMaster[KPI],0)),"")</f>
        <v/>
      </c>
      <c r="I36" s="9">
        <f>IFERROR(INDEX(Tbl_KPIMaster[Maximum Target],MATCH($G36,Tbl_KPIMaster[KPI],0)),"")</f>
        <v/>
      </c>
      <c r="J36" s="9" t="n">
        <v>1.83</v>
      </c>
      <c r="K36" s="8">
        <f>IFERROR(INDEX(Tbl_KPIMaster[Tolerance],MATCH($G36,Tbl_KPIMaster[KPI],0)),"")</f>
        <v/>
      </c>
      <c r="L36" s="8">
        <f>IFERROR(INDEX(Tbl_KPIMaster[Owner],MATCH($G36,Tbl_KPIMaster[KPI],0)),"")</f>
        <v/>
      </c>
      <c r="M36" s="10" t="inlineStr">
        <is>
          <t>Equipment breakdown</t>
        </is>
      </c>
      <c r="N36" s="8" t="inlineStr">
        <is>
          <t>Procurement follow-up</t>
        </is>
      </c>
      <c r="O36" s="8" t="inlineStr">
        <is>
          <t>Low</t>
        </is>
      </c>
      <c r="P36" s="8" t="inlineStr">
        <is>
          <t>Closed</t>
        </is>
      </c>
      <c r="Q36" s="9">
        <f>IFERROR(IF(INDEX(Tbl_KPIMaster[Direction],MATCH($G36,Tbl_KPIMaster[KPI],0))="Lower is Better",IF($J36=0,1,IF($I36=0,0,$I36/$J36)),IF($I36=0,1,$J36/$I36)),0)</f>
        <v/>
      </c>
      <c r="R36" s="8">
        <f>IF(OR($I36="",$J36=""),"",$J36-$I36)</f>
        <v/>
      </c>
      <c r="S36" s="8">
        <f>IFERROR(IF(INDEX(Tbl_KPIMaster[Direction],MATCH($G36,Tbl_KPIMaster[KPI],0))="Lower is Better",IF($J36&lt;=$I36,"Green",IF($J36&lt;=$I36+IF($I36=0,$K36,$I36*$K36),"Amber","Red")),IF($J36&gt;=$I36,"Green",IF($J36&gt;=$I36-IF($I36=0,$K36,$I36*$K36),"Amber","Red"))),"")</f>
        <v/>
      </c>
      <c r="T36" s="10" t="inlineStr"/>
    </row>
    <row r="37">
      <c r="A37" s="3" t="n">
        <v>46131</v>
      </c>
      <c r="B37" s="4">
        <f>IF($A37="","",TEXT($A37,"mmm-yyyy"))</f>
        <v/>
      </c>
      <c r="C37" s="4">
        <f>IF($A37="","","W"&amp;WEEKNUM($A37,2))</f>
        <v/>
      </c>
      <c r="D37" s="4">
        <f>IF($A37="","",TEXT($A37,"ddd"))</f>
        <v/>
      </c>
      <c r="E37" s="4" t="inlineStr">
        <is>
          <t>Engineering</t>
        </is>
      </c>
      <c r="F37" s="4">
        <f>IFERROR(INDEX(Tbl_KPIMaster[Category],MATCH($G37,Tbl_KPIMaster[KPI],0)),"")</f>
        <v/>
      </c>
      <c r="G37" s="4" t="inlineStr">
        <is>
          <t>Project Milestone Adherence %</t>
        </is>
      </c>
      <c r="H37" s="4">
        <f>IFERROR(INDEX(Tbl_KPIMaster[Unit],MATCH($G37,Tbl_KPIMaster[KPI],0)),"")</f>
        <v/>
      </c>
      <c r="I37" s="5">
        <f>IFERROR(INDEX(Tbl_KPIMaster[Maximum Target],MATCH($G37,Tbl_KPIMaster[KPI],0)),"")</f>
        <v/>
      </c>
      <c r="J37" s="5" t="n">
        <v>0.9413</v>
      </c>
      <c r="K37" s="4">
        <f>IFERROR(INDEX(Tbl_KPIMaster[Tolerance],MATCH($G37,Tbl_KPIMaster[KPI],0)),"")</f>
        <v/>
      </c>
      <c r="L37" s="4">
        <f>IFERROR(INDEX(Tbl_KPIMaster[Owner],MATCH($G37,Tbl_KPIMaster[KPI],0)),"")</f>
        <v/>
      </c>
      <c r="M37" s="6" t="inlineStr"/>
      <c r="N37" s="4" t="inlineStr"/>
      <c r="O37" s="4" t="inlineStr">
        <is>
          <t>Low</t>
        </is>
      </c>
      <c r="P37" s="4" t="inlineStr">
        <is>
          <t>Closed</t>
        </is>
      </c>
      <c r="Q37" s="5">
        <f>IFERROR(IF(INDEX(Tbl_KPIMaster[Direction],MATCH($G37,Tbl_KPIMaster[KPI],0))="Lower is Better",IF($J37=0,1,IF($I37=0,0,$I37/$J37)),IF($I37=0,1,$J37/$I37)),0)</f>
        <v/>
      </c>
      <c r="R37" s="4">
        <f>IF(OR($I37="",$J37=""),"",$J37-$I37)</f>
        <v/>
      </c>
      <c r="S37" s="4">
        <f>IFERROR(IF(INDEX(Tbl_KPIMaster[Direction],MATCH($G37,Tbl_KPIMaster[KPI],0))="Lower is Better",IF($J37&lt;=$I37,"Green",IF($J37&lt;=$I37+IF($I37=0,$K37,$I37*$K37),"Amber","Red")),IF($J37&gt;=$I37,"Green",IF($J37&gt;=$I37-IF($I37=0,$K37,$I37*$K37),"Amber","Red"))),"")</f>
        <v/>
      </c>
      <c r="T37" s="6" t="inlineStr"/>
    </row>
    <row r="38">
      <c r="A38" s="7" t="n">
        <v>46131</v>
      </c>
      <c r="B38" s="8">
        <f>IF($A38="","",TEXT($A38,"mmm-yyyy"))</f>
        <v/>
      </c>
      <c r="C38" s="8">
        <f>IF($A38="","","W"&amp;WEEKNUM($A38,2))</f>
        <v/>
      </c>
      <c r="D38" s="8">
        <f>IF($A38="","",TEXT($A38,"ddd"))</f>
        <v/>
      </c>
      <c r="E38" s="8" t="inlineStr">
        <is>
          <t>Engineering</t>
        </is>
      </c>
      <c r="F38" s="8">
        <f>IFERROR(INDEX(Tbl_KPIMaster[Category],MATCH($G38,Tbl_KPIMaster[KPI],0)),"")</f>
        <v/>
      </c>
      <c r="G38" s="8" t="inlineStr">
        <is>
          <t>Breakdown Resolution Time</t>
        </is>
      </c>
      <c r="H38" s="8">
        <f>IFERROR(INDEX(Tbl_KPIMaster[Unit],MATCH($G38,Tbl_KPIMaster[KPI],0)),"")</f>
        <v/>
      </c>
      <c r="I38" s="9">
        <f>IFERROR(INDEX(Tbl_KPIMaster[Maximum Target],MATCH($G38,Tbl_KPIMaster[KPI],0)),"")</f>
        <v/>
      </c>
      <c r="J38" s="9" t="n">
        <v>0.34</v>
      </c>
      <c r="K38" s="8">
        <f>IFERROR(INDEX(Tbl_KPIMaster[Tolerance],MATCH($G38,Tbl_KPIMaster[KPI],0)),"")</f>
        <v/>
      </c>
      <c r="L38" s="8">
        <f>IFERROR(INDEX(Tbl_KPIMaster[Owner],MATCH($G38,Tbl_KPIMaster[KPI],0)),"")</f>
        <v/>
      </c>
      <c r="M38" s="10" t="inlineStr">
        <is>
          <t>Manpower shortage</t>
        </is>
      </c>
      <c r="N38" s="8" t="inlineStr">
        <is>
          <t>Management approval pending</t>
        </is>
      </c>
      <c r="O38" s="8" t="inlineStr">
        <is>
          <t>Medium</t>
        </is>
      </c>
      <c r="P38" s="8" t="inlineStr">
        <is>
          <t>Open</t>
        </is>
      </c>
      <c r="Q38" s="9">
        <f>IFERROR(IF(INDEX(Tbl_KPIMaster[Direction],MATCH($G38,Tbl_KPIMaster[KPI],0))="Lower is Better",IF($J38=0,1,IF($I38=0,0,$I38/$J38)),IF($I38=0,1,$J38/$I38)),0)</f>
        <v/>
      </c>
      <c r="R38" s="8">
        <f>IF(OR($I38="",$J38=""),"",$J38-$I38)</f>
        <v/>
      </c>
      <c r="S38" s="8">
        <f>IFERROR(IF(INDEX(Tbl_KPIMaster[Direction],MATCH($G38,Tbl_KPIMaster[KPI],0))="Lower is Better",IF($J38&lt;=$I38,"Green",IF($J38&lt;=$I38+IF($I38=0,$K38,$I38*$K38),"Amber","Red")),IF($J38&gt;=$I38,"Green",IF($J38&gt;=$I38-IF($I38=0,$K38,$I38*$K38),"Amber","Red"))),"")</f>
        <v/>
      </c>
      <c r="T38" s="10" t="inlineStr"/>
    </row>
    <row r="39">
      <c r="A39" s="3" t="n">
        <v>46131</v>
      </c>
      <c r="B39" s="4">
        <f>IF($A39="","",TEXT($A39,"mmm-yyyy"))</f>
        <v/>
      </c>
      <c r="C39" s="4">
        <f>IF($A39="","","W"&amp;WEEKNUM($A39,2))</f>
        <v/>
      </c>
      <c r="D39" s="4">
        <f>IF($A39="","",TEXT($A39,"ddd"))</f>
        <v/>
      </c>
      <c r="E39" s="4" t="inlineStr">
        <is>
          <t>Cost</t>
        </is>
      </c>
      <c r="F39" s="4">
        <f>IFERROR(INDEX(Tbl_KPIMaster[Category],MATCH($G39,Tbl_KPIMaster[KPI],0)),"")</f>
        <v/>
      </c>
      <c r="G39" s="4" t="inlineStr">
        <is>
          <t>Cost per Unit</t>
        </is>
      </c>
      <c r="H39" s="4">
        <f>IFERROR(INDEX(Tbl_KPIMaster[Unit],MATCH($G39,Tbl_KPIMaster[KPI],0)),"")</f>
        <v/>
      </c>
      <c r="I39" s="5">
        <f>IFERROR(INDEX(Tbl_KPIMaster[Maximum Target],MATCH($G39,Tbl_KPIMaster[KPI],0)),"")</f>
        <v/>
      </c>
      <c r="J39" s="5" t="n">
        <v>37.23</v>
      </c>
      <c r="K39" s="4">
        <f>IFERROR(INDEX(Tbl_KPIMaster[Tolerance],MATCH($G39,Tbl_KPIMaster[KPI],0)),"")</f>
        <v/>
      </c>
      <c r="L39" s="4">
        <f>IFERROR(INDEX(Tbl_KPIMaster[Owner],MATCH($G39,Tbl_KPIMaster[KPI],0)),"")</f>
        <v/>
      </c>
      <c r="M39" s="6" t="inlineStr">
        <is>
          <t>Within normal range</t>
        </is>
      </c>
      <c r="N39" s="4" t="inlineStr">
        <is>
          <t>Management approval pending</t>
        </is>
      </c>
      <c r="O39" s="4" t="inlineStr">
        <is>
          <t>High</t>
        </is>
      </c>
      <c r="P39" s="4" t="inlineStr">
        <is>
          <t>Closed</t>
        </is>
      </c>
      <c r="Q39" s="5">
        <f>IFERROR(IF(INDEX(Tbl_KPIMaster[Direction],MATCH($G39,Tbl_KPIMaster[KPI],0))="Lower is Better",IF($J39=0,1,IF($I39=0,0,$I39/$J39)),IF($I39=0,1,$J39/$I39)),0)</f>
        <v/>
      </c>
      <c r="R39" s="4">
        <f>IF(OR($I39="",$J39=""),"",$J39-$I39)</f>
        <v/>
      </c>
      <c r="S39" s="4">
        <f>IFERROR(IF(INDEX(Tbl_KPIMaster[Direction],MATCH($G39,Tbl_KPIMaster[KPI],0))="Lower is Better",IF($J39&lt;=$I39,"Green",IF($J39&lt;=$I39+IF($I39=0,$K39,$I39*$K39),"Amber","Red")),IF($J39&gt;=$I39,"Green",IF($J39&gt;=$I39-IF($I39=0,$K39,$I39*$K39),"Amber","Red"))),"")</f>
        <v/>
      </c>
      <c r="T39" s="6" t="inlineStr"/>
    </row>
    <row r="40">
      <c r="A40" s="7" t="n">
        <v>46131</v>
      </c>
      <c r="B40" s="8">
        <f>IF($A40="","",TEXT($A40,"mmm-yyyy"))</f>
        <v/>
      </c>
      <c r="C40" s="8">
        <f>IF($A40="","","W"&amp;WEEKNUM($A40,2))</f>
        <v/>
      </c>
      <c r="D40" s="8">
        <f>IF($A40="","",TEXT($A40,"ddd"))</f>
        <v/>
      </c>
      <c r="E40" s="8" t="inlineStr">
        <is>
          <t>Cost</t>
        </is>
      </c>
      <c r="F40" s="8">
        <f>IFERROR(INDEX(Tbl_KPIMaster[Category],MATCH($G40,Tbl_KPIMaster[KPI],0)),"")</f>
        <v/>
      </c>
      <c r="G40" s="8" t="inlineStr">
        <is>
          <t>Budget Variance %</t>
        </is>
      </c>
      <c r="H40" s="8">
        <f>IFERROR(INDEX(Tbl_KPIMaster[Unit],MATCH($G40,Tbl_KPIMaster[KPI],0)),"")</f>
        <v/>
      </c>
      <c r="I40" s="9">
        <f>IFERROR(INDEX(Tbl_KPIMaster[Maximum Target],MATCH($G40,Tbl_KPIMaster[KPI],0)),"")</f>
        <v/>
      </c>
      <c r="J40" s="9" t="n">
        <v>0.6704</v>
      </c>
      <c r="K40" s="8">
        <f>IFERROR(INDEX(Tbl_KPIMaster[Tolerance],MATCH($G40,Tbl_KPIMaster[KPI],0)),"")</f>
        <v/>
      </c>
      <c r="L40" s="8">
        <f>IFERROR(INDEX(Tbl_KPIMaster[Owner],MATCH($G40,Tbl_KPIMaster[KPI],0)),"")</f>
        <v/>
      </c>
      <c r="M40" s="10" t="inlineStr">
        <is>
          <t>Line changeover impact</t>
        </is>
      </c>
      <c r="N40" s="8" t="inlineStr">
        <is>
          <t>Engineering support needed</t>
        </is>
      </c>
      <c r="O40" s="8" t="inlineStr">
        <is>
          <t>Low</t>
        </is>
      </c>
      <c r="P40" s="8" t="inlineStr">
        <is>
          <t>Open</t>
        </is>
      </c>
      <c r="Q40" s="9">
        <f>IFERROR(IF(INDEX(Tbl_KPIMaster[Direction],MATCH($G40,Tbl_KPIMaster[KPI],0))="Lower is Better",IF($J40=0,1,IF($I40=0,0,$I40/$J40)),IF($I40=0,1,$J40/$I40)),0)</f>
        <v/>
      </c>
      <c r="R40" s="8">
        <f>IF(OR($I40="",$J40=""),"",$J40-$I40)</f>
        <v/>
      </c>
      <c r="S40" s="8">
        <f>IFERROR(IF(INDEX(Tbl_KPIMaster[Direction],MATCH($G40,Tbl_KPIMaster[KPI],0))="Lower is Better",IF($J40&lt;=$I40,"Green",IF($J40&lt;=$I40+IF($I40=0,$K40,$I40*$K40),"Amber","Red")),IF($J40&gt;=$I40,"Green",IF($J40&gt;=$I40-IF($I40=0,$K40,$I40*$K40),"Amber","Red"))),"")</f>
        <v/>
      </c>
      <c r="T40" s="10" t="inlineStr"/>
    </row>
    <row r="41">
      <c r="A41" s="3" t="n">
        <v>46131</v>
      </c>
      <c r="B41" s="4">
        <f>IF($A41="","",TEXT($A41,"mmm-yyyy"))</f>
        <v/>
      </c>
      <c r="C41" s="4">
        <f>IF($A41="","","W"&amp;WEEKNUM($A41,2))</f>
        <v/>
      </c>
      <c r="D41" s="4">
        <f>IF($A41="","",TEXT($A41,"ddd"))</f>
        <v/>
      </c>
      <c r="E41" s="4" t="inlineStr">
        <is>
          <t>Energy</t>
        </is>
      </c>
      <c r="F41" s="4">
        <f>IFERROR(INDEX(Tbl_KPIMaster[Category],MATCH($G41,Tbl_KPIMaster[KPI],0)),"")</f>
        <v/>
      </c>
      <c r="G41" s="4" t="inlineStr">
        <is>
          <t>Energy Intensity (kWh/unit)</t>
        </is>
      </c>
      <c r="H41" s="4">
        <f>IFERROR(INDEX(Tbl_KPIMaster[Unit],MATCH($G41,Tbl_KPIMaster[KPI],0)),"")</f>
        <v/>
      </c>
      <c r="I41" s="5">
        <f>IFERROR(INDEX(Tbl_KPIMaster[Maximum Target],MATCH($G41,Tbl_KPIMaster[KPI],0)),"")</f>
        <v/>
      </c>
      <c r="J41" s="5" t="n">
        <v>3.64</v>
      </c>
      <c r="K41" s="4">
        <f>IFERROR(INDEX(Tbl_KPIMaster[Tolerance],MATCH($G41,Tbl_KPIMaster[KPI],0)),"")</f>
        <v/>
      </c>
      <c r="L41" s="4">
        <f>IFERROR(INDEX(Tbl_KPIMaster[Owner],MATCH($G41,Tbl_KPIMaster[KPI],0)),"")</f>
        <v/>
      </c>
      <c r="M41" s="6" t="inlineStr">
        <is>
          <t>Within normal range</t>
        </is>
      </c>
      <c r="N41" s="4" t="inlineStr">
        <is>
          <t>Procurement follow-up</t>
        </is>
      </c>
      <c r="O41" s="4" t="inlineStr">
        <is>
          <t>High</t>
        </is>
      </c>
      <c r="P41" s="4" t="inlineStr">
        <is>
          <t>Closed</t>
        </is>
      </c>
      <c r="Q41" s="5">
        <f>IFERROR(IF(INDEX(Tbl_KPIMaster[Direction],MATCH($G41,Tbl_KPIMaster[KPI],0))="Lower is Better",IF($J41=0,1,IF($I41=0,0,$I41/$J41)),IF($I41=0,1,$J41/$I41)),0)</f>
        <v/>
      </c>
      <c r="R41" s="4">
        <f>IF(OR($I41="",$J41=""),"",$J41-$I41)</f>
        <v/>
      </c>
      <c r="S41" s="4">
        <f>IFERROR(IF(INDEX(Tbl_KPIMaster[Direction],MATCH($G41,Tbl_KPIMaster[KPI],0))="Lower is Better",IF($J41&lt;=$I41,"Green",IF($J41&lt;=$I41+IF($I41=0,$K41,$I41*$K41),"Amber","Red")),IF($J41&gt;=$I41,"Green",IF($J41&gt;=$I41-IF($I41=0,$K41,$I41*$K41),"Amber","Red"))),"")</f>
        <v/>
      </c>
      <c r="T41" s="6" t="inlineStr"/>
    </row>
    <row r="42">
      <c r="A42" s="7" t="n">
        <v>46131</v>
      </c>
      <c r="B42" s="8">
        <f>IF($A42="","",TEXT($A42,"mmm-yyyy"))</f>
        <v/>
      </c>
      <c r="C42" s="8">
        <f>IF($A42="","","W"&amp;WEEKNUM($A42,2))</f>
        <v/>
      </c>
      <c r="D42" s="8">
        <f>IF($A42="","",TEXT($A42,"ddd"))</f>
        <v/>
      </c>
      <c r="E42" s="8" t="inlineStr">
        <is>
          <t>Energy</t>
        </is>
      </c>
      <c r="F42" s="8">
        <f>IFERROR(INDEX(Tbl_KPIMaster[Category],MATCH($G42,Tbl_KPIMaster[KPI],0)),"")</f>
        <v/>
      </c>
      <c r="G42" s="8" t="inlineStr">
        <is>
          <t>Renewable Energy Share %</t>
        </is>
      </c>
      <c r="H42" s="8">
        <f>IFERROR(INDEX(Tbl_KPIMaster[Unit],MATCH($G42,Tbl_KPIMaster[KPI],0)),"")</f>
        <v/>
      </c>
      <c r="I42" s="9">
        <f>IFERROR(INDEX(Tbl_KPIMaster[Maximum Target],MATCH($G42,Tbl_KPIMaster[KPI],0)),"")</f>
        <v/>
      </c>
      <c r="J42" s="9" t="n">
        <v>0.256</v>
      </c>
      <c r="K42" s="8">
        <f>IFERROR(INDEX(Tbl_KPIMaster[Tolerance],MATCH($G42,Tbl_KPIMaster[KPI],0)),"")</f>
        <v/>
      </c>
      <c r="L42" s="8">
        <f>IFERROR(INDEX(Tbl_KPIMaster[Owner],MATCH($G42,Tbl_KPIMaster[KPI],0)),"")</f>
        <v/>
      </c>
      <c r="M42" s="10" t="inlineStr">
        <is>
          <t>Weather impact</t>
        </is>
      </c>
      <c r="N42" s="8" t="inlineStr">
        <is>
          <t>Engineering support needed</t>
        </is>
      </c>
      <c r="O42" s="8" t="inlineStr">
        <is>
          <t>Low</t>
        </is>
      </c>
      <c r="P42" s="8" t="inlineStr">
        <is>
          <t>Closed</t>
        </is>
      </c>
      <c r="Q42" s="9">
        <f>IFERROR(IF(INDEX(Tbl_KPIMaster[Direction],MATCH($G42,Tbl_KPIMaster[KPI],0))="Lower is Better",IF($J42=0,1,IF($I42=0,0,$I42/$J42)),IF($I42=0,1,$J42/$I42)),0)</f>
        <v/>
      </c>
      <c r="R42" s="8">
        <f>IF(OR($I42="",$J42=""),"",$J42-$I42)</f>
        <v/>
      </c>
      <c r="S42" s="8">
        <f>IFERROR(IF(INDEX(Tbl_KPIMaster[Direction],MATCH($G42,Tbl_KPIMaster[KPI],0))="Lower is Better",IF($J42&lt;=$I42,"Green",IF($J42&lt;=$I42+IF($I42=0,$K42,$I42*$K42),"Amber","Red")),IF($J42&gt;=$I42,"Green",IF($J42&gt;=$I42-IF($I42=0,$K42,$I42*$K42),"Amber","Red"))),"")</f>
        <v/>
      </c>
      <c r="T42" s="10" t="inlineStr"/>
    </row>
    <row r="43">
      <c r="A43" s="3" t="n">
        <v>46132</v>
      </c>
      <c r="B43" s="4">
        <f>IF($A43="","",TEXT($A43,"mmm-yyyy"))</f>
        <v/>
      </c>
      <c r="C43" s="4">
        <f>IF($A43="","","W"&amp;WEEKNUM($A43,2))</f>
        <v/>
      </c>
      <c r="D43" s="4">
        <f>IF($A43="","",TEXT($A43,"ddd"))</f>
        <v/>
      </c>
      <c r="E43" s="4" t="inlineStr">
        <is>
          <t>Safety</t>
        </is>
      </c>
      <c r="F43" s="4">
        <f>IFERROR(INDEX(Tbl_KPIMaster[Category],MATCH($G43,Tbl_KPIMaster[KPI],0)),"")</f>
        <v/>
      </c>
      <c r="G43" s="4" t="inlineStr">
        <is>
          <t>Safety Incidents (LTI)</t>
        </is>
      </c>
      <c r="H43" s="4">
        <f>IFERROR(INDEX(Tbl_KPIMaster[Unit],MATCH($G43,Tbl_KPIMaster[KPI],0)),"")</f>
        <v/>
      </c>
      <c r="I43" s="5">
        <f>IFERROR(INDEX(Tbl_KPIMaster[Maximum Target],MATCH($G43,Tbl_KPIMaster[KPI],0)),"")</f>
        <v/>
      </c>
      <c r="J43" s="5" t="n">
        <v>0</v>
      </c>
      <c r="K43" s="4">
        <f>IFERROR(INDEX(Tbl_KPIMaster[Tolerance],MATCH($G43,Tbl_KPIMaster[KPI],0)),"")</f>
        <v/>
      </c>
      <c r="L43" s="4">
        <f>IFERROR(INDEX(Tbl_KPIMaster[Owner],MATCH($G43,Tbl_KPIMaster[KPI],0)),"")</f>
        <v/>
      </c>
      <c r="M43" s="6" t="inlineStr"/>
      <c r="N43" s="4" t="inlineStr"/>
      <c r="O43" s="4" t="inlineStr">
        <is>
          <t>Low</t>
        </is>
      </c>
      <c r="P43" s="4" t="inlineStr">
        <is>
          <t>Closed</t>
        </is>
      </c>
      <c r="Q43" s="5">
        <f>IFERROR(IF(INDEX(Tbl_KPIMaster[Direction],MATCH($G43,Tbl_KPIMaster[KPI],0))="Lower is Better",IF($J43=0,1,IF($I43=0,0,$I43/$J43)),IF($I43=0,1,$J43/$I43)),0)</f>
        <v/>
      </c>
      <c r="R43" s="4">
        <f>IF(OR($I43="",$J43=""),"",$J43-$I43)</f>
        <v/>
      </c>
      <c r="S43" s="4">
        <f>IFERROR(IF(INDEX(Tbl_KPIMaster[Direction],MATCH($G43,Tbl_KPIMaster[KPI],0))="Lower is Better",IF($J43&lt;=$I43,"Green",IF($J43&lt;=$I43+IF($I43=0,$K43,$I43*$K43),"Amber","Red")),IF($J43&gt;=$I43,"Green",IF($J43&gt;=$I43-IF($I43=0,$K43,$I43*$K43),"Amber","Red"))),"")</f>
        <v/>
      </c>
      <c r="T43" s="6" t="inlineStr"/>
    </row>
    <row r="44">
      <c r="A44" s="7" t="n">
        <v>46132</v>
      </c>
      <c r="B44" s="8">
        <f>IF($A44="","",TEXT($A44,"mmm-yyyy"))</f>
        <v/>
      </c>
      <c r="C44" s="8">
        <f>IF($A44="","","W"&amp;WEEKNUM($A44,2))</f>
        <v/>
      </c>
      <c r="D44" s="8">
        <f>IF($A44="","",TEXT($A44,"ddd"))</f>
        <v/>
      </c>
      <c r="E44" s="8" t="inlineStr">
        <is>
          <t>Safety</t>
        </is>
      </c>
      <c r="F44" s="8">
        <f>IFERROR(INDEX(Tbl_KPIMaster[Category],MATCH($G44,Tbl_KPIMaster[KPI],0)),"")</f>
        <v/>
      </c>
      <c r="G44" s="8" t="inlineStr">
        <is>
          <t>Near Miss Reports</t>
        </is>
      </c>
      <c r="H44" s="8">
        <f>IFERROR(INDEX(Tbl_KPIMaster[Unit],MATCH($G44,Tbl_KPIMaster[KPI],0)),"")</f>
        <v/>
      </c>
      <c r="I44" s="9">
        <f>IFERROR(INDEX(Tbl_KPIMaster[Maximum Target],MATCH($G44,Tbl_KPIMaster[KPI],0)),"")</f>
        <v/>
      </c>
      <c r="J44" s="9" t="n">
        <v>2</v>
      </c>
      <c r="K44" s="8">
        <f>IFERROR(INDEX(Tbl_KPIMaster[Tolerance],MATCH($G44,Tbl_KPIMaster[KPI],0)),"")</f>
        <v/>
      </c>
      <c r="L44" s="8">
        <f>IFERROR(INDEX(Tbl_KPIMaster[Owner],MATCH($G44,Tbl_KPIMaster[KPI],0)),"")</f>
        <v/>
      </c>
      <c r="M44" s="10" t="inlineStr">
        <is>
          <t>Line changeover impact</t>
        </is>
      </c>
      <c r="N44" s="8" t="inlineStr"/>
      <c r="O44" s="8" t="inlineStr">
        <is>
          <t>High</t>
        </is>
      </c>
      <c r="P44" s="8" t="inlineStr">
        <is>
          <t>Open</t>
        </is>
      </c>
      <c r="Q44" s="9">
        <f>IFERROR(IF(INDEX(Tbl_KPIMaster[Direction],MATCH($G44,Tbl_KPIMaster[KPI],0))="Lower is Better",IF($J44=0,1,IF($I44=0,0,$I44/$J44)),IF($I44=0,1,$J44/$I44)),0)</f>
        <v/>
      </c>
      <c r="R44" s="8">
        <f>IF(OR($I44="",$J44=""),"",$J44-$I44)</f>
        <v/>
      </c>
      <c r="S44" s="8">
        <f>IFERROR(IF(INDEX(Tbl_KPIMaster[Direction],MATCH($G44,Tbl_KPIMaster[KPI],0))="Lower is Better",IF($J44&lt;=$I44,"Green",IF($J44&lt;=$I44+IF($I44=0,$K44,$I44*$K44),"Amber","Red")),IF($J44&gt;=$I44,"Green",IF($J44&gt;=$I44-IF($I44=0,$K44,$I44*$K44),"Amber","Red"))),"")</f>
        <v/>
      </c>
      <c r="T44" s="10" t="inlineStr"/>
    </row>
    <row r="45">
      <c r="A45" s="3" t="n">
        <v>46132</v>
      </c>
      <c r="B45" s="4">
        <f>IF($A45="","",TEXT($A45,"mmm-yyyy"))</f>
        <v/>
      </c>
      <c r="C45" s="4">
        <f>IF($A45="","","W"&amp;WEEKNUM($A45,2))</f>
        <v/>
      </c>
      <c r="D45" s="4">
        <f>IF($A45="","",TEXT($A45,"ddd"))</f>
        <v/>
      </c>
      <c r="E45" s="4" t="inlineStr">
        <is>
          <t>Production</t>
        </is>
      </c>
      <c r="F45" s="4">
        <f>IFERROR(INDEX(Tbl_KPIMaster[Category],MATCH($G45,Tbl_KPIMaster[KPI],0)),"")</f>
        <v/>
      </c>
      <c r="G45" s="4" t="inlineStr">
        <is>
          <t>Production Output</t>
        </is>
      </c>
      <c r="H45" s="4">
        <f>IFERROR(INDEX(Tbl_KPIMaster[Unit],MATCH($G45,Tbl_KPIMaster[KPI],0)),"")</f>
        <v/>
      </c>
      <c r="I45" s="5">
        <f>IFERROR(INDEX(Tbl_KPIMaster[Maximum Target],MATCH($G45,Tbl_KPIMaster[KPI],0)),"")</f>
        <v/>
      </c>
      <c r="J45" s="5" t="n">
        <v>1079.68</v>
      </c>
      <c r="K45" s="4">
        <f>IFERROR(INDEX(Tbl_KPIMaster[Tolerance],MATCH($G45,Tbl_KPIMaster[KPI],0)),"")</f>
        <v/>
      </c>
      <c r="L45" s="4">
        <f>IFERROR(INDEX(Tbl_KPIMaster[Owner],MATCH($G45,Tbl_KPIMaster[KPI],0)),"")</f>
        <v/>
      </c>
      <c r="M45" s="6" t="inlineStr">
        <is>
          <t>Weather impact</t>
        </is>
      </c>
      <c r="N45" s="4" t="inlineStr"/>
      <c r="O45" s="4" t="inlineStr">
        <is>
          <t>Medium</t>
        </is>
      </c>
      <c r="P45" s="4" t="inlineStr">
        <is>
          <t>Closed</t>
        </is>
      </c>
      <c r="Q45" s="5">
        <f>IFERROR(IF(INDEX(Tbl_KPIMaster[Direction],MATCH($G45,Tbl_KPIMaster[KPI],0))="Lower is Better",IF($J45=0,1,IF($I45=0,0,$I45/$J45)),IF($I45=0,1,$J45/$I45)),0)</f>
        <v/>
      </c>
      <c r="R45" s="4">
        <f>IF(OR($I45="",$J45=""),"",$J45-$I45)</f>
        <v/>
      </c>
      <c r="S45" s="4">
        <f>IFERROR(IF(INDEX(Tbl_KPIMaster[Direction],MATCH($G45,Tbl_KPIMaster[KPI],0))="Lower is Better",IF($J45&lt;=$I45,"Green",IF($J45&lt;=$I45+IF($I45=0,$K45,$I45*$K45),"Amber","Red")),IF($J45&gt;=$I45,"Green",IF($J45&gt;=$I45-IF($I45=0,$K45,$I45*$K45),"Amber","Red"))),"")</f>
        <v/>
      </c>
      <c r="T45" s="6" t="inlineStr"/>
    </row>
    <row r="46">
      <c r="A46" s="7" t="n">
        <v>46132</v>
      </c>
      <c r="B46" s="8">
        <f>IF($A46="","",TEXT($A46,"mmm-yyyy"))</f>
        <v/>
      </c>
      <c r="C46" s="8">
        <f>IF($A46="","","W"&amp;WEEKNUM($A46,2))</f>
        <v/>
      </c>
      <c r="D46" s="8">
        <f>IF($A46="","",TEXT($A46,"ddd"))</f>
        <v/>
      </c>
      <c r="E46" s="8" t="inlineStr">
        <is>
          <t>Production</t>
        </is>
      </c>
      <c r="F46" s="8">
        <f>IFERROR(INDEX(Tbl_KPIMaster[Category],MATCH($G46,Tbl_KPIMaster[KPI],0)),"")</f>
        <v/>
      </c>
      <c r="G46" s="8" t="inlineStr">
        <is>
          <t>OEE %</t>
        </is>
      </c>
      <c r="H46" s="8">
        <f>IFERROR(INDEX(Tbl_KPIMaster[Unit],MATCH($G46,Tbl_KPIMaster[KPI],0)),"")</f>
        <v/>
      </c>
      <c r="I46" s="9">
        <f>IFERROR(INDEX(Tbl_KPIMaster[Maximum Target],MATCH($G46,Tbl_KPIMaster[KPI],0)),"")</f>
        <v/>
      </c>
      <c r="J46" s="9" t="n">
        <v>1.197</v>
      </c>
      <c r="K46" s="8">
        <f>IFERROR(INDEX(Tbl_KPIMaster[Tolerance],MATCH($G46,Tbl_KPIMaster[KPI],0)),"")</f>
        <v/>
      </c>
      <c r="L46" s="8">
        <f>IFERROR(INDEX(Tbl_KPIMaster[Owner],MATCH($G46,Tbl_KPIMaster[KPI],0)),"")</f>
        <v/>
      </c>
      <c r="M46" s="10" t="inlineStr"/>
      <c r="N46" s="8" t="inlineStr"/>
      <c r="O46" s="8" t="inlineStr">
        <is>
          <t>High</t>
        </is>
      </c>
      <c r="P46" s="8" t="inlineStr">
        <is>
          <t>Closed</t>
        </is>
      </c>
      <c r="Q46" s="9">
        <f>IFERROR(IF(INDEX(Tbl_KPIMaster[Direction],MATCH($G46,Tbl_KPIMaster[KPI],0))="Lower is Better",IF($J46=0,1,IF($I46=0,0,$I46/$J46)),IF($I46=0,1,$J46/$I46)),0)</f>
        <v/>
      </c>
      <c r="R46" s="8">
        <f>IF(OR($I46="",$J46=""),"",$J46-$I46)</f>
        <v/>
      </c>
      <c r="S46" s="8">
        <f>IFERROR(IF(INDEX(Tbl_KPIMaster[Direction],MATCH($G46,Tbl_KPIMaster[KPI],0))="Lower is Better",IF($J46&lt;=$I46,"Green",IF($J46&lt;=$I46+IF($I46=0,$K46,$I46*$K46),"Amber","Red")),IF($J46&gt;=$I46,"Green",IF($J46&gt;=$I46-IF($I46=0,$K46,$I46*$K46),"Amber","Red"))),"")</f>
        <v/>
      </c>
      <c r="T46" s="10" t="inlineStr"/>
    </row>
    <row r="47">
      <c r="A47" s="3" t="n">
        <v>46132</v>
      </c>
      <c r="B47" s="4">
        <f>IF($A47="","",TEXT($A47,"mmm-yyyy"))</f>
        <v/>
      </c>
      <c r="C47" s="4">
        <f>IF($A47="","","W"&amp;WEEKNUM($A47,2))</f>
        <v/>
      </c>
      <c r="D47" s="4">
        <f>IF($A47="","",TEXT($A47,"ddd"))</f>
        <v/>
      </c>
      <c r="E47" s="4" t="inlineStr">
        <is>
          <t>Quality</t>
        </is>
      </c>
      <c r="F47" s="4">
        <f>IFERROR(INDEX(Tbl_KPIMaster[Category],MATCH($G47,Tbl_KPIMaster[KPI],0)),"")</f>
        <v/>
      </c>
      <c r="G47" s="4" t="inlineStr">
        <is>
          <t>Defect Rate %</t>
        </is>
      </c>
      <c r="H47" s="4">
        <f>IFERROR(INDEX(Tbl_KPIMaster[Unit],MATCH($G47,Tbl_KPIMaster[KPI],0)),"")</f>
        <v/>
      </c>
      <c r="I47" s="5">
        <f>IFERROR(INDEX(Tbl_KPIMaster[Maximum Target],MATCH($G47,Tbl_KPIMaster[KPI],0)),"")</f>
        <v/>
      </c>
      <c r="J47" s="5" t="n">
        <v>0.5762</v>
      </c>
      <c r="K47" s="4">
        <f>IFERROR(INDEX(Tbl_KPIMaster[Tolerance],MATCH($G47,Tbl_KPIMaster[KPI],0)),"")</f>
        <v/>
      </c>
      <c r="L47" s="4">
        <f>IFERROR(INDEX(Tbl_KPIMaster[Owner],MATCH($G47,Tbl_KPIMaster[KPI],0)),"")</f>
        <v/>
      </c>
      <c r="M47" s="6" t="inlineStr">
        <is>
          <t>Line changeover impact</t>
        </is>
      </c>
      <c r="N47" s="4" t="inlineStr"/>
      <c r="O47" s="4" t="inlineStr">
        <is>
          <t>Medium</t>
        </is>
      </c>
      <c r="P47" s="4" t="inlineStr">
        <is>
          <t>Open</t>
        </is>
      </c>
      <c r="Q47" s="5">
        <f>IFERROR(IF(INDEX(Tbl_KPIMaster[Direction],MATCH($G47,Tbl_KPIMaster[KPI],0))="Lower is Better",IF($J47=0,1,IF($I47=0,0,$I47/$J47)),IF($I47=0,1,$J47/$I47)),0)</f>
        <v/>
      </c>
      <c r="R47" s="4">
        <f>IF(OR($I47="",$J47=""),"",$J47-$I47)</f>
        <v/>
      </c>
      <c r="S47" s="4">
        <f>IFERROR(IF(INDEX(Tbl_KPIMaster[Direction],MATCH($G47,Tbl_KPIMaster[KPI],0))="Lower is Better",IF($J47&lt;=$I47,"Green",IF($J47&lt;=$I47+IF($I47=0,$K47,$I47*$K47),"Amber","Red")),IF($J47&gt;=$I47,"Green",IF($J47&gt;=$I47-IF($I47=0,$K47,$I47*$K47),"Amber","Red"))),"")</f>
        <v/>
      </c>
      <c r="T47" s="6" t="inlineStr"/>
    </row>
    <row r="48">
      <c r="A48" s="7" t="n">
        <v>46132</v>
      </c>
      <c r="B48" s="8">
        <f>IF($A48="","",TEXT($A48,"mmm-yyyy"))</f>
        <v/>
      </c>
      <c r="C48" s="8">
        <f>IF($A48="","","W"&amp;WEEKNUM($A48,2))</f>
        <v/>
      </c>
      <c r="D48" s="8">
        <f>IF($A48="","",TEXT($A48,"ddd"))</f>
        <v/>
      </c>
      <c r="E48" s="8" t="inlineStr">
        <is>
          <t>Quality</t>
        </is>
      </c>
      <c r="F48" s="8">
        <f>IFERROR(INDEX(Tbl_KPIMaster[Category],MATCH($G48,Tbl_KPIMaster[KPI],0)),"")</f>
        <v/>
      </c>
      <c r="G48" s="8" t="inlineStr">
        <is>
          <t>Customer Complaints</t>
        </is>
      </c>
      <c r="H48" s="8">
        <f>IFERROR(INDEX(Tbl_KPIMaster[Unit],MATCH($G48,Tbl_KPIMaster[KPI],0)),"")</f>
        <v/>
      </c>
      <c r="I48" s="9">
        <f>IFERROR(INDEX(Tbl_KPIMaster[Maximum Target],MATCH($G48,Tbl_KPIMaster[KPI],0)),"")</f>
        <v/>
      </c>
      <c r="J48" s="9" t="n">
        <v>0</v>
      </c>
      <c r="K48" s="8">
        <f>IFERROR(INDEX(Tbl_KPIMaster[Tolerance],MATCH($G48,Tbl_KPIMaster[KPI],0)),"")</f>
        <v/>
      </c>
      <c r="L48" s="8">
        <f>IFERROR(INDEX(Tbl_KPIMaster[Owner],MATCH($G48,Tbl_KPIMaster[KPI],0)),"")</f>
        <v/>
      </c>
      <c r="M48" s="10" t="inlineStr">
        <is>
          <t>Process improvement in progress</t>
        </is>
      </c>
      <c r="N48" s="8" t="inlineStr">
        <is>
          <t>Management approval pending</t>
        </is>
      </c>
      <c r="O48" s="8" t="inlineStr">
        <is>
          <t>High</t>
        </is>
      </c>
      <c r="P48" s="8" t="inlineStr">
        <is>
          <t>Closed</t>
        </is>
      </c>
      <c r="Q48" s="9">
        <f>IFERROR(IF(INDEX(Tbl_KPIMaster[Direction],MATCH($G48,Tbl_KPIMaster[KPI],0))="Lower is Better",IF($J48=0,1,IF($I48=0,0,$I48/$J48)),IF($I48=0,1,$J48/$I48)),0)</f>
        <v/>
      </c>
      <c r="R48" s="8">
        <f>IF(OR($I48="",$J48=""),"",$J48-$I48)</f>
        <v/>
      </c>
      <c r="S48" s="8">
        <f>IFERROR(IF(INDEX(Tbl_KPIMaster[Direction],MATCH($G48,Tbl_KPIMaster[KPI],0))="Lower is Better",IF($J48&lt;=$I48,"Green",IF($J48&lt;=$I48+IF($I48=0,$K48,$I48*$K48),"Amber","Red")),IF($J48&gt;=$I48,"Green",IF($J48&gt;=$I48-IF($I48=0,$K48,$I48*$K48),"Amber","Red"))),"")</f>
        <v/>
      </c>
      <c r="T48" s="10" t="inlineStr"/>
    </row>
    <row r="49">
      <c r="A49" s="3" t="n">
        <v>46132</v>
      </c>
      <c r="B49" s="4">
        <f>IF($A49="","",TEXT($A49,"mmm-yyyy"))</f>
        <v/>
      </c>
      <c r="C49" s="4">
        <f>IF($A49="","","W"&amp;WEEKNUM($A49,2))</f>
        <v/>
      </c>
      <c r="D49" s="4">
        <f>IF($A49="","",TEXT($A49,"ddd"))</f>
        <v/>
      </c>
      <c r="E49" s="4" t="inlineStr">
        <is>
          <t>Maintenance</t>
        </is>
      </c>
      <c r="F49" s="4">
        <f>IFERROR(INDEX(Tbl_KPIMaster[Category],MATCH($G49,Tbl_KPIMaster[KPI],0)),"")</f>
        <v/>
      </c>
      <c r="G49" s="4" t="inlineStr">
        <is>
          <t>Unplanned Downtime</t>
        </is>
      </c>
      <c r="H49" s="4">
        <f>IFERROR(INDEX(Tbl_KPIMaster[Unit],MATCH($G49,Tbl_KPIMaster[KPI],0)),"")</f>
        <v/>
      </c>
      <c r="I49" s="5">
        <f>IFERROR(INDEX(Tbl_KPIMaster[Maximum Target],MATCH($G49,Tbl_KPIMaster[KPI],0)),"")</f>
        <v/>
      </c>
      <c r="J49" s="5" t="n">
        <v>0</v>
      </c>
      <c r="K49" s="4">
        <f>IFERROR(INDEX(Tbl_KPIMaster[Tolerance],MATCH($G49,Tbl_KPIMaster[KPI],0)),"")</f>
        <v/>
      </c>
      <c r="L49" s="4">
        <f>IFERROR(INDEX(Tbl_KPIMaster[Owner],MATCH($G49,Tbl_KPIMaster[KPI],0)),"")</f>
        <v/>
      </c>
      <c r="M49" s="6" t="inlineStr"/>
      <c r="N49" s="4" t="inlineStr"/>
      <c r="O49" s="4" t="inlineStr">
        <is>
          <t>Low</t>
        </is>
      </c>
      <c r="P49" s="4" t="inlineStr">
        <is>
          <t>Open</t>
        </is>
      </c>
      <c r="Q49" s="5">
        <f>IFERROR(IF(INDEX(Tbl_KPIMaster[Direction],MATCH($G49,Tbl_KPIMaster[KPI],0))="Lower is Better",IF($J49=0,1,IF($I49=0,0,$I49/$J49)),IF($I49=0,1,$J49/$I49)),0)</f>
        <v/>
      </c>
      <c r="R49" s="4">
        <f>IF(OR($I49="",$J49=""),"",$J49-$I49)</f>
        <v/>
      </c>
      <c r="S49" s="4">
        <f>IFERROR(IF(INDEX(Tbl_KPIMaster[Direction],MATCH($G49,Tbl_KPIMaster[KPI],0))="Lower is Better",IF($J49&lt;=$I49,"Green",IF($J49&lt;=$I49+IF($I49=0,$K49,$I49*$K49),"Amber","Red")),IF($J49&gt;=$I49,"Green",IF($J49&gt;=$I49-IF($I49=0,$K49,$I49*$K49),"Amber","Red"))),"")</f>
        <v/>
      </c>
      <c r="T49" s="6" t="inlineStr"/>
    </row>
    <row r="50">
      <c r="A50" s="7" t="n">
        <v>46132</v>
      </c>
      <c r="B50" s="8">
        <f>IF($A50="","",TEXT($A50,"mmm-yyyy"))</f>
        <v/>
      </c>
      <c r="C50" s="8">
        <f>IF($A50="","","W"&amp;WEEKNUM($A50,2))</f>
        <v/>
      </c>
      <c r="D50" s="8">
        <f>IF($A50="","",TEXT($A50,"ddd"))</f>
        <v/>
      </c>
      <c r="E50" s="8" t="inlineStr">
        <is>
          <t>Maintenance</t>
        </is>
      </c>
      <c r="F50" s="8">
        <f>IFERROR(INDEX(Tbl_KPIMaster[Category],MATCH($G50,Tbl_KPIMaster[KPI],0)),"")</f>
        <v/>
      </c>
      <c r="G50" s="8" t="inlineStr">
        <is>
          <t>PM Compliance %</t>
        </is>
      </c>
      <c r="H50" s="8">
        <f>IFERROR(INDEX(Tbl_KPIMaster[Unit],MATCH($G50,Tbl_KPIMaster[KPI],0)),"")</f>
        <v/>
      </c>
      <c r="I50" s="9">
        <f>IFERROR(INDEX(Tbl_KPIMaster[Maximum Target],MATCH($G50,Tbl_KPIMaster[KPI],0)),"")</f>
        <v/>
      </c>
      <c r="J50" s="9" t="n">
        <v>1.0204</v>
      </c>
      <c r="K50" s="8">
        <f>IFERROR(INDEX(Tbl_KPIMaster[Tolerance],MATCH($G50,Tbl_KPIMaster[KPI],0)),"")</f>
        <v/>
      </c>
      <c r="L50" s="8">
        <f>IFERROR(INDEX(Tbl_KPIMaster[Owner],MATCH($G50,Tbl_KPIMaster[KPI],0)),"")</f>
        <v/>
      </c>
      <c r="M50" s="10" t="inlineStr">
        <is>
          <t>Within normal range</t>
        </is>
      </c>
      <c r="N50" s="8" t="inlineStr"/>
      <c r="O50" s="8" t="inlineStr">
        <is>
          <t>Low</t>
        </is>
      </c>
      <c r="P50" s="8" t="inlineStr">
        <is>
          <t>Closed</t>
        </is>
      </c>
      <c r="Q50" s="9">
        <f>IFERROR(IF(INDEX(Tbl_KPIMaster[Direction],MATCH($G50,Tbl_KPIMaster[KPI],0))="Lower is Better",IF($J50=0,1,IF($I50=0,0,$I50/$J50)),IF($I50=0,1,$J50/$I50)),0)</f>
        <v/>
      </c>
      <c r="R50" s="8">
        <f>IF(OR($I50="",$J50=""),"",$J50-$I50)</f>
        <v/>
      </c>
      <c r="S50" s="8">
        <f>IFERROR(IF(INDEX(Tbl_KPIMaster[Direction],MATCH($G50,Tbl_KPIMaster[KPI],0))="Lower is Better",IF($J50&lt;=$I50,"Green",IF($J50&lt;=$I50+IF($I50=0,$K50,$I50*$K50),"Amber","Red")),IF($J50&gt;=$I50,"Green",IF($J50&gt;=$I50-IF($I50=0,$K50,$I50*$K50),"Amber","Red"))),"")</f>
        <v/>
      </c>
      <c r="T50" s="10" t="inlineStr"/>
    </row>
    <row r="51">
      <c r="A51" s="3" t="n">
        <v>46132</v>
      </c>
      <c r="B51" s="4">
        <f>IF($A51="","",TEXT($A51,"mmm-yyyy"))</f>
        <v/>
      </c>
      <c r="C51" s="4">
        <f>IF($A51="","","W"&amp;WEEKNUM($A51,2))</f>
        <v/>
      </c>
      <c r="D51" s="4">
        <f>IF($A51="","",TEXT($A51,"ddd"))</f>
        <v/>
      </c>
      <c r="E51" s="4" t="inlineStr">
        <is>
          <t>Utilities</t>
        </is>
      </c>
      <c r="F51" s="4">
        <f>IFERROR(INDEX(Tbl_KPIMaster[Category],MATCH($G51,Tbl_KPIMaster[KPI],0)),"")</f>
        <v/>
      </c>
      <c r="G51" s="4" t="inlineStr">
        <is>
          <t>Power Consumption</t>
        </is>
      </c>
      <c r="H51" s="4">
        <f>IFERROR(INDEX(Tbl_KPIMaster[Unit],MATCH($G51,Tbl_KPIMaster[KPI],0)),"")</f>
        <v/>
      </c>
      <c r="I51" s="5">
        <f>IFERROR(INDEX(Tbl_KPIMaster[Maximum Target],MATCH($G51,Tbl_KPIMaster[KPI],0)),"")</f>
        <v/>
      </c>
      <c r="J51" s="5" t="n">
        <v>2743.55</v>
      </c>
      <c r="K51" s="4">
        <f>IFERROR(INDEX(Tbl_KPIMaster[Tolerance],MATCH($G51,Tbl_KPIMaster[KPI],0)),"")</f>
        <v/>
      </c>
      <c r="L51" s="4">
        <f>IFERROR(INDEX(Tbl_KPIMaster[Owner],MATCH($G51,Tbl_KPIMaster[KPI],0)),"")</f>
        <v/>
      </c>
      <c r="M51" s="6" t="inlineStr">
        <is>
          <t>Preventive check done</t>
        </is>
      </c>
      <c r="N51" s="4" t="inlineStr">
        <is>
          <t>Procurement follow-up</t>
        </is>
      </c>
      <c r="O51" s="4" t="inlineStr">
        <is>
          <t>Low</t>
        </is>
      </c>
      <c r="P51" s="4" t="inlineStr">
        <is>
          <t>In Progress</t>
        </is>
      </c>
      <c r="Q51" s="5">
        <f>IFERROR(IF(INDEX(Tbl_KPIMaster[Direction],MATCH($G51,Tbl_KPIMaster[KPI],0))="Lower is Better",IF($J51=0,1,IF($I51=0,0,$I51/$J51)),IF($I51=0,1,$J51/$I51)),0)</f>
        <v/>
      </c>
      <c r="R51" s="4">
        <f>IF(OR($I51="",$J51=""),"",$J51-$I51)</f>
        <v/>
      </c>
      <c r="S51" s="4">
        <f>IFERROR(IF(INDEX(Tbl_KPIMaster[Direction],MATCH($G51,Tbl_KPIMaster[KPI],0))="Lower is Better",IF($J51&lt;=$I51,"Green",IF($J51&lt;=$I51+IF($I51=0,$K51,$I51*$K51),"Amber","Red")),IF($J51&gt;=$I51,"Green",IF($J51&gt;=$I51-IF($I51=0,$K51,$I51*$K51),"Amber","Red"))),"")</f>
        <v/>
      </c>
      <c r="T51" s="6" t="inlineStr"/>
    </row>
    <row r="52">
      <c r="A52" s="7" t="n">
        <v>46132</v>
      </c>
      <c r="B52" s="8">
        <f>IF($A52="","",TEXT($A52,"mmm-yyyy"))</f>
        <v/>
      </c>
      <c r="C52" s="8">
        <f>IF($A52="","","W"&amp;WEEKNUM($A52,2))</f>
        <v/>
      </c>
      <c r="D52" s="8">
        <f>IF($A52="","",TEXT($A52,"ddd"))</f>
        <v/>
      </c>
      <c r="E52" s="8" t="inlineStr">
        <is>
          <t>Utilities</t>
        </is>
      </c>
      <c r="F52" s="8">
        <f>IFERROR(INDEX(Tbl_KPIMaster[Category],MATCH($G52,Tbl_KPIMaster[KPI],0)),"")</f>
        <v/>
      </c>
      <c r="G52" s="8" t="inlineStr">
        <is>
          <t>Water Consumption</t>
        </is>
      </c>
      <c r="H52" s="8">
        <f>IFERROR(INDEX(Tbl_KPIMaster[Unit],MATCH($G52,Tbl_KPIMaster[KPI],0)),"")</f>
        <v/>
      </c>
      <c r="I52" s="9">
        <f>IFERROR(INDEX(Tbl_KPIMaster[Maximum Target],MATCH($G52,Tbl_KPIMaster[KPI],0)),"")</f>
        <v/>
      </c>
      <c r="J52" s="9" t="n">
        <v>47.09</v>
      </c>
      <c r="K52" s="8">
        <f>IFERROR(INDEX(Tbl_KPIMaster[Tolerance],MATCH($G52,Tbl_KPIMaster[KPI],0)),"")</f>
        <v/>
      </c>
      <c r="L52" s="8">
        <f>IFERROR(INDEX(Tbl_KPIMaster[Owner],MATCH($G52,Tbl_KPIMaster[KPI],0)),"")</f>
        <v/>
      </c>
      <c r="M52" s="10" t="inlineStr">
        <is>
          <t>Preventive check done</t>
        </is>
      </c>
      <c r="N52" s="8" t="inlineStr">
        <is>
          <t>Engineering support needed</t>
        </is>
      </c>
      <c r="O52" s="8" t="inlineStr">
        <is>
          <t>Low</t>
        </is>
      </c>
      <c r="P52" s="8" t="inlineStr">
        <is>
          <t>Open</t>
        </is>
      </c>
      <c r="Q52" s="9">
        <f>IFERROR(IF(INDEX(Tbl_KPIMaster[Direction],MATCH($G52,Tbl_KPIMaster[KPI],0))="Lower is Better",IF($J52=0,1,IF($I52=0,0,$I52/$J52)),IF($I52=0,1,$J52/$I52)),0)</f>
        <v/>
      </c>
      <c r="R52" s="8">
        <f>IF(OR($I52="",$J52=""),"",$J52-$I52)</f>
        <v/>
      </c>
      <c r="S52" s="8">
        <f>IFERROR(IF(INDEX(Tbl_KPIMaster[Direction],MATCH($G52,Tbl_KPIMaster[KPI],0))="Lower is Better",IF($J52&lt;=$I52,"Green",IF($J52&lt;=$I52+IF($I52=0,$K52,$I52*$K52),"Amber","Red")),IF($J52&gt;=$I52,"Green",IF($J52&gt;=$I52-IF($I52=0,$K52,$I52*$K52),"Amber","Red"))),"")</f>
        <v/>
      </c>
      <c r="T52" s="10" t="inlineStr"/>
    </row>
    <row r="53">
      <c r="A53" s="3" t="n">
        <v>46132</v>
      </c>
      <c r="B53" s="4">
        <f>IF($A53="","",TEXT($A53,"mmm-yyyy"))</f>
        <v/>
      </c>
      <c r="C53" s="4">
        <f>IF($A53="","","W"&amp;WEEKNUM($A53,2))</f>
        <v/>
      </c>
      <c r="D53" s="4">
        <f>IF($A53="","",TEXT($A53,"ddd"))</f>
        <v/>
      </c>
      <c r="E53" s="4" t="inlineStr">
        <is>
          <t>Warehouse</t>
        </is>
      </c>
      <c r="F53" s="4">
        <f>IFERROR(INDEX(Tbl_KPIMaster[Category],MATCH($G53,Tbl_KPIMaster[KPI],0)),"")</f>
        <v/>
      </c>
      <c r="G53" s="4" t="inlineStr">
        <is>
          <t>On-Time Dispatch %</t>
        </is>
      </c>
      <c r="H53" s="4">
        <f>IFERROR(INDEX(Tbl_KPIMaster[Unit],MATCH($G53,Tbl_KPIMaster[KPI],0)),"")</f>
        <v/>
      </c>
      <c r="I53" s="5">
        <f>IFERROR(INDEX(Tbl_KPIMaster[Maximum Target],MATCH($G53,Tbl_KPIMaster[KPI],0)),"")</f>
        <v/>
      </c>
      <c r="J53" s="5" t="n">
        <v>0.9474</v>
      </c>
      <c r="K53" s="4">
        <f>IFERROR(INDEX(Tbl_KPIMaster[Tolerance],MATCH($G53,Tbl_KPIMaster[KPI],0)),"")</f>
        <v/>
      </c>
      <c r="L53" s="4">
        <f>IFERROR(INDEX(Tbl_KPIMaster[Owner],MATCH($G53,Tbl_KPIMaster[KPI],0)),"")</f>
        <v/>
      </c>
      <c r="M53" s="6" t="inlineStr">
        <is>
          <t>Process improvement in progress</t>
        </is>
      </c>
      <c r="N53" s="4" t="inlineStr"/>
      <c r="O53" s="4" t="inlineStr">
        <is>
          <t>Low</t>
        </is>
      </c>
      <c r="P53" s="4" t="inlineStr">
        <is>
          <t>Open</t>
        </is>
      </c>
      <c r="Q53" s="5">
        <f>IFERROR(IF(INDEX(Tbl_KPIMaster[Direction],MATCH($G53,Tbl_KPIMaster[KPI],0))="Lower is Better",IF($J53=0,1,IF($I53=0,0,$I53/$J53)),IF($I53=0,1,$J53/$I53)),0)</f>
        <v/>
      </c>
      <c r="R53" s="4">
        <f>IF(OR($I53="",$J53=""),"",$J53-$I53)</f>
        <v/>
      </c>
      <c r="S53" s="4">
        <f>IFERROR(IF(INDEX(Tbl_KPIMaster[Direction],MATCH($G53,Tbl_KPIMaster[KPI],0))="Lower is Better",IF($J53&lt;=$I53,"Green",IF($J53&lt;=$I53+IF($I53=0,$K53,$I53*$K53),"Amber","Red")),IF($J53&gt;=$I53,"Green",IF($J53&gt;=$I53-IF($I53=0,$K53,$I53*$K53),"Amber","Red"))),"")</f>
        <v/>
      </c>
      <c r="T53" s="6" t="inlineStr"/>
    </row>
    <row r="54">
      <c r="A54" s="7" t="n">
        <v>46132</v>
      </c>
      <c r="B54" s="8">
        <f>IF($A54="","",TEXT($A54,"mmm-yyyy"))</f>
        <v/>
      </c>
      <c r="C54" s="8">
        <f>IF($A54="","","W"&amp;WEEKNUM($A54,2))</f>
        <v/>
      </c>
      <c r="D54" s="8">
        <f>IF($A54="","",TEXT($A54,"ddd"))</f>
        <v/>
      </c>
      <c r="E54" s="8" t="inlineStr">
        <is>
          <t>Warehouse</t>
        </is>
      </c>
      <c r="F54" s="8">
        <f>IFERROR(INDEX(Tbl_KPIMaster[Category],MATCH($G54,Tbl_KPIMaster[KPI],0)),"")</f>
        <v/>
      </c>
      <c r="G54" s="8" t="inlineStr">
        <is>
          <t>Inventory Accuracy %</t>
        </is>
      </c>
      <c r="H54" s="8">
        <f>IFERROR(INDEX(Tbl_KPIMaster[Unit],MATCH($G54,Tbl_KPIMaster[KPI],0)),"")</f>
        <v/>
      </c>
      <c r="I54" s="9">
        <f>IFERROR(INDEX(Tbl_KPIMaster[Maximum Target],MATCH($G54,Tbl_KPIMaster[KPI],0)),"")</f>
        <v/>
      </c>
      <c r="J54" s="9" t="n">
        <v>0.8051</v>
      </c>
      <c r="K54" s="8">
        <f>IFERROR(INDEX(Tbl_KPIMaster[Tolerance],MATCH($G54,Tbl_KPIMaster[KPI],0)),"")</f>
        <v/>
      </c>
      <c r="L54" s="8">
        <f>IFERROR(INDEX(Tbl_KPIMaster[Owner],MATCH($G54,Tbl_KPIMaster[KPI],0)),"")</f>
        <v/>
      </c>
      <c r="M54" s="10" t="inlineStr">
        <is>
          <t>Weather impact</t>
        </is>
      </c>
      <c r="N54" s="8" t="inlineStr"/>
      <c r="O54" s="8" t="inlineStr">
        <is>
          <t>Medium</t>
        </is>
      </c>
      <c r="P54" s="8" t="inlineStr">
        <is>
          <t>Open</t>
        </is>
      </c>
      <c r="Q54" s="9">
        <f>IFERROR(IF(INDEX(Tbl_KPIMaster[Direction],MATCH($G54,Tbl_KPIMaster[KPI],0))="Lower is Better",IF($J54=0,1,IF($I54=0,0,$I54/$J54)),IF($I54=0,1,$J54/$I54)),0)</f>
        <v/>
      </c>
      <c r="R54" s="8">
        <f>IF(OR($I54="",$J54=""),"",$J54-$I54)</f>
        <v/>
      </c>
      <c r="S54" s="8">
        <f>IFERROR(IF(INDEX(Tbl_KPIMaster[Direction],MATCH($G54,Tbl_KPIMaster[KPI],0))="Lower is Better",IF($J54&lt;=$I54,"Green",IF($J54&lt;=$I54+IF($I54=0,$K54,$I54*$K54),"Amber","Red")),IF($J54&gt;=$I54,"Green",IF($J54&gt;=$I54-IF($I54=0,$K54,$I54*$K54),"Amber","Red"))),"")</f>
        <v/>
      </c>
      <c r="T54" s="10" t="inlineStr"/>
    </row>
    <row r="55">
      <c r="A55" s="3" t="n">
        <v>46132</v>
      </c>
      <c r="B55" s="4">
        <f>IF($A55="","",TEXT($A55,"mmm-yyyy"))</f>
        <v/>
      </c>
      <c r="C55" s="4">
        <f>IF($A55="","","W"&amp;WEEKNUM($A55,2))</f>
        <v/>
      </c>
      <c r="D55" s="4">
        <f>IF($A55="","",TEXT($A55,"ddd"))</f>
        <v/>
      </c>
      <c r="E55" s="4" t="inlineStr">
        <is>
          <t>HR</t>
        </is>
      </c>
      <c r="F55" s="4">
        <f>IFERROR(INDEX(Tbl_KPIMaster[Category],MATCH($G55,Tbl_KPIMaster[KPI],0)),"")</f>
        <v/>
      </c>
      <c r="G55" s="4" t="inlineStr">
        <is>
          <t>Absenteeism %</t>
        </is>
      </c>
      <c r="H55" s="4">
        <f>IFERROR(INDEX(Tbl_KPIMaster[Unit],MATCH($G55,Tbl_KPIMaster[KPI],0)),"")</f>
        <v/>
      </c>
      <c r="I55" s="5">
        <f>IFERROR(INDEX(Tbl_KPIMaster[Maximum Target],MATCH($G55,Tbl_KPIMaster[KPI],0)),"")</f>
        <v/>
      </c>
      <c r="J55" s="5" t="n">
        <v>0</v>
      </c>
      <c r="K55" s="4">
        <f>IFERROR(INDEX(Tbl_KPIMaster[Tolerance],MATCH($G55,Tbl_KPIMaster[KPI],0)),"")</f>
        <v/>
      </c>
      <c r="L55" s="4">
        <f>IFERROR(INDEX(Tbl_KPIMaster[Owner],MATCH($G55,Tbl_KPIMaster[KPI],0)),"")</f>
        <v/>
      </c>
      <c r="M55" s="6" t="inlineStr">
        <is>
          <t>Equipment breakdown</t>
        </is>
      </c>
      <c r="N55" s="4" t="inlineStr"/>
      <c r="O55" s="4" t="inlineStr">
        <is>
          <t>Medium</t>
        </is>
      </c>
      <c r="P55" s="4" t="inlineStr">
        <is>
          <t>Closed</t>
        </is>
      </c>
      <c r="Q55" s="5">
        <f>IFERROR(IF(INDEX(Tbl_KPIMaster[Direction],MATCH($G55,Tbl_KPIMaster[KPI],0))="Lower is Better",IF($J55=0,1,IF($I55=0,0,$I55/$J55)),IF($I55=0,1,$J55/$I55)),0)</f>
        <v/>
      </c>
      <c r="R55" s="4">
        <f>IF(OR($I55="",$J55=""),"",$J55-$I55)</f>
        <v/>
      </c>
      <c r="S55" s="4">
        <f>IFERROR(IF(INDEX(Tbl_KPIMaster[Direction],MATCH($G55,Tbl_KPIMaster[KPI],0))="Lower is Better",IF($J55&lt;=$I55,"Green",IF($J55&lt;=$I55+IF($I55=0,$K55,$I55*$K55),"Amber","Red")),IF($J55&gt;=$I55,"Green",IF($J55&gt;=$I55-IF($I55=0,$K55,$I55*$K55),"Amber","Red"))),"")</f>
        <v/>
      </c>
      <c r="T55" s="6" t="inlineStr"/>
    </row>
    <row r="56">
      <c r="A56" s="7" t="n">
        <v>46132</v>
      </c>
      <c r="B56" s="8">
        <f>IF($A56="","",TEXT($A56,"mmm-yyyy"))</f>
        <v/>
      </c>
      <c r="C56" s="8">
        <f>IF($A56="","","W"&amp;WEEKNUM($A56,2))</f>
        <v/>
      </c>
      <c r="D56" s="8">
        <f>IF($A56="","",TEXT($A56,"ddd"))</f>
        <v/>
      </c>
      <c r="E56" s="8" t="inlineStr">
        <is>
          <t>HR</t>
        </is>
      </c>
      <c r="F56" s="8">
        <f>IFERROR(INDEX(Tbl_KPIMaster[Category],MATCH($G56,Tbl_KPIMaster[KPI],0)),"")</f>
        <v/>
      </c>
      <c r="G56" s="8" t="inlineStr">
        <is>
          <t>Training Hours</t>
        </is>
      </c>
      <c r="H56" s="8">
        <f>IFERROR(INDEX(Tbl_KPIMaster[Unit],MATCH($G56,Tbl_KPIMaster[KPI],0)),"")</f>
        <v/>
      </c>
      <c r="I56" s="9">
        <f>IFERROR(INDEX(Tbl_KPIMaster[Maximum Target],MATCH($G56,Tbl_KPIMaster[KPI],0)),"")</f>
        <v/>
      </c>
      <c r="J56" s="9" t="n">
        <v>1.91</v>
      </c>
      <c r="K56" s="8">
        <f>IFERROR(INDEX(Tbl_KPIMaster[Tolerance],MATCH($G56,Tbl_KPIMaster[KPI],0)),"")</f>
        <v/>
      </c>
      <c r="L56" s="8">
        <f>IFERROR(INDEX(Tbl_KPIMaster[Owner],MATCH($G56,Tbl_KPIMaster[KPI],0)),"")</f>
        <v/>
      </c>
      <c r="M56" s="10" t="inlineStr">
        <is>
          <t>Weather impact</t>
        </is>
      </c>
      <c r="N56" s="8" t="inlineStr"/>
      <c r="O56" s="8" t="inlineStr">
        <is>
          <t>Low</t>
        </is>
      </c>
      <c r="P56" s="8" t="inlineStr">
        <is>
          <t>Open</t>
        </is>
      </c>
      <c r="Q56" s="9">
        <f>IFERROR(IF(INDEX(Tbl_KPIMaster[Direction],MATCH($G56,Tbl_KPIMaster[KPI],0))="Lower is Better",IF($J56=0,1,IF($I56=0,0,$I56/$J56)),IF($I56=0,1,$J56/$I56)),0)</f>
        <v/>
      </c>
      <c r="R56" s="8">
        <f>IF(OR($I56="",$J56=""),"",$J56-$I56)</f>
        <v/>
      </c>
      <c r="S56" s="8">
        <f>IFERROR(IF(INDEX(Tbl_KPIMaster[Direction],MATCH($G56,Tbl_KPIMaster[KPI],0))="Lower is Better",IF($J56&lt;=$I56,"Green",IF($J56&lt;=$I56+IF($I56=0,$K56,$I56*$K56),"Amber","Red")),IF($J56&gt;=$I56,"Green",IF($J56&gt;=$I56-IF($I56=0,$K56,$I56*$K56),"Amber","Red"))),"")</f>
        <v/>
      </c>
      <c r="T56" s="10" t="inlineStr"/>
    </row>
    <row r="57">
      <c r="A57" s="3" t="n">
        <v>46132</v>
      </c>
      <c r="B57" s="4">
        <f>IF($A57="","",TEXT($A57,"mmm-yyyy"))</f>
        <v/>
      </c>
      <c r="C57" s="4">
        <f>IF($A57="","","W"&amp;WEEKNUM($A57,2))</f>
        <v/>
      </c>
      <c r="D57" s="4">
        <f>IF($A57="","",TEXT($A57,"ddd"))</f>
        <v/>
      </c>
      <c r="E57" s="4" t="inlineStr">
        <is>
          <t>Engineering</t>
        </is>
      </c>
      <c r="F57" s="4">
        <f>IFERROR(INDEX(Tbl_KPIMaster[Category],MATCH($G57,Tbl_KPIMaster[KPI],0)),"")</f>
        <v/>
      </c>
      <c r="G57" s="4" t="inlineStr">
        <is>
          <t>Project Milestone Adherence %</t>
        </is>
      </c>
      <c r="H57" s="4">
        <f>IFERROR(INDEX(Tbl_KPIMaster[Unit],MATCH($G57,Tbl_KPIMaster[KPI],0)),"")</f>
        <v/>
      </c>
      <c r="I57" s="5">
        <f>IFERROR(INDEX(Tbl_KPIMaster[Maximum Target],MATCH($G57,Tbl_KPIMaster[KPI],0)),"")</f>
        <v/>
      </c>
      <c r="J57" s="5" t="n">
        <v>1.1731</v>
      </c>
      <c r="K57" s="4">
        <f>IFERROR(INDEX(Tbl_KPIMaster[Tolerance],MATCH($G57,Tbl_KPIMaster[KPI],0)),"")</f>
        <v/>
      </c>
      <c r="L57" s="4">
        <f>IFERROR(INDEX(Tbl_KPIMaster[Owner],MATCH($G57,Tbl_KPIMaster[KPI],0)),"")</f>
        <v/>
      </c>
      <c r="M57" s="6" t="inlineStr">
        <is>
          <t>Equipment breakdown</t>
        </is>
      </c>
      <c r="N57" s="4" t="inlineStr"/>
      <c r="O57" s="4" t="inlineStr">
        <is>
          <t>Low</t>
        </is>
      </c>
      <c r="P57" s="4" t="inlineStr">
        <is>
          <t>In Progress</t>
        </is>
      </c>
      <c r="Q57" s="5">
        <f>IFERROR(IF(INDEX(Tbl_KPIMaster[Direction],MATCH($G57,Tbl_KPIMaster[KPI],0))="Lower is Better",IF($J57=0,1,IF($I57=0,0,$I57/$J57)),IF($I57=0,1,$J57/$I57)),0)</f>
        <v/>
      </c>
      <c r="R57" s="4">
        <f>IF(OR($I57="",$J57=""),"",$J57-$I57)</f>
        <v/>
      </c>
      <c r="S57" s="4">
        <f>IFERROR(IF(INDEX(Tbl_KPIMaster[Direction],MATCH($G57,Tbl_KPIMaster[KPI],0))="Lower is Better",IF($J57&lt;=$I57,"Green",IF($J57&lt;=$I57+IF($I57=0,$K57,$I57*$K57),"Amber","Red")),IF($J57&gt;=$I57,"Green",IF($J57&gt;=$I57-IF($I57=0,$K57,$I57*$K57),"Amber","Red"))),"")</f>
        <v/>
      </c>
      <c r="T57" s="6" t="inlineStr"/>
    </row>
    <row r="58">
      <c r="A58" s="7" t="n">
        <v>46132</v>
      </c>
      <c r="B58" s="8">
        <f>IF($A58="","",TEXT($A58,"mmm-yyyy"))</f>
        <v/>
      </c>
      <c r="C58" s="8">
        <f>IF($A58="","","W"&amp;WEEKNUM($A58,2))</f>
        <v/>
      </c>
      <c r="D58" s="8">
        <f>IF($A58="","",TEXT($A58,"ddd"))</f>
        <v/>
      </c>
      <c r="E58" s="8" t="inlineStr">
        <is>
          <t>Engineering</t>
        </is>
      </c>
      <c r="F58" s="8">
        <f>IFERROR(INDEX(Tbl_KPIMaster[Category],MATCH($G58,Tbl_KPIMaster[KPI],0)),"")</f>
        <v/>
      </c>
      <c r="G58" s="8" t="inlineStr">
        <is>
          <t>Breakdown Resolution Time</t>
        </is>
      </c>
      <c r="H58" s="8">
        <f>IFERROR(INDEX(Tbl_KPIMaster[Unit],MATCH($G58,Tbl_KPIMaster[KPI],0)),"")</f>
        <v/>
      </c>
      <c r="I58" s="9">
        <f>IFERROR(INDEX(Tbl_KPIMaster[Maximum Target],MATCH($G58,Tbl_KPIMaster[KPI],0)),"")</f>
        <v/>
      </c>
      <c r="J58" s="9" t="n">
        <v>0</v>
      </c>
      <c r="K58" s="8">
        <f>IFERROR(INDEX(Tbl_KPIMaster[Tolerance],MATCH($G58,Tbl_KPIMaster[KPI],0)),"")</f>
        <v/>
      </c>
      <c r="L58" s="8">
        <f>IFERROR(INDEX(Tbl_KPIMaster[Owner],MATCH($G58,Tbl_KPIMaster[KPI],0)),"")</f>
        <v/>
      </c>
      <c r="M58" s="10" t="inlineStr">
        <is>
          <t>Process improvement in progress</t>
        </is>
      </c>
      <c r="N58" s="8" t="inlineStr">
        <is>
          <t>Engineering support needed</t>
        </is>
      </c>
      <c r="O58" s="8" t="inlineStr">
        <is>
          <t>High</t>
        </is>
      </c>
      <c r="P58" s="8" t="inlineStr">
        <is>
          <t>Closed</t>
        </is>
      </c>
      <c r="Q58" s="9">
        <f>IFERROR(IF(INDEX(Tbl_KPIMaster[Direction],MATCH($G58,Tbl_KPIMaster[KPI],0))="Lower is Better",IF($J58=0,1,IF($I58=0,0,$I58/$J58)),IF($I58=0,1,$J58/$I58)),0)</f>
        <v/>
      </c>
      <c r="R58" s="8">
        <f>IF(OR($I58="",$J58=""),"",$J58-$I58)</f>
        <v/>
      </c>
      <c r="S58" s="8">
        <f>IFERROR(IF(INDEX(Tbl_KPIMaster[Direction],MATCH($G58,Tbl_KPIMaster[KPI],0))="Lower is Better",IF($J58&lt;=$I58,"Green",IF($J58&lt;=$I58+IF($I58=0,$K58,$I58*$K58),"Amber","Red")),IF($J58&gt;=$I58,"Green",IF($J58&gt;=$I58-IF($I58=0,$K58,$I58*$K58),"Amber","Red"))),"")</f>
        <v/>
      </c>
      <c r="T58" s="10" t="inlineStr"/>
    </row>
    <row r="59">
      <c r="A59" s="3" t="n">
        <v>46132</v>
      </c>
      <c r="B59" s="4">
        <f>IF($A59="","",TEXT($A59,"mmm-yyyy"))</f>
        <v/>
      </c>
      <c r="C59" s="4">
        <f>IF($A59="","","W"&amp;WEEKNUM($A59,2))</f>
        <v/>
      </c>
      <c r="D59" s="4">
        <f>IF($A59="","",TEXT($A59,"ddd"))</f>
        <v/>
      </c>
      <c r="E59" s="4" t="inlineStr">
        <is>
          <t>Cost</t>
        </is>
      </c>
      <c r="F59" s="4">
        <f>IFERROR(INDEX(Tbl_KPIMaster[Category],MATCH($G59,Tbl_KPIMaster[KPI],0)),"")</f>
        <v/>
      </c>
      <c r="G59" s="4" t="inlineStr">
        <is>
          <t>Cost per Unit</t>
        </is>
      </c>
      <c r="H59" s="4">
        <f>IFERROR(INDEX(Tbl_KPIMaster[Unit],MATCH($G59,Tbl_KPIMaster[KPI],0)),"")</f>
        <v/>
      </c>
      <c r="I59" s="5">
        <f>IFERROR(INDEX(Tbl_KPIMaster[Maximum Target],MATCH($G59,Tbl_KPIMaster[KPI],0)),"")</f>
        <v/>
      </c>
      <c r="J59" s="5" t="n">
        <v>44.59</v>
      </c>
      <c r="K59" s="4">
        <f>IFERROR(INDEX(Tbl_KPIMaster[Tolerance],MATCH($G59,Tbl_KPIMaster[KPI],0)),"")</f>
        <v/>
      </c>
      <c r="L59" s="4">
        <f>IFERROR(INDEX(Tbl_KPIMaster[Owner],MATCH($G59,Tbl_KPIMaster[KPI],0)),"")</f>
        <v/>
      </c>
      <c r="M59" s="6" t="inlineStr">
        <is>
          <t>Vendor delay</t>
        </is>
      </c>
      <c r="N59" s="4" t="inlineStr">
        <is>
          <t>Procurement follow-up</t>
        </is>
      </c>
      <c r="O59" s="4" t="inlineStr">
        <is>
          <t>Low</t>
        </is>
      </c>
      <c r="P59" s="4" t="inlineStr">
        <is>
          <t>Open</t>
        </is>
      </c>
      <c r="Q59" s="5">
        <f>IFERROR(IF(INDEX(Tbl_KPIMaster[Direction],MATCH($G59,Tbl_KPIMaster[KPI],0))="Lower is Better",IF($J59=0,1,IF($I59=0,0,$I59/$J59)),IF($I59=0,1,$J59/$I59)),0)</f>
        <v/>
      </c>
      <c r="R59" s="4">
        <f>IF(OR($I59="",$J59=""),"",$J59-$I59)</f>
        <v/>
      </c>
      <c r="S59" s="4">
        <f>IFERROR(IF(INDEX(Tbl_KPIMaster[Direction],MATCH($G59,Tbl_KPIMaster[KPI],0))="Lower is Better",IF($J59&lt;=$I59,"Green",IF($J59&lt;=$I59+IF($I59=0,$K59,$I59*$K59),"Amber","Red")),IF($J59&gt;=$I59,"Green",IF($J59&gt;=$I59-IF($I59=0,$K59,$I59*$K59),"Amber","Red"))),"")</f>
        <v/>
      </c>
      <c r="T59" s="6" t="inlineStr"/>
    </row>
    <row r="60">
      <c r="A60" s="7" t="n">
        <v>46132</v>
      </c>
      <c r="B60" s="8">
        <f>IF($A60="","",TEXT($A60,"mmm-yyyy"))</f>
        <v/>
      </c>
      <c r="C60" s="8">
        <f>IF($A60="","","W"&amp;WEEKNUM($A60,2))</f>
        <v/>
      </c>
      <c r="D60" s="8">
        <f>IF($A60="","",TEXT($A60,"ddd"))</f>
        <v/>
      </c>
      <c r="E60" s="8" t="inlineStr">
        <is>
          <t>Cost</t>
        </is>
      </c>
      <c r="F60" s="8">
        <f>IFERROR(INDEX(Tbl_KPIMaster[Category],MATCH($G60,Tbl_KPIMaster[KPI],0)),"")</f>
        <v/>
      </c>
      <c r="G60" s="8" t="inlineStr">
        <is>
          <t>Budget Variance %</t>
        </is>
      </c>
      <c r="H60" s="8">
        <f>IFERROR(INDEX(Tbl_KPIMaster[Unit],MATCH($G60,Tbl_KPIMaster[KPI],0)),"")</f>
        <v/>
      </c>
      <c r="I60" s="9">
        <f>IFERROR(INDEX(Tbl_KPIMaster[Maximum Target],MATCH($G60,Tbl_KPIMaster[KPI],0)),"")</f>
        <v/>
      </c>
      <c r="J60" s="9" t="n">
        <v>0.9949</v>
      </c>
      <c r="K60" s="8">
        <f>IFERROR(INDEX(Tbl_KPIMaster[Tolerance],MATCH($G60,Tbl_KPIMaster[KPI],0)),"")</f>
        <v/>
      </c>
      <c r="L60" s="8">
        <f>IFERROR(INDEX(Tbl_KPIMaster[Owner],MATCH($G60,Tbl_KPIMaster[KPI],0)),"")</f>
        <v/>
      </c>
      <c r="M60" s="10" t="inlineStr">
        <is>
          <t>Weather impact</t>
        </is>
      </c>
      <c r="N60" s="8" t="inlineStr"/>
      <c r="O60" s="8" t="inlineStr">
        <is>
          <t>High</t>
        </is>
      </c>
      <c r="P60" s="8" t="inlineStr">
        <is>
          <t>Closed</t>
        </is>
      </c>
      <c r="Q60" s="9">
        <f>IFERROR(IF(INDEX(Tbl_KPIMaster[Direction],MATCH($G60,Tbl_KPIMaster[KPI],0))="Lower is Better",IF($J60=0,1,IF($I60=0,0,$I60/$J60)),IF($I60=0,1,$J60/$I60)),0)</f>
        <v/>
      </c>
      <c r="R60" s="8">
        <f>IF(OR($I60="",$J60=""),"",$J60-$I60)</f>
        <v/>
      </c>
      <c r="S60" s="8">
        <f>IFERROR(IF(INDEX(Tbl_KPIMaster[Direction],MATCH($G60,Tbl_KPIMaster[KPI],0))="Lower is Better",IF($J60&lt;=$I60,"Green",IF($J60&lt;=$I60+IF($I60=0,$K60,$I60*$K60),"Amber","Red")),IF($J60&gt;=$I60,"Green",IF($J60&gt;=$I60-IF($I60=0,$K60,$I60*$K60),"Amber","Red"))),"")</f>
        <v/>
      </c>
      <c r="T60" s="10" t="inlineStr"/>
    </row>
    <row r="61">
      <c r="A61" s="3" t="n">
        <v>46132</v>
      </c>
      <c r="B61" s="4">
        <f>IF($A61="","",TEXT($A61,"mmm-yyyy"))</f>
        <v/>
      </c>
      <c r="C61" s="4">
        <f>IF($A61="","","W"&amp;WEEKNUM($A61,2))</f>
        <v/>
      </c>
      <c r="D61" s="4">
        <f>IF($A61="","",TEXT($A61,"ddd"))</f>
        <v/>
      </c>
      <c r="E61" s="4" t="inlineStr">
        <is>
          <t>Energy</t>
        </is>
      </c>
      <c r="F61" s="4">
        <f>IFERROR(INDEX(Tbl_KPIMaster[Category],MATCH($G61,Tbl_KPIMaster[KPI],0)),"")</f>
        <v/>
      </c>
      <c r="G61" s="4" t="inlineStr">
        <is>
          <t>Energy Intensity (kWh/unit)</t>
        </is>
      </c>
      <c r="H61" s="4">
        <f>IFERROR(INDEX(Tbl_KPIMaster[Unit],MATCH($G61,Tbl_KPIMaster[KPI],0)),"")</f>
        <v/>
      </c>
      <c r="I61" s="5">
        <f>IFERROR(INDEX(Tbl_KPIMaster[Maximum Target],MATCH($G61,Tbl_KPIMaster[KPI],0)),"")</f>
        <v/>
      </c>
      <c r="J61" s="5" t="n">
        <v>3.58</v>
      </c>
      <c r="K61" s="4">
        <f>IFERROR(INDEX(Tbl_KPIMaster[Tolerance],MATCH($G61,Tbl_KPIMaster[KPI],0)),"")</f>
        <v/>
      </c>
      <c r="L61" s="4">
        <f>IFERROR(INDEX(Tbl_KPIMaster[Owner],MATCH($G61,Tbl_KPIMaster[KPI],0)),"")</f>
        <v/>
      </c>
      <c r="M61" s="6" t="inlineStr"/>
      <c r="N61" s="4" t="inlineStr">
        <is>
          <t>Management approval pending</t>
        </is>
      </c>
      <c r="O61" s="4" t="inlineStr">
        <is>
          <t>Medium</t>
        </is>
      </c>
      <c r="P61" s="4" t="inlineStr">
        <is>
          <t>In Progress</t>
        </is>
      </c>
      <c r="Q61" s="5">
        <f>IFERROR(IF(INDEX(Tbl_KPIMaster[Direction],MATCH($G61,Tbl_KPIMaster[KPI],0))="Lower is Better",IF($J61=0,1,IF($I61=0,0,$I61/$J61)),IF($I61=0,1,$J61/$I61)),0)</f>
        <v/>
      </c>
      <c r="R61" s="4">
        <f>IF(OR($I61="",$J61=""),"",$J61-$I61)</f>
        <v/>
      </c>
      <c r="S61" s="4">
        <f>IFERROR(IF(INDEX(Tbl_KPIMaster[Direction],MATCH($G61,Tbl_KPIMaster[KPI],0))="Lower is Better",IF($J61&lt;=$I61,"Green",IF($J61&lt;=$I61+IF($I61=0,$K61,$I61*$K61),"Amber","Red")),IF($J61&gt;=$I61,"Green",IF($J61&gt;=$I61-IF($I61=0,$K61,$I61*$K61),"Amber","Red"))),"")</f>
        <v/>
      </c>
      <c r="T61" s="6" t="inlineStr"/>
    </row>
    <row r="62">
      <c r="A62" s="7" t="n">
        <v>46132</v>
      </c>
      <c r="B62" s="8">
        <f>IF($A62="","",TEXT($A62,"mmm-yyyy"))</f>
        <v/>
      </c>
      <c r="C62" s="8">
        <f>IF($A62="","","W"&amp;WEEKNUM($A62,2))</f>
        <v/>
      </c>
      <c r="D62" s="8">
        <f>IF($A62="","",TEXT($A62,"ddd"))</f>
        <v/>
      </c>
      <c r="E62" s="8" t="inlineStr">
        <is>
          <t>Energy</t>
        </is>
      </c>
      <c r="F62" s="8">
        <f>IFERROR(INDEX(Tbl_KPIMaster[Category],MATCH($G62,Tbl_KPIMaster[KPI],0)),"")</f>
        <v/>
      </c>
      <c r="G62" s="8" t="inlineStr">
        <is>
          <t>Renewable Energy Share %</t>
        </is>
      </c>
      <c r="H62" s="8">
        <f>IFERROR(INDEX(Tbl_KPIMaster[Unit],MATCH($G62,Tbl_KPIMaster[KPI],0)),"")</f>
        <v/>
      </c>
      <c r="I62" s="9">
        <f>IFERROR(INDEX(Tbl_KPIMaster[Maximum Target],MATCH($G62,Tbl_KPIMaster[KPI],0)),"")</f>
        <v/>
      </c>
      <c r="J62" s="9" t="n">
        <v>0.2185</v>
      </c>
      <c r="K62" s="8">
        <f>IFERROR(INDEX(Tbl_KPIMaster[Tolerance],MATCH($G62,Tbl_KPIMaster[KPI],0)),"")</f>
        <v/>
      </c>
      <c r="L62" s="8">
        <f>IFERROR(INDEX(Tbl_KPIMaster[Owner],MATCH($G62,Tbl_KPIMaster[KPI],0)),"")</f>
        <v/>
      </c>
      <c r="M62" s="10" t="inlineStr">
        <is>
          <t>Within normal range</t>
        </is>
      </c>
      <c r="N62" s="8" t="inlineStr">
        <is>
          <t>Procurement follow-up</t>
        </is>
      </c>
      <c r="O62" s="8" t="inlineStr">
        <is>
          <t>High</t>
        </is>
      </c>
      <c r="P62" s="8" t="inlineStr">
        <is>
          <t>Closed</t>
        </is>
      </c>
      <c r="Q62" s="9">
        <f>IFERROR(IF(INDEX(Tbl_KPIMaster[Direction],MATCH($G62,Tbl_KPIMaster[KPI],0))="Lower is Better",IF($J62=0,1,IF($I62=0,0,$I62/$J62)),IF($I62=0,1,$J62/$I62)),0)</f>
        <v/>
      </c>
      <c r="R62" s="8">
        <f>IF(OR($I62="",$J62=""),"",$J62-$I62)</f>
        <v/>
      </c>
      <c r="S62" s="8">
        <f>IFERROR(IF(INDEX(Tbl_KPIMaster[Direction],MATCH($G62,Tbl_KPIMaster[KPI],0))="Lower is Better",IF($J62&lt;=$I62,"Green",IF($J62&lt;=$I62+IF($I62=0,$K62,$I62*$K62),"Amber","Red")),IF($J62&gt;=$I62,"Green",IF($J62&gt;=$I62-IF($I62=0,$K62,$I62*$K62),"Amber","Red"))),"")</f>
        <v/>
      </c>
      <c r="T62" s="10" t="inlineStr"/>
    </row>
    <row r="63">
      <c r="A63" s="3" t="n">
        <v>46133</v>
      </c>
      <c r="B63" s="4">
        <f>IF($A63="","",TEXT($A63,"mmm-yyyy"))</f>
        <v/>
      </c>
      <c r="C63" s="4">
        <f>IF($A63="","","W"&amp;WEEKNUM($A63,2))</f>
        <v/>
      </c>
      <c r="D63" s="4">
        <f>IF($A63="","",TEXT($A63,"ddd"))</f>
        <v/>
      </c>
      <c r="E63" s="4" t="inlineStr">
        <is>
          <t>Safety</t>
        </is>
      </c>
      <c r="F63" s="4">
        <f>IFERROR(INDEX(Tbl_KPIMaster[Category],MATCH($G63,Tbl_KPIMaster[KPI],0)),"")</f>
        <v/>
      </c>
      <c r="G63" s="4" t="inlineStr">
        <is>
          <t>Safety Incidents (LTI)</t>
        </is>
      </c>
      <c r="H63" s="4">
        <f>IFERROR(INDEX(Tbl_KPIMaster[Unit],MATCH($G63,Tbl_KPIMaster[KPI],0)),"")</f>
        <v/>
      </c>
      <c r="I63" s="5">
        <f>IFERROR(INDEX(Tbl_KPIMaster[Maximum Target],MATCH($G63,Tbl_KPIMaster[KPI],0)),"")</f>
        <v/>
      </c>
      <c r="J63" s="5" t="n">
        <v>0</v>
      </c>
      <c r="K63" s="4">
        <f>IFERROR(INDEX(Tbl_KPIMaster[Tolerance],MATCH($G63,Tbl_KPIMaster[KPI],0)),"")</f>
        <v/>
      </c>
      <c r="L63" s="4">
        <f>IFERROR(INDEX(Tbl_KPIMaster[Owner],MATCH($G63,Tbl_KPIMaster[KPI],0)),"")</f>
        <v/>
      </c>
      <c r="M63" s="6" t="inlineStr">
        <is>
          <t>Within normal range</t>
        </is>
      </c>
      <c r="N63" s="4" t="inlineStr"/>
      <c r="O63" s="4" t="inlineStr">
        <is>
          <t>Medium</t>
        </is>
      </c>
      <c r="P63" s="4" t="inlineStr">
        <is>
          <t>Closed</t>
        </is>
      </c>
      <c r="Q63" s="5">
        <f>IFERROR(IF(INDEX(Tbl_KPIMaster[Direction],MATCH($G63,Tbl_KPIMaster[KPI],0))="Lower is Better",IF($J63=0,1,IF($I63=0,0,$I63/$J63)),IF($I63=0,1,$J63/$I63)),0)</f>
        <v/>
      </c>
      <c r="R63" s="4">
        <f>IF(OR($I63="",$J63=""),"",$J63-$I63)</f>
        <v/>
      </c>
      <c r="S63" s="4">
        <f>IFERROR(IF(INDEX(Tbl_KPIMaster[Direction],MATCH($G63,Tbl_KPIMaster[KPI],0))="Lower is Better",IF($J63&lt;=$I63,"Green",IF($J63&lt;=$I63+IF($I63=0,$K63,$I63*$K63),"Amber","Red")),IF($J63&gt;=$I63,"Green",IF($J63&gt;=$I63-IF($I63=0,$K63,$I63*$K63),"Amber","Red"))),"")</f>
        <v/>
      </c>
      <c r="T63" s="6" t="inlineStr"/>
    </row>
    <row r="64">
      <c r="A64" s="7" t="n">
        <v>46133</v>
      </c>
      <c r="B64" s="8">
        <f>IF($A64="","",TEXT($A64,"mmm-yyyy"))</f>
        <v/>
      </c>
      <c r="C64" s="8">
        <f>IF($A64="","","W"&amp;WEEKNUM($A64,2))</f>
        <v/>
      </c>
      <c r="D64" s="8">
        <f>IF($A64="","",TEXT($A64,"ddd"))</f>
        <v/>
      </c>
      <c r="E64" s="8" t="inlineStr">
        <is>
          <t>Safety</t>
        </is>
      </c>
      <c r="F64" s="8">
        <f>IFERROR(INDEX(Tbl_KPIMaster[Category],MATCH($G64,Tbl_KPIMaster[KPI],0)),"")</f>
        <v/>
      </c>
      <c r="G64" s="8" t="inlineStr">
        <is>
          <t>Near Miss Reports</t>
        </is>
      </c>
      <c r="H64" s="8">
        <f>IFERROR(INDEX(Tbl_KPIMaster[Unit],MATCH($G64,Tbl_KPIMaster[KPI],0)),"")</f>
        <v/>
      </c>
      <c r="I64" s="9">
        <f>IFERROR(INDEX(Tbl_KPIMaster[Maximum Target],MATCH($G64,Tbl_KPIMaster[KPI],0)),"")</f>
        <v/>
      </c>
      <c r="J64" s="9" t="n">
        <v>2</v>
      </c>
      <c r="K64" s="8">
        <f>IFERROR(INDEX(Tbl_KPIMaster[Tolerance],MATCH($G64,Tbl_KPIMaster[KPI],0)),"")</f>
        <v/>
      </c>
      <c r="L64" s="8">
        <f>IFERROR(INDEX(Tbl_KPIMaster[Owner],MATCH($G64,Tbl_KPIMaster[KPI],0)),"")</f>
        <v/>
      </c>
      <c r="M64" s="10" t="inlineStr">
        <is>
          <t>Weather impact</t>
        </is>
      </c>
      <c r="N64" s="8" t="inlineStr"/>
      <c r="O64" s="8" t="inlineStr">
        <is>
          <t>Low</t>
        </is>
      </c>
      <c r="P64" s="8" t="inlineStr">
        <is>
          <t>Open</t>
        </is>
      </c>
      <c r="Q64" s="9">
        <f>IFERROR(IF(INDEX(Tbl_KPIMaster[Direction],MATCH($G64,Tbl_KPIMaster[KPI],0))="Lower is Better",IF($J64=0,1,IF($I64=0,0,$I64/$J64)),IF($I64=0,1,$J64/$I64)),0)</f>
        <v/>
      </c>
      <c r="R64" s="8">
        <f>IF(OR($I64="",$J64=""),"",$J64-$I64)</f>
        <v/>
      </c>
      <c r="S64" s="8">
        <f>IFERROR(IF(INDEX(Tbl_KPIMaster[Direction],MATCH($G64,Tbl_KPIMaster[KPI],0))="Lower is Better",IF($J64&lt;=$I64,"Green",IF($J64&lt;=$I64+IF($I64=0,$K64,$I64*$K64),"Amber","Red")),IF($J64&gt;=$I64,"Green",IF($J64&gt;=$I64-IF($I64=0,$K64,$I64*$K64),"Amber","Red"))),"")</f>
        <v/>
      </c>
      <c r="T64" s="10" t="inlineStr"/>
    </row>
    <row r="65">
      <c r="A65" s="3" t="n">
        <v>46133</v>
      </c>
      <c r="B65" s="4">
        <f>IF($A65="","",TEXT($A65,"mmm-yyyy"))</f>
        <v/>
      </c>
      <c r="C65" s="4">
        <f>IF($A65="","","W"&amp;WEEKNUM($A65,2))</f>
        <v/>
      </c>
      <c r="D65" s="4">
        <f>IF($A65="","",TEXT($A65,"ddd"))</f>
        <v/>
      </c>
      <c r="E65" s="4" t="inlineStr">
        <is>
          <t>Production</t>
        </is>
      </c>
      <c r="F65" s="4">
        <f>IFERROR(INDEX(Tbl_KPIMaster[Category],MATCH($G65,Tbl_KPIMaster[KPI],0)),"")</f>
        <v/>
      </c>
      <c r="G65" s="4" t="inlineStr">
        <is>
          <t>Production Output</t>
        </is>
      </c>
      <c r="H65" s="4">
        <f>IFERROR(INDEX(Tbl_KPIMaster[Unit],MATCH($G65,Tbl_KPIMaster[KPI],0)),"")</f>
        <v/>
      </c>
      <c r="I65" s="5">
        <f>IFERROR(INDEX(Tbl_KPIMaster[Maximum Target],MATCH($G65,Tbl_KPIMaster[KPI],0)),"")</f>
        <v/>
      </c>
      <c r="J65" s="5" t="n">
        <v>989.3099999999999</v>
      </c>
      <c r="K65" s="4">
        <f>IFERROR(INDEX(Tbl_KPIMaster[Tolerance],MATCH($G65,Tbl_KPIMaster[KPI],0)),"")</f>
        <v/>
      </c>
      <c r="L65" s="4">
        <f>IFERROR(INDEX(Tbl_KPIMaster[Owner],MATCH($G65,Tbl_KPIMaster[KPI],0)),"")</f>
        <v/>
      </c>
      <c r="M65" s="6" t="inlineStr">
        <is>
          <t>Awaiting spares</t>
        </is>
      </c>
      <c r="N65" s="4" t="inlineStr"/>
      <c r="O65" s="4" t="inlineStr">
        <is>
          <t>Low</t>
        </is>
      </c>
      <c r="P65" s="4" t="inlineStr">
        <is>
          <t>Open</t>
        </is>
      </c>
      <c r="Q65" s="5">
        <f>IFERROR(IF(INDEX(Tbl_KPIMaster[Direction],MATCH($G65,Tbl_KPIMaster[KPI],0))="Lower is Better",IF($J65=0,1,IF($I65=0,0,$I65/$J65)),IF($I65=0,1,$J65/$I65)),0)</f>
        <v/>
      </c>
      <c r="R65" s="4">
        <f>IF(OR($I65="",$J65=""),"",$J65-$I65)</f>
        <v/>
      </c>
      <c r="S65" s="4">
        <f>IFERROR(IF(INDEX(Tbl_KPIMaster[Direction],MATCH($G65,Tbl_KPIMaster[KPI],0))="Lower is Better",IF($J65&lt;=$I65,"Green",IF($J65&lt;=$I65+IF($I65=0,$K65,$I65*$K65),"Amber","Red")),IF($J65&gt;=$I65,"Green",IF($J65&gt;=$I65-IF($I65=0,$K65,$I65*$K65),"Amber","Red"))),"")</f>
        <v/>
      </c>
      <c r="T65" s="6" t="inlineStr"/>
    </row>
    <row r="66">
      <c r="A66" s="7" t="n">
        <v>46133</v>
      </c>
      <c r="B66" s="8">
        <f>IF($A66="","",TEXT($A66,"mmm-yyyy"))</f>
        <v/>
      </c>
      <c r="C66" s="8">
        <f>IF($A66="","","W"&amp;WEEKNUM($A66,2))</f>
        <v/>
      </c>
      <c r="D66" s="8">
        <f>IF($A66="","",TEXT($A66,"ddd"))</f>
        <v/>
      </c>
      <c r="E66" s="8" t="inlineStr">
        <is>
          <t>Production</t>
        </is>
      </c>
      <c r="F66" s="8">
        <f>IFERROR(INDEX(Tbl_KPIMaster[Category],MATCH($G66,Tbl_KPIMaster[KPI],0)),"")</f>
        <v/>
      </c>
      <c r="G66" s="8" t="inlineStr">
        <is>
          <t>OEE %</t>
        </is>
      </c>
      <c r="H66" s="8">
        <f>IFERROR(INDEX(Tbl_KPIMaster[Unit],MATCH($G66,Tbl_KPIMaster[KPI],0)),"")</f>
        <v/>
      </c>
      <c r="I66" s="9">
        <f>IFERROR(INDEX(Tbl_KPIMaster[Maximum Target],MATCH($G66,Tbl_KPIMaster[KPI],0)),"")</f>
        <v/>
      </c>
      <c r="J66" s="9" t="n">
        <v>0.8681</v>
      </c>
      <c r="K66" s="8">
        <f>IFERROR(INDEX(Tbl_KPIMaster[Tolerance],MATCH($G66,Tbl_KPIMaster[KPI],0)),"")</f>
        <v/>
      </c>
      <c r="L66" s="8">
        <f>IFERROR(INDEX(Tbl_KPIMaster[Owner],MATCH($G66,Tbl_KPIMaster[KPI],0)),"")</f>
        <v/>
      </c>
      <c r="M66" s="10" t="inlineStr">
        <is>
          <t>Weather impact</t>
        </is>
      </c>
      <c r="N66" s="8" t="inlineStr"/>
      <c r="O66" s="8" t="inlineStr">
        <is>
          <t>Low</t>
        </is>
      </c>
      <c r="P66" s="8" t="inlineStr">
        <is>
          <t>Closed</t>
        </is>
      </c>
      <c r="Q66" s="9">
        <f>IFERROR(IF(INDEX(Tbl_KPIMaster[Direction],MATCH($G66,Tbl_KPIMaster[KPI],0))="Lower is Better",IF($J66=0,1,IF($I66=0,0,$I66/$J66)),IF($I66=0,1,$J66/$I66)),0)</f>
        <v/>
      </c>
      <c r="R66" s="8">
        <f>IF(OR($I66="",$J66=""),"",$J66-$I66)</f>
        <v/>
      </c>
      <c r="S66" s="8">
        <f>IFERROR(IF(INDEX(Tbl_KPIMaster[Direction],MATCH($G66,Tbl_KPIMaster[KPI],0))="Lower is Better",IF($J66&lt;=$I66,"Green",IF($J66&lt;=$I66+IF($I66=0,$K66,$I66*$K66),"Amber","Red")),IF($J66&gt;=$I66,"Green",IF($J66&gt;=$I66-IF($I66=0,$K66,$I66*$K66),"Amber","Red"))),"")</f>
        <v/>
      </c>
      <c r="T66" s="10" t="inlineStr"/>
    </row>
    <row r="67">
      <c r="A67" s="3" t="n">
        <v>46133</v>
      </c>
      <c r="B67" s="4">
        <f>IF($A67="","",TEXT($A67,"mmm-yyyy"))</f>
        <v/>
      </c>
      <c r="C67" s="4">
        <f>IF($A67="","","W"&amp;WEEKNUM($A67,2))</f>
        <v/>
      </c>
      <c r="D67" s="4">
        <f>IF($A67="","",TEXT($A67,"ddd"))</f>
        <v/>
      </c>
      <c r="E67" s="4" t="inlineStr">
        <is>
          <t>Quality</t>
        </is>
      </c>
      <c r="F67" s="4">
        <f>IFERROR(INDEX(Tbl_KPIMaster[Category],MATCH($G67,Tbl_KPIMaster[KPI],0)),"")</f>
        <v/>
      </c>
      <c r="G67" s="4" t="inlineStr">
        <is>
          <t>Defect Rate %</t>
        </is>
      </c>
      <c r="H67" s="4">
        <f>IFERROR(INDEX(Tbl_KPIMaster[Unit],MATCH($G67,Tbl_KPIMaster[KPI],0)),"")</f>
        <v/>
      </c>
      <c r="I67" s="5">
        <f>IFERROR(INDEX(Tbl_KPIMaster[Maximum Target],MATCH($G67,Tbl_KPIMaster[KPI],0)),"")</f>
        <v/>
      </c>
      <c r="J67" s="5" t="n">
        <v>0.2104</v>
      </c>
      <c r="K67" s="4">
        <f>IFERROR(INDEX(Tbl_KPIMaster[Tolerance],MATCH($G67,Tbl_KPIMaster[KPI],0)),"")</f>
        <v/>
      </c>
      <c r="L67" s="4">
        <f>IFERROR(INDEX(Tbl_KPIMaster[Owner],MATCH($G67,Tbl_KPIMaster[KPI],0)),"")</f>
        <v/>
      </c>
      <c r="M67" s="6" t="inlineStr">
        <is>
          <t>Preventive check done</t>
        </is>
      </c>
      <c r="N67" s="4" t="inlineStr"/>
      <c r="O67" s="4" t="inlineStr">
        <is>
          <t>Low</t>
        </is>
      </c>
      <c r="P67" s="4" t="inlineStr">
        <is>
          <t>Open</t>
        </is>
      </c>
      <c r="Q67" s="5">
        <f>IFERROR(IF(INDEX(Tbl_KPIMaster[Direction],MATCH($G67,Tbl_KPIMaster[KPI],0))="Lower is Better",IF($J67=0,1,IF($I67=0,0,$I67/$J67)),IF($I67=0,1,$J67/$I67)),0)</f>
        <v/>
      </c>
      <c r="R67" s="4">
        <f>IF(OR($I67="",$J67=""),"",$J67-$I67)</f>
        <v/>
      </c>
      <c r="S67" s="4">
        <f>IFERROR(IF(INDEX(Tbl_KPIMaster[Direction],MATCH($G67,Tbl_KPIMaster[KPI],0))="Lower is Better",IF($J67&lt;=$I67,"Green",IF($J67&lt;=$I67+IF($I67=0,$K67,$I67*$K67),"Amber","Red")),IF($J67&gt;=$I67,"Green",IF($J67&gt;=$I67-IF($I67=0,$K67,$I67*$K67),"Amber","Red"))),"")</f>
        <v/>
      </c>
      <c r="T67" s="6" t="inlineStr"/>
    </row>
    <row r="68">
      <c r="A68" s="7" t="n">
        <v>46133</v>
      </c>
      <c r="B68" s="8">
        <f>IF($A68="","",TEXT($A68,"mmm-yyyy"))</f>
        <v/>
      </c>
      <c r="C68" s="8">
        <f>IF($A68="","","W"&amp;WEEKNUM($A68,2))</f>
        <v/>
      </c>
      <c r="D68" s="8">
        <f>IF($A68="","",TEXT($A68,"ddd"))</f>
        <v/>
      </c>
      <c r="E68" s="8" t="inlineStr">
        <is>
          <t>Quality</t>
        </is>
      </c>
      <c r="F68" s="8">
        <f>IFERROR(INDEX(Tbl_KPIMaster[Category],MATCH($G68,Tbl_KPIMaster[KPI],0)),"")</f>
        <v/>
      </c>
      <c r="G68" s="8" t="inlineStr">
        <is>
          <t>Customer Complaints</t>
        </is>
      </c>
      <c r="H68" s="8">
        <f>IFERROR(INDEX(Tbl_KPIMaster[Unit],MATCH($G68,Tbl_KPIMaster[KPI],0)),"")</f>
        <v/>
      </c>
      <c r="I68" s="9">
        <f>IFERROR(INDEX(Tbl_KPIMaster[Maximum Target],MATCH($G68,Tbl_KPIMaster[KPI],0)),"")</f>
        <v/>
      </c>
      <c r="J68" s="9" t="n">
        <v>2</v>
      </c>
      <c r="K68" s="8">
        <f>IFERROR(INDEX(Tbl_KPIMaster[Tolerance],MATCH($G68,Tbl_KPIMaster[KPI],0)),"")</f>
        <v/>
      </c>
      <c r="L68" s="8">
        <f>IFERROR(INDEX(Tbl_KPIMaster[Owner],MATCH($G68,Tbl_KPIMaster[KPI],0)),"")</f>
        <v/>
      </c>
      <c r="M68" s="10" t="inlineStr">
        <is>
          <t>Equipment breakdown</t>
        </is>
      </c>
      <c r="N68" s="8" t="inlineStr"/>
      <c r="O68" s="8" t="inlineStr">
        <is>
          <t>High</t>
        </is>
      </c>
      <c r="P68" s="8" t="inlineStr">
        <is>
          <t>In Progress</t>
        </is>
      </c>
      <c r="Q68" s="9">
        <f>IFERROR(IF(INDEX(Tbl_KPIMaster[Direction],MATCH($G68,Tbl_KPIMaster[KPI],0))="Lower is Better",IF($J68=0,1,IF($I68=0,0,$I68/$J68)),IF($I68=0,1,$J68/$I68)),0)</f>
        <v/>
      </c>
      <c r="R68" s="8">
        <f>IF(OR($I68="",$J68=""),"",$J68-$I68)</f>
        <v/>
      </c>
      <c r="S68" s="8">
        <f>IFERROR(IF(INDEX(Tbl_KPIMaster[Direction],MATCH($G68,Tbl_KPIMaster[KPI],0))="Lower is Better",IF($J68&lt;=$I68,"Green",IF($J68&lt;=$I68+IF($I68=0,$K68,$I68*$K68),"Amber","Red")),IF($J68&gt;=$I68,"Green",IF($J68&gt;=$I68-IF($I68=0,$K68,$I68*$K68),"Amber","Red"))),"")</f>
        <v/>
      </c>
      <c r="T68" s="10" t="inlineStr"/>
    </row>
    <row r="69">
      <c r="A69" s="3" t="n">
        <v>46133</v>
      </c>
      <c r="B69" s="4">
        <f>IF($A69="","",TEXT($A69,"mmm-yyyy"))</f>
        <v/>
      </c>
      <c r="C69" s="4">
        <f>IF($A69="","","W"&amp;WEEKNUM($A69,2))</f>
        <v/>
      </c>
      <c r="D69" s="4">
        <f>IF($A69="","",TEXT($A69,"ddd"))</f>
        <v/>
      </c>
      <c r="E69" s="4" t="inlineStr">
        <is>
          <t>Maintenance</t>
        </is>
      </c>
      <c r="F69" s="4">
        <f>IFERROR(INDEX(Tbl_KPIMaster[Category],MATCH($G69,Tbl_KPIMaster[KPI],0)),"")</f>
        <v/>
      </c>
      <c r="G69" s="4" t="inlineStr">
        <is>
          <t>Unplanned Downtime</t>
        </is>
      </c>
      <c r="H69" s="4">
        <f>IFERROR(INDEX(Tbl_KPIMaster[Unit],MATCH($G69,Tbl_KPIMaster[KPI],0)),"")</f>
        <v/>
      </c>
      <c r="I69" s="5">
        <f>IFERROR(INDEX(Tbl_KPIMaster[Maximum Target],MATCH($G69,Tbl_KPIMaster[KPI],0)),"")</f>
        <v/>
      </c>
      <c r="J69" s="5" t="n">
        <v>0.2</v>
      </c>
      <c r="K69" s="4">
        <f>IFERROR(INDEX(Tbl_KPIMaster[Tolerance],MATCH($G69,Tbl_KPIMaster[KPI],0)),"")</f>
        <v/>
      </c>
      <c r="L69" s="4">
        <f>IFERROR(INDEX(Tbl_KPIMaster[Owner],MATCH($G69,Tbl_KPIMaster[KPI],0)),"")</f>
        <v/>
      </c>
      <c r="M69" s="6" t="inlineStr">
        <is>
          <t>Weather impact</t>
        </is>
      </c>
      <c r="N69" s="4" t="inlineStr">
        <is>
          <t>Engineering support needed</t>
        </is>
      </c>
      <c r="O69" s="4" t="inlineStr">
        <is>
          <t>Medium</t>
        </is>
      </c>
      <c r="P69" s="4" t="inlineStr">
        <is>
          <t>Closed</t>
        </is>
      </c>
      <c r="Q69" s="5">
        <f>IFERROR(IF(INDEX(Tbl_KPIMaster[Direction],MATCH($G69,Tbl_KPIMaster[KPI],0))="Lower is Better",IF($J69=0,1,IF($I69=0,0,$I69/$J69)),IF($I69=0,1,$J69/$I69)),0)</f>
        <v/>
      </c>
      <c r="R69" s="4">
        <f>IF(OR($I69="",$J69=""),"",$J69-$I69)</f>
        <v/>
      </c>
      <c r="S69" s="4">
        <f>IFERROR(IF(INDEX(Tbl_KPIMaster[Direction],MATCH($G69,Tbl_KPIMaster[KPI],0))="Lower is Better",IF($J69&lt;=$I69,"Green",IF($J69&lt;=$I69+IF($I69=0,$K69,$I69*$K69),"Amber","Red")),IF($J69&gt;=$I69,"Green",IF($J69&gt;=$I69-IF($I69=0,$K69,$I69*$K69),"Amber","Red"))),"")</f>
        <v/>
      </c>
      <c r="T69" s="6" t="inlineStr"/>
    </row>
    <row r="70">
      <c r="A70" s="7" t="n">
        <v>46133</v>
      </c>
      <c r="B70" s="8">
        <f>IF($A70="","",TEXT($A70,"mmm-yyyy"))</f>
        <v/>
      </c>
      <c r="C70" s="8">
        <f>IF($A70="","","W"&amp;WEEKNUM($A70,2))</f>
        <v/>
      </c>
      <c r="D70" s="8">
        <f>IF($A70="","",TEXT($A70,"ddd"))</f>
        <v/>
      </c>
      <c r="E70" s="8" t="inlineStr">
        <is>
          <t>Maintenance</t>
        </is>
      </c>
      <c r="F70" s="8">
        <f>IFERROR(INDEX(Tbl_KPIMaster[Category],MATCH($G70,Tbl_KPIMaster[KPI],0)),"")</f>
        <v/>
      </c>
      <c r="G70" s="8" t="inlineStr">
        <is>
          <t>PM Compliance %</t>
        </is>
      </c>
      <c r="H70" s="8">
        <f>IFERROR(INDEX(Tbl_KPIMaster[Unit],MATCH($G70,Tbl_KPIMaster[KPI],0)),"")</f>
        <v/>
      </c>
      <c r="I70" s="9">
        <f>IFERROR(INDEX(Tbl_KPIMaster[Maximum Target],MATCH($G70,Tbl_KPIMaster[KPI],0)),"")</f>
        <v/>
      </c>
      <c r="J70" s="9" t="n">
        <v>0.9834000000000001</v>
      </c>
      <c r="K70" s="8">
        <f>IFERROR(INDEX(Tbl_KPIMaster[Tolerance],MATCH($G70,Tbl_KPIMaster[KPI],0)),"")</f>
        <v/>
      </c>
      <c r="L70" s="8">
        <f>IFERROR(INDEX(Tbl_KPIMaster[Owner],MATCH($G70,Tbl_KPIMaster[KPI],0)),"")</f>
        <v/>
      </c>
      <c r="M70" s="10" t="inlineStr"/>
      <c r="N70" s="8" t="inlineStr"/>
      <c r="O70" s="8" t="inlineStr">
        <is>
          <t>Low</t>
        </is>
      </c>
      <c r="P70" s="8" t="inlineStr">
        <is>
          <t>Closed</t>
        </is>
      </c>
      <c r="Q70" s="9">
        <f>IFERROR(IF(INDEX(Tbl_KPIMaster[Direction],MATCH($G70,Tbl_KPIMaster[KPI],0))="Lower is Better",IF($J70=0,1,IF($I70=0,0,$I70/$J70)),IF($I70=0,1,$J70/$I70)),0)</f>
        <v/>
      </c>
      <c r="R70" s="8">
        <f>IF(OR($I70="",$J70=""),"",$J70-$I70)</f>
        <v/>
      </c>
      <c r="S70" s="8">
        <f>IFERROR(IF(INDEX(Tbl_KPIMaster[Direction],MATCH($G70,Tbl_KPIMaster[KPI],0))="Lower is Better",IF($J70&lt;=$I70,"Green",IF($J70&lt;=$I70+IF($I70=0,$K70,$I70*$K70),"Amber","Red")),IF($J70&gt;=$I70,"Green",IF($J70&gt;=$I70-IF($I70=0,$K70,$I70*$K70),"Amber","Red"))),"")</f>
        <v/>
      </c>
      <c r="T70" s="10" t="inlineStr"/>
    </row>
    <row r="71">
      <c r="A71" s="3" t="n">
        <v>46133</v>
      </c>
      <c r="B71" s="4">
        <f>IF($A71="","",TEXT($A71,"mmm-yyyy"))</f>
        <v/>
      </c>
      <c r="C71" s="4">
        <f>IF($A71="","","W"&amp;WEEKNUM($A71,2))</f>
        <v/>
      </c>
      <c r="D71" s="4">
        <f>IF($A71="","",TEXT($A71,"ddd"))</f>
        <v/>
      </c>
      <c r="E71" s="4" t="inlineStr">
        <is>
          <t>Utilities</t>
        </is>
      </c>
      <c r="F71" s="4">
        <f>IFERROR(INDEX(Tbl_KPIMaster[Category],MATCH($G71,Tbl_KPIMaster[KPI],0)),"")</f>
        <v/>
      </c>
      <c r="G71" s="4" t="inlineStr">
        <is>
          <t>Power Consumption</t>
        </is>
      </c>
      <c r="H71" s="4">
        <f>IFERROR(INDEX(Tbl_KPIMaster[Unit],MATCH($G71,Tbl_KPIMaster[KPI],0)),"")</f>
        <v/>
      </c>
      <c r="I71" s="5">
        <f>IFERROR(INDEX(Tbl_KPIMaster[Maximum Target],MATCH($G71,Tbl_KPIMaster[KPI],0)),"")</f>
        <v/>
      </c>
      <c r="J71" s="5" t="n">
        <v>4136.11</v>
      </c>
      <c r="K71" s="4">
        <f>IFERROR(INDEX(Tbl_KPIMaster[Tolerance],MATCH($G71,Tbl_KPIMaster[KPI],0)),"")</f>
        <v/>
      </c>
      <c r="L71" s="4">
        <f>IFERROR(INDEX(Tbl_KPIMaster[Owner],MATCH($G71,Tbl_KPIMaster[KPI],0)),"")</f>
        <v/>
      </c>
      <c r="M71" s="6" t="inlineStr">
        <is>
          <t>Equipment breakdown</t>
        </is>
      </c>
      <c r="N71" s="4" t="inlineStr">
        <is>
          <t>Engineering support needed</t>
        </is>
      </c>
      <c r="O71" s="4" t="inlineStr">
        <is>
          <t>High</t>
        </is>
      </c>
      <c r="P71" s="4" t="inlineStr">
        <is>
          <t>Closed</t>
        </is>
      </c>
      <c r="Q71" s="5">
        <f>IFERROR(IF(INDEX(Tbl_KPIMaster[Direction],MATCH($G71,Tbl_KPIMaster[KPI],0))="Lower is Better",IF($J71=0,1,IF($I71=0,0,$I71/$J71)),IF($I71=0,1,$J71/$I71)),0)</f>
        <v/>
      </c>
      <c r="R71" s="4">
        <f>IF(OR($I71="",$J71=""),"",$J71-$I71)</f>
        <v/>
      </c>
      <c r="S71" s="4">
        <f>IFERROR(IF(INDEX(Tbl_KPIMaster[Direction],MATCH($G71,Tbl_KPIMaster[KPI],0))="Lower is Better",IF($J71&lt;=$I71,"Green",IF($J71&lt;=$I71+IF($I71=0,$K71,$I71*$K71),"Amber","Red")),IF($J71&gt;=$I71,"Green",IF($J71&gt;=$I71-IF($I71=0,$K71,$I71*$K71),"Amber","Red"))),"")</f>
        <v/>
      </c>
      <c r="T71" s="6" t="inlineStr"/>
    </row>
    <row r="72">
      <c r="A72" s="7" t="n">
        <v>46133</v>
      </c>
      <c r="B72" s="8">
        <f>IF($A72="","",TEXT($A72,"mmm-yyyy"))</f>
        <v/>
      </c>
      <c r="C72" s="8">
        <f>IF($A72="","","W"&amp;WEEKNUM($A72,2))</f>
        <v/>
      </c>
      <c r="D72" s="8">
        <f>IF($A72="","",TEXT($A72,"ddd"))</f>
        <v/>
      </c>
      <c r="E72" s="8" t="inlineStr">
        <is>
          <t>Utilities</t>
        </is>
      </c>
      <c r="F72" s="8">
        <f>IFERROR(INDEX(Tbl_KPIMaster[Category],MATCH($G72,Tbl_KPIMaster[KPI],0)),"")</f>
        <v/>
      </c>
      <c r="G72" s="8" t="inlineStr">
        <is>
          <t>Water Consumption</t>
        </is>
      </c>
      <c r="H72" s="8">
        <f>IFERROR(INDEX(Tbl_KPIMaster[Unit],MATCH($G72,Tbl_KPIMaster[KPI],0)),"")</f>
        <v/>
      </c>
      <c r="I72" s="9">
        <f>IFERROR(INDEX(Tbl_KPIMaster[Maximum Target],MATCH($G72,Tbl_KPIMaster[KPI],0)),"")</f>
        <v/>
      </c>
      <c r="J72" s="9" t="n">
        <v>39.8</v>
      </c>
      <c r="K72" s="8">
        <f>IFERROR(INDEX(Tbl_KPIMaster[Tolerance],MATCH($G72,Tbl_KPIMaster[KPI],0)),"")</f>
        <v/>
      </c>
      <c r="L72" s="8">
        <f>IFERROR(INDEX(Tbl_KPIMaster[Owner],MATCH($G72,Tbl_KPIMaster[KPI],0)),"")</f>
        <v/>
      </c>
      <c r="M72" s="10" t="inlineStr"/>
      <c r="N72" s="8" t="inlineStr">
        <is>
          <t>Management approval pending</t>
        </is>
      </c>
      <c r="O72" s="8" t="inlineStr">
        <is>
          <t>Low</t>
        </is>
      </c>
      <c r="P72" s="8" t="inlineStr">
        <is>
          <t>Closed</t>
        </is>
      </c>
      <c r="Q72" s="9">
        <f>IFERROR(IF(INDEX(Tbl_KPIMaster[Direction],MATCH($G72,Tbl_KPIMaster[KPI],0))="Lower is Better",IF($J72=0,1,IF($I72=0,0,$I72/$J72)),IF($I72=0,1,$J72/$I72)),0)</f>
        <v/>
      </c>
      <c r="R72" s="8">
        <f>IF(OR($I72="",$J72=""),"",$J72-$I72)</f>
        <v/>
      </c>
      <c r="S72" s="8">
        <f>IFERROR(IF(INDEX(Tbl_KPIMaster[Direction],MATCH($G72,Tbl_KPIMaster[KPI],0))="Lower is Better",IF($J72&lt;=$I72,"Green",IF($J72&lt;=$I72+IF($I72=0,$K72,$I72*$K72),"Amber","Red")),IF($J72&gt;=$I72,"Green",IF($J72&gt;=$I72-IF($I72=0,$K72,$I72*$K72),"Amber","Red"))),"")</f>
        <v/>
      </c>
      <c r="T72" s="10" t="inlineStr"/>
    </row>
    <row r="73">
      <c r="A73" s="3" t="n">
        <v>46133</v>
      </c>
      <c r="B73" s="4">
        <f>IF($A73="","",TEXT($A73,"mmm-yyyy"))</f>
        <v/>
      </c>
      <c r="C73" s="4">
        <f>IF($A73="","","W"&amp;WEEKNUM($A73,2))</f>
        <v/>
      </c>
      <c r="D73" s="4">
        <f>IF($A73="","",TEXT($A73,"ddd"))</f>
        <v/>
      </c>
      <c r="E73" s="4" t="inlineStr">
        <is>
          <t>Warehouse</t>
        </is>
      </c>
      <c r="F73" s="4">
        <f>IFERROR(INDEX(Tbl_KPIMaster[Category],MATCH($G73,Tbl_KPIMaster[KPI],0)),"")</f>
        <v/>
      </c>
      <c r="G73" s="4" t="inlineStr">
        <is>
          <t>On-Time Dispatch %</t>
        </is>
      </c>
      <c r="H73" s="4">
        <f>IFERROR(INDEX(Tbl_KPIMaster[Unit],MATCH($G73,Tbl_KPIMaster[KPI],0)),"")</f>
        <v/>
      </c>
      <c r="I73" s="5">
        <f>IFERROR(INDEX(Tbl_KPIMaster[Maximum Target],MATCH($G73,Tbl_KPIMaster[KPI],0)),"")</f>
        <v/>
      </c>
      <c r="J73" s="5" t="n">
        <v>0.8922</v>
      </c>
      <c r="K73" s="4">
        <f>IFERROR(INDEX(Tbl_KPIMaster[Tolerance],MATCH($G73,Tbl_KPIMaster[KPI],0)),"")</f>
        <v/>
      </c>
      <c r="L73" s="4">
        <f>IFERROR(INDEX(Tbl_KPIMaster[Owner],MATCH($G73,Tbl_KPIMaster[KPI],0)),"")</f>
        <v/>
      </c>
      <c r="M73" s="6" t="inlineStr">
        <is>
          <t>Line changeover impact</t>
        </is>
      </c>
      <c r="N73" s="4" t="inlineStr"/>
      <c r="O73" s="4" t="inlineStr">
        <is>
          <t>Low</t>
        </is>
      </c>
      <c r="P73" s="4" t="inlineStr">
        <is>
          <t>Closed</t>
        </is>
      </c>
      <c r="Q73" s="5">
        <f>IFERROR(IF(INDEX(Tbl_KPIMaster[Direction],MATCH($G73,Tbl_KPIMaster[KPI],0))="Lower is Better",IF($J73=0,1,IF($I73=0,0,$I73/$J73)),IF($I73=0,1,$J73/$I73)),0)</f>
        <v/>
      </c>
      <c r="R73" s="4">
        <f>IF(OR($I73="",$J73=""),"",$J73-$I73)</f>
        <v/>
      </c>
      <c r="S73" s="4">
        <f>IFERROR(IF(INDEX(Tbl_KPIMaster[Direction],MATCH($G73,Tbl_KPIMaster[KPI],0))="Lower is Better",IF($J73&lt;=$I73,"Green",IF($J73&lt;=$I73+IF($I73=0,$K73,$I73*$K73),"Amber","Red")),IF($J73&gt;=$I73,"Green",IF($J73&gt;=$I73-IF($I73=0,$K73,$I73*$K73),"Amber","Red"))),"")</f>
        <v/>
      </c>
      <c r="T73" s="6" t="inlineStr"/>
    </row>
    <row r="74">
      <c r="A74" s="7" t="n">
        <v>46133</v>
      </c>
      <c r="B74" s="8">
        <f>IF($A74="","",TEXT($A74,"mmm-yyyy"))</f>
        <v/>
      </c>
      <c r="C74" s="8">
        <f>IF($A74="","","W"&amp;WEEKNUM($A74,2))</f>
        <v/>
      </c>
      <c r="D74" s="8">
        <f>IF($A74="","",TEXT($A74,"ddd"))</f>
        <v/>
      </c>
      <c r="E74" s="8" t="inlineStr">
        <is>
          <t>Warehouse</t>
        </is>
      </c>
      <c r="F74" s="8">
        <f>IFERROR(INDEX(Tbl_KPIMaster[Category],MATCH($G74,Tbl_KPIMaster[KPI],0)),"")</f>
        <v/>
      </c>
      <c r="G74" s="8" t="inlineStr">
        <is>
          <t>Inventory Accuracy %</t>
        </is>
      </c>
      <c r="H74" s="8">
        <f>IFERROR(INDEX(Tbl_KPIMaster[Unit],MATCH($G74,Tbl_KPIMaster[KPI],0)),"")</f>
        <v/>
      </c>
      <c r="I74" s="9">
        <f>IFERROR(INDEX(Tbl_KPIMaster[Maximum Target],MATCH($G74,Tbl_KPIMaster[KPI],0)),"")</f>
        <v/>
      </c>
      <c r="J74" s="9" t="n">
        <v>0.9516</v>
      </c>
      <c r="K74" s="8">
        <f>IFERROR(INDEX(Tbl_KPIMaster[Tolerance],MATCH($G74,Tbl_KPIMaster[KPI],0)),"")</f>
        <v/>
      </c>
      <c r="L74" s="8">
        <f>IFERROR(INDEX(Tbl_KPIMaster[Owner],MATCH($G74,Tbl_KPIMaster[KPI],0)),"")</f>
        <v/>
      </c>
      <c r="M74" s="10" t="inlineStr">
        <is>
          <t>Equipment breakdown</t>
        </is>
      </c>
      <c r="N74" s="8" t="inlineStr">
        <is>
          <t>Management approval pending</t>
        </is>
      </c>
      <c r="O74" s="8" t="inlineStr">
        <is>
          <t>Low</t>
        </is>
      </c>
      <c r="P74" s="8" t="inlineStr">
        <is>
          <t>Closed</t>
        </is>
      </c>
      <c r="Q74" s="9">
        <f>IFERROR(IF(INDEX(Tbl_KPIMaster[Direction],MATCH($G74,Tbl_KPIMaster[KPI],0))="Lower is Better",IF($J74=0,1,IF($I74=0,0,$I74/$J74)),IF($I74=0,1,$J74/$I74)),0)</f>
        <v/>
      </c>
      <c r="R74" s="8">
        <f>IF(OR($I74="",$J74=""),"",$J74-$I74)</f>
        <v/>
      </c>
      <c r="S74" s="8">
        <f>IFERROR(IF(INDEX(Tbl_KPIMaster[Direction],MATCH($G74,Tbl_KPIMaster[KPI],0))="Lower is Better",IF($J74&lt;=$I74,"Green",IF($J74&lt;=$I74+IF($I74=0,$K74,$I74*$K74),"Amber","Red")),IF($J74&gt;=$I74,"Green",IF($J74&gt;=$I74-IF($I74=0,$K74,$I74*$K74),"Amber","Red"))),"")</f>
        <v/>
      </c>
      <c r="T74" s="10" t="inlineStr"/>
    </row>
    <row r="75">
      <c r="A75" s="3" t="n">
        <v>46133</v>
      </c>
      <c r="B75" s="4">
        <f>IF($A75="","",TEXT($A75,"mmm-yyyy"))</f>
        <v/>
      </c>
      <c r="C75" s="4">
        <f>IF($A75="","","W"&amp;WEEKNUM($A75,2))</f>
        <v/>
      </c>
      <c r="D75" s="4">
        <f>IF($A75="","",TEXT($A75,"ddd"))</f>
        <v/>
      </c>
      <c r="E75" s="4" t="inlineStr">
        <is>
          <t>HR</t>
        </is>
      </c>
      <c r="F75" s="4">
        <f>IFERROR(INDEX(Tbl_KPIMaster[Category],MATCH($G75,Tbl_KPIMaster[KPI],0)),"")</f>
        <v/>
      </c>
      <c r="G75" s="4" t="inlineStr">
        <is>
          <t>Absenteeism %</t>
        </is>
      </c>
      <c r="H75" s="4">
        <f>IFERROR(INDEX(Tbl_KPIMaster[Unit],MATCH($G75,Tbl_KPIMaster[KPI],0)),"")</f>
        <v/>
      </c>
      <c r="I75" s="5">
        <f>IFERROR(INDEX(Tbl_KPIMaster[Maximum Target],MATCH($G75,Tbl_KPIMaster[KPI],0)),"")</f>
        <v/>
      </c>
      <c r="J75" s="5" t="n">
        <v>0.148</v>
      </c>
      <c r="K75" s="4">
        <f>IFERROR(INDEX(Tbl_KPIMaster[Tolerance],MATCH($G75,Tbl_KPIMaster[KPI],0)),"")</f>
        <v/>
      </c>
      <c r="L75" s="4">
        <f>IFERROR(INDEX(Tbl_KPIMaster[Owner],MATCH($G75,Tbl_KPIMaster[KPI],0)),"")</f>
        <v/>
      </c>
      <c r="M75" s="6" t="inlineStr">
        <is>
          <t>Equipment breakdown</t>
        </is>
      </c>
      <c r="N75" s="4" t="inlineStr">
        <is>
          <t>Procurement follow-up</t>
        </is>
      </c>
      <c r="O75" s="4" t="inlineStr">
        <is>
          <t>Low</t>
        </is>
      </c>
      <c r="P75" s="4" t="inlineStr">
        <is>
          <t>Closed</t>
        </is>
      </c>
      <c r="Q75" s="5">
        <f>IFERROR(IF(INDEX(Tbl_KPIMaster[Direction],MATCH($G75,Tbl_KPIMaster[KPI],0))="Lower is Better",IF($J75=0,1,IF($I75=0,0,$I75/$J75)),IF($I75=0,1,$J75/$I75)),0)</f>
        <v/>
      </c>
      <c r="R75" s="4">
        <f>IF(OR($I75="",$J75=""),"",$J75-$I75)</f>
        <v/>
      </c>
      <c r="S75" s="4">
        <f>IFERROR(IF(INDEX(Tbl_KPIMaster[Direction],MATCH($G75,Tbl_KPIMaster[KPI],0))="Lower is Better",IF($J75&lt;=$I75,"Green",IF($J75&lt;=$I75+IF($I75=0,$K75,$I75*$K75),"Amber","Red")),IF($J75&gt;=$I75,"Green",IF($J75&gt;=$I75-IF($I75=0,$K75,$I75*$K75),"Amber","Red"))),"")</f>
        <v/>
      </c>
      <c r="T75" s="6" t="inlineStr"/>
    </row>
    <row r="76">
      <c r="A76" s="7" t="n">
        <v>46133</v>
      </c>
      <c r="B76" s="8">
        <f>IF($A76="","",TEXT($A76,"mmm-yyyy"))</f>
        <v/>
      </c>
      <c r="C76" s="8">
        <f>IF($A76="","","W"&amp;WEEKNUM($A76,2))</f>
        <v/>
      </c>
      <c r="D76" s="8">
        <f>IF($A76="","",TEXT($A76,"ddd"))</f>
        <v/>
      </c>
      <c r="E76" s="8" t="inlineStr">
        <is>
          <t>HR</t>
        </is>
      </c>
      <c r="F76" s="8">
        <f>IFERROR(INDEX(Tbl_KPIMaster[Category],MATCH($G76,Tbl_KPIMaster[KPI],0)),"")</f>
        <v/>
      </c>
      <c r="G76" s="8" t="inlineStr">
        <is>
          <t>Training Hours</t>
        </is>
      </c>
      <c r="H76" s="8">
        <f>IFERROR(INDEX(Tbl_KPIMaster[Unit],MATCH($G76,Tbl_KPIMaster[KPI],0)),"")</f>
        <v/>
      </c>
      <c r="I76" s="9">
        <f>IFERROR(INDEX(Tbl_KPIMaster[Maximum Target],MATCH($G76,Tbl_KPIMaster[KPI],0)),"")</f>
        <v/>
      </c>
      <c r="J76" s="9" t="n">
        <v>2.29</v>
      </c>
      <c r="K76" s="8">
        <f>IFERROR(INDEX(Tbl_KPIMaster[Tolerance],MATCH($G76,Tbl_KPIMaster[KPI],0)),"")</f>
        <v/>
      </c>
      <c r="L76" s="8">
        <f>IFERROR(INDEX(Tbl_KPIMaster[Owner],MATCH($G76,Tbl_KPIMaster[KPI],0)),"")</f>
        <v/>
      </c>
      <c r="M76" s="10" t="inlineStr">
        <is>
          <t>Process improvement in progress</t>
        </is>
      </c>
      <c r="N76" s="8" t="inlineStr"/>
      <c r="O76" s="8" t="inlineStr">
        <is>
          <t>Low</t>
        </is>
      </c>
      <c r="P76" s="8" t="inlineStr">
        <is>
          <t>Closed</t>
        </is>
      </c>
      <c r="Q76" s="9">
        <f>IFERROR(IF(INDEX(Tbl_KPIMaster[Direction],MATCH($G76,Tbl_KPIMaster[KPI],0))="Lower is Better",IF($J76=0,1,IF($I76=0,0,$I76/$J76)),IF($I76=0,1,$J76/$I76)),0)</f>
        <v/>
      </c>
      <c r="R76" s="8">
        <f>IF(OR($I76="",$J76=""),"",$J76-$I76)</f>
        <v/>
      </c>
      <c r="S76" s="8">
        <f>IFERROR(IF(INDEX(Tbl_KPIMaster[Direction],MATCH($G76,Tbl_KPIMaster[KPI],0))="Lower is Better",IF($J76&lt;=$I76,"Green",IF($J76&lt;=$I76+IF($I76=0,$K76,$I76*$K76),"Amber","Red")),IF($J76&gt;=$I76,"Green",IF($J76&gt;=$I76-IF($I76=0,$K76,$I76*$K76),"Amber","Red"))),"")</f>
        <v/>
      </c>
      <c r="T76" s="10" t="inlineStr"/>
    </row>
    <row r="77">
      <c r="A77" s="3" t="n">
        <v>46133</v>
      </c>
      <c r="B77" s="4">
        <f>IF($A77="","",TEXT($A77,"mmm-yyyy"))</f>
        <v/>
      </c>
      <c r="C77" s="4">
        <f>IF($A77="","","W"&amp;WEEKNUM($A77,2))</f>
        <v/>
      </c>
      <c r="D77" s="4">
        <f>IF($A77="","",TEXT($A77,"ddd"))</f>
        <v/>
      </c>
      <c r="E77" s="4" t="inlineStr">
        <is>
          <t>Engineering</t>
        </is>
      </c>
      <c r="F77" s="4">
        <f>IFERROR(INDEX(Tbl_KPIMaster[Category],MATCH($G77,Tbl_KPIMaster[KPI],0)),"")</f>
        <v/>
      </c>
      <c r="G77" s="4" t="inlineStr">
        <is>
          <t>Project Milestone Adherence %</t>
        </is>
      </c>
      <c r="H77" s="4">
        <f>IFERROR(INDEX(Tbl_KPIMaster[Unit],MATCH($G77,Tbl_KPIMaster[KPI],0)),"")</f>
        <v/>
      </c>
      <c r="I77" s="5">
        <f>IFERROR(INDEX(Tbl_KPIMaster[Maximum Target],MATCH($G77,Tbl_KPIMaster[KPI],0)),"")</f>
        <v/>
      </c>
      <c r="J77" s="5" t="n">
        <v>0.8093</v>
      </c>
      <c r="K77" s="4">
        <f>IFERROR(INDEX(Tbl_KPIMaster[Tolerance],MATCH($G77,Tbl_KPIMaster[KPI],0)),"")</f>
        <v/>
      </c>
      <c r="L77" s="4">
        <f>IFERROR(INDEX(Tbl_KPIMaster[Owner],MATCH($G77,Tbl_KPIMaster[KPI],0)),"")</f>
        <v/>
      </c>
      <c r="M77" s="6" t="inlineStr">
        <is>
          <t>Manpower shortage</t>
        </is>
      </c>
      <c r="N77" s="4" t="inlineStr">
        <is>
          <t>Management approval pending</t>
        </is>
      </c>
      <c r="O77" s="4" t="inlineStr">
        <is>
          <t>Medium</t>
        </is>
      </c>
      <c r="P77" s="4" t="inlineStr">
        <is>
          <t>Closed</t>
        </is>
      </c>
      <c r="Q77" s="5">
        <f>IFERROR(IF(INDEX(Tbl_KPIMaster[Direction],MATCH($G77,Tbl_KPIMaster[KPI],0))="Lower is Better",IF($J77=0,1,IF($I77=0,0,$I77/$J77)),IF($I77=0,1,$J77/$I77)),0)</f>
        <v/>
      </c>
      <c r="R77" s="4">
        <f>IF(OR($I77="",$J77=""),"",$J77-$I77)</f>
        <v/>
      </c>
      <c r="S77" s="4">
        <f>IFERROR(IF(INDEX(Tbl_KPIMaster[Direction],MATCH($G77,Tbl_KPIMaster[KPI],0))="Lower is Better",IF($J77&lt;=$I77,"Green",IF($J77&lt;=$I77+IF($I77=0,$K77,$I77*$K77),"Amber","Red")),IF($J77&gt;=$I77,"Green",IF($J77&gt;=$I77-IF($I77=0,$K77,$I77*$K77),"Amber","Red"))),"")</f>
        <v/>
      </c>
      <c r="T77" s="6" t="inlineStr"/>
    </row>
    <row r="78">
      <c r="A78" s="7" t="n">
        <v>46133</v>
      </c>
      <c r="B78" s="8">
        <f>IF($A78="","",TEXT($A78,"mmm-yyyy"))</f>
        <v/>
      </c>
      <c r="C78" s="8">
        <f>IF($A78="","","W"&amp;WEEKNUM($A78,2))</f>
        <v/>
      </c>
      <c r="D78" s="8">
        <f>IF($A78="","",TEXT($A78,"ddd"))</f>
        <v/>
      </c>
      <c r="E78" s="8" t="inlineStr">
        <is>
          <t>Engineering</t>
        </is>
      </c>
      <c r="F78" s="8">
        <f>IFERROR(INDEX(Tbl_KPIMaster[Category],MATCH($G78,Tbl_KPIMaster[KPI],0)),"")</f>
        <v/>
      </c>
      <c r="G78" s="8" t="inlineStr">
        <is>
          <t>Breakdown Resolution Time</t>
        </is>
      </c>
      <c r="H78" s="8">
        <f>IFERROR(INDEX(Tbl_KPIMaster[Unit],MATCH($G78,Tbl_KPIMaster[KPI],0)),"")</f>
        <v/>
      </c>
      <c r="I78" s="9">
        <f>IFERROR(INDEX(Tbl_KPIMaster[Maximum Target],MATCH($G78,Tbl_KPIMaster[KPI],0)),"")</f>
        <v/>
      </c>
      <c r="J78" s="9" t="n">
        <v>1.51</v>
      </c>
      <c r="K78" s="8">
        <f>IFERROR(INDEX(Tbl_KPIMaster[Tolerance],MATCH($G78,Tbl_KPIMaster[KPI],0)),"")</f>
        <v/>
      </c>
      <c r="L78" s="8">
        <f>IFERROR(INDEX(Tbl_KPIMaster[Owner],MATCH($G78,Tbl_KPIMaster[KPI],0)),"")</f>
        <v/>
      </c>
      <c r="M78" s="10" t="inlineStr">
        <is>
          <t>Awaiting spares</t>
        </is>
      </c>
      <c r="N78" s="8" t="inlineStr"/>
      <c r="O78" s="8" t="inlineStr">
        <is>
          <t>Medium</t>
        </is>
      </c>
      <c r="P78" s="8" t="inlineStr">
        <is>
          <t>Closed</t>
        </is>
      </c>
      <c r="Q78" s="9">
        <f>IFERROR(IF(INDEX(Tbl_KPIMaster[Direction],MATCH($G78,Tbl_KPIMaster[KPI],0))="Lower is Better",IF($J78=0,1,IF($I78=0,0,$I78/$J78)),IF($I78=0,1,$J78/$I78)),0)</f>
        <v/>
      </c>
      <c r="R78" s="8">
        <f>IF(OR($I78="",$J78=""),"",$J78-$I78)</f>
        <v/>
      </c>
      <c r="S78" s="8">
        <f>IFERROR(IF(INDEX(Tbl_KPIMaster[Direction],MATCH($G78,Tbl_KPIMaster[KPI],0))="Lower is Better",IF($J78&lt;=$I78,"Green",IF($J78&lt;=$I78+IF($I78=0,$K78,$I78*$K78),"Amber","Red")),IF($J78&gt;=$I78,"Green",IF($J78&gt;=$I78-IF($I78=0,$K78,$I78*$K78),"Amber","Red"))),"")</f>
        <v/>
      </c>
      <c r="T78" s="10" t="inlineStr"/>
    </row>
    <row r="79">
      <c r="A79" s="3" t="n">
        <v>46133</v>
      </c>
      <c r="B79" s="4">
        <f>IF($A79="","",TEXT($A79,"mmm-yyyy"))</f>
        <v/>
      </c>
      <c r="C79" s="4">
        <f>IF($A79="","","W"&amp;WEEKNUM($A79,2))</f>
        <v/>
      </c>
      <c r="D79" s="4">
        <f>IF($A79="","",TEXT($A79,"ddd"))</f>
        <v/>
      </c>
      <c r="E79" s="4" t="inlineStr">
        <is>
          <t>Cost</t>
        </is>
      </c>
      <c r="F79" s="4">
        <f>IFERROR(INDEX(Tbl_KPIMaster[Category],MATCH($G79,Tbl_KPIMaster[KPI],0)),"")</f>
        <v/>
      </c>
      <c r="G79" s="4" t="inlineStr">
        <is>
          <t>Cost per Unit</t>
        </is>
      </c>
      <c r="H79" s="4">
        <f>IFERROR(INDEX(Tbl_KPIMaster[Unit],MATCH($G79,Tbl_KPIMaster[KPI],0)),"")</f>
        <v/>
      </c>
      <c r="I79" s="5">
        <f>IFERROR(INDEX(Tbl_KPIMaster[Maximum Target],MATCH($G79,Tbl_KPIMaster[KPI],0)),"")</f>
        <v/>
      </c>
      <c r="J79" s="5" t="n">
        <v>37.58</v>
      </c>
      <c r="K79" s="4">
        <f>IFERROR(INDEX(Tbl_KPIMaster[Tolerance],MATCH($G79,Tbl_KPIMaster[KPI],0)),"")</f>
        <v/>
      </c>
      <c r="L79" s="4">
        <f>IFERROR(INDEX(Tbl_KPIMaster[Owner],MATCH($G79,Tbl_KPIMaster[KPI],0)),"")</f>
        <v/>
      </c>
      <c r="M79" s="6" t="inlineStr">
        <is>
          <t>New operator training effect</t>
        </is>
      </c>
      <c r="N79" s="4" t="inlineStr">
        <is>
          <t>Engineering support needed</t>
        </is>
      </c>
      <c r="O79" s="4" t="inlineStr">
        <is>
          <t>Low</t>
        </is>
      </c>
      <c r="P79" s="4" t="inlineStr">
        <is>
          <t>Open</t>
        </is>
      </c>
      <c r="Q79" s="5">
        <f>IFERROR(IF(INDEX(Tbl_KPIMaster[Direction],MATCH($G79,Tbl_KPIMaster[KPI],0))="Lower is Better",IF($J79=0,1,IF($I79=0,0,$I79/$J79)),IF($I79=0,1,$J79/$I79)),0)</f>
        <v/>
      </c>
      <c r="R79" s="4">
        <f>IF(OR($I79="",$J79=""),"",$J79-$I79)</f>
        <v/>
      </c>
      <c r="S79" s="4">
        <f>IFERROR(IF(INDEX(Tbl_KPIMaster[Direction],MATCH($G79,Tbl_KPIMaster[KPI],0))="Lower is Better",IF($J79&lt;=$I79,"Green",IF($J79&lt;=$I79+IF($I79=0,$K79,$I79*$K79),"Amber","Red")),IF($J79&gt;=$I79,"Green",IF($J79&gt;=$I79-IF($I79=0,$K79,$I79*$K79),"Amber","Red"))),"")</f>
        <v/>
      </c>
      <c r="T79" s="6" t="inlineStr"/>
    </row>
    <row r="80">
      <c r="A80" s="7" t="n">
        <v>46133</v>
      </c>
      <c r="B80" s="8">
        <f>IF($A80="","",TEXT($A80,"mmm-yyyy"))</f>
        <v/>
      </c>
      <c r="C80" s="8">
        <f>IF($A80="","","W"&amp;WEEKNUM($A80,2))</f>
        <v/>
      </c>
      <c r="D80" s="8">
        <f>IF($A80="","",TEXT($A80,"ddd"))</f>
        <v/>
      </c>
      <c r="E80" s="8" t="inlineStr">
        <is>
          <t>Cost</t>
        </is>
      </c>
      <c r="F80" s="8">
        <f>IFERROR(INDEX(Tbl_KPIMaster[Category],MATCH($G80,Tbl_KPIMaster[KPI],0)),"")</f>
        <v/>
      </c>
      <c r="G80" s="8" t="inlineStr">
        <is>
          <t>Budget Variance %</t>
        </is>
      </c>
      <c r="H80" s="8">
        <f>IFERROR(INDEX(Tbl_KPIMaster[Unit],MATCH($G80,Tbl_KPIMaster[KPI],0)),"")</f>
        <v/>
      </c>
      <c r="I80" s="9">
        <f>IFERROR(INDEX(Tbl_KPIMaster[Maximum Target],MATCH($G80,Tbl_KPIMaster[KPI],0)),"")</f>
        <v/>
      </c>
      <c r="J80" s="9" t="n">
        <v>0</v>
      </c>
      <c r="K80" s="8">
        <f>IFERROR(INDEX(Tbl_KPIMaster[Tolerance],MATCH($G80,Tbl_KPIMaster[KPI],0)),"")</f>
        <v/>
      </c>
      <c r="L80" s="8">
        <f>IFERROR(INDEX(Tbl_KPIMaster[Owner],MATCH($G80,Tbl_KPIMaster[KPI],0)),"")</f>
        <v/>
      </c>
      <c r="M80" s="10" t="inlineStr">
        <is>
          <t>New operator training effect</t>
        </is>
      </c>
      <c r="N80" s="8" t="inlineStr">
        <is>
          <t>Procurement follow-up</t>
        </is>
      </c>
      <c r="O80" s="8" t="inlineStr">
        <is>
          <t>Low</t>
        </is>
      </c>
      <c r="P80" s="8" t="inlineStr">
        <is>
          <t>Open</t>
        </is>
      </c>
      <c r="Q80" s="9">
        <f>IFERROR(IF(INDEX(Tbl_KPIMaster[Direction],MATCH($G80,Tbl_KPIMaster[KPI],0))="Lower is Better",IF($J80=0,1,IF($I80=0,0,$I80/$J80)),IF($I80=0,1,$J80/$I80)),0)</f>
        <v/>
      </c>
      <c r="R80" s="8">
        <f>IF(OR($I80="",$J80=""),"",$J80-$I80)</f>
        <v/>
      </c>
      <c r="S80" s="8">
        <f>IFERROR(IF(INDEX(Tbl_KPIMaster[Direction],MATCH($G80,Tbl_KPIMaster[KPI],0))="Lower is Better",IF($J80&lt;=$I80,"Green",IF($J80&lt;=$I80+IF($I80=0,$K80,$I80*$K80),"Amber","Red")),IF($J80&gt;=$I80,"Green",IF($J80&gt;=$I80-IF($I80=0,$K80,$I80*$K80),"Amber","Red"))),"")</f>
        <v/>
      </c>
      <c r="T80" s="10" t="inlineStr"/>
    </row>
    <row r="81">
      <c r="A81" s="3" t="n">
        <v>46133</v>
      </c>
      <c r="B81" s="4">
        <f>IF($A81="","",TEXT($A81,"mmm-yyyy"))</f>
        <v/>
      </c>
      <c r="C81" s="4">
        <f>IF($A81="","","W"&amp;WEEKNUM($A81,2))</f>
        <v/>
      </c>
      <c r="D81" s="4">
        <f>IF($A81="","",TEXT($A81,"ddd"))</f>
        <v/>
      </c>
      <c r="E81" s="4" t="inlineStr">
        <is>
          <t>Energy</t>
        </is>
      </c>
      <c r="F81" s="4">
        <f>IFERROR(INDEX(Tbl_KPIMaster[Category],MATCH($G81,Tbl_KPIMaster[KPI],0)),"")</f>
        <v/>
      </c>
      <c r="G81" s="4" t="inlineStr">
        <is>
          <t>Energy Intensity (kWh/unit)</t>
        </is>
      </c>
      <c r="H81" s="4">
        <f>IFERROR(INDEX(Tbl_KPIMaster[Unit],MATCH($G81,Tbl_KPIMaster[KPI],0)),"")</f>
        <v/>
      </c>
      <c r="I81" s="5">
        <f>IFERROR(INDEX(Tbl_KPIMaster[Maximum Target],MATCH($G81,Tbl_KPIMaster[KPI],0)),"")</f>
        <v/>
      </c>
      <c r="J81" s="5" t="n">
        <v>3.7</v>
      </c>
      <c r="K81" s="4">
        <f>IFERROR(INDEX(Tbl_KPIMaster[Tolerance],MATCH($G81,Tbl_KPIMaster[KPI],0)),"")</f>
        <v/>
      </c>
      <c r="L81" s="4">
        <f>IFERROR(INDEX(Tbl_KPIMaster[Owner],MATCH($G81,Tbl_KPIMaster[KPI],0)),"")</f>
        <v/>
      </c>
      <c r="M81" s="6" t="inlineStr">
        <is>
          <t>Line changeover impact</t>
        </is>
      </c>
      <c r="N81" s="4" t="inlineStr"/>
      <c r="O81" s="4" t="inlineStr">
        <is>
          <t>High</t>
        </is>
      </c>
      <c r="P81" s="4" t="inlineStr">
        <is>
          <t>Closed</t>
        </is>
      </c>
      <c r="Q81" s="5">
        <f>IFERROR(IF(INDEX(Tbl_KPIMaster[Direction],MATCH($G81,Tbl_KPIMaster[KPI],0))="Lower is Better",IF($J81=0,1,IF($I81=0,0,$I81/$J81)),IF($I81=0,1,$J81/$I81)),0)</f>
        <v/>
      </c>
      <c r="R81" s="4">
        <f>IF(OR($I81="",$J81=""),"",$J81-$I81)</f>
        <v/>
      </c>
      <c r="S81" s="4">
        <f>IFERROR(IF(INDEX(Tbl_KPIMaster[Direction],MATCH($G81,Tbl_KPIMaster[KPI],0))="Lower is Better",IF($J81&lt;=$I81,"Green",IF($J81&lt;=$I81+IF($I81=0,$K81,$I81*$K81),"Amber","Red")),IF($J81&gt;=$I81,"Green",IF($J81&gt;=$I81-IF($I81=0,$K81,$I81*$K81),"Amber","Red"))),"")</f>
        <v/>
      </c>
      <c r="T81" s="6" t="inlineStr"/>
    </row>
    <row r="82">
      <c r="A82" s="7" t="n">
        <v>46133</v>
      </c>
      <c r="B82" s="8">
        <f>IF($A82="","",TEXT($A82,"mmm-yyyy"))</f>
        <v/>
      </c>
      <c r="C82" s="8">
        <f>IF($A82="","","W"&amp;WEEKNUM($A82,2))</f>
        <v/>
      </c>
      <c r="D82" s="8">
        <f>IF($A82="","",TEXT($A82,"ddd"))</f>
        <v/>
      </c>
      <c r="E82" s="8" t="inlineStr">
        <is>
          <t>Energy</t>
        </is>
      </c>
      <c r="F82" s="8">
        <f>IFERROR(INDEX(Tbl_KPIMaster[Category],MATCH($G82,Tbl_KPIMaster[KPI],0)),"")</f>
        <v/>
      </c>
      <c r="G82" s="8" t="inlineStr">
        <is>
          <t>Renewable Energy Share %</t>
        </is>
      </c>
      <c r="H82" s="8">
        <f>IFERROR(INDEX(Tbl_KPIMaster[Unit],MATCH($G82,Tbl_KPIMaster[KPI],0)),"")</f>
        <v/>
      </c>
      <c r="I82" s="9">
        <f>IFERROR(INDEX(Tbl_KPIMaster[Maximum Target],MATCH($G82,Tbl_KPIMaster[KPI],0)),"")</f>
        <v/>
      </c>
      <c r="J82" s="9" t="n">
        <v>0.2386</v>
      </c>
      <c r="K82" s="8">
        <f>IFERROR(INDEX(Tbl_KPIMaster[Tolerance],MATCH($G82,Tbl_KPIMaster[KPI],0)),"")</f>
        <v/>
      </c>
      <c r="L82" s="8">
        <f>IFERROR(INDEX(Tbl_KPIMaster[Owner],MATCH($G82,Tbl_KPIMaster[KPI],0)),"")</f>
        <v/>
      </c>
      <c r="M82" s="10" t="inlineStr">
        <is>
          <t>Weather impact</t>
        </is>
      </c>
      <c r="N82" s="8" t="inlineStr"/>
      <c r="O82" s="8" t="inlineStr">
        <is>
          <t>Low</t>
        </is>
      </c>
      <c r="P82" s="8" t="inlineStr">
        <is>
          <t>In Progress</t>
        </is>
      </c>
      <c r="Q82" s="9">
        <f>IFERROR(IF(INDEX(Tbl_KPIMaster[Direction],MATCH($G82,Tbl_KPIMaster[KPI],0))="Lower is Better",IF($J82=0,1,IF($I82=0,0,$I82/$J82)),IF($I82=0,1,$J82/$I82)),0)</f>
        <v/>
      </c>
      <c r="R82" s="8">
        <f>IF(OR($I82="",$J82=""),"",$J82-$I82)</f>
        <v/>
      </c>
      <c r="S82" s="8">
        <f>IFERROR(IF(INDEX(Tbl_KPIMaster[Direction],MATCH($G82,Tbl_KPIMaster[KPI],0))="Lower is Better",IF($J82&lt;=$I82,"Green",IF($J82&lt;=$I82+IF($I82=0,$K82,$I82*$K82),"Amber","Red")),IF($J82&gt;=$I82,"Green",IF($J82&gt;=$I82-IF($I82=0,$K82,$I82*$K82),"Amber","Red"))),"")</f>
        <v/>
      </c>
      <c r="T82" s="10" t="inlineStr"/>
    </row>
    <row r="83">
      <c r="A83" s="3" t="n">
        <v>46134</v>
      </c>
      <c r="B83" s="4">
        <f>IF($A83="","",TEXT($A83,"mmm-yyyy"))</f>
        <v/>
      </c>
      <c r="C83" s="4">
        <f>IF($A83="","","W"&amp;WEEKNUM($A83,2))</f>
        <v/>
      </c>
      <c r="D83" s="4">
        <f>IF($A83="","",TEXT($A83,"ddd"))</f>
        <v/>
      </c>
      <c r="E83" s="4" t="inlineStr">
        <is>
          <t>Safety</t>
        </is>
      </c>
      <c r="F83" s="4">
        <f>IFERROR(INDEX(Tbl_KPIMaster[Category],MATCH($G83,Tbl_KPIMaster[KPI],0)),"")</f>
        <v/>
      </c>
      <c r="G83" s="4" t="inlineStr">
        <is>
          <t>Safety Incidents (LTI)</t>
        </is>
      </c>
      <c r="H83" s="4">
        <f>IFERROR(INDEX(Tbl_KPIMaster[Unit],MATCH($G83,Tbl_KPIMaster[KPI],0)),"")</f>
        <v/>
      </c>
      <c r="I83" s="5">
        <f>IFERROR(INDEX(Tbl_KPIMaster[Maximum Target],MATCH($G83,Tbl_KPIMaster[KPI],0)),"")</f>
        <v/>
      </c>
      <c r="J83" s="5" t="n">
        <v>1</v>
      </c>
      <c r="K83" s="4">
        <f>IFERROR(INDEX(Tbl_KPIMaster[Tolerance],MATCH($G83,Tbl_KPIMaster[KPI],0)),"")</f>
        <v/>
      </c>
      <c r="L83" s="4">
        <f>IFERROR(INDEX(Tbl_KPIMaster[Owner],MATCH($G83,Tbl_KPIMaster[KPI],0)),"")</f>
        <v/>
      </c>
      <c r="M83" s="6" t="inlineStr">
        <is>
          <t>Line changeover impact</t>
        </is>
      </c>
      <c r="N83" s="4" t="inlineStr">
        <is>
          <t>Management approval pending</t>
        </is>
      </c>
      <c r="O83" s="4" t="inlineStr">
        <is>
          <t>Low</t>
        </is>
      </c>
      <c r="P83" s="4" t="inlineStr">
        <is>
          <t>Closed</t>
        </is>
      </c>
      <c r="Q83" s="5">
        <f>IFERROR(IF(INDEX(Tbl_KPIMaster[Direction],MATCH($G83,Tbl_KPIMaster[KPI],0))="Lower is Better",IF($J83=0,1,IF($I83=0,0,$I83/$J83)),IF($I83=0,1,$J83/$I83)),0)</f>
        <v/>
      </c>
      <c r="R83" s="4">
        <f>IF(OR($I83="",$J83=""),"",$J83-$I83)</f>
        <v/>
      </c>
      <c r="S83" s="4">
        <f>IFERROR(IF(INDEX(Tbl_KPIMaster[Direction],MATCH($G83,Tbl_KPIMaster[KPI],0))="Lower is Better",IF($J83&lt;=$I83,"Green",IF($J83&lt;=$I83+IF($I83=0,$K83,$I83*$K83),"Amber","Red")),IF($J83&gt;=$I83,"Green",IF($J83&gt;=$I83-IF($I83=0,$K83,$I83*$K83),"Amber","Red"))),"")</f>
        <v/>
      </c>
      <c r="T83" s="6" t="inlineStr"/>
    </row>
    <row r="84">
      <c r="A84" s="7" t="n">
        <v>46134</v>
      </c>
      <c r="B84" s="8">
        <f>IF($A84="","",TEXT($A84,"mmm-yyyy"))</f>
        <v/>
      </c>
      <c r="C84" s="8">
        <f>IF($A84="","","W"&amp;WEEKNUM($A84,2))</f>
        <v/>
      </c>
      <c r="D84" s="8">
        <f>IF($A84="","",TEXT($A84,"ddd"))</f>
        <v/>
      </c>
      <c r="E84" s="8" t="inlineStr">
        <is>
          <t>Safety</t>
        </is>
      </c>
      <c r="F84" s="8">
        <f>IFERROR(INDEX(Tbl_KPIMaster[Category],MATCH($G84,Tbl_KPIMaster[KPI],0)),"")</f>
        <v/>
      </c>
      <c r="G84" s="8" t="inlineStr">
        <is>
          <t>Near Miss Reports</t>
        </is>
      </c>
      <c r="H84" s="8">
        <f>IFERROR(INDEX(Tbl_KPIMaster[Unit],MATCH($G84,Tbl_KPIMaster[KPI],0)),"")</f>
        <v/>
      </c>
      <c r="I84" s="9">
        <f>IFERROR(INDEX(Tbl_KPIMaster[Maximum Target],MATCH($G84,Tbl_KPIMaster[KPI],0)),"")</f>
        <v/>
      </c>
      <c r="J84" s="9" t="n">
        <v>2</v>
      </c>
      <c r="K84" s="8">
        <f>IFERROR(INDEX(Tbl_KPIMaster[Tolerance],MATCH($G84,Tbl_KPIMaster[KPI],0)),"")</f>
        <v/>
      </c>
      <c r="L84" s="8">
        <f>IFERROR(INDEX(Tbl_KPIMaster[Owner],MATCH($G84,Tbl_KPIMaster[KPI],0)),"")</f>
        <v/>
      </c>
      <c r="M84" s="10" t="inlineStr">
        <is>
          <t>Weather impact</t>
        </is>
      </c>
      <c r="N84" s="8" t="inlineStr">
        <is>
          <t>Management approval pending</t>
        </is>
      </c>
      <c r="O84" s="8" t="inlineStr">
        <is>
          <t>Low</t>
        </is>
      </c>
      <c r="P84" s="8" t="inlineStr">
        <is>
          <t>Closed</t>
        </is>
      </c>
      <c r="Q84" s="9">
        <f>IFERROR(IF(INDEX(Tbl_KPIMaster[Direction],MATCH($G84,Tbl_KPIMaster[KPI],0))="Lower is Better",IF($J84=0,1,IF($I84=0,0,$I84/$J84)),IF($I84=0,1,$J84/$I84)),0)</f>
        <v/>
      </c>
      <c r="R84" s="8">
        <f>IF(OR($I84="",$J84=""),"",$J84-$I84)</f>
        <v/>
      </c>
      <c r="S84" s="8">
        <f>IFERROR(IF(INDEX(Tbl_KPIMaster[Direction],MATCH($G84,Tbl_KPIMaster[KPI],0))="Lower is Better",IF($J84&lt;=$I84,"Green",IF($J84&lt;=$I84+IF($I84=0,$K84,$I84*$K84),"Amber","Red")),IF($J84&gt;=$I84,"Green",IF($J84&gt;=$I84-IF($I84=0,$K84,$I84*$K84),"Amber","Red"))),"")</f>
        <v/>
      </c>
      <c r="T84" s="10" t="inlineStr"/>
    </row>
    <row r="85">
      <c r="A85" s="3" t="n">
        <v>46134</v>
      </c>
      <c r="B85" s="4">
        <f>IF($A85="","",TEXT($A85,"mmm-yyyy"))</f>
        <v/>
      </c>
      <c r="C85" s="4">
        <f>IF($A85="","","W"&amp;WEEKNUM($A85,2))</f>
        <v/>
      </c>
      <c r="D85" s="4">
        <f>IF($A85="","",TEXT($A85,"ddd"))</f>
        <v/>
      </c>
      <c r="E85" s="4" t="inlineStr">
        <is>
          <t>Production</t>
        </is>
      </c>
      <c r="F85" s="4">
        <f>IFERROR(INDEX(Tbl_KPIMaster[Category],MATCH($G85,Tbl_KPIMaster[KPI],0)),"")</f>
        <v/>
      </c>
      <c r="G85" s="4" t="inlineStr">
        <is>
          <t>Production Output</t>
        </is>
      </c>
      <c r="H85" s="4">
        <f>IFERROR(INDEX(Tbl_KPIMaster[Unit],MATCH($G85,Tbl_KPIMaster[KPI],0)),"")</f>
        <v/>
      </c>
      <c r="I85" s="5">
        <f>IFERROR(INDEX(Tbl_KPIMaster[Maximum Target],MATCH($G85,Tbl_KPIMaster[KPI],0)),"")</f>
        <v/>
      </c>
      <c r="J85" s="5" t="n">
        <v>1079.85</v>
      </c>
      <c r="K85" s="4">
        <f>IFERROR(INDEX(Tbl_KPIMaster[Tolerance],MATCH($G85,Tbl_KPIMaster[KPI],0)),"")</f>
        <v/>
      </c>
      <c r="L85" s="4">
        <f>IFERROR(INDEX(Tbl_KPIMaster[Owner],MATCH($G85,Tbl_KPIMaster[KPI],0)),"")</f>
        <v/>
      </c>
      <c r="M85" s="6" t="inlineStr">
        <is>
          <t>Process improvement in progress</t>
        </is>
      </c>
      <c r="N85" s="4" t="inlineStr">
        <is>
          <t>Procurement follow-up</t>
        </is>
      </c>
      <c r="O85" s="4" t="inlineStr">
        <is>
          <t>Low</t>
        </is>
      </c>
      <c r="P85" s="4" t="inlineStr">
        <is>
          <t>Closed</t>
        </is>
      </c>
      <c r="Q85" s="5">
        <f>IFERROR(IF(INDEX(Tbl_KPIMaster[Direction],MATCH($G85,Tbl_KPIMaster[KPI],0))="Lower is Better",IF($J85=0,1,IF($I85=0,0,$I85/$J85)),IF($I85=0,1,$J85/$I85)),0)</f>
        <v/>
      </c>
      <c r="R85" s="4">
        <f>IF(OR($I85="",$J85=""),"",$J85-$I85)</f>
        <v/>
      </c>
      <c r="S85" s="4">
        <f>IFERROR(IF(INDEX(Tbl_KPIMaster[Direction],MATCH($G85,Tbl_KPIMaster[KPI],0))="Lower is Better",IF($J85&lt;=$I85,"Green",IF($J85&lt;=$I85+IF($I85=0,$K85,$I85*$K85),"Amber","Red")),IF($J85&gt;=$I85,"Green",IF($J85&gt;=$I85-IF($I85=0,$K85,$I85*$K85),"Amber","Red"))),"")</f>
        <v/>
      </c>
      <c r="T85" s="6" t="inlineStr"/>
    </row>
    <row r="86">
      <c r="A86" s="7" t="n">
        <v>46134</v>
      </c>
      <c r="B86" s="8">
        <f>IF($A86="","",TEXT($A86,"mmm-yyyy"))</f>
        <v/>
      </c>
      <c r="C86" s="8">
        <f>IF($A86="","","W"&amp;WEEKNUM($A86,2))</f>
        <v/>
      </c>
      <c r="D86" s="8">
        <f>IF($A86="","",TEXT($A86,"ddd"))</f>
        <v/>
      </c>
      <c r="E86" s="8" t="inlineStr">
        <is>
          <t>Production</t>
        </is>
      </c>
      <c r="F86" s="8">
        <f>IFERROR(INDEX(Tbl_KPIMaster[Category],MATCH($G86,Tbl_KPIMaster[KPI],0)),"")</f>
        <v/>
      </c>
      <c r="G86" s="8" t="inlineStr">
        <is>
          <t>OEE %</t>
        </is>
      </c>
      <c r="H86" s="8">
        <f>IFERROR(INDEX(Tbl_KPIMaster[Unit],MATCH($G86,Tbl_KPIMaster[KPI],0)),"")</f>
        <v/>
      </c>
      <c r="I86" s="9">
        <f>IFERROR(INDEX(Tbl_KPIMaster[Maximum Target],MATCH($G86,Tbl_KPIMaster[KPI],0)),"")</f>
        <v/>
      </c>
      <c r="J86" s="9" t="n">
        <v>0.8824</v>
      </c>
      <c r="K86" s="8">
        <f>IFERROR(INDEX(Tbl_KPIMaster[Tolerance],MATCH($G86,Tbl_KPIMaster[KPI],0)),"")</f>
        <v/>
      </c>
      <c r="L86" s="8">
        <f>IFERROR(INDEX(Tbl_KPIMaster[Owner],MATCH($G86,Tbl_KPIMaster[KPI],0)),"")</f>
        <v/>
      </c>
      <c r="M86" s="10" t="inlineStr">
        <is>
          <t>Preventive check done</t>
        </is>
      </c>
      <c r="N86" s="8" t="inlineStr">
        <is>
          <t>Procurement follow-up</t>
        </is>
      </c>
      <c r="O86" s="8" t="inlineStr">
        <is>
          <t>High</t>
        </is>
      </c>
      <c r="P86" s="8" t="inlineStr">
        <is>
          <t>Closed</t>
        </is>
      </c>
      <c r="Q86" s="9">
        <f>IFERROR(IF(INDEX(Tbl_KPIMaster[Direction],MATCH($G86,Tbl_KPIMaster[KPI],0))="Lower is Better",IF($J86=0,1,IF($I86=0,0,$I86/$J86)),IF($I86=0,1,$J86/$I86)),0)</f>
        <v/>
      </c>
      <c r="R86" s="8">
        <f>IF(OR($I86="",$J86=""),"",$J86-$I86)</f>
        <v/>
      </c>
      <c r="S86" s="8">
        <f>IFERROR(IF(INDEX(Tbl_KPIMaster[Direction],MATCH($G86,Tbl_KPIMaster[KPI],0))="Lower is Better",IF($J86&lt;=$I86,"Green",IF($J86&lt;=$I86+IF($I86=0,$K86,$I86*$K86),"Amber","Red")),IF($J86&gt;=$I86,"Green",IF($J86&gt;=$I86-IF($I86=0,$K86,$I86*$K86),"Amber","Red"))),"")</f>
        <v/>
      </c>
      <c r="T86" s="10" t="inlineStr"/>
    </row>
    <row r="87">
      <c r="A87" s="3" t="n">
        <v>46134</v>
      </c>
      <c r="B87" s="4">
        <f>IF($A87="","",TEXT($A87,"mmm-yyyy"))</f>
        <v/>
      </c>
      <c r="C87" s="4">
        <f>IF($A87="","","W"&amp;WEEKNUM($A87,2))</f>
        <v/>
      </c>
      <c r="D87" s="4">
        <f>IF($A87="","",TEXT($A87,"ddd"))</f>
        <v/>
      </c>
      <c r="E87" s="4" t="inlineStr">
        <is>
          <t>Quality</t>
        </is>
      </c>
      <c r="F87" s="4">
        <f>IFERROR(INDEX(Tbl_KPIMaster[Category],MATCH($G87,Tbl_KPIMaster[KPI],0)),"")</f>
        <v/>
      </c>
      <c r="G87" s="4" t="inlineStr">
        <is>
          <t>Defect Rate %</t>
        </is>
      </c>
      <c r="H87" s="4">
        <f>IFERROR(INDEX(Tbl_KPIMaster[Unit],MATCH($G87,Tbl_KPIMaster[KPI],0)),"")</f>
        <v/>
      </c>
      <c r="I87" s="5">
        <f>IFERROR(INDEX(Tbl_KPIMaster[Maximum Target],MATCH($G87,Tbl_KPIMaster[KPI],0)),"")</f>
        <v/>
      </c>
      <c r="J87" s="5" t="n">
        <v>0.789</v>
      </c>
      <c r="K87" s="4">
        <f>IFERROR(INDEX(Tbl_KPIMaster[Tolerance],MATCH($G87,Tbl_KPIMaster[KPI],0)),"")</f>
        <v/>
      </c>
      <c r="L87" s="4">
        <f>IFERROR(INDEX(Tbl_KPIMaster[Owner],MATCH($G87,Tbl_KPIMaster[KPI],0)),"")</f>
        <v/>
      </c>
      <c r="M87" s="6" t="inlineStr"/>
      <c r="N87" s="4" t="inlineStr"/>
      <c r="O87" s="4" t="inlineStr">
        <is>
          <t>Low</t>
        </is>
      </c>
      <c r="P87" s="4" t="inlineStr">
        <is>
          <t>Closed</t>
        </is>
      </c>
      <c r="Q87" s="5">
        <f>IFERROR(IF(INDEX(Tbl_KPIMaster[Direction],MATCH($G87,Tbl_KPIMaster[KPI],0))="Lower is Better",IF($J87=0,1,IF($I87=0,0,$I87/$J87)),IF($I87=0,1,$J87/$I87)),0)</f>
        <v/>
      </c>
      <c r="R87" s="4">
        <f>IF(OR($I87="",$J87=""),"",$J87-$I87)</f>
        <v/>
      </c>
      <c r="S87" s="4">
        <f>IFERROR(IF(INDEX(Tbl_KPIMaster[Direction],MATCH($G87,Tbl_KPIMaster[KPI],0))="Lower is Better",IF($J87&lt;=$I87,"Green",IF($J87&lt;=$I87+IF($I87=0,$K87,$I87*$K87),"Amber","Red")),IF($J87&gt;=$I87,"Green",IF($J87&gt;=$I87-IF($I87=0,$K87,$I87*$K87),"Amber","Red"))),"")</f>
        <v/>
      </c>
      <c r="T87" s="6" t="inlineStr"/>
    </row>
    <row r="88">
      <c r="A88" s="7" t="n">
        <v>46134</v>
      </c>
      <c r="B88" s="8">
        <f>IF($A88="","",TEXT($A88,"mmm-yyyy"))</f>
        <v/>
      </c>
      <c r="C88" s="8">
        <f>IF($A88="","","W"&amp;WEEKNUM($A88,2))</f>
        <v/>
      </c>
      <c r="D88" s="8">
        <f>IF($A88="","",TEXT($A88,"ddd"))</f>
        <v/>
      </c>
      <c r="E88" s="8" t="inlineStr">
        <is>
          <t>Quality</t>
        </is>
      </c>
      <c r="F88" s="8">
        <f>IFERROR(INDEX(Tbl_KPIMaster[Category],MATCH($G88,Tbl_KPIMaster[KPI],0)),"")</f>
        <v/>
      </c>
      <c r="G88" s="8" t="inlineStr">
        <is>
          <t>Customer Complaints</t>
        </is>
      </c>
      <c r="H88" s="8">
        <f>IFERROR(INDEX(Tbl_KPIMaster[Unit],MATCH($G88,Tbl_KPIMaster[KPI],0)),"")</f>
        <v/>
      </c>
      <c r="I88" s="9">
        <f>IFERROR(INDEX(Tbl_KPIMaster[Maximum Target],MATCH($G88,Tbl_KPIMaster[KPI],0)),"")</f>
        <v/>
      </c>
      <c r="J88" s="9" t="n">
        <v>2</v>
      </c>
      <c r="K88" s="8">
        <f>IFERROR(INDEX(Tbl_KPIMaster[Tolerance],MATCH($G88,Tbl_KPIMaster[KPI],0)),"")</f>
        <v/>
      </c>
      <c r="L88" s="8">
        <f>IFERROR(INDEX(Tbl_KPIMaster[Owner],MATCH($G88,Tbl_KPIMaster[KPI],0)),"")</f>
        <v/>
      </c>
      <c r="M88" s="10" t="inlineStr">
        <is>
          <t>Equipment breakdown</t>
        </is>
      </c>
      <c r="N88" s="8" t="inlineStr">
        <is>
          <t>Management approval pending</t>
        </is>
      </c>
      <c r="O88" s="8" t="inlineStr">
        <is>
          <t>High</t>
        </is>
      </c>
      <c r="P88" s="8" t="inlineStr">
        <is>
          <t>Closed</t>
        </is>
      </c>
      <c r="Q88" s="9">
        <f>IFERROR(IF(INDEX(Tbl_KPIMaster[Direction],MATCH($G88,Tbl_KPIMaster[KPI],0))="Lower is Better",IF($J88=0,1,IF($I88=0,0,$I88/$J88)),IF($I88=0,1,$J88/$I88)),0)</f>
        <v/>
      </c>
      <c r="R88" s="8">
        <f>IF(OR($I88="",$J88=""),"",$J88-$I88)</f>
        <v/>
      </c>
      <c r="S88" s="8">
        <f>IFERROR(IF(INDEX(Tbl_KPIMaster[Direction],MATCH($G88,Tbl_KPIMaster[KPI],0))="Lower is Better",IF($J88&lt;=$I88,"Green",IF($J88&lt;=$I88+IF($I88=0,$K88,$I88*$K88),"Amber","Red")),IF($J88&gt;=$I88,"Green",IF($J88&gt;=$I88-IF($I88=0,$K88,$I88*$K88),"Amber","Red"))),"")</f>
        <v/>
      </c>
      <c r="T88" s="10" t="inlineStr"/>
    </row>
    <row r="89">
      <c r="A89" s="3" t="n">
        <v>46134</v>
      </c>
      <c r="B89" s="4">
        <f>IF($A89="","",TEXT($A89,"mmm-yyyy"))</f>
        <v/>
      </c>
      <c r="C89" s="4">
        <f>IF($A89="","","W"&amp;WEEKNUM($A89,2))</f>
        <v/>
      </c>
      <c r="D89" s="4">
        <f>IF($A89="","",TEXT($A89,"ddd"))</f>
        <v/>
      </c>
      <c r="E89" s="4" t="inlineStr">
        <is>
          <t>Maintenance</t>
        </is>
      </c>
      <c r="F89" s="4">
        <f>IFERROR(INDEX(Tbl_KPIMaster[Category],MATCH($G89,Tbl_KPIMaster[KPI],0)),"")</f>
        <v/>
      </c>
      <c r="G89" s="4" t="inlineStr">
        <is>
          <t>Unplanned Downtime</t>
        </is>
      </c>
      <c r="H89" s="4">
        <f>IFERROR(INDEX(Tbl_KPIMaster[Unit],MATCH($G89,Tbl_KPIMaster[KPI],0)),"")</f>
        <v/>
      </c>
      <c r="I89" s="5">
        <f>IFERROR(INDEX(Tbl_KPIMaster[Maximum Target],MATCH($G89,Tbl_KPIMaster[KPI],0)),"")</f>
        <v/>
      </c>
      <c r="J89" s="5" t="n">
        <v>0.2</v>
      </c>
      <c r="K89" s="4">
        <f>IFERROR(INDEX(Tbl_KPIMaster[Tolerance],MATCH($G89,Tbl_KPIMaster[KPI],0)),"")</f>
        <v/>
      </c>
      <c r="L89" s="4">
        <f>IFERROR(INDEX(Tbl_KPIMaster[Owner],MATCH($G89,Tbl_KPIMaster[KPI],0)),"")</f>
        <v/>
      </c>
      <c r="M89" s="6" t="inlineStr">
        <is>
          <t>Weather impact</t>
        </is>
      </c>
      <c r="N89" s="4" t="inlineStr">
        <is>
          <t>Procurement follow-up</t>
        </is>
      </c>
      <c r="O89" s="4" t="inlineStr">
        <is>
          <t>Low</t>
        </is>
      </c>
      <c r="P89" s="4" t="inlineStr">
        <is>
          <t>Closed</t>
        </is>
      </c>
      <c r="Q89" s="5">
        <f>IFERROR(IF(INDEX(Tbl_KPIMaster[Direction],MATCH($G89,Tbl_KPIMaster[KPI],0))="Lower is Better",IF($J89=0,1,IF($I89=0,0,$I89/$J89)),IF($I89=0,1,$J89/$I89)),0)</f>
        <v/>
      </c>
      <c r="R89" s="4">
        <f>IF(OR($I89="",$J89=""),"",$J89-$I89)</f>
        <v/>
      </c>
      <c r="S89" s="4">
        <f>IFERROR(IF(INDEX(Tbl_KPIMaster[Direction],MATCH($G89,Tbl_KPIMaster[KPI],0))="Lower is Better",IF($J89&lt;=$I89,"Green",IF($J89&lt;=$I89+IF($I89=0,$K89,$I89*$K89),"Amber","Red")),IF($J89&gt;=$I89,"Green",IF($J89&gt;=$I89-IF($I89=0,$K89,$I89*$K89),"Amber","Red"))),"")</f>
        <v/>
      </c>
      <c r="T89" s="6" t="inlineStr"/>
    </row>
    <row r="90">
      <c r="A90" s="7" t="n">
        <v>46134</v>
      </c>
      <c r="B90" s="8">
        <f>IF($A90="","",TEXT($A90,"mmm-yyyy"))</f>
        <v/>
      </c>
      <c r="C90" s="8">
        <f>IF($A90="","","W"&amp;WEEKNUM($A90,2))</f>
        <v/>
      </c>
      <c r="D90" s="8">
        <f>IF($A90="","",TEXT($A90,"ddd"))</f>
        <v/>
      </c>
      <c r="E90" s="8" t="inlineStr">
        <is>
          <t>Maintenance</t>
        </is>
      </c>
      <c r="F90" s="8">
        <f>IFERROR(INDEX(Tbl_KPIMaster[Category],MATCH($G90,Tbl_KPIMaster[KPI],0)),"")</f>
        <v/>
      </c>
      <c r="G90" s="8" t="inlineStr">
        <is>
          <t>PM Compliance %</t>
        </is>
      </c>
      <c r="H90" s="8">
        <f>IFERROR(INDEX(Tbl_KPIMaster[Unit],MATCH($G90,Tbl_KPIMaster[KPI],0)),"")</f>
        <v/>
      </c>
      <c r="I90" s="9">
        <f>IFERROR(INDEX(Tbl_KPIMaster[Maximum Target],MATCH($G90,Tbl_KPIMaster[KPI],0)),"")</f>
        <v/>
      </c>
      <c r="J90" s="9" t="n">
        <v>0.7873</v>
      </c>
      <c r="K90" s="8">
        <f>IFERROR(INDEX(Tbl_KPIMaster[Tolerance],MATCH($G90,Tbl_KPIMaster[KPI],0)),"")</f>
        <v/>
      </c>
      <c r="L90" s="8">
        <f>IFERROR(INDEX(Tbl_KPIMaster[Owner],MATCH($G90,Tbl_KPIMaster[KPI],0)),"")</f>
        <v/>
      </c>
      <c r="M90" s="10" t="inlineStr">
        <is>
          <t>Within normal range</t>
        </is>
      </c>
      <c r="N90" s="8" t="inlineStr">
        <is>
          <t>Management approval pending</t>
        </is>
      </c>
      <c r="O90" s="8" t="inlineStr">
        <is>
          <t>Low</t>
        </is>
      </c>
      <c r="P90" s="8" t="inlineStr">
        <is>
          <t>In Progress</t>
        </is>
      </c>
      <c r="Q90" s="9">
        <f>IFERROR(IF(INDEX(Tbl_KPIMaster[Direction],MATCH($G90,Tbl_KPIMaster[KPI],0))="Lower is Better",IF($J90=0,1,IF($I90=0,0,$I90/$J90)),IF($I90=0,1,$J90/$I90)),0)</f>
        <v/>
      </c>
      <c r="R90" s="8">
        <f>IF(OR($I90="",$J90=""),"",$J90-$I90)</f>
        <v/>
      </c>
      <c r="S90" s="8">
        <f>IFERROR(IF(INDEX(Tbl_KPIMaster[Direction],MATCH($G90,Tbl_KPIMaster[KPI],0))="Lower is Better",IF($J90&lt;=$I90,"Green",IF($J90&lt;=$I90+IF($I90=0,$K90,$I90*$K90),"Amber","Red")),IF($J90&gt;=$I90,"Green",IF($J90&gt;=$I90-IF($I90=0,$K90,$I90*$K90),"Amber","Red"))),"")</f>
        <v/>
      </c>
      <c r="T90" s="10" t="inlineStr"/>
    </row>
    <row r="91">
      <c r="A91" s="3" t="n">
        <v>46134</v>
      </c>
      <c r="B91" s="4">
        <f>IF($A91="","",TEXT($A91,"mmm-yyyy"))</f>
        <v/>
      </c>
      <c r="C91" s="4">
        <f>IF($A91="","","W"&amp;WEEKNUM($A91,2))</f>
        <v/>
      </c>
      <c r="D91" s="4">
        <f>IF($A91="","",TEXT($A91,"ddd"))</f>
        <v/>
      </c>
      <c r="E91" s="4" t="inlineStr">
        <is>
          <t>Utilities</t>
        </is>
      </c>
      <c r="F91" s="4">
        <f>IFERROR(INDEX(Tbl_KPIMaster[Category],MATCH($G91,Tbl_KPIMaster[KPI],0)),"")</f>
        <v/>
      </c>
      <c r="G91" s="4" t="inlineStr">
        <is>
          <t>Power Consumption</t>
        </is>
      </c>
      <c r="H91" s="4">
        <f>IFERROR(INDEX(Tbl_KPIMaster[Unit],MATCH($G91,Tbl_KPIMaster[KPI],0)),"")</f>
        <v/>
      </c>
      <c r="I91" s="5">
        <f>IFERROR(INDEX(Tbl_KPIMaster[Maximum Target],MATCH($G91,Tbl_KPIMaster[KPI],0)),"")</f>
        <v/>
      </c>
      <c r="J91" s="5" t="n">
        <v>5143.25</v>
      </c>
      <c r="K91" s="4">
        <f>IFERROR(INDEX(Tbl_KPIMaster[Tolerance],MATCH($G91,Tbl_KPIMaster[KPI],0)),"")</f>
        <v/>
      </c>
      <c r="L91" s="4">
        <f>IFERROR(INDEX(Tbl_KPIMaster[Owner],MATCH($G91,Tbl_KPIMaster[KPI],0)),"")</f>
        <v/>
      </c>
      <c r="M91" s="6" t="inlineStr">
        <is>
          <t>Equipment breakdown</t>
        </is>
      </c>
      <c r="N91" s="4" t="inlineStr">
        <is>
          <t>Management approval pending</t>
        </is>
      </c>
      <c r="O91" s="4" t="inlineStr">
        <is>
          <t>Low</t>
        </is>
      </c>
      <c r="P91" s="4" t="inlineStr">
        <is>
          <t>Closed</t>
        </is>
      </c>
      <c r="Q91" s="5">
        <f>IFERROR(IF(INDEX(Tbl_KPIMaster[Direction],MATCH($G91,Tbl_KPIMaster[KPI],0))="Lower is Better",IF($J91=0,1,IF($I91=0,0,$I91/$J91)),IF($I91=0,1,$J91/$I91)),0)</f>
        <v/>
      </c>
      <c r="R91" s="4">
        <f>IF(OR($I91="",$J91=""),"",$J91-$I91)</f>
        <v/>
      </c>
      <c r="S91" s="4">
        <f>IFERROR(IF(INDEX(Tbl_KPIMaster[Direction],MATCH($G91,Tbl_KPIMaster[KPI],0))="Lower is Better",IF($J91&lt;=$I91,"Green",IF($J91&lt;=$I91+IF($I91=0,$K91,$I91*$K91),"Amber","Red")),IF($J91&gt;=$I91,"Green",IF($J91&gt;=$I91-IF($I91=0,$K91,$I91*$K91),"Amber","Red"))),"")</f>
        <v/>
      </c>
      <c r="T91" s="6" t="inlineStr"/>
    </row>
    <row r="92">
      <c r="A92" s="7" t="n">
        <v>46134</v>
      </c>
      <c r="B92" s="8">
        <f>IF($A92="","",TEXT($A92,"mmm-yyyy"))</f>
        <v/>
      </c>
      <c r="C92" s="8">
        <f>IF($A92="","","W"&amp;WEEKNUM($A92,2))</f>
        <v/>
      </c>
      <c r="D92" s="8">
        <f>IF($A92="","",TEXT($A92,"ddd"))</f>
        <v/>
      </c>
      <c r="E92" s="8" t="inlineStr">
        <is>
          <t>Utilities</t>
        </is>
      </c>
      <c r="F92" s="8">
        <f>IFERROR(INDEX(Tbl_KPIMaster[Category],MATCH($G92,Tbl_KPIMaster[KPI],0)),"")</f>
        <v/>
      </c>
      <c r="G92" s="8" t="inlineStr">
        <is>
          <t>Water Consumption</t>
        </is>
      </c>
      <c r="H92" s="8">
        <f>IFERROR(INDEX(Tbl_KPIMaster[Unit],MATCH($G92,Tbl_KPIMaster[KPI],0)),"")</f>
        <v/>
      </c>
      <c r="I92" s="9">
        <f>IFERROR(INDEX(Tbl_KPIMaster[Maximum Target],MATCH($G92,Tbl_KPIMaster[KPI],0)),"")</f>
        <v/>
      </c>
      <c r="J92" s="9" t="n">
        <v>52.64</v>
      </c>
      <c r="K92" s="8">
        <f>IFERROR(INDEX(Tbl_KPIMaster[Tolerance],MATCH($G92,Tbl_KPIMaster[KPI],0)),"")</f>
        <v/>
      </c>
      <c r="L92" s="8">
        <f>IFERROR(INDEX(Tbl_KPIMaster[Owner],MATCH($G92,Tbl_KPIMaster[KPI],0)),"")</f>
        <v/>
      </c>
      <c r="M92" s="10" t="inlineStr">
        <is>
          <t>New operator training effect</t>
        </is>
      </c>
      <c r="N92" s="8" t="inlineStr"/>
      <c r="O92" s="8" t="inlineStr">
        <is>
          <t>Low</t>
        </is>
      </c>
      <c r="P92" s="8" t="inlineStr">
        <is>
          <t>In Progress</t>
        </is>
      </c>
      <c r="Q92" s="9">
        <f>IFERROR(IF(INDEX(Tbl_KPIMaster[Direction],MATCH($G92,Tbl_KPIMaster[KPI],0))="Lower is Better",IF($J92=0,1,IF($I92=0,0,$I92/$J92)),IF($I92=0,1,$J92/$I92)),0)</f>
        <v/>
      </c>
      <c r="R92" s="8">
        <f>IF(OR($I92="",$J92=""),"",$J92-$I92)</f>
        <v/>
      </c>
      <c r="S92" s="8">
        <f>IFERROR(IF(INDEX(Tbl_KPIMaster[Direction],MATCH($G92,Tbl_KPIMaster[KPI],0))="Lower is Better",IF($J92&lt;=$I92,"Green",IF($J92&lt;=$I92+IF($I92=0,$K92,$I92*$K92),"Amber","Red")),IF($J92&gt;=$I92,"Green",IF($J92&gt;=$I92-IF($I92=0,$K92,$I92*$K92),"Amber","Red"))),"")</f>
        <v/>
      </c>
      <c r="T92" s="10" t="inlineStr"/>
    </row>
    <row r="93">
      <c r="A93" s="3" t="n">
        <v>46134</v>
      </c>
      <c r="B93" s="4">
        <f>IF($A93="","",TEXT($A93,"mmm-yyyy"))</f>
        <v/>
      </c>
      <c r="C93" s="4">
        <f>IF($A93="","","W"&amp;WEEKNUM($A93,2))</f>
        <v/>
      </c>
      <c r="D93" s="4">
        <f>IF($A93="","",TEXT($A93,"ddd"))</f>
        <v/>
      </c>
      <c r="E93" s="4" t="inlineStr">
        <is>
          <t>Warehouse</t>
        </is>
      </c>
      <c r="F93" s="4">
        <f>IFERROR(INDEX(Tbl_KPIMaster[Category],MATCH($G93,Tbl_KPIMaster[KPI],0)),"")</f>
        <v/>
      </c>
      <c r="G93" s="4" t="inlineStr">
        <is>
          <t>On-Time Dispatch %</t>
        </is>
      </c>
      <c r="H93" s="4">
        <f>IFERROR(INDEX(Tbl_KPIMaster[Unit],MATCH($G93,Tbl_KPIMaster[KPI],0)),"")</f>
        <v/>
      </c>
      <c r="I93" s="5">
        <f>IFERROR(INDEX(Tbl_KPIMaster[Maximum Target],MATCH($G93,Tbl_KPIMaster[KPI],0)),"")</f>
        <v/>
      </c>
      <c r="J93" s="5" t="n">
        <v>0.8232</v>
      </c>
      <c r="K93" s="4">
        <f>IFERROR(INDEX(Tbl_KPIMaster[Tolerance],MATCH($G93,Tbl_KPIMaster[KPI],0)),"")</f>
        <v/>
      </c>
      <c r="L93" s="4">
        <f>IFERROR(INDEX(Tbl_KPIMaster[Owner],MATCH($G93,Tbl_KPIMaster[KPI],0)),"")</f>
        <v/>
      </c>
      <c r="M93" s="6" t="inlineStr"/>
      <c r="N93" s="4" t="inlineStr"/>
      <c r="O93" s="4" t="inlineStr">
        <is>
          <t>Medium</t>
        </is>
      </c>
      <c r="P93" s="4" t="inlineStr">
        <is>
          <t>Closed</t>
        </is>
      </c>
      <c r="Q93" s="5">
        <f>IFERROR(IF(INDEX(Tbl_KPIMaster[Direction],MATCH($G93,Tbl_KPIMaster[KPI],0))="Lower is Better",IF($J93=0,1,IF($I93=0,0,$I93/$J93)),IF($I93=0,1,$J93/$I93)),0)</f>
        <v/>
      </c>
      <c r="R93" s="4">
        <f>IF(OR($I93="",$J93=""),"",$J93-$I93)</f>
        <v/>
      </c>
      <c r="S93" s="4">
        <f>IFERROR(IF(INDEX(Tbl_KPIMaster[Direction],MATCH($G93,Tbl_KPIMaster[KPI],0))="Lower is Better",IF($J93&lt;=$I93,"Green",IF($J93&lt;=$I93+IF($I93=0,$K93,$I93*$K93),"Amber","Red")),IF($J93&gt;=$I93,"Green",IF($J93&gt;=$I93-IF($I93=0,$K93,$I93*$K93),"Amber","Red"))),"")</f>
        <v/>
      </c>
      <c r="T93" s="6" t="inlineStr"/>
    </row>
    <row r="94">
      <c r="A94" s="7" t="n">
        <v>46134</v>
      </c>
      <c r="B94" s="8">
        <f>IF($A94="","",TEXT($A94,"mmm-yyyy"))</f>
        <v/>
      </c>
      <c r="C94" s="8">
        <f>IF($A94="","","W"&amp;WEEKNUM($A94,2))</f>
        <v/>
      </c>
      <c r="D94" s="8">
        <f>IF($A94="","",TEXT($A94,"ddd"))</f>
        <v/>
      </c>
      <c r="E94" s="8" t="inlineStr">
        <is>
          <t>Warehouse</t>
        </is>
      </c>
      <c r="F94" s="8">
        <f>IFERROR(INDEX(Tbl_KPIMaster[Category],MATCH($G94,Tbl_KPIMaster[KPI],0)),"")</f>
        <v/>
      </c>
      <c r="G94" s="8" t="inlineStr">
        <is>
          <t>Inventory Accuracy %</t>
        </is>
      </c>
      <c r="H94" s="8">
        <f>IFERROR(INDEX(Tbl_KPIMaster[Unit],MATCH($G94,Tbl_KPIMaster[KPI],0)),"")</f>
        <v/>
      </c>
      <c r="I94" s="9">
        <f>IFERROR(INDEX(Tbl_KPIMaster[Maximum Target],MATCH($G94,Tbl_KPIMaster[KPI],0)),"")</f>
        <v/>
      </c>
      <c r="J94" s="9" t="n">
        <v>0.6798999999999999</v>
      </c>
      <c r="K94" s="8">
        <f>IFERROR(INDEX(Tbl_KPIMaster[Tolerance],MATCH($G94,Tbl_KPIMaster[KPI],0)),"")</f>
        <v/>
      </c>
      <c r="L94" s="8">
        <f>IFERROR(INDEX(Tbl_KPIMaster[Owner],MATCH($G94,Tbl_KPIMaster[KPI],0)),"")</f>
        <v/>
      </c>
      <c r="M94" s="10" t="inlineStr">
        <is>
          <t>Awaiting spares</t>
        </is>
      </c>
      <c r="N94" s="8" t="inlineStr"/>
      <c r="O94" s="8" t="inlineStr">
        <is>
          <t>Low</t>
        </is>
      </c>
      <c r="P94" s="8" t="inlineStr">
        <is>
          <t>Closed</t>
        </is>
      </c>
      <c r="Q94" s="9">
        <f>IFERROR(IF(INDEX(Tbl_KPIMaster[Direction],MATCH($G94,Tbl_KPIMaster[KPI],0))="Lower is Better",IF($J94=0,1,IF($I94=0,0,$I94/$J94)),IF($I94=0,1,$J94/$I94)),0)</f>
        <v/>
      </c>
      <c r="R94" s="8">
        <f>IF(OR($I94="",$J94=""),"",$J94-$I94)</f>
        <v/>
      </c>
      <c r="S94" s="8">
        <f>IFERROR(IF(INDEX(Tbl_KPIMaster[Direction],MATCH($G94,Tbl_KPIMaster[KPI],0))="Lower is Better",IF($J94&lt;=$I94,"Green",IF($J94&lt;=$I94+IF($I94=0,$K94,$I94*$K94),"Amber","Red")),IF($J94&gt;=$I94,"Green",IF($J94&gt;=$I94-IF($I94=0,$K94,$I94*$K94),"Amber","Red"))),"")</f>
        <v/>
      </c>
      <c r="T94" s="10" t="inlineStr"/>
    </row>
    <row r="95">
      <c r="A95" s="3" t="n">
        <v>46134</v>
      </c>
      <c r="B95" s="4">
        <f>IF($A95="","",TEXT($A95,"mmm-yyyy"))</f>
        <v/>
      </c>
      <c r="C95" s="4">
        <f>IF($A95="","","W"&amp;WEEKNUM($A95,2))</f>
        <v/>
      </c>
      <c r="D95" s="4">
        <f>IF($A95="","",TEXT($A95,"ddd"))</f>
        <v/>
      </c>
      <c r="E95" s="4" t="inlineStr">
        <is>
          <t>HR</t>
        </is>
      </c>
      <c r="F95" s="4">
        <f>IFERROR(INDEX(Tbl_KPIMaster[Category],MATCH($G95,Tbl_KPIMaster[KPI],0)),"")</f>
        <v/>
      </c>
      <c r="G95" s="4" t="inlineStr">
        <is>
          <t>Absenteeism %</t>
        </is>
      </c>
      <c r="H95" s="4">
        <f>IFERROR(INDEX(Tbl_KPIMaster[Unit],MATCH($G95,Tbl_KPIMaster[KPI],0)),"")</f>
        <v/>
      </c>
      <c r="I95" s="5">
        <f>IFERROR(INDEX(Tbl_KPIMaster[Maximum Target],MATCH($G95,Tbl_KPIMaster[KPI],0)),"")</f>
        <v/>
      </c>
      <c r="J95" s="5" t="n">
        <v>0</v>
      </c>
      <c r="K95" s="4">
        <f>IFERROR(INDEX(Tbl_KPIMaster[Tolerance],MATCH($G95,Tbl_KPIMaster[KPI],0)),"")</f>
        <v/>
      </c>
      <c r="L95" s="4">
        <f>IFERROR(INDEX(Tbl_KPIMaster[Owner],MATCH($G95,Tbl_KPIMaster[KPI],0)),"")</f>
        <v/>
      </c>
      <c r="M95" s="6" t="inlineStr">
        <is>
          <t>Line changeover impact</t>
        </is>
      </c>
      <c r="N95" s="4" t="inlineStr"/>
      <c r="O95" s="4" t="inlineStr">
        <is>
          <t>Low</t>
        </is>
      </c>
      <c r="P95" s="4" t="inlineStr">
        <is>
          <t>Closed</t>
        </is>
      </c>
      <c r="Q95" s="5">
        <f>IFERROR(IF(INDEX(Tbl_KPIMaster[Direction],MATCH($G95,Tbl_KPIMaster[KPI],0))="Lower is Better",IF($J95=0,1,IF($I95=0,0,$I95/$J95)),IF($I95=0,1,$J95/$I95)),0)</f>
        <v/>
      </c>
      <c r="R95" s="4">
        <f>IF(OR($I95="",$J95=""),"",$J95-$I95)</f>
        <v/>
      </c>
      <c r="S95" s="4">
        <f>IFERROR(IF(INDEX(Tbl_KPIMaster[Direction],MATCH($G95,Tbl_KPIMaster[KPI],0))="Lower is Better",IF($J95&lt;=$I95,"Green",IF($J95&lt;=$I95+IF($I95=0,$K95,$I95*$K95),"Amber","Red")),IF($J95&gt;=$I95,"Green",IF($J95&gt;=$I95-IF($I95=0,$K95,$I95*$K95),"Amber","Red"))),"")</f>
        <v/>
      </c>
      <c r="T95" s="6" t="inlineStr"/>
    </row>
    <row r="96">
      <c r="A96" s="7" t="n">
        <v>46134</v>
      </c>
      <c r="B96" s="8">
        <f>IF($A96="","",TEXT($A96,"mmm-yyyy"))</f>
        <v/>
      </c>
      <c r="C96" s="8">
        <f>IF($A96="","","W"&amp;WEEKNUM($A96,2))</f>
        <v/>
      </c>
      <c r="D96" s="8">
        <f>IF($A96="","",TEXT($A96,"ddd"))</f>
        <v/>
      </c>
      <c r="E96" s="8" t="inlineStr">
        <is>
          <t>HR</t>
        </is>
      </c>
      <c r="F96" s="8">
        <f>IFERROR(INDEX(Tbl_KPIMaster[Category],MATCH($G96,Tbl_KPIMaster[KPI],0)),"")</f>
        <v/>
      </c>
      <c r="G96" s="8" t="inlineStr">
        <is>
          <t>Training Hours</t>
        </is>
      </c>
      <c r="H96" s="8">
        <f>IFERROR(INDEX(Tbl_KPIMaster[Unit],MATCH($G96,Tbl_KPIMaster[KPI],0)),"")</f>
        <v/>
      </c>
      <c r="I96" s="9">
        <f>IFERROR(INDEX(Tbl_KPIMaster[Maximum Target],MATCH($G96,Tbl_KPIMaster[KPI],0)),"")</f>
        <v/>
      </c>
      <c r="J96" s="9" t="n">
        <v>2.4</v>
      </c>
      <c r="K96" s="8">
        <f>IFERROR(INDEX(Tbl_KPIMaster[Tolerance],MATCH($G96,Tbl_KPIMaster[KPI],0)),"")</f>
        <v/>
      </c>
      <c r="L96" s="8">
        <f>IFERROR(INDEX(Tbl_KPIMaster[Owner],MATCH($G96,Tbl_KPIMaster[KPI],0)),"")</f>
        <v/>
      </c>
      <c r="M96" s="10" t="inlineStr">
        <is>
          <t>Manpower shortage</t>
        </is>
      </c>
      <c r="N96" s="8" t="inlineStr">
        <is>
          <t>Procurement follow-up</t>
        </is>
      </c>
      <c r="O96" s="8" t="inlineStr">
        <is>
          <t>High</t>
        </is>
      </c>
      <c r="P96" s="8" t="inlineStr">
        <is>
          <t>Closed</t>
        </is>
      </c>
      <c r="Q96" s="9">
        <f>IFERROR(IF(INDEX(Tbl_KPIMaster[Direction],MATCH($G96,Tbl_KPIMaster[KPI],0))="Lower is Better",IF($J96=0,1,IF($I96=0,0,$I96/$J96)),IF($I96=0,1,$J96/$I96)),0)</f>
        <v/>
      </c>
      <c r="R96" s="8">
        <f>IF(OR($I96="",$J96=""),"",$J96-$I96)</f>
        <v/>
      </c>
      <c r="S96" s="8">
        <f>IFERROR(IF(INDEX(Tbl_KPIMaster[Direction],MATCH($G96,Tbl_KPIMaster[KPI],0))="Lower is Better",IF($J96&lt;=$I96,"Green",IF($J96&lt;=$I96+IF($I96=0,$K96,$I96*$K96),"Amber","Red")),IF($J96&gt;=$I96,"Green",IF($J96&gt;=$I96-IF($I96=0,$K96,$I96*$K96),"Amber","Red"))),"")</f>
        <v/>
      </c>
      <c r="T96" s="10" t="inlineStr"/>
    </row>
    <row r="97">
      <c r="A97" s="3" t="n">
        <v>46134</v>
      </c>
      <c r="B97" s="4">
        <f>IF($A97="","",TEXT($A97,"mmm-yyyy"))</f>
        <v/>
      </c>
      <c r="C97" s="4">
        <f>IF($A97="","","W"&amp;WEEKNUM($A97,2))</f>
        <v/>
      </c>
      <c r="D97" s="4">
        <f>IF($A97="","",TEXT($A97,"ddd"))</f>
        <v/>
      </c>
      <c r="E97" s="4" t="inlineStr">
        <is>
          <t>Engineering</t>
        </is>
      </c>
      <c r="F97" s="4">
        <f>IFERROR(INDEX(Tbl_KPIMaster[Category],MATCH($G97,Tbl_KPIMaster[KPI],0)),"")</f>
        <v/>
      </c>
      <c r="G97" s="4" t="inlineStr">
        <is>
          <t>Project Milestone Adherence %</t>
        </is>
      </c>
      <c r="H97" s="4">
        <f>IFERROR(INDEX(Tbl_KPIMaster[Unit],MATCH($G97,Tbl_KPIMaster[KPI],0)),"")</f>
        <v/>
      </c>
      <c r="I97" s="5">
        <f>IFERROR(INDEX(Tbl_KPIMaster[Maximum Target],MATCH($G97,Tbl_KPIMaster[KPI],0)),"")</f>
        <v/>
      </c>
      <c r="J97" s="5" t="n">
        <v>0.8368</v>
      </c>
      <c r="K97" s="4">
        <f>IFERROR(INDEX(Tbl_KPIMaster[Tolerance],MATCH($G97,Tbl_KPIMaster[KPI],0)),"")</f>
        <v/>
      </c>
      <c r="L97" s="4">
        <f>IFERROR(INDEX(Tbl_KPIMaster[Owner],MATCH($G97,Tbl_KPIMaster[KPI],0)),"")</f>
        <v/>
      </c>
      <c r="M97" s="6" t="inlineStr">
        <is>
          <t>New operator training effect</t>
        </is>
      </c>
      <c r="N97" s="4" t="inlineStr">
        <is>
          <t>Engineering support needed</t>
        </is>
      </c>
      <c r="O97" s="4" t="inlineStr">
        <is>
          <t>High</t>
        </is>
      </c>
      <c r="P97" s="4" t="inlineStr">
        <is>
          <t>Closed</t>
        </is>
      </c>
      <c r="Q97" s="5">
        <f>IFERROR(IF(INDEX(Tbl_KPIMaster[Direction],MATCH($G97,Tbl_KPIMaster[KPI],0))="Lower is Better",IF($J97=0,1,IF($I97=0,0,$I97/$J97)),IF($I97=0,1,$J97/$I97)),0)</f>
        <v/>
      </c>
      <c r="R97" s="4">
        <f>IF(OR($I97="",$J97=""),"",$J97-$I97)</f>
        <v/>
      </c>
      <c r="S97" s="4">
        <f>IFERROR(IF(INDEX(Tbl_KPIMaster[Direction],MATCH($G97,Tbl_KPIMaster[KPI],0))="Lower is Better",IF($J97&lt;=$I97,"Green",IF($J97&lt;=$I97+IF($I97=0,$K97,$I97*$K97),"Amber","Red")),IF($J97&gt;=$I97,"Green",IF($J97&gt;=$I97-IF($I97=0,$K97,$I97*$K97),"Amber","Red"))),"")</f>
        <v/>
      </c>
      <c r="T97" s="6" t="inlineStr"/>
    </row>
    <row r="98">
      <c r="A98" s="7" t="n">
        <v>46134</v>
      </c>
      <c r="B98" s="8">
        <f>IF($A98="","",TEXT($A98,"mmm-yyyy"))</f>
        <v/>
      </c>
      <c r="C98" s="8">
        <f>IF($A98="","","W"&amp;WEEKNUM($A98,2))</f>
        <v/>
      </c>
      <c r="D98" s="8">
        <f>IF($A98="","",TEXT($A98,"ddd"))</f>
        <v/>
      </c>
      <c r="E98" s="8" t="inlineStr">
        <is>
          <t>Engineering</t>
        </is>
      </c>
      <c r="F98" s="8">
        <f>IFERROR(INDEX(Tbl_KPIMaster[Category],MATCH($G98,Tbl_KPIMaster[KPI],0)),"")</f>
        <v/>
      </c>
      <c r="G98" s="8" t="inlineStr">
        <is>
          <t>Breakdown Resolution Time</t>
        </is>
      </c>
      <c r="H98" s="8">
        <f>IFERROR(INDEX(Tbl_KPIMaster[Unit],MATCH($G98,Tbl_KPIMaster[KPI],0)),"")</f>
        <v/>
      </c>
      <c r="I98" s="9">
        <f>IFERROR(INDEX(Tbl_KPIMaster[Maximum Target],MATCH($G98,Tbl_KPIMaster[KPI],0)),"")</f>
        <v/>
      </c>
      <c r="J98" s="9" t="n">
        <v>0.17</v>
      </c>
      <c r="K98" s="8">
        <f>IFERROR(INDEX(Tbl_KPIMaster[Tolerance],MATCH($G98,Tbl_KPIMaster[KPI],0)),"")</f>
        <v/>
      </c>
      <c r="L98" s="8">
        <f>IFERROR(INDEX(Tbl_KPIMaster[Owner],MATCH($G98,Tbl_KPIMaster[KPI],0)),"")</f>
        <v/>
      </c>
      <c r="M98" s="10" t="inlineStr"/>
      <c r="N98" s="8" t="inlineStr"/>
      <c r="O98" s="8" t="inlineStr">
        <is>
          <t>Low</t>
        </is>
      </c>
      <c r="P98" s="8" t="inlineStr">
        <is>
          <t>In Progress</t>
        </is>
      </c>
      <c r="Q98" s="9">
        <f>IFERROR(IF(INDEX(Tbl_KPIMaster[Direction],MATCH($G98,Tbl_KPIMaster[KPI],0))="Lower is Better",IF($J98=0,1,IF($I98=0,0,$I98/$J98)),IF($I98=0,1,$J98/$I98)),0)</f>
        <v/>
      </c>
      <c r="R98" s="8">
        <f>IF(OR($I98="",$J98=""),"",$J98-$I98)</f>
        <v/>
      </c>
      <c r="S98" s="8">
        <f>IFERROR(IF(INDEX(Tbl_KPIMaster[Direction],MATCH($G98,Tbl_KPIMaster[KPI],0))="Lower is Better",IF($J98&lt;=$I98,"Green",IF($J98&lt;=$I98+IF($I98=0,$K98,$I98*$K98),"Amber","Red")),IF($J98&gt;=$I98,"Green",IF($J98&gt;=$I98-IF($I98=0,$K98,$I98*$K98),"Amber","Red"))),"")</f>
        <v/>
      </c>
      <c r="T98" s="10" t="inlineStr"/>
    </row>
    <row r="99">
      <c r="A99" s="3" t="n">
        <v>46134</v>
      </c>
      <c r="B99" s="4">
        <f>IF($A99="","",TEXT($A99,"mmm-yyyy"))</f>
        <v/>
      </c>
      <c r="C99" s="4">
        <f>IF($A99="","","W"&amp;WEEKNUM($A99,2))</f>
        <v/>
      </c>
      <c r="D99" s="4">
        <f>IF($A99="","",TEXT($A99,"ddd"))</f>
        <v/>
      </c>
      <c r="E99" s="4" t="inlineStr">
        <is>
          <t>Cost</t>
        </is>
      </c>
      <c r="F99" s="4">
        <f>IFERROR(INDEX(Tbl_KPIMaster[Category],MATCH($G99,Tbl_KPIMaster[KPI],0)),"")</f>
        <v/>
      </c>
      <c r="G99" s="4" t="inlineStr">
        <is>
          <t>Cost per Unit</t>
        </is>
      </c>
      <c r="H99" s="4">
        <f>IFERROR(INDEX(Tbl_KPIMaster[Unit],MATCH($G99,Tbl_KPIMaster[KPI],0)),"")</f>
        <v/>
      </c>
      <c r="I99" s="5">
        <f>IFERROR(INDEX(Tbl_KPIMaster[Maximum Target],MATCH($G99,Tbl_KPIMaster[KPI],0)),"")</f>
        <v/>
      </c>
      <c r="J99" s="5" t="n">
        <v>44.6</v>
      </c>
      <c r="K99" s="4">
        <f>IFERROR(INDEX(Tbl_KPIMaster[Tolerance],MATCH($G99,Tbl_KPIMaster[KPI],0)),"")</f>
        <v/>
      </c>
      <c r="L99" s="4">
        <f>IFERROR(INDEX(Tbl_KPIMaster[Owner],MATCH($G99,Tbl_KPIMaster[KPI],0)),"")</f>
        <v/>
      </c>
      <c r="M99" s="6" t="inlineStr"/>
      <c r="N99" s="4" t="inlineStr"/>
      <c r="O99" s="4" t="inlineStr">
        <is>
          <t>High</t>
        </is>
      </c>
      <c r="P99" s="4" t="inlineStr">
        <is>
          <t>Closed</t>
        </is>
      </c>
      <c r="Q99" s="5">
        <f>IFERROR(IF(INDEX(Tbl_KPIMaster[Direction],MATCH($G99,Tbl_KPIMaster[KPI],0))="Lower is Better",IF($J99=0,1,IF($I99=0,0,$I99/$J99)),IF($I99=0,1,$J99/$I99)),0)</f>
        <v/>
      </c>
      <c r="R99" s="4">
        <f>IF(OR($I99="",$J99=""),"",$J99-$I99)</f>
        <v/>
      </c>
      <c r="S99" s="4">
        <f>IFERROR(IF(INDEX(Tbl_KPIMaster[Direction],MATCH($G99,Tbl_KPIMaster[KPI],0))="Lower is Better",IF($J99&lt;=$I99,"Green",IF($J99&lt;=$I99+IF($I99=0,$K99,$I99*$K99),"Amber","Red")),IF($J99&gt;=$I99,"Green",IF($J99&gt;=$I99-IF($I99=0,$K99,$I99*$K99),"Amber","Red"))),"")</f>
        <v/>
      </c>
      <c r="T99" s="6" t="inlineStr"/>
    </row>
    <row r="100">
      <c r="A100" s="7" t="n">
        <v>46134</v>
      </c>
      <c r="B100" s="8">
        <f>IF($A100="","",TEXT($A100,"mmm-yyyy"))</f>
        <v/>
      </c>
      <c r="C100" s="8">
        <f>IF($A100="","","W"&amp;WEEKNUM($A100,2))</f>
        <v/>
      </c>
      <c r="D100" s="8">
        <f>IF($A100="","",TEXT($A100,"ddd"))</f>
        <v/>
      </c>
      <c r="E100" s="8" t="inlineStr">
        <is>
          <t>Cost</t>
        </is>
      </c>
      <c r="F100" s="8">
        <f>IFERROR(INDEX(Tbl_KPIMaster[Category],MATCH($G100,Tbl_KPIMaster[KPI],0)),"")</f>
        <v/>
      </c>
      <c r="G100" s="8" t="inlineStr">
        <is>
          <t>Budget Variance %</t>
        </is>
      </c>
      <c r="H100" s="8">
        <f>IFERROR(INDEX(Tbl_KPIMaster[Unit],MATCH($G100,Tbl_KPIMaster[KPI],0)),"")</f>
        <v/>
      </c>
      <c r="I100" s="9">
        <f>IFERROR(INDEX(Tbl_KPIMaster[Maximum Target],MATCH($G100,Tbl_KPIMaster[KPI],0)),"")</f>
        <v/>
      </c>
      <c r="J100" s="9" t="n">
        <v>0</v>
      </c>
      <c r="K100" s="8">
        <f>IFERROR(INDEX(Tbl_KPIMaster[Tolerance],MATCH($G100,Tbl_KPIMaster[KPI],0)),"")</f>
        <v/>
      </c>
      <c r="L100" s="8">
        <f>IFERROR(INDEX(Tbl_KPIMaster[Owner],MATCH($G100,Tbl_KPIMaster[KPI],0)),"")</f>
        <v/>
      </c>
      <c r="M100" s="10" t="inlineStr">
        <is>
          <t>Weather impact</t>
        </is>
      </c>
      <c r="N100" s="8" t="inlineStr">
        <is>
          <t>Procurement follow-up</t>
        </is>
      </c>
      <c r="O100" s="8" t="inlineStr">
        <is>
          <t>Low</t>
        </is>
      </c>
      <c r="P100" s="8" t="inlineStr">
        <is>
          <t>Open</t>
        </is>
      </c>
      <c r="Q100" s="9">
        <f>IFERROR(IF(INDEX(Tbl_KPIMaster[Direction],MATCH($G100,Tbl_KPIMaster[KPI],0))="Lower is Better",IF($J100=0,1,IF($I100=0,0,$I100/$J100)),IF($I100=0,1,$J100/$I100)),0)</f>
        <v/>
      </c>
      <c r="R100" s="8">
        <f>IF(OR($I100="",$J100=""),"",$J100-$I100)</f>
        <v/>
      </c>
      <c r="S100" s="8">
        <f>IFERROR(IF(INDEX(Tbl_KPIMaster[Direction],MATCH($G100,Tbl_KPIMaster[KPI],0))="Lower is Better",IF($J100&lt;=$I100,"Green",IF($J100&lt;=$I100+IF($I100=0,$K100,$I100*$K100),"Amber","Red")),IF($J100&gt;=$I100,"Green",IF($J100&gt;=$I100-IF($I100=0,$K100,$I100*$K100),"Amber","Red"))),"")</f>
        <v/>
      </c>
      <c r="T100" s="10" t="inlineStr"/>
    </row>
    <row r="101">
      <c r="A101" s="3" t="n">
        <v>46134</v>
      </c>
      <c r="B101" s="4">
        <f>IF($A101="","",TEXT($A101,"mmm-yyyy"))</f>
        <v/>
      </c>
      <c r="C101" s="4">
        <f>IF($A101="","","W"&amp;WEEKNUM($A101,2))</f>
        <v/>
      </c>
      <c r="D101" s="4">
        <f>IF($A101="","",TEXT($A101,"ddd"))</f>
        <v/>
      </c>
      <c r="E101" s="4" t="inlineStr">
        <is>
          <t>Energy</t>
        </is>
      </c>
      <c r="F101" s="4">
        <f>IFERROR(INDEX(Tbl_KPIMaster[Category],MATCH($G101,Tbl_KPIMaster[KPI],0)),"")</f>
        <v/>
      </c>
      <c r="G101" s="4" t="inlineStr">
        <is>
          <t>Energy Intensity (kWh/unit)</t>
        </is>
      </c>
      <c r="H101" s="4">
        <f>IFERROR(INDEX(Tbl_KPIMaster[Unit],MATCH($G101,Tbl_KPIMaster[KPI],0)),"")</f>
        <v/>
      </c>
      <c r="I101" s="5">
        <f>IFERROR(INDEX(Tbl_KPIMaster[Maximum Target],MATCH($G101,Tbl_KPIMaster[KPI],0)),"")</f>
        <v/>
      </c>
      <c r="J101" s="5" t="n">
        <v>5.73</v>
      </c>
      <c r="K101" s="4">
        <f>IFERROR(INDEX(Tbl_KPIMaster[Tolerance],MATCH($G101,Tbl_KPIMaster[KPI],0)),"")</f>
        <v/>
      </c>
      <c r="L101" s="4">
        <f>IFERROR(INDEX(Tbl_KPIMaster[Owner],MATCH($G101,Tbl_KPIMaster[KPI],0)),"")</f>
        <v/>
      </c>
      <c r="M101" s="6" t="inlineStr">
        <is>
          <t>Awaiting spares</t>
        </is>
      </c>
      <c r="N101" s="4" t="inlineStr">
        <is>
          <t>Procurement follow-up</t>
        </is>
      </c>
      <c r="O101" s="4" t="inlineStr">
        <is>
          <t>Medium</t>
        </is>
      </c>
      <c r="P101" s="4" t="inlineStr">
        <is>
          <t>In Progress</t>
        </is>
      </c>
      <c r="Q101" s="5">
        <f>IFERROR(IF(INDEX(Tbl_KPIMaster[Direction],MATCH($G101,Tbl_KPIMaster[KPI],0))="Lower is Better",IF($J101=0,1,IF($I101=0,0,$I101/$J101)),IF($I101=0,1,$J101/$I101)),0)</f>
        <v/>
      </c>
      <c r="R101" s="4">
        <f>IF(OR($I101="",$J101=""),"",$J101-$I101)</f>
        <v/>
      </c>
      <c r="S101" s="4">
        <f>IFERROR(IF(INDEX(Tbl_KPIMaster[Direction],MATCH($G101,Tbl_KPIMaster[KPI],0))="Lower is Better",IF($J101&lt;=$I101,"Green",IF($J101&lt;=$I101+IF($I101=0,$K101,$I101*$K101),"Amber","Red")),IF($J101&gt;=$I101,"Green",IF($J101&gt;=$I101-IF($I101=0,$K101,$I101*$K101),"Amber","Red"))),"")</f>
        <v/>
      </c>
      <c r="T101" s="6" t="inlineStr"/>
    </row>
    <row r="102">
      <c r="A102" s="7" t="n">
        <v>46134</v>
      </c>
      <c r="B102" s="8">
        <f>IF($A102="","",TEXT($A102,"mmm-yyyy"))</f>
        <v/>
      </c>
      <c r="C102" s="8">
        <f>IF($A102="","","W"&amp;WEEKNUM($A102,2))</f>
        <v/>
      </c>
      <c r="D102" s="8">
        <f>IF($A102="","",TEXT($A102,"ddd"))</f>
        <v/>
      </c>
      <c r="E102" s="8" t="inlineStr">
        <is>
          <t>Energy</t>
        </is>
      </c>
      <c r="F102" s="8">
        <f>IFERROR(INDEX(Tbl_KPIMaster[Category],MATCH($G102,Tbl_KPIMaster[KPI],0)),"")</f>
        <v/>
      </c>
      <c r="G102" s="8" t="inlineStr">
        <is>
          <t>Renewable Energy Share %</t>
        </is>
      </c>
      <c r="H102" s="8">
        <f>IFERROR(INDEX(Tbl_KPIMaster[Unit],MATCH($G102,Tbl_KPIMaster[KPI],0)),"")</f>
        <v/>
      </c>
      <c r="I102" s="9">
        <f>IFERROR(INDEX(Tbl_KPIMaster[Maximum Target],MATCH($G102,Tbl_KPIMaster[KPI],0)),"")</f>
        <v/>
      </c>
      <c r="J102" s="9" t="n">
        <v>0.2857</v>
      </c>
      <c r="K102" s="8">
        <f>IFERROR(INDEX(Tbl_KPIMaster[Tolerance],MATCH($G102,Tbl_KPIMaster[KPI],0)),"")</f>
        <v/>
      </c>
      <c r="L102" s="8">
        <f>IFERROR(INDEX(Tbl_KPIMaster[Owner],MATCH($G102,Tbl_KPIMaster[KPI],0)),"")</f>
        <v/>
      </c>
      <c r="M102" s="10" t="inlineStr">
        <is>
          <t>Weather impact</t>
        </is>
      </c>
      <c r="N102" s="8" t="inlineStr"/>
      <c r="O102" s="8" t="inlineStr">
        <is>
          <t>Low</t>
        </is>
      </c>
      <c r="P102" s="8" t="inlineStr">
        <is>
          <t>In Progress</t>
        </is>
      </c>
      <c r="Q102" s="9">
        <f>IFERROR(IF(INDEX(Tbl_KPIMaster[Direction],MATCH($G102,Tbl_KPIMaster[KPI],0))="Lower is Better",IF($J102=0,1,IF($I102=0,0,$I102/$J102)),IF($I102=0,1,$J102/$I102)),0)</f>
        <v/>
      </c>
      <c r="R102" s="8">
        <f>IF(OR($I102="",$J102=""),"",$J102-$I102)</f>
        <v/>
      </c>
      <c r="S102" s="8">
        <f>IFERROR(IF(INDEX(Tbl_KPIMaster[Direction],MATCH($G102,Tbl_KPIMaster[KPI],0))="Lower is Better",IF($J102&lt;=$I102,"Green",IF($J102&lt;=$I102+IF($I102=0,$K102,$I102*$K102),"Amber","Red")),IF($J102&gt;=$I102,"Green",IF($J102&gt;=$I102-IF($I102=0,$K102,$I102*$K102),"Amber","Red"))),"")</f>
        <v/>
      </c>
      <c r="T102" s="10" t="inlineStr"/>
    </row>
    <row r="103">
      <c r="A103" s="3" t="n">
        <v>46135</v>
      </c>
      <c r="B103" s="4">
        <f>IF($A103="","",TEXT($A103,"mmm-yyyy"))</f>
        <v/>
      </c>
      <c r="C103" s="4">
        <f>IF($A103="","","W"&amp;WEEKNUM($A103,2))</f>
        <v/>
      </c>
      <c r="D103" s="4">
        <f>IF($A103="","",TEXT($A103,"ddd"))</f>
        <v/>
      </c>
      <c r="E103" s="4" t="inlineStr">
        <is>
          <t>Safety</t>
        </is>
      </c>
      <c r="F103" s="4">
        <f>IFERROR(INDEX(Tbl_KPIMaster[Category],MATCH($G103,Tbl_KPIMaster[KPI],0)),"")</f>
        <v/>
      </c>
      <c r="G103" s="4" t="inlineStr">
        <is>
          <t>Safety Incidents (LTI)</t>
        </is>
      </c>
      <c r="H103" s="4">
        <f>IFERROR(INDEX(Tbl_KPIMaster[Unit],MATCH($G103,Tbl_KPIMaster[KPI],0)),"")</f>
        <v/>
      </c>
      <c r="I103" s="5">
        <f>IFERROR(INDEX(Tbl_KPIMaster[Maximum Target],MATCH($G103,Tbl_KPIMaster[KPI],0)),"")</f>
        <v/>
      </c>
      <c r="J103" s="5" t="n">
        <v>2</v>
      </c>
      <c r="K103" s="4">
        <f>IFERROR(INDEX(Tbl_KPIMaster[Tolerance],MATCH($G103,Tbl_KPIMaster[KPI],0)),"")</f>
        <v/>
      </c>
      <c r="L103" s="4">
        <f>IFERROR(INDEX(Tbl_KPIMaster[Owner],MATCH($G103,Tbl_KPIMaster[KPI],0)),"")</f>
        <v/>
      </c>
      <c r="M103" s="6" t="inlineStr">
        <is>
          <t>Weather impact</t>
        </is>
      </c>
      <c r="N103" s="4" t="inlineStr">
        <is>
          <t>Engineering support needed</t>
        </is>
      </c>
      <c r="O103" s="4" t="inlineStr">
        <is>
          <t>Low</t>
        </is>
      </c>
      <c r="P103" s="4" t="inlineStr">
        <is>
          <t>In Progress</t>
        </is>
      </c>
      <c r="Q103" s="5">
        <f>IFERROR(IF(INDEX(Tbl_KPIMaster[Direction],MATCH($G103,Tbl_KPIMaster[KPI],0))="Lower is Better",IF($J103=0,1,IF($I103=0,0,$I103/$J103)),IF($I103=0,1,$J103/$I103)),0)</f>
        <v/>
      </c>
      <c r="R103" s="4">
        <f>IF(OR($I103="",$J103=""),"",$J103-$I103)</f>
        <v/>
      </c>
      <c r="S103" s="4">
        <f>IFERROR(IF(INDEX(Tbl_KPIMaster[Direction],MATCH($G103,Tbl_KPIMaster[KPI],0))="Lower is Better",IF($J103&lt;=$I103,"Green",IF($J103&lt;=$I103+IF($I103=0,$K103,$I103*$K103),"Amber","Red")),IF($J103&gt;=$I103,"Green",IF($J103&gt;=$I103-IF($I103=0,$K103,$I103*$K103),"Amber","Red"))),"")</f>
        <v/>
      </c>
      <c r="T103" s="6" t="inlineStr"/>
    </row>
    <row r="104">
      <c r="A104" s="7" t="n">
        <v>46135</v>
      </c>
      <c r="B104" s="8">
        <f>IF($A104="","",TEXT($A104,"mmm-yyyy"))</f>
        <v/>
      </c>
      <c r="C104" s="8">
        <f>IF($A104="","","W"&amp;WEEKNUM($A104,2))</f>
        <v/>
      </c>
      <c r="D104" s="8">
        <f>IF($A104="","",TEXT($A104,"ddd"))</f>
        <v/>
      </c>
      <c r="E104" s="8" t="inlineStr">
        <is>
          <t>Safety</t>
        </is>
      </c>
      <c r="F104" s="8">
        <f>IFERROR(INDEX(Tbl_KPIMaster[Category],MATCH($G104,Tbl_KPIMaster[KPI],0)),"")</f>
        <v/>
      </c>
      <c r="G104" s="8" t="inlineStr">
        <is>
          <t>Near Miss Reports</t>
        </is>
      </c>
      <c r="H104" s="8">
        <f>IFERROR(INDEX(Tbl_KPIMaster[Unit],MATCH($G104,Tbl_KPIMaster[KPI],0)),"")</f>
        <v/>
      </c>
      <c r="I104" s="9">
        <f>IFERROR(INDEX(Tbl_KPIMaster[Maximum Target],MATCH($G104,Tbl_KPIMaster[KPI],0)),"")</f>
        <v/>
      </c>
      <c r="J104" s="9" t="n">
        <v>2</v>
      </c>
      <c r="K104" s="8">
        <f>IFERROR(INDEX(Tbl_KPIMaster[Tolerance],MATCH($G104,Tbl_KPIMaster[KPI],0)),"")</f>
        <v/>
      </c>
      <c r="L104" s="8">
        <f>IFERROR(INDEX(Tbl_KPIMaster[Owner],MATCH($G104,Tbl_KPIMaster[KPI],0)),"")</f>
        <v/>
      </c>
      <c r="M104" s="10" t="inlineStr">
        <is>
          <t>New operator training effect</t>
        </is>
      </c>
      <c r="N104" s="8" t="inlineStr">
        <is>
          <t>Engineering support needed</t>
        </is>
      </c>
      <c r="O104" s="8" t="inlineStr">
        <is>
          <t>High</t>
        </is>
      </c>
      <c r="P104" s="8" t="inlineStr">
        <is>
          <t>Closed</t>
        </is>
      </c>
      <c r="Q104" s="9">
        <f>IFERROR(IF(INDEX(Tbl_KPIMaster[Direction],MATCH($G104,Tbl_KPIMaster[KPI],0))="Lower is Better",IF($J104=0,1,IF($I104=0,0,$I104/$J104)),IF($I104=0,1,$J104/$I104)),0)</f>
        <v/>
      </c>
      <c r="R104" s="8">
        <f>IF(OR($I104="",$J104=""),"",$J104-$I104)</f>
        <v/>
      </c>
      <c r="S104" s="8">
        <f>IFERROR(IF(INDEX(Tbl_KPIMaster[Direction],MATCH($G104,Tbl_KPIMaster[KPI],0))="Lower is Better",IF($J104&lt;=$I104,"Green",IF($J104&lt;=$I104+IF($I104=0,$K104,$I104*$K104),"Amber","Red")),IF($J104&gt;=$I104,"Green",IF($J104&gt;=$I104-IF($I104=0,$K104,$I104*$K104),"Amber","Red"))),"")</f>
        <v/>
      </c>
      <c r="T104" s="10" t="inlineStr"/>
    </row>
    <row r="105">
      <c r="A105" s="3" t="n">
        <v>46135</v>
      </c>
      <c r="B105" s="4">
        <f>IF($A105="","",TEXT($A105,"mmm-yyyy"))</f>
        <v/>
      </c>
      <c r="C105" s="4">
        <f>IF($A105="","","W"&amp;WEEKNUM($A105,2))</f>
        <v/>
      </c>
      <c r="D105" s="4">
        <f>IF($A105="","",TEXT($A105,"ddd"))</f>
        <v/>
      </c>
      <c r="E105" s="4" t="inlineStr">
        <is>
          <t>Production</t>
        </is>
      </c>
      <c r="F105" s="4">
        <f>IFERROR(INDEX(Tbl_KPIMaster[Category],MATCH($G105,Tbl_KPIMaster[KPI],0)),"")</f>
        <v/>
      </c>
      <c r="G105" s="4" t="inlineStr">
        <is>
          <t>Production Output</t>
        </is>
      </c>
      <c r="H105" s="4">
        <f>IFERROR(INDEX(Tbl_KPIMaster[Unit],MATCH($G105,Tbl_KPIMaster[KPI],0)),"")</f>
        <v/>
      </c>
      <c r="I105" s="5">
        <f>IFERROR(INDEX(Tbl_KPIMaster[Maximum Target],MATCH($G105,Tbl_KPIMaster[KPI],0)),"")</f>
        <v/>
      </c>
      <c r="J105" s="5" t="n">
        <v>1027.44</v>
      </c>
      <c r="K105" s="4">
        <f>IFERROR(INDEX(Tbl_KPIMaster[Tolerance],MATCH($G105,Tbl_KPIMaster[KPI],0)),"")</f>
        <v/>
      </c>
      <c r="L105" s="4">
        <f>IFERROR(INDEX(Tbl_KPIMaster[Owner],MATCH($G105,Tbl_KPIMaster[KPI],0)),"")</f>
        <v/>
      </c>
      <c r="M105" s="6" t="inlineStr">
        <is>
          <t>Vendor delay</t>
        </is>
      </c>
      <c r="N105" s="4" t="inlineStr">
        <is>
          <t>Engineering support needed</t>
        </is>
      </c>
      <c r="O105" s="4" t="inlineStr">
        <is>
          <t>Low</t>
        </is>
      </c>
      <c r="P105" s="4" t="inlineStr">
        <is>
          <t>Closed</t>
        </is>
      </c>
      <c r="Q105" s="5">
        <f>IFERROR(IF(INDEX(Tbl_KPIMaster[Direction],MATCH($G105,Tbl_KPIMaster[KPI],0))="Lower is Better",IF($J105=0,1,IF($I105=0,0,$I105/$J105)),IF($I105=0,1,$J105/$I105)),0)</f>
        <v/>
      </c>
      <c r="R105" s="4">
        <f>IF(OR($I105="",$J105=""),"",$J105-$I105)</f>
        <v/>
      </c>
      <c r="S105" s="4">
        <f>IFERROR(IF(INDEX(Tbl_KPIMaster[Direction],MATCH($G105,Tbl_KPIMaster[KPI],0))="Lower is Better",IF($J105&lt;=$I105,"Green",IF($J105&lt;=$I105+IF($I105=0,$K105,$I105*$K105),"Amber","Red")),IF($J105&gt;=$I105,"Green",IF($J105&gt;=$I105-IF($I105=0,$K105,$I105*$K105),"Amber","Red"))),"")</f>
        <v/>
      </c>
      <c r="T105" s="6" t="inlineStr"/>
    </row>
    <row r="106">
      <c r="A106" s="7" t="n">
        <v>46135</v>
      </c>
      <c r="B106" s="8">
        <f>IF($A106="","",TEXT($A106,"mmm-yyyy"))</f>
        <v/>
      </c>
      <c r="C106" s="8">
        <f>IF($A106="","","W"&amp;WEEKNUM($A106,2))</f>
        <v/>
      </c>
      <c r="D106" s="8">
        <f>IF($A106="","",TEXT($A106,"ddd"))</f>
        <v/>
      </c>
      <c r="E106" s="8" t="inlineStr">
        <is>
          <t>Production</t>
        </is>
      </c>
      <c r="F106" s="8">
        <f>IFERROR(INDEX(Tbl_KPIMaster[Category],MATCH($G106,Tbl_KPIMaster[KPI],0)),"")</f>
        <v/>
      </c>
      <c r="G106" s="8" t="inlineStr">
        <is>
          <t>OEE %</t>
        </is>
      </c>
      <c r="H106" s="8">
        <f>IFERROR(INDEX(Tbl_KPIMaster[Unit],MATCH($G106,Tbl_KPIMaster[KPI],0)),"")</f>
        <v/>
      </c>
      <c r="I106" s="9">
        <f>IFERROR(INDEX(Tbl_KPIMaster[Maximum Target],MATCH($G106,Tbl_KPIMaster[KPI],0)),"")</f>
        <v/>
      </c>
      <c r="J106" s="9" t="n">
        <v>0.7494</v>
      </c>
      <c r="K106" s="8">
        <f>IFERROR(INDEX(Tbl_KPIMaster[Tolerance],MATCH($G106,Tbl_KPIMaster[KPI],0)),"")</f>
        <v/>
      </c>
      <c r="L106" s="8">
        <f>IFERROR(INDEX(Tbl_KPIMaster[Owner],MATCH($G106,Tbl_KPIMaster[KPI],0)),"")</f>
        <v/>
      </c>
      <c r="M106" s="10" t="inlineStr"/>
      <c r="N106" s="8" t="inlineStr"/>
      <c r="O106" s="8" t="inlineStr">
        <is>
          <t>Low</t>
        </is>
      </c>
      <c r="P106" s="8" t="inlineStr">
        <is>
          <t>Closed</t>
        </is>
      </c>
      <c r="Q106" s="9">
        <f>IFERROR(IF(INDEX(Tbl_KPIMaster[Direction],MATCH($G106,Tbl_KPIMaster[KPI],0))="Lower is Better",IF($J106=0,1,IF($I106=0,0,$I106/$J106)),IF($I106=0,1,$J106/$I106)),0)</f>
        <v/>
      </c>
      <c r="R106" s="8">
        <f>IF(OR($I106="",$J106=""),"",$J106-$I106)</f>
        <v/>
      </c>
      <c r="S106" s="8">
        <f>IFERROR(IF(INDEX(Tbl_KPIMaster[Direction],MATCH($G106,Tbl_KPIMaster[KPI],0))="Lower is Better",IF($J106&lt;=$I106,"Green",IF($J106&lt;=$I106+IF($I106=0,$K106,$I106*$K106),"Amber","Red")),IF($J106&gt;=$I106,"Green",IF($J106&gt;=$I106-IF($I106=0,$K106,$I106*$K106),"Amber","Red"))),"")</f>
        <v/>
      </c>
      <c r="T106" s="10" t="inlineStr"/>
    </row>
    <row r="107">
      <c r="A107" s="3" t="n">
        <v>46135</v>
      </c>
      <c r="B107" s="4">
        <f>IF($A107="","",TEXT($A107,"mmm-yyyy"))</f>
        <v/>
      </c>
      <c r="C107" s="4">
        <f>IF($A107="","","W"&amp;WEEKNUM($A107,2))</f>
        <v/>
      </c>
      <c r="D107" s="4">
        <f>IF($A107="","",TEXT($A107,"ddd"))</f>
        <v/>
      </c>
      <c r="E107" s="4" t="inlineStr">
        <is>
          <t>Quality</t>
        </is>
      </c>
      <c r="F107" s="4">
        <f>IFERROR(INDEX(Tbl_KPIMaster[Category],MATCH($G107,Tbl_KPIMaster[KPI],0)),"")</f>
        <v/>
      </c>
      <c r="G107" s="4" t="inlineStr">
        <is>
          <t>Defect Rate %</t>
        </is>
      </c>
      <c r="H107" s="4">
        <f>IFERROR(INDEX(Tbl_KPIMaster[Unit],MATCH($G107,Tbl_KPIMaster[KPI],0)),"")</f>
        <v/>
      </c>
      <c r="I107" s="5">
        <f>IFERROR(INDEX(Tbl_KPIMaster[Maximum Target],MATCH($G107,Tbl_KPIMaster[KPI],0)),"")</f>
        <v/>
      </c>
      <c r="J107" s="5" t="n">
        <v>0.3909</v>
      </c>
      <c r="K107" s="4">
        <f>IFERROR(INDEX(Tbl_KPIMaster[Tolerance],MATCH($G107,Tbl_KPIMaster[KPI],0)),"")</f>
        <v/>
      </c>
      <c r="L107" s="4">
        <f>IFERROR(INDEX(Tbl_KPIMaster[Owner],MATCH($G107,Tbl_KPIMaster[KPI],0)),"")</f>
        <v/>
      </c>
      <c r="M107" s="6" t="inlineStr">
        <is>
          <t>Awaiting spares</t>
        </is>
      </c>
      <c r="N107" s="4" t="inlineStr">
        <is>
          <t>Procurement follow-up</t>
        </is>
      </c>
      <c r="O107" s="4" t="inlineStr">
        <is>
          <t>Medium</t>
        </is>
      </c>
      <c r="P107" s="4" t="inlineStr">
        <is>
          <t>Closed</t>
        </is>
      </c>
      <c r="Q107" s="5">
        <f>IFERROR(IF(INDEX(Tbl_KPIMaster[Direction],MATCH($G107,Tbl_KPIMaster[KPI],0))="Lower is Better",IF($J107=0,1,IF($I107=0,0,$I107/$J107)),IF($I107=0,1,$J107/$I107)),0)</f>
        <v/>
      </c>
      <c r="R107" s="4">
        <f>IF(OR($I107="",$J107=""),"",$J107-$I107)</f>
        <v/>
      </c>
      <c r="S107" s="4">
        <f>IFERROR(IF(INDEX(Tbl_KPIMaster[Direction],MATCH($G107,Tbl_KPIMaster[KPI],0))="Lower is Better",IF($J107&lt;=$I107,"Green",IF($J107&lt;=$I107+IF($I107=0,$K107,$I107*$K107),"Amber","Red")),IF($J107&gt;=$I107,"Green",IF($J107&gt;=$I107-IF($I107=0,$K107,$I107*$K107),"Amber","Red"))),"")</f>
        <v/>
      </c>
      <c r="T107" s="6" t="inlineStr"/>
    </row>
    <row r="108">
      <c r="A108" s="7" t="n">
        <v>46135</v>
      </c>
      <c r="B108" s="8">
        <f>IF($A108="","",TEXT($A108,"mmm-yyyy"))</f>
        <v/>
      </c>
      <c r="C108" s="8">
        <f>IF($A108="","","W"&amp;WEEKNUM($A108,2))</f>
        <v/>
      </c>
      <c r="D108" s="8">
        <f>IF($A108="","",TEXT($A108,"ddd"))</f>
        <v/>
      </c>
      <c r="E108" s="8" t="inlineStr">
        <is>
          <t>Quality</t>
        </is>
      </c>
      <c r="F108" s="8">
        <f>IFERROR(INDEX(Tbl_KPIMaster[Category],MATCH($G108,Tbl_KPIMaster[KPI],0)),"")</f>
        <v/>
      </c>
      <c r="G108" s="8" t="inlineStr">
        <is>
          <t>Customer Complaints</t>
        </is>
      </c>
      <c r="H108" s="8">
        <f>IFERROR(INDEX(Tbl_KPIMaster[Unit],MATCH($G108,Tbl_KPIMaster[KPI],0)),"")</f>
        <v/>
      </c>
      <c r="I108" s="9">
        <f>IFERROR(INDEX(Tbl_KPIMaster[Maximum Target],MATCH($G108,Tbl_KPIMaster[KPI],0)),"")</f>
        <v/>
      </c>
      <c r="J108" s="9" t="n">
        <v>0</v>
      </c>
      <c r="K108" s="8">
        <f>IFERROR(INDEX(Tbl_KPIMaster[Tolerance],MATCH($G108,Tbl_KPIMaster[KPI],0)),"")</f>
        <v/>
      </c>
      <c r="L108" s="8">
        <f>IFERROR(INDEX(Tbl_KPIMaster[Owner],MATCH($G108,Tbl_KPIMaster[KPI],0)),"")</f>
        <v/>
      </c>
      <c r="M108" s="10" t="inlineStr">
        <is>
          <t>Manpower shortage</t>
        </is>
      </c>
      <c r="N108" s="8" t="inlineStr">
        <is>
          <t>Engineering support needed</t>
        </is>
      </c>
      <c r="O108" s="8" t="inlineStr">
        <is>
          <t>High</t>
        </is>
      </c>
      <c r="P108" s="8" t="inlineStr">
        <is>
          <t>Open</t>
        </is>
      </c>
      <c r="Q108" s="9">
        <f>IFERROR(IF(INDEX(Tbl_KPIMaster[Direction],MATCH($G108,Tbl_KPIMaster[KPI],0))="Lower is Better",IF($J108=0,1,IF($I108=0,0,$I108/$J108)),IF($I108=0,1,$J108/$I108)),0)</f>
        <v/>
      </c>
      <c r="R108" s="8">
        <f>IF(OR($I108="",$J108=""),"",$J108-$I108)</f>
        <v/>
      </c>
      <c r="S108" s="8">
        <f>IFERROR(IF(INDEX(Tbl_KPIMaster[Direction],MATCH($G108,Tbl_KPIMaster[KPI],0))="Lower is Better",IF($J108&lt;=$I108,"Green",IF($J108&lt;=$I108+IF($I108=0,$K108,$I108*$K108),"Amber","Red")),IF($J108&gt;=$I108,"Green",IF($J108&gt;=$I108-IF($I108=0,$K108,$I108*$K108),"Amber","Red"))),"")</f>
        <v/>
      </c>
      <c r="T108" s="10" t="inlineStr"/>
    </row>
    <row r="109">
      <c r="A109" s="3" t="n">
        <v>46135</v>
      </c>
      <c r="B109" s="4">
        <f>IF($A109="","",TEXT($A109,"mmm-yyyy"))</f>
        <v/>
      </c>
      <c r="C109" s="4">
        <f>IF($A109="","","W"&amp;WEEKNUM($A109,2))</f>
        <v/>
      </c>
      <c r="D109" s="4">
        <f>IF($A109="","",TEXT($A109,"ddd"))</f>
        <v/>
      </c>
      <c r="E109" s="4" t="inlineStr">
        <is>
          <t>Maintenance</t>
        </is>
      </c>
      <c r="F109" s="4">
        <f>IFERROR(INDEX(Tbl_KPIMaster[Category],MATCH($G109,Tbl_KPIMaster[KPI],0)),"")</f>
        <v/>
      </c>
      <c r="G109" s="4" t="inlineStr">
        <is>
          <t>Unplanned Downtime</t>
        </is>
      </c>
      <c r="H109" s="4">
        <f>IFERROR(INDEX(Tbl_KPIMaster[Unit],MATCH($G109,Tbl_KPIMaster[KPI],0)),"")</f>
        <v/>
      </c>
      <c r="I109" s="5">
        <f>IFERROR(INDEX(Tbl_KPIMaster[Maximum Target],MATCH($G109,Tbl_KPIMaster[KPI],0)),"")</f>
        <v/>
      </c>
      <c r="J109" s="5" t="n">
        <v>0</v>
      </c>
      <c r="K109" s="4">
        <f>IFERROR(INDEX(Tbl_KPIMaster[Tolerance],MATCH($G109,Tbl_KPIMaster[KPI],0)),"")</f>
        <v/>
      </c>
      <c r="L109" s="4">
        <f>IFERROR(INDEX(Tbl_KPIMaster[Owner],MATCH($G109,Tbl_KPIMaster[KPI],0)),"")</f>
        <v/>
      </c>
      <c r="M109" s="6" t="inlineStr">
        <is>
          <t>New operator training effect</t>
        </is>
      </c>
      <c r="N109" s="4" t="inlineStr">
        <is>
          <t>Management approval pending</t>
        </is>
      </c>
      <c r="O109" s="4" t="inlineStr">
        <is>
          <t>Low</t>
        </is>
      </c>
      <c r="P109" s="4" t="inlineStr">
        <is>
          <t>Closed</t>
        </is>
      </c>
      <c r="Q109" s="5">
        <f>IFERROR(IF(INDEX(Tbl_KPIMaster[Direction],MATCH($G109,Tbl_KPIMaster[KPI],0))="Lower is Better",IF($J109=0,1,IF($I109=0,0,$I109/$J109)),IF($I109=0,1,$J109/$I109)),0)</f>
        <v/>
      </c>
      <c r="R109" s="4">
        <f>IF(OR($I109="",$J109=""),"",$J109-$I109)</f>
        <v/>
      </c>
      <c r="S109" s="4">
        <f>IFERROR(IF(INDEX(Tbl_KPIMaster[Direction],MATCH($G109,Tbl_KPIMaster[KPI],0))="Lower is Better",IF($J109&lt;=$I109,"Green",IF($J109&lt;=$I109+IF($I109=0,$K109,$I109*$K109),"Amber","Red")),IF($J109&gt;=$I109,"Green",IF($J109&gt;=$I109-IF($I109=0,$K109,$I109*$K109),"Amber","Red"))),"")</f>
        <v/>
      </c>
      <c r="T109" s="6" t="inlineStr"/>
    </row>
    <row r="110">
      <c r="A110" s="7" t="n">
        <v>46135</v>
      </c>
      <c r="B110" s="8">
        <f>IF($A110="","",TEXT($A110,"mmm-yyyy"))</f>
        <v/>
      </c>
      <c r="C110" s="8">
        <f>IF($A110="","","W"&amp;WEEKNUM($A110,2))</f>
        <v/>
      </c>
      <c r="D110" s="8">
        <f>IF($A110="","",TEXT($A110,"ddd"))</f>
        <v/>
      </c>
      <c r="E110" s="8" t="inlineStr">
        <is>
          <t>Maintenance</t>
        </is>
      </c>
      <c r="F110" s="8">
        <f>IFERROR(INDEX(Tbl_KPIMaster[Category],MATCH($G110,Tbl_KPIMaster[KPI],0)),"")</f>
        <v/>
      </c>
      <c r="G110" s="8" t="inlineStr">
        <is>
          <t>PM Compliance %</t>
        </is>
      </c>
      <c r="H110" s="8">
        <f>IFERROR(INDEX(Tbl_KPIMaster[Unit],MATCH($G110,Tbl_KPIMaster[KPI],0)),"")</f>
        <v/>
      </c>
      <c r="I110" s="9">
        <f>IFERROR(INDEX(Tbl_KPIMaster[Maximum Target],MATCH($G110,Tbl_KPIMaster[KPI],0)),"")</f>
        <v/>
      </c>
      <c r="J110" s="9" t="n">
        <v>1.1402</v>
      </c>
      <c r="K110" s="8">
        <f>IFERROR(INDEX(Tbl_KPIMaster[Tolerance],MATCH($G110,Tbl_KPIMaster[KPI],0)),"")</f>
        <v/>
      </c>
      <c r="L110" s="8">
        <f>IFERROR(INDEX(Tbl_KPIMaster[Owner],MATCH($G110,Tbl_KPIMaster[KPI],0)),"")</f>
        <v/>
      </c>
      <c r="M110" s="10" t="inlineStr">
        <is>
          <t>Vendor delay</t>
        </is>
      </c>
      <c r="N110" s="8" t="inlineStr">
        <is>
          <t>Management approval pending</t>
        </is>
      </c>
      <c r="O110" s="8" t="inlineStr">
        <is>
          <t>High</t>
        </is>
      </c>
      <c r="P110" s="8" t="inlineStr">
        <is>
          <t>Closed</t>
        </is>
      </c>
      <c r="Q110" s="9">
        <f>IFERROR(IF(INDEX(Tbl_KPIMaster[Direction],MATCH($G110,Tbl_KPIMaster[KPI],0))="Lower is Better",IF($J110=0,1,IF($I110=0,0,$I110/$J110)),IF($I110=0,1,$J110/$I110)),0)</f>
        <v/>
      </c>
      <c r="R110" s="8">
        <f>IF(OR($I110="",$J110=""),"",$J110-$I110)</f>
        <v/>
      </c>
      <c r="S110" s="8">
        <f>IFERROR(IF(INDEX(Tbl_KPIMaster[Direction],MATCH($G110,Tbl_KPIMaster[KPI],0))="Lower is Better",IF($J110&lt;=$I110,"Green",IF($J110&lt;=$I110+IF($I110=0,$K110,$I110*$K110),"Amber","Red")),IF($J110&gt;=$I110,"Green",IF($J110&gt;=$I110-IF($I110=0,$K110,$I110*$K110),"Amber","Red"))),"")</f>
        <v/>
      </c>
      <c r="T110" s="10" t="inlineStr"/>
    </row>
    <row r="111">
      <c r="A111" s="3" t="n">
        <v>46135</v>
      </c>
      <c r="B111" s="4">
        <f>IF($A111="","",TEXT($A111,"mmm-yyyy"))</f>
        <v/>
      </c>
      <c r="C111" s="4">
        <f>IF($A111="","","W"&amp;WEEKNUM($A111,2))</f>
        <v/>
      </c>
      <c r="D111" s="4">
        <f>IF($A111="","",TEXT($A111,"ddd"))</f>
        <v/>
      </c>
      <c r="E111" s="4" t="inlineStr">
        <is>
          <t>Utilities</t>
        </is>
      </c>
      <c r="F111" s="4">
        <f>IFERROR(INDEX(Tbl_KPIMaster[Category],MATCH($G111,Tbl_KPIMaster[KPI],0)),"")</f>
        <v/>
      </c>
      <c r="G111" s="4" t="inlineStr">
        <is>
          <t>Power Consumption</t>
        </is>
      </c>
      <c r="H111" s="4">
        <f>IFERROR(INDEX(Tbl_KPIMaster[Unit],MATCH($G111,Tbl_KPIMaster[KPI],0)),"")</f>
        <v/>
      </c>
      <c r="I111" s="5">
        <f>IFERROR(INDEX(Tbl_KPIMaster[Maximum Target],MATCH($G111,Tbl_KPIMaster[KPI],0)),"")</f>
        <v/>
      </c>
      <c r="J111" s="5" t="n">
        <v>3945.1</v>
      </c>
      <c r="K111" s="4">
        <f>IFERROR(INDEX(Tbl_KPIMaster[Tolerance],MATCH($G111,Tbl_KPIMaster[KPI],0)),"")</f>
        <v/>
      </c>
      <c r="L111" s="4">
        <f>IFERROR(INDEX(Tbl_KPIMaster[Owner],MATCH($G111,Tbl_KPIMaster[KPI],0)),"")</f>
        <v/>
      </c>
      <c r="M111" s="6" t="inlineStr">
        <is>
          <t>Within normal range</t>
        </is>
      </c>
      <c r="N111" s="4" t="inlineStr"/>
      <c r="O111" s="4" t="inlineStr">
        <is>
          <t>Medium</t>
        </is>
      </c>
      <c r="P111" s="4" t="inlineStr">
        <is>
          <t>Closed</t>
        </is>
      </c>
      <c r="Q111" s="5">
        <f>IFERROR(IF(INDEX(Tbl_KPIMaster[Direction],MATCH($G111,Tbl_KPIMaster[KPI],0))="Lower is Better",IF($J111=0,1,IF($I111=0,0,$I111/$J111)),IF($I111=0,1,$J111/$I111)),0)</f>
        <v/>
      </c>
      <c r="R111" s="4">
        <f>IF(OR($I111="",$J111=""),"",$J111-$I111)</f>
        <v/>
      </c>
      <c r="S111" s="4">
        <f>IFERROR(IF(INDEX(Tbl_KPIMaster[Direction],MATCH($G111,Tbl_KPIMaster[KPI],0))="Lower is Better",IF($J111&lt;=$I111,"Green",IF($J111&lt;=$I111+IF($I111=0,$K111,$I111*$K111),"Amber","Red")),IF($J111&gt;=$I111,"Green",IF($J111&gt;=$I111-IF($I111=0,$K111,$I111*$K111),"Amber","Red"))),"")</f>
        <v/>
      </c>
      <c r="T111" s="6" t="inlineStr"/>
    </row>
    <row r="112">
      <c r="A112" s="7" t="n">
        <v>46135</v>
      </c>
      <c r="B112" s="8">
        <f>IF($A112="","",TEXT($A112,"mmm-yyyy"))</f>
        <v/>
      </c>
      <c r="C112" s="8">
        <f>IF($A112="","","W"&amp;WEEKNUM($A112,2))</f>
        <v/>
      </c>
      <c r="D112" s="8">
        <f>IF($A112="","",TEXT($A112,"ddd"))</f>
        <v/>
      </c>
      <c r="E112" s="8" t="inlineStr">
        <is>
          <t>Utilities</t>
        </is>
      </c>
      <c r="F112" s="8">
        <f>IFERROR(INDEX(Tbl_KPIMaster[Category],MATCH($G112,Tbl_KPIMaster[KPI],0)),"")</f>
        <v/>
      </c>
      <c r="G112" s="8" t="inlineStr">
        <is>
          <t>Water Consumption</t>
        </is>
      </c>
      <c r="H112" s="8">
        <f>IFERROR(INDEX(Tbl_KPIMaster[Unit],MATCH($G112,Tbl_KPIMaster[KPI],0)),"")</f>
        <v/>
      </c>
      <c r="I112" s="9">
        <f>IFERROR(INDEX(Tbl_KPIMaster[Maximum Target],MATCH($G112,Tbl_KPIMaster[KPI],0)),"")</f>
        <v/>
      </c>
      <c r="J112" s="9" t="n">
        <v>46.59</v>
      </c>
      <c r="K112" s="8">
        <f>IFERROR(INDEX(Tbl_KPIMaster[Tolerance],MATCH($G112,Tbl_KPIMaster[KPI],0)),"")</f>
        <v/>
      </c>
      <c r="L112" s="8">
        <f>IFERROR(INDEX(Tbl_KPIMaster[Owner],MATCH($G112,Tbl_KPIMaster[KPI],0)),"")</f>
        <v/>
      </c>
      <c r="M112" s="10" t="inlineStr"/>
      <c r="N112" s="8" t="inlineStr">
        <is>
          <t>Procurement follow-up</t>
        </is>
      </c>
      <c r="O112" s="8" t="inlineStr">
        <is>
          <t>Low</t>
        </is>
      </c>
      <c r="P112" s="8" t="inlineStr">
        <is>
          <t>Closed</t>
        </is>
      </c>
      <c r="Q112" s="9">
        <f>IFERROR(IF(INDEX(Tbl_KPIMaster[Direction],MATCH($G112,Tbl_KPIMaster[KPI],0))="Lower is Better",IF($J112=0,1,IF($I112=0,0,$I112/$J112)),IF($I112=0,1,$J112/$I112)),0)</f>
        <v/>
      </c>
      <c r="R112" s="8">
        <f>IF(OR($I112="",$J112=""),"",$J112-$I112)</f>
        <v/>
      </c>
      <c r="S112" s="8">
        <f>IFERROR(IF(INDEX(Tbl_KPIMaster[Direction],MATCH($G112,Tbl_KPIMaster[KPI],0))="Lower is Better",IF($J112&lt;=$I112,"Green",IF($J112&lt;=$I112+IF($I112=0,$K112,$I112*$K112),"Amber","Red")),IF($J112&gt;=$I112,"Green",IF($J112&gt;=$I112-IF($I112=0,$K112,$I112*$K112),"Amber","Red"))),"")</f>
        <v/>
      </c>
      <c r="T112" s="10" t="inlineStr"/>
    </row>
    <row r="113">
      <c r="A113" s="3" t="n">
        <v>46135</v>
      </c>
      <c r="B113" s="4">
        <f>IF($A113="","",TEXT($A113,"mmm-yyyy"))</f>
        <v/>
      </c>
      <c r="C113" s="4">
        <f>IF($A113="","","W"&amp;WEEKNUM($A113,2))</f>
        <v/>
      </c>
      <c r="D113" s="4">
        <f>IF($A113="","",TEXT($A113,"ddd"))</f>
        <v/>
      </c>
      <c r="E113" s="4" t="inlineStr">
        <is>
          <t>Warehouse</t>
        </is>
      </c>
      <c r="F113" s="4">
        <f>IFERROR(INDEX(Tbl_KPIMaster[Category],MATCH($G113,Tbl_KPIMaster[KPI],0)),"")</f>
        <v/>
      </c>
      <c r="G113" s="4" t="inlineStr">
        <is>
          <t>On-Time Dispatch %</t>
        </is>
      </c>
      <c r="H113" s="4">
        <f>IFERROR(INDEX(Tbl_KPIMaster[Unit],MATCH($G113,Tbl_KPIMaster[KPI],0)),"")</f>
        <v/>
      </c>
      <c r="I113" s="5">
        <f>IFERROR(INDEX(Tbl_KPIMaster[Maximum Target],MATCH($G113,Tbl_KPIMaster[KPI],0)),"")</f>
        <v/>
      </c>
      <c r="J113" s="5" t="n">
        <v>0.8508</v>
      </c>
      <c r="K113" s="4">
        <f>IFERROR(INDEX(Tbl_KPIMaster[Tolerance],MATCH($G113,Tbl_KPIMaster[KPI],0)),"")</f>
        <v/>
      </c>
      <c r="L113" s="4">
        <f>IFERROR(INDEX(Tbl_KPIMaster[Owner],MATCH($G113,Tbl_KPIMaster[KPI],0)),"")</f>
        <v/>
      </c>
      <c r="M113" s="6" t="inlineStr">
        <is>
          <t>Within normal range</t>
        </is>
      </c>
      <c r="N113" s="4" t="inlineStr"/>
      <c r="O113" s="4" t="inlineStr">
        <is>
          <t>Low</t>
        </is>
      </c>
      <c r="P113" s="4" t="inlineStr">
        <is>
          <t>Closed</t>
        </is>
      </c>
      <c r="Q113" s="5">
        <f>IFERROR(IF(INDEX(Tbl_KPIMaster[Direction],MATCH($G113,Tbl_KPIMaster[KPI],0))="Lower is Better",IF($J113=0,1,IF($I113=0,0,$I113/$J113)),IF($I113=0,1,$J113/$I113)),0)</f>
        <v/>
      </c>
      <c r="R113" s="4">
        <f>IF(OR($I113="",$J113=""),"",$J113-$I113)</f>
        <v/>
      </c>
      <c r="S113" s="4">
        <f>IFERROR(IF(INDEX(Tbl_KPIMaster[Direction],MATCH($G113,Tbl_KPIMaster[KPI],0))="Lower is Better",IF($J113&lt;=$I113,"Green",IF($J113&lt;=$I113+IF($I113=0,$K113,$I113*$K113),"Amber","Red")),IF($J113&gt;=$I113,"Green",IF($J113&gt;=$I113-IF($I113=0,$K113,$I113*$K113),"Amber","Red"))),"")</f>
        <v/>
      </c>
      <c r="T113" s="6" t="inlineStr"/>
    </row>
    <row r="114">
      <c r="A114" s="7" t="n">
        <v>46135</v>
      </c>
      <c r="B114" s="8">
        <f>IF($A114="","",TEXT($A114,"mmm-yyyy"))</f>
        <v/>
      </c>
      <c r="C114" s="8">
        <f>IF($A114="","","W"&amp;WEEKNUM($A114,2))</f>
        <v/>
      </c>
      <c r="D114" s="8">
        <f>IF($A114="","",TEXT($A114,"ddd"))</f>
        <v/>
      </c>
      <c r="E114" s="8" t="inlineStr">
        <is>
          <t>Warehouse</t>
        </is>
      </c>
      <c r="F114" s="8">
        <f>IFERROR(INDEX(Tbl_KPIMaster[Category],MATCH($G114,Tbl_KPIMaster[KPI],0)),"")</f>
        <v/>
      </c>
      <c r="G114" s="8" t="inlineStr">
        <is>
          <t>Inventory Accuracy %</t>
        </is>
      </c>
      <c r="H114" s="8">
        <f>IFERROR(INDEX(Tbl_KPIMaster[Unit],MATCH($G114,Tbl_KPIMaster[KPI],0)),"")</f>
        <v/>
      </c>
      <c r="I114" s="9">
        <f>IFERROR(INDEX(Tbl_KPIMaster[Maximum Target],MATCH($G114,Tbl_KPIMaster[KPI],0)),"")</f>
        <v/>
      </c>
      <c r="J114" s="9" t="n">
        <v>0.9098000000000001</v>
      </c>
      <c r="K114" s="8">
        <f>IFERROR(INDEX(Tbl_KPIMaster[Tolerance],MATCH($G114,Tbl_KPIMaster[KPI],0)),"")</f>
        <v/>
      </c>
      <c r="L114" s="8">
        <f>IFERROR(INDEX(Tbl_KPIMaster[Owner],MATCH($G114,Tbl_KPIMaster[KPI],0)),"")</f>
        <v/>
      </c>
      <c r="M114" s="10" t="inlineStr">
        <is>
          <t>Process improvement in progress</t>
        </is>
      </c>
      <c r="N114" s="8" t="inlineStr">
        <is>
          <t>Procurement follow-up</t>
        </is>
      </c>
      <c r="O114" s="8" t="inlineStr">
        <is>
          <t>High</t>
        </is>
      </c>
      <c r="P114" s="8" t="inlineStr">
        <is>
          <t>Open</t>
        </is>
      </c>
      <c r="Q114" s="9">
        <f>IFERROR(IF(INDEX(Tbl_KPIMaster[Direction],MATCH($G114,Tbl_KPIMaster[KPI],0))="Lower is Better",IF($J114=0,1,IF($I114=0,0,$I114/$J114)),IF($I114=0,1,$J114/$I114)),0)</f>
        <v/>
      </c>
      <c r="R114" s="8">
        <f>IF(OR($I114="",$J114=""),"",$J114-$I114)</f>
        <v/>
      </c>
      <c r="S114" s="8">
        <f>IFERROR(IF(INDEX(Tbl_KPIMaster[Direction],MATCH($G114,Tbl_KPIMaster[KPI],0))="Lower is Better",IF($J114&lt;=$I114,"Green",IF($J114&lt;=$I114+IF($I114=0,$K114,$I114*$K114),"Amber","Red")),IF($J114&gt;=$I114,"Green",IF($J114&gt;=$I114-IF($I114=0,$K114,$I114*$K114),"Amber","Red"))),"")</f>
        <v/>
      </c>
      <c r="T114" s="10" t="inlineStr"/>
    </row>
    <row r="115">
      <c r="A115" s="3" t="n">
        <v>46135</v>
      </c>
      <c r="B115" s="4">
        <f>IF($A115="","",TEXT($A115,"mmm-yyyy"))</f>
        <v/>
      </c>
      <c r="C115" s="4">
        <f>IF($A115="","","W"&amp;WEEKNUM($A115,2))</f>
        <v/>
      </c>
      <c r="D115" s="4">
        <f>IF($A115="","",TEXT($A115,"ddd"))</f>
        <v/>
      </c>
      <c r="E115" s="4" t="inlineStr">
        <is>
          <t>HR</t>
        </is>
      </c>
      <c r="F115" s="4">
        <f>IFERROR(INDEX(Tbl_KPIMaster[Category],MATCH($G115,Tbl_KPIMaster[KPI],0)),"")</f>
        <v/>
      </c>
      <c r="G115" s="4" t="inlineStr">
        <is>
          <t>Absenteeism %</t>
        </is>
      </c>
      <c r="H115" s="4">
        <f>IFERROR(INDEX(Tbl_KPIMaster[Unit],MATCH($G115,Tbl_KPIMaster[KPI],0)),"")</f>
        <v/>
      </c>
      <c r="I115" s="5">
        <f>IFERROR(INDEX(Tbl_KPIMaster[Maximum Target],MATCH($G115,Tbl_KPIMaster[KPI],0)),"")</f>
        <v/>
      </c>
      <c r="J115" s="5" t="n">
        <v>1.2759</v>
      </c>
      <c r="K115" s="4">
        <f>IFERROR(INDEX(Tbl_KPIMaster[Tolerance],MATCH($G115,Tbl_KPIMaster[KPI],0)),"")</f>
        <v/>
      </c>
      <c r="L115" s="4">
        <f>IFERROR(INDEX(Tbl_KPIMaster[Owner],MATCH($G115,Tbl_KPIMaster[KPI],0)),"")</f>
        <v/>
      </c>
      <c r="M115" s="6" t="inlineStr"/>
      <c r="N115" s="4" t="inlineStr"/>
      <c r="O115" s="4" t="inlineStr">
        <is>
          <t>High</t>
        </is>
      </c>
      <c r="P115" s="4" t="inlineStr">
        <is>
          <t>Closed</t>
        </is>
      </c>
      <c r="Q115" s="5">
        <f>IFERROR(IF(INDEX(Tbl_KPIMaster[Direction],MATCH($G115,Tbl_KPIMaster[KPI],0))="Lower is Better",IF($J115=0,1,IF($I115=0,0,$I115/$J115)),IF($I115=0,1,$J115/$I115)),0)</f>
        <v/>
      </c>
      <c r="R115" s="4">
        <f>IF(OR($I115="",$J115=""),"",$J115-$I115)</f>
        <v/>
      </c>
      <c r="S115" s="4">
        <f>IFERROR(IF(INDEX(Tbl_KPIMaster[Direction],MATCH($G115,Tbl_KPIMaster[KPI],0))="Lower is Better",IF($J115&lt;=$I115,"Green",IF($J115&lt;=$I115+IF($I115=0,$K115,$I115*$K115),"Amber","Red")),IF($J115&gt;=$I115,"Green",IF($J115&gt;=$I115-IF($I115=0,$K115,$I115*$K115),"Amber","Red"))),"")</f>
        <v/>
      </c>
      <c r="T115" s="6" t="inlineStr"/>
    </row>
    <row r="116">
      <c r="A116" s="7" t="n">
        <v>46135</v>
      </c>
      <c r="B116" s="8">
        <f>IF($A116="","",TEXT($A116,"mmm-yyyy"))</f>
        <v/>
      </c>
      <c r="C116" s="8">
        <f>IF($A116="","","W"&amp;WEEKNUM($A116,2))</f>
        <v/>
      </c>
      <c r="D116" s="8">
        <f>IF($A116="","",TEXT($A116,"ddd"))</f>
        <v/>
      </c>
      <c r="E116" s="8" t="inlineStr">
        <is>
          <t>HR</t>
        </is>
      </c>
      <c r="F116" s="8">
        <f>IFERROR(INDEX(Tbl_KPIMaster[Category],MATCH($G116,Tbl_KPIMaster[KPI],0)),"")</f>
        <v/>
      </c>
      <c r="G116" s="8" t="inlineStr">
        <is>
          <t>Training Hours</t>
        </is>
      </c>
      <c r="H116" s="8">
        <f>IFERROR(INDEX(Tbl_KPIMaster[Unit],MATCH($G116,Tbl_KPIMaster[KPI],0)),"")</f>
        <v/>
      </c>
      <c r="I116" s="9">
        <f>IFERROR(INDEX(Tbl_KPIMaster[Maximum Target],MATCH($G116,Tbl_KPIMaster[KPI],0)),"")</f>
        <v/>
      </c>
      <c r="J116" s="9" t="n">
        <v>1.86</v>
      </c>
      <c r="K116" s="8">
        <f>IFERROR(INDEX(Tbl_KPIMaster[Tolerance],MATCH($G116,Tbl_KPIMaster[KPI],0)),"")</f>
        <v/>
      </c>
      <c r="L116" s="8">
        <f>IFERROR(INDEX(Tbl_KPIMaster[Owner],MATCH($G116,Tbl_KPIMaster[KPI],0)),"")</f>
        <v/>
      </c>
      <c r="M116" s="10" t="inlineStr">
        <is>
          <t>Equipment breakdown</t>
        </is>
      </c>
      <c r="N116" s="8" t="inlineStr">
        <is>
          <t>Engineering support needed</t>
        </is>
      </c>
      <c r="O116" s="8" t="inlineStr">
        <is>
          <t>High</t>
        </is>
      </c>
      <c r="P116" s="8" t="inlineStr">
        <is>
          <t>Closed</t>
        </is>
      </c>
      <c r="Q116" s="9">
        <f>IFERROR(IF(INDEX(Tbl_KPIMaster[Direction],MATCH($G116,Tbl_KPIMaster[KPI],0))="Lower is Better",IF($J116=0,1,IF($I116=0,0,$I116/$J116)),IF($I116=0,1,$J116/$I116)),0)</f>
        <v/>
      </c>
      <c r="R116" s="8">
        <f>IF(OR($I116="",$J116=""),"",$J116-$I116)</f>
        <v/>
      </c>
      <c r="S116" s="8">
        <f>IFERROR(IF(INDEX(Tbl_KPIMaster[Direction],MATCH($G116,Tbl_KPIMaster[KPI],0))="Lower is Better",IF($J116&lt;=$I116,"Green",IF($J116&lt;=$I116+IF($I116=0,$K116,$I116*$K116),"Amber","Red")),IF($J116&gt;=$I116,"Green",IF($J116&gt;=$I116-IF($I116=0,$K116,$I116*$K116),"Amber","Red"))),"")</f>
        <v/>
      </c>
      <c r="T116" s="10" t="inlineStr"/>
    </row>
    <row r="117">
      <c r="A117" s="3" t="n">
        <v>46135</v>
      </c>
      <c r="B117" s="4">
        <f>IF($A117="","",TEXT($A117,"mmm-yyyy"))</f>
        <v/>
      </c>
      <c r="C117" s="4">
        <f>IF($A117="","","W"&amp;WEEKNUM($A117,2))</f>
        <v/>
      </c>
      <c r="D117" s="4">
        <f>IF($A117="","",TEXT($A117,"ddd"))</f>
        <v/>
      </c>
      <c r="E117" s="4" t="inlineStr">
        <is>
          <t>Engineering</t>
        </is>
      </c>
      <c r="F117" s="4">
        <f>IFERROR(INDEX(Tbl_KPIMaster[Category],MATCH($G117,Tbl_KPIMaster[KPI],0)),"")</f>
        <v/>
      </c>
      <c r="G117" s="4" t="inlineStr">
        <is>
          <t>Project Milestone Adherence %</t>
        </is>
      </c>
      <c r="H117" s="4">
        <f>IFERROR(INDEX(Tbl_KPIMaster[Unit],MATCH($G117,Tbl_KPIMaster[KPI],0)),"")</f>
        <v/>
      </c>
      <c r="I117" s="5">
        <f>IFERROR(INDEX(Tbl_KPIMaster[Maximum Target],MATCH($G117,Tbl_KPIMaster[KPI],0)),"")</f>
        <v/>
      </c>
      <c r="J117" s="5" t="n">
        <v>0.9952</v>
      </c>
      <c r="K117" s="4">
        <f>IFERROR(INDEX(Tbl_KPIMaster[Tolerance],MATCH($G117,Tbl_KPIMaster[KPI],0)),"")</f>
        <v/>
      </c>
      <c r="L117" s="4">
        <f>IFERROR(INDEX(Tbl_KPIMaster[Owner],MATCH($G117,Tbl_KPIMaster[KPI],0)),"")</f>
        <v/>
      </c>
      <c r="M117" s="6" t="inlineStr">
        <is>
          <t>Process improvement in progress</t>
        </is>
      </c>
      <c r="N117" s="4" t="inlineStr">
        <is>
          <t>Procurement follow-up</t>
        </is>
      </c>
      <c r="O117" s="4" t="inlineStr">
        <is>
          <t>Low</t>
        </is>
      </c>
      <c r="P117" s="4" t="inlineStr">
        <is>
          <t>Closed</t>
        </is>
      </c>
      <c r="Q117" s="5">
        <f>IFERROR(IF(INDEX(Tbl_KPIMaster[Direction],MATCH($G117,Tbl_KPIMaster[KPI],0))="Lower is Better",IF($J117=0,1,IF($I117=0,0,$I117/$J117)),IF($I117=0,1,$J117/$I117)),0)</f>
        <v/>
      </c>
      <c r="R117" s="4">
        <f>IF(OR($I117="",$J117=""),"",$J117-$I117)</f>
        <v/>
      </c>
      <c r="S117" s="4">
        <f>IFERROR(IF(INDEX(Tbl_KPIMaster[Direction],MATCH($G117,Tbl_KPIMaster[KPI],0))="Lower is Better",IF($J117&lt;=$I117,"Green",IF($J117&lt;=$I117+IF($I117=0,$K117,$I117*$K117),"Amber","Red")),IF($J117&gt;=$I117,"Green",IF($J117&gt;=$I117-IF($I117=0,$K117,$I117*$K117),"Amber","Red"))),"")</f>
        <v/>
      </c>
      <c r="T117" s="6" t="inlineStr"/>
    </row>
    <row r="118">
      <c r="A118" s="7" t="n">
        <v>46135</v>
      </c>
      <c r="B118" s="8">
        <f>IF($A118="","",TEXT($A118,"mmm-yyyy"))</f>
        <v/>
      </c>
      <c r="C118" s="8">
        <f>IF($A118="","","W"&amp;WEEKNUM($A118,2))</f>
        <v/>
      </c>
      <c r="D118" s="8">
        <f>IF($A118="","",TEXT($A118,"ddd"))</f>
        <v/>
      </c>
      <c r="E118" s="8" t="inlineStr">
        <is>
          <t>Engineering</t>
        </is>
      </c>
      <c r="F118" s="8">
        <f>IFERROR(INDEX(Tbl_KPIMaster[Category],MATCH($G118,Tbl_KPIMaster[KPI],0)),"")</f>
        <v/>
      </c>
      <c r="G118" s="8" t="inlineStr">
        <is>
          <t>Breakdown Resolution Time</t>
        </is>
      </c>
      <c r="H118" s="8">
        <f>IFERROR(INDEX(Tbl_KPIMaster[Unit],MATCH($G118,Tbl_KPIMaster[KPI],0)),"")</f>
        <v/>
      </c>
      <c r="I118" s="9">
        <f>IFERROR(INDEX(Tbl_KPIMaster[Maximum Target],MATCH($G118,Tbl_KPIMaster[KPI],0)),"")</f>
        <v/>
      </c>
      <c r="J118" s="9" t="n">
        <v>0</v>
      </c>
      <c r="K118" s="8">
        <f>IFERROR(INDEX(Tbl_KPIMaster[Tolerance],MATCH($G118,Tbl_KPIMaster[KPI],0)),"")</f>
        <v/>
      </c>
      <c r="L118" s="8">
        <f>IFERROR(INDEX(Tbl_KPIMaster[Owner],MATCH($G118,Tbl_KPIMaster[KPI],0)),"")</f>
        <v/>
      </c>
      <c r="M118" s="10" t="inlineStr">
        <is>
          <t>Vendor delay</t>
        </is>
      </c>
      <c r="N118" s="8" t="inlineStr">
        <is>
          <t>Procurement follow-up</t>
        </is>
      </c>
      <c r="O118" s="8" t="inlineStr">
        <is>
          <t>Medium</t>
        </is>
      </c>
      <c r="P118" s="8" t="inlineStr">
        <is>
          <t>Closed</t>
        </is>
      </c>
      <c r="Q118" s="9">
        <f>IFERROR(IF(INDEX(Tbl_KPIMaster[Direction],MATCH($G118,Tbl_KPIMaster[KPI],0))="Lower is Better",IF($J118=0,1,IF($I118=0,0,$I118/$J118)),IF($I118=0,1,$J118/$I118)),0)</f>
        <v/>
      </c>
      <c r="R118" s="8">
        <f>IF(OR($I118="",$J118=""),"",$J118-$I118)</f>
        <v/>
      </c>
      <c r="S118" s="8">
        <f>IFERROR(IF(INDEX(Tbl_KPIMaster[Direction],MATCH($G118,Tbl_KPIMaster[KPI],0))="Lower is Better",IF($J118&lt;=$I118,"Green",IF($J118&lt;=$I118+IF($I118=0,$K118,$I118*$K118),"Amber","Red")),IF($J118&gt;=$I118,"Green",IF($J118&gt;=$I118-IF($I118=0,$K118,$I118*$K118),"Amber","Red"))),"")</f>
        <v/>
      </c>
      <c r="T118" s="10" t="inlineStr"/>
    </row>
    <row r="119">
      <c r="A119" s="3" t="n">
        <v>46135</v>
      </c>
      <c r="B119" s="4">
        <f>IF($A119="","",TEXT($A119,"mmm-yyyy"))</f>
        <v/>
      </c>
      <c r="C119" s="4">
        <f>IF($A119="","","W"&amp;WEEKNUM($A119,2))</f>
        <v/>
      </c>
      <c r="D119" s="4">
        <f>IF($A119="","",TEXT($A119,"ddd"))</f>
        <v/>
      </c>
      <c r="E119" s="4" t="inlineStr">
        <is>
          <t>Cost</t>
        </is>
      </c>
      <c r="F119" s="4">
        <f>IFERROR(INDEX(Tbl_KPIMaster[Category],MATCH($G119,Tbl_KPIMaster[KPI],0)),"")</f>
        <v/>
      </c>
      <c r="G119" s="4" t="inlineStr">
        <is>
          <t>Cost per Unit</t>
        </is>
      </c>
      <c r="H119" s="4">
        <f>IFERROR(INDEX(Tbl_KPIMaster[Unit],MATCH($G119,Tbl_KPIMaster[KPI],0)),"")</f>
        <v/>
      </c>
      <c r="I119" s="5">
        <f>IFERROR(INDEX(Tbl_KPIMaster[Maximum Target],MATCH($G119,Tbl_KPIMaster[KPI],0)),"")</f>
        <v/>
      </c>
      <c r="J119" s="5" t="n">
        <v>38.41</v>
      </c>
      <c r="K119" s="4">
        <f>IFERROR(INDEX(Tbl_KPIMaster[Tolerance],MATCH($G119,Tbl_KPIMaster[KPI],0)),"")</f>
        <v/>
      </c>
      <c r="L119" s="4">
        <f>IFERROR(INDEX(Tbl_KPIMaster[Owner],MATCH($G119,Tbl_KPIMaster[KPI],0)),"")</f>
        <v/>
      </c>
      <c r="M119" s="6" t="inlineStr"/>
      <c r="N119" s="4" t="inlineStr"/>
      <c r="O119" s="4" t="inlineStr">
        <is>
          <t>High</t>
        </is>
      </c>
      <c r="P119" s="4" t="inlineStr">
        <is>
          <t>Closed</t>
        </is>
      </c>
      <c r="Q119" s="5">
        <f>IFERROR(IF(INDEX(Tbl_KPIMaster[Direction],MATCH($G119,Tbl_KPIMaster[KPI],0))="Lower is Better",IF($J119=0,1,IF($I119=0,0,$I119/$J119)),IF($I119=0,1,$J119/$I119)),0)</f>
        <v/>
      </c>
      <c r="R119" s="4">
        <f>IF(OR($I119="",$J119=""),"",$J119-$I119)</f>
        <v/>
      </c>
      <c r="S119" s="4">
        <f>IFERROR(IF(INDEX(Tbl_KPIMaster[Direction],MATCH($G119,Tbl_KPIMaster[KPI],0))="Lower is Better",IF($J119&lt;=$I119,"Green",IF($J119&lt;=$I119+IF($I119=0,$K119,$I119*$K119),"Amber","Red")),IF($J119&gt;=$I119,"Green",IF($J119&gt;=$I119-IF($I119=0,$K119,$I119*$K119),"Amber","Red"))),"")</f>
        <v/>
      </c>
      <c r="T119" s="6" t="inlineStr"/>
    </row>
    <row r="120">
      <c r="A120" s="7" t="n">
        <v>46135</v>
      </c>
      <c r="B120" s="8">
        <f>IF($A120="","",TEXT($A120,"mmm-yyyy"))</f>
        <v/>
      </c>
      <c r="C120" s="8">
        <f>IF($A120="","","W"&amp;WEEKNUM($A120,2))</f>
        <v/>
      </c>
      <c r="D120" s="8">
        <f>IF($A120="","",TEXT($A120,"ddd"))</f>
        <v/>
      </c>
      <c r="E120" s="8" t="inlineStr">
        <is>
          <t>Cost</t>
        </is>
      </c>
      <c r="F120" s="8">
        <f>IFERROR(INDEX(Tbl_KPIMaster[Category],MATCH($G120,Tbl_KPIMaster[KPI],0)),"")</f>
        <v/>
      </c>
      <c r="G120" s="8" t="inlineStr">
        <is>
          <t>Budget Variance %</t>
        </is>
      </c>
      <c r="H120" s="8">
        <f>IFERROR(INDEX(Tbl_KPIMaster[Unit],MATCH($G120,Tbl_KPIMaster[KPI],0)),"")</f>
        <v/>
      </c>
      <c r="I120" s="9">
        <f>IFERROR(INDEX(Tbl_KPIMaster[Maximum Target],MATCH($G120,Tbl_KPIMaster[KPI],0)),"")</f>
        <v/>
      </c>
      <c r="J120" s="9" t="n">
        <v>0.8162</v>
      </c>
      <c r="K120" s="8">
        <f>IFERROR(INDEX(Tbl_KPIMaster[Tolerance],MATCH($G120,Tbl_KPIMaster[KPI],0)),"")</f>
        <v/>
      </c>
      <c r="L120" s="8">
        <f>IFERROR(INDEX(Tbl_KPIMaster[Owner],MATCH($G120,Tbl_KPIMaster[KPI],0)),"")</f>
        <v/>
      </c>
      <c r="M120" s="10" t="inlineStr">
        <is>
          <t>Line changeover impact</t>
        </is>
      </c>
      <c r="N120" s="8" t="inlineStr"/>
      <c r="O120" s="8" t="inlineStr">
        <is>
          <t>Low</t>
        </is>
      </c>
      <c r="P120" s="8" t="inlineStr">
        <is>
          <t>Closed</t>
        </is>
      </c>
      <c r="Q120" s="9">
        <f>IFERROR(IF(INDEX(Tbl_KPIMaster[Direction],MATCH($G120,Tbl_KPIMaster[KPI],0))="Lower is Better",IF($J120=0,1,IF($I120=0,0,$I120/$J120)),IF($I120=0,1,$J120/$I120)),0)</f>
        <v/>
      </c>
      <c r="R120" s="8">
        <f>IF(OR($I120="",$J120=""),"",$J120-$I120)</f>
        <v/>
      </c>
      <c r="S120" s="8">
        <f>IFERROR(IF(INDEX(Tbl_KPIMaster[Direction],MATCH($G120,Tbl_KPIMaster[KPI],0))="Lower is Better",IF($J120&lt;=$I120,"Green",IF($J120&lt;=$I120+IF($I120=0,$K120,$I120*$K120),"Amber","Red")),IF($J120&gt;=$I120,"Green",IF($J120&gt;=$I120-IF($I120=0,$K120,$I120*$K120),"Amber","Red"))),"")</f>
        <v/>
      </c>
      <c r="T120" s="10" t="inlineStr"/>
    </row>
    <row r="121">
      <c r="A121" s="3" t="n">
        <v>46135</v>
      </c>
      <c r="B121" s="4">
        <f>IF($A121="","",TEXT($A121,"mmm-yyyy"))</f>
        <v/>
      </c>
      <c r="C121" s="4">
        <f>IF($A121="","","W"&amp;WEEKNUM($A121,2))</f>
        <v/>
      </c>
      <c r="D121" s="4">
        <f>IF($A121="","",TEXT($A121,"ddd"))</f>
        <v/>
      </c>
      <c r="E121" s="4" t="inlineStr">
        <is>
          <t>Energy</t>
        </is>
      </c>
      <c r="F121" s="4">
        <f>IFERROR(INDEX(Tbl_KPIMaster[Category],MATCH($G121,Tbl_KPIMaster[KPI],0)),"")</f>
        <v/>
      </c>
      <c r="G121" s="4" t="inlineStr">
        <is>
          <t>Energy Intensity (kWh/unit)</t>
        </is>
      </c>
      <c r="H121" s="4">
        <f>IFERROR(INDEX(Tbl_KPIMaster[Unit],MATCH($G121,Tbl_KPIMaster[KPI],0)),"")</f>
        <v/>
      </c>
      <c r="I121" s="5">
        <f>IFERROR(INDEX(Tbl_KPIMaster[Maximum Target],MATCH($G121,Tbl_KPIMaster[KPI],0)),"")</f>
        <v/>
      </c>
      <c r="J121" s="5" t="n">
        <v>4.02</v>
      </c>
      <c r="K121" s="4">
        <f>IFERROR(INDEX(Tbl_KPIMaster[Tolerance],MATCH($G121,Tbl_KPIMaster[KPI],0)),"")</f>
        <v/>
      </c>
      <c r="L121" s="4">
        <f>IFERROR(INDEX(Tbl_KPIMaster[Owner],MATCH($G121,Tbl_KPIMaster[KPI],0)),"")</f>
        <v/>
      </c>
      <c r="M121" s="6" t="inlineStr">
        <is>
          <t>Within normal range</t>
        </is>
      </c>
      <c r="N121" s="4" t="inlineStr"/>
      <c r="O121" s="4" t="inlineStr">
        <is>
          <t>Medium</t>
        </is>
      </c>
      <c r="P121" s="4" t="inlineStr">
        <is>
          <t>In Progress</t>
        </is>
      </c>
      <c r="Q121" s="5">
        <f>IFERROR(IF(INDEX(Tbl_KPIMaster[Direction],MATCH($G121,Tbl_KPIMaster[KPI],0))="Lower is Better",IF($J121=0,1,IF($I121=0,0,$I121/$J121)),IF($I121=0,1,$J121/$I121)),0)</f>
        <v/>
      </c>
      <c r="R121" s="4">
        <f>IF(OR($I121="",$J121=""),"",$J121-$I121)</f>
        <v/>
      </c>
      <c r="S121" s="4">
        <f>IFERROR(IF(INDEX(Tbl_KPIMaster[Direction],MATCH($G121,Tbl_KPIMaster[KPI],0))="Lower is Better",IF($J121&lt;=$I121,"Green",IF($J121&lt;=$I121+IF($I121=0,$K121,$I121*$K121),"Amber","Red")),IF($J121&gt;=$I121,"Green",IF($J121&gt;=$I121-IF($I121=0,$K121,$I121*$K121),"Amber","Red"))),"")</f>
        <v/>
      </c>
      <c r="T121" s="6" t="inlineStr"/>
    </row>
    <row r="122">
      <c r="A122" s="7" t="n">
        <v>46135</v>
      </c>
      <c r="B122" s="8">
        <f>IF($A122="","",TEXT($A122,"mmm-yyyy"))</f>
        <v/>
      </c>
      <c r="C122" s="8">
        <f>IF($A122="","","W"&amp;WEEKNUM($A122,2))</f>
        <v/>
      </c>
      <c r="D122" s="8">
        <f>IF($A122="","",TEXT($A122,"ddd"))</f>
        <v/>
      </c>
      <c r="E122" s="8" t="inlineStr">
        <is>
          <t>Energy</t>
        </is>
      </c>
      <c r="F122" s="8">
        <f>IFERROR(INDEX(Tbl_KPIMaster[Category],MATCH($G122,Tbl_KPIMaster[KPI],0)),"")</f>
        <v/>
      </c>
      <c r="G122" s="8" t="inlineStr">
        <is>
          <t>Renewable Energy Share %</t>
        </is>
      </c>
      <c r="H122" s="8">
        <f>IFERROR(INDEX(Tbl_KPIMaster[Unit],MATCH($G122,Tbl_KPIMaster[KPI],0)),"")</f>
        <v/>
      </c>
      <c r="I122" s="9">
        <f>IFERROR(INDEX(Tbl_KPIMaster[Maximum Target],MATCH($G122,Tbl_KPIMaster[KPI],0)),"")</f>
        <v/>
      </c>
      <c r="J122" s="9" t="n">
        <v>0.2903</v>
      </c>
      <c r="K122" s="8">
        <f>IFERROR(INDEX(Tbl_KPIMaster[Tolerance],MATCH($G122,Tbl_KPIMaster[KPI],0)),"")</f>
        <v/>
      </c>
      <c r="L122" s="8">
        <f>IFERROR(INDEX(Tbl_KPIMaster[Owner],MATCH($G122,Tbl_KPIMaster[KPI],0)),"")</f>
        <v/>
      </c>
      <c r="M122" s="10" t="inlineStr"/>
      <c r="N122" s="8" t="inlineStr">
        <is>
          <t>Engineering support needed</t>
        </is>
      </c>
      <c r="O122" s="8" t="inlineStr">
        <is>
          <t>High</t>
        </is>
      </c>
      <c r="P122" s="8" t="inlineStr">
        <is>
          <t>Open</t>
        </is>
      </c>
      <c r="Q122" s="9">
        <f>IFERROR(IF(INDEX(Tbl_KPIMaster[Direction],MATCH($G122,Tbl_KPIMaster[KPI],0))="Lower is Better",IF($J122=0,1,IF($I122=0,0,$I122/$J122)),IF($I122=0,1,$J122/$I122)),0)</f>
        <v/>
      </c>
      <c r="R122" s="8">
        <f>IF(OR($I122="",$J122=""),"",$J122-$I122)</f>
        <v/>
      </c>
      <c r="S122" s="8">
        <f>IFERROR(IF(INDEX(Tbl_KPIMaster[Direction],MATCH($G122,Tbl_KPIMaster[KPI],0))="Lower is Better",IF($J122&lt;=$I122,"Green",IF($J122&lt;=$I122+IF($I122=0,$K122,$I122*$K122),"Amber","Red")),IF($J122&gt;=$I122,"Green",IF($J122&gt;=$I122-IF($I122=0,$K122,$I122*$K122),"Amber","Red"))),"")</f>
        <v/>
      </c>
      <c r="T122" s="10" t="inlineStr"/>
    </row>
    <row r="123">
      <c r="A123" s="3" t="n">
        <v>46136</v>
      </c>
      <c r="B123" s="4">
        <f>IF($A123="","",TEXT($A123,"mmm-yyyy"))</f>
        <v/>
      </c>
      <c r="C123" s="4">
        <f>IF($A123="","","W"&amp;WEEKNUM($A123,2))</f>
        <v/>
      </c>
      <c r="D123" s="4">
        <f>IF($A123="","",TEXT($A123,"ddd"))</f>
        <v/>
      </c>
      <c r="E123" s="4" t="inlineStr">
        <is>
          <t>Safety</t>
        </is>
      </c>
      <c r="F123" s="4">
        <f>IFERROR(INDEX(Tbl_KPIMaster[Category],MATCH($G123,Tbl_KPIMaster[KPI],0)),"")</f>
        <v/>
      </c>
      <c r="G123" s="4" t="inlineStr">
        <is>
          <t>Safety Incidents (LTI)</t>
        </is>
      </c>
      <c r="H123" s="4">
        <f>IFERROR(INDEX(Tbl_KPIMaster[Unit],MATCH($G123,Tbl_KPIMaster[KPI],0)),"")</f>
        <v/>
      </c>
      <c r="I123" s="5">
        <f>IFERROR(INDEX(Tbl_KPIMaster[Maximum Target],MATCH($G123,Tbl_KPIMaster[KPI],0)),"")</f>
        <v/>
      </c>
      <c r="J123" s="5" t="n">
        <v>0</v>
      </c>
      <c r="K123" s="4">
        <f>IFERROR(INDEX(Tbl_KPIMaster[Tolerance],MATCH($G123,Tbl_KPIMaster[KPI],0)),"")</f>
        <v/>
      </c>
      <c r="L123" s="4">
        <f>IFERROR(INDEX(Tbl_KPIMaster[Owner],MATCH($G123,Tbl_KPIMaster[KPI],0)),"")</f>
        <v/>
      </c>
      <c r="M123" s="6" t="inlineStr">
        <is>
          <t>Vendor delay</t>
        </is>
      </c>
      <c r="N123" s="4" t="inlineStr">
        <is>
          <t>Engineering support needed</t>
        </is>
      </c>
      <c r="O123" s="4" t="inlineStr">
        <is>
          <t>High</t>
        </is>
      </c>
      <c r="P123" s="4" t="inlineStr">
        <is>
          <t>Closed</t>
        </is>
      </c>
      <c r="Q123" s="5">
        <f>IFERROR(IF(INDEX(Tbl_KPIMaster[Direction],MATCH($G123,Tbl_KPIMaster[KPI],0))="Lower is Better",IF($J123=0,1,IF($I123=0,0,$I123/$J123)),IF($I123=0,1,$J123/$I123)),0)</f>
        <v/>
      </c>
      <c r="R123" s="4">
        <f>IF(OR($I123="",$J123=""),"",$J123-$I123)</f>
        <v/>
      </c>
      <c r="S123" s="4">
        <f>IFERROR(IF(INDEX(Tbl_KPIMaster[Direction],MATCH($G123,Tbl_KPIMaster[KPI],0))="Lower is Better",IF($J123&lt;=$I123,"Green",IF($J123&lt;=$I123+IF($I123=0,$K123,$I123*$K123),"Amber","Red")),IF($J123&gt;=$I123,"Green",IF($J123&gt;=$I123-IF($I123=0,$K123,$I123*$K123),"Amber","Red"))),"")</f>
        <v/>
      </c>
      <c r="T123" s="6" t="inlineStr"/>
    </row>
    <row r="124">
      <c r="A124" s="7" t="n">
        <v>46136</v>
      </c>
      <c r="B124" s="8">
        <f>IF($A124="","",TEXT($A124,"mmm-yyyy"))</f>
        <v/>
      </c>
      <c r="C124" s="8">
        <f>IF($A124="","","W"&amp;WEEKNUM($A124,2))</f>
        <v/>
      </c>
      <c r="D124" s="8">
        <f>IF($A124="","",TEXT($A124,"ddd"))</f>
        <v/>
      </c>
      <c r="E124" s="8" t="inlineStr">
        <is>
          <t>Safety</t>
        </is>
      </c>
      <c r="F124" s="8">
        <f>IFERROR(INDEX(Tbl_KPIMaster[Category],MATCH($G124,Tbl_KPIMaster[KPI],0)),"")</f>
        <v/>
      </c>
      <c r="G124" s="8" t="inlineStr">
        <is>
          <t>Near Miss Reports</t>
        </is>
      </c>
      <c r="H124" s="8">
        <f>IFERROR(INDEX(Tbl_KPIMaster[Unit],MATCH($G124,Tbl_KPIMaster[KPI],0)),"")</f>
        <v/>
      </c>
      <c r="I124" s="9">
        <f>IFERROR(INDEX(Tbl_KPIMaster[Maximum Target],MATCH($G124,Tbl_KPIMaster[KPI],0)),"")</f>
        <v/>
      </c>
      <c r="J124" s="9" t="n">
        <v>2</v>
      </c>
      <c r="K124" s="8">
        <f>IFERROR(INDEX(Tbl_KPIMaster[Tolerance],MATCH($G124,Tbl_KPIMaster[KPI],0)),"")</f>
        <v/>
      </c>
      <c r="L124" s="8">
        <f>IFERROR(INDEX(Tbl_KPIMaster[Owner],MATCH($G124,Tbl_KPIMaster[KPI],0)),"")</f>
        <v/>
      </c>
      <c r="M124" s="10" t="inlineStr">
        <is>
          <t>Weather impact</t>
        </is>
      </c>
      <c r="N124" s="8" t="inlineStr">
        <is>
          <t>Procurement follow-up</t>
        </is>
      </c>
      <c r="O124" s="8" t="inlineStr">
        <is>
          <t>Medium</t>
        </is>
      </c>
      <c r="P124" s="8" t="inlineStr">
        <is>
          <t>Closed</t>
        </is>
      </c>
      <c r="Q124" s="9">
        <f>IFERROR(IF(INDEX(Tbl_KPIMaster[Direction],MATCH($G124,Tbl_KPIMaster[KPI],0))="Lower is Better",IF($J124=0,1,IF($I124=0,0,$I124/$J124)),IF($I124=0,1,$J124/$I124)),0)</f>
        <v/>
      </c>
      <c r="R124" s="8">
        <f>IF(OR($I124="",$J124=""),"",$J124-$I124)</f>
        <v/>
      </c>
      <c r="S124" s="8">
        <f>IFERROR(IF(INDEX(Tbl_KPIMaster[Direction],MATCH($G124,Tbl_KPIMaster[KPI],0))="Lower is Better",IF($J124&lt;=$I124,"Green",IF($J124&lt;=$I124+IF($I124=0,$K124,$I124*$K124),"Amber","Red")),IF($J124&gt;=$I124,"Green",IF($J124&gt;=$I124-IF($I124=0,$K124,$I124*$K124),"Amber","Red"))),"")</f>
        <v/>
      </c>
      <c r="T124" s="10" t="inlineStr"/>
    </row>
    <row r="125">
      <c r="A125" s="3" t="n">
        <v>46136</v>
      </c>
      <c r="B125" s="4">
        <f>IF($A125="","",TEXT($A125,"mmm-yyyy"))</f>
        <v/>
      </c>
      <c r="C125" s="4">
        <f>IF($A125="","","W"&amp;WEEKNUM($A125,2))</f>
        <v/>
      </c>
      <c r="D125" s="4">
        <f>IF($A125="","",TEXT($A125,"ddd"))</f>
        <v/>
      </c>
      <c r="E125" s="4" t="inlineStr">
        <is>
          <t>Production</t>
        </is>
      </c>
      <c r="F125" s="4">
        <f>IFERROR(INDEX(Tbl_KPIMaster[Category],MATCH($G125,Tbl_KPIMaster[KPI],0)),"")</f>
        <v/>
      </c>
      <c r="G125" s="4" t="inlineStr">
        <is>
          <t>Production Output</t>
        </is>
      </c>
      <c r="H125" s="4">
        <f>IFERROR(INDEX(Tbl_KPIMaster[Unit],MATCH($G125,Tbl_KPIMaster[KPI],0)),"")</f>
        <v/>
      </c>
      <c r="I125" s="5">
        <f>IFERROR(INDEX(Tbl_KPIMaster[Maximum Target],MATCH($G125,Tbl_KPIMaster[KPI],0)),"")</f>
        <v/>
      </c>
      <c r="J125" s="5" t="n">
        <v>981.3200000000001</v>
      </c>
      <c r="K125" s="4">
        <f>IFERROR(INDEX(Tbl_KPIMaster[Tolerance],MATCH($G125,Tbl_KPIMaster[KPI],0)),"")</f>
        <v/>
      </c>
      <c r="L125" s="4">
        <f>IFERROR(INDEX(Tbl_KPIMaster[Owner],MATCH($G125,Tbl_KPIMaster[KPI],0)),"")</f>
        <v/>
      </c>
      <c r="M125" s="6" t="inlineStr"/>
      <c r="N125" s="4" t="inlineStr"/>
      <c r="O125" s="4" t="inlineStr">
        <is>
          <t>High</t>
        </is>
      </c>
      <c r="P125" s="4" t="inlineStr">
        <is>
          <t>Closed</t>
        </is>
      </c>
      <c r="Q125" s="5">
        <f>IFERROR(IF(INDEX(Tbl_KPIMaster[Direction],MATCH($G125,Tbl_KPIMaster[KPI],0))="Lower is Better",IF($J125=0,1,IF($I125=0,0,$I125/$J125)),IF($I125=0,1,$J125/$I125)),0)</f>
        <v/>
      </c>
      <c r="R125" s="4">
        <f>IF(OR($I125="",$J125=""),"",$J125-$I125)</f>
        <v/>
      </c>
      <c r="S125" s="4">
        <f>IFERROR(IF(INDEX(Tbl_KPIMaster[Direction],MATCH($G125,Tbl_KPIMaster[KPI],0))="Lower is Better",IF($J125&lt;=$I125,"Green",IF($J125&lt;=$I125+IF($I125=0,$K125,$I125*$K125),"Amber","Red")),IF($J125&gt;=$I125,"Green",IF($J125&gt;=$I125-IF($I125=0,$K125,$I125*$K125),"Amber","Red"))),"")</f>
        <v/>
      </c>
      <c r="T125" s="6" t="inlineStr"/>
    </row>
    <row r="126">
      <c r="A126" s="7" t="n">
        <v>46136</v>
      </c>
      <c r="B126" s="8">
        <f>IF($A126="","",TEXT($A126,"mmm-yyyy"))</f>
        <v/>
      </c>
      <c r="C126" s="8">
        <f>IF($A126="","","W"&amp;WEEKNUM($A126,2))</f>
        <v/>
      </c>
      <c r="D126" s="8">
        <f>IF($A126="","",TEXT($A126,"ddd"))</f>
        <v/>
      </c>
      <c r="E126" s="8" t="inlineStr">
        <is>
          <t>Production</t>
        </is>
      </c>
      <c r="F126" s="8">
        <f>IFERROR(INDEX(Tbl_KPIMaster[Category],MATCH($G126,Tbl_KPIMaster[KPI],0)),"")</f>
        <v/>
      </c>
      <c r="G126" s="8" t="inlineStr">
        <is>
          <t>OEE %</t>
        </is>
      </c>
      <c r="H126" s="8">
        <f>IFERROR(INDEX(Tbl_KPIMaster[Unit],MATCH($G126,Tbl_KPIMaster[KPI],0)),"")</f>
        <v/>
      </c>
      <c r="I126" s="9">
        <f>IFERROR(INDEX(Tbl_KPIMaster[Maximum Target],MATCH($G126,Tbl_KPIMaster[KPI],0)),"")</f>
        <v/>
      </c>
      <c r="J126" s="9" t="n">
        <v>0.7764</v>
      </c>
      <c r="K126" s="8">
        <f>IFERROR(INDEX(Tbl_KPIMaster[Tolerance],MATCH($G126,Tbl_KPIMaster[KPI],0)),"")</f>
        <v/>
      </c>
      <c r="L126" s="8">
        <f>IFERROR(INDEX(Tbl_KPIMaster[Owner],MATCH($G126,Tbl_KPIMaster[KPI],0)),"")</f>
        <v/>
      </c>
      <c r="M126" s="10" t="inlineStr">
        <is>
          <t>Within normal range</t>
        </is>
      </c>
      <c r="N126" s="8" t="inlineStr">
        <is>
          <t>Management approval pending</t>
        </is>
      </c>
      <c r="O126" s="8" t="inlineStr">
        <is>
          <t>Medium</t>
        </is>
      </c>
      <c r="P126" s="8" t="inlineStr">
        <is>
          <t>Closed</t>
        </is>
      </c>
      <c r="Q126" s="9">
        <f>IFERROR(IF(INDEX(Tbl_KPIMaster[Direction],MATCH($G126,Tbl_KPIMaster[KPI],0))="Lower is Better",IF($J126=0,1,IF($I126=0,0,$I126/$J126)),IF($I126=0,1,$J126/$I126)),0)</f>
        <v/>
      </c>
      <c r="R126" s="8">
        <f>IF(OR($I126="",$J126=""),"",$J126-$I126)</f>
        <v/>
      </c>
      <c r="S126" s="8">
        <f>IFERROR(IF(INDEX(Tbl_KPIMaster[Direction],MATCH($G126,Tbl_KPIMaster[KPI],0))="Lower is Better",IF($J126&lt;=$I126,"Green",IF($J126&lt;=$I126+IF($I126=0,$K126,$I126*$K126),"Amber","Red")),IF($J126&gt;=$I126,"Green",IF($J126&gt;=$I126-IF($I126=0,$K126,$I126*$K126),"Amber","Red"))),"")</f>
        <v/>
      </c>
      <c r="T126" s="10" t="inlineStr"/>
    </row>
    <row r="127">
      <c r="A127" s="3" t="n">
        <v>46136</v>
      </c>
      <c r="B127" s="4">
        <f>IF($A127="","",TEXT($A127,"mmm-yyyy"))</f>
        <v/>
      </c>
      <c r="C127" s="4">
        <f>IF($A127="","","W"&amp;WEEKNUM($A127,2))</f>
        <v/>
      </c>
      <c r="D127" s="4">
        <f>IF($A127="","",TEXT($A127,"ddd"))</f>
        <v/>
      </c>
      <c r="E127" s="4" t="inlineStr">
        <is>
          <t>Quality</t>
        </is>
      </c>
      <c r="F127" s="4">
        <f>IFERROR(INDEX(Tbl_KPIMaster[Category],MATCH($G127,Tbl_KPIMaster[KPI],0)),"")</f>
        <v/>
      </c>
      <c r="G127" s="4" t="inlineStr">
        <is>
          <t>Defect Rate %</t>
        </is>
      </c>
      <c r="H127" s="4">
        <f>IFERROR(INDEX(Tbl_KPIMaster[Unit],MATCH($G127,Tbl_KPIMaster[KPI],0)),"")</f>
        <v/>
      </c>
      <c r="I127" s="5">
        <f>IFERROR(INDEX(Tbl_KPIMaster[Maximum Target],MATCH($G127,Tbl_KPIMaster[KPI],0)),"")</f>
        <v/>
      </c>
      <c r="J127" s="5" t="n">
        <v>0</v>
      </c>
      <c r="K127" s="4">
        <f>IFERROR(INDEX(Tbl_KPIMaster[Tolerance],MATCH($G127,Tbl_KPIMaster[KPI],0)),"")</f>
        <v/>
      </c>
      <c r="L127" s="4">
        <f>IFERROR(INDEX(Tbl_KPIMaster[Owner],MATCH($G127,Tbl_KPIMaster[KPI],0)),"")</f>
        <v/>
      </c>
      <c r="M127" s="6" t="inlineStr">
        <is>
          <t>Awaiting spares</t>
        </is>
      </c>
      <c r="N127" s="4" t="inlineStr"/>
      <c r="O127" s="4" t="inlineStr">
        <is>
          <t>Medium</t>
        </is>
      </c>
      <c r="P127" s="4" t="inlineStr">
        <is>
          <t>Closed</t>
        </is>
      </c>
      <c r="Q127" s="5">
        <f>IFERROR(IF(INDEX(Tbl_KPIMaster[Direction],MATCH($G127,Tbl_KPIMaster[KPI],0))="Lower is Better",IF($J127=0,1,IF($I127=0,0,$I127/$J127)),IF($I127=0,1,$J127/$I127)),0)</f>
        <v/>
      </c>
      <c r="R127" s="4">
        <f>IF(OR($I127="",$J127=""),"",$J127-$I127)</f>
        <v/>
      </c>
      <c r="S127" s="4">
        <f>IFERROR(IF(INDEX(Tbl_KPIMaster[Direction],MATCH($G127,Tbl_KPIMaster[KPI],0))="Lower is Better",IF($J127&lt;=$I127,"Green",IF($J127&lt;=$I127+IF($I127=0,$K127,$I127*$K127),"Amber","Red")),IF($J127&gt;=$I127,"Green",IF($J127&gt;=$I127-IF($I127=0,$K127,$I127*$K127),"Amber","Red"))),"")</f>
        <v/>
      </c>
      <c r="T127" s="6" t="inlineStr"/>
    </row>
    <row r="128">
      <c r="A128" s="7" t="n">
        <v>46136</v>
      </c>
      <c r="B128" s="8">
        <f>IF($A128="","",TEXT($A128,"mmm-yyyy"))</f>
        <v/>
      </c>
      <c r="C128" s="8">
        <f>IF($A128="","","W"&amp;WEEKNUM($A128,2))</f>
        <v/>
      </c>
      <c r="D128" s="8">
        <f>IF($A128="","",TEXT($A128,"ddd"))</f>
        <v/>
      </c>
      <c r="E128" s="8" t="inlineStr">
        <is>
          <t>Quality</t>
        </is>
      </c>
      <c r="F128" s="8">
        <f>IFERROR(INDEX(Tbl_KPIMaster[Category],MATCH($G128,Tbl_KPIMaster[KPI],0)),"")</f>
        <v/>
      </c>
      <c r="G128" s="8" t="inlineStr">
        <is>
          <t>Customer Complaints</t>
        </is>
      </c>
      <c r="H128" s="8">
        <f>IFERROR(INDEX(Tbl_KPIMaster[Unit],MATCH($G128,Tbl_KPIMaster[KPI],0)),"")</f>
        <v/>
      </c>
      <c r="I128" s="9">
        <f>IFERROR(INDEX(Tbl_KPIMaster[Maximum Target],MATCH($G128,Tbl_KPIMaster[KPI],0)),"")</f>
        <v/>
      </c>
      <c r="J128" s="9" t="n">
        <v>1</v>
      </c>
      <c r="K128" s="8">
        <f>IFERROR(INDEX(Tbl_KPIMaster[Tolerance],MATCH($G128,Tbl_KPIMaster[KPI],0)),"")</f>
        <v/>
      </c>
      <c r="L128" s="8">
        <f>IFERROR(INDEX(Tbl_KPIMaster[Owner],MATCH($G128,Tbl_KPIMaster[KPI],0)),"")</f>
        <v/>
      </c>
      <c r="M128" s="10" t="inlineStr">
        <is>
          <t>New operator training effect</t>
        </is>
      </c>
      <c r="N128" s="8" t="inlineStr">
        <is>
          <t>Engineering support needed</t>
        </is>
      </c>
      <c r="O128" s="8" t="inlineStr">
        <is>
          <t>Low</t>
        </is>
      </c>
      <c r="P128" s="8" t="inlineStr">
        <is>
          <t>In Progress</t>
        </is>
      </c>
      <c r="Q128" s="9">
        <f>IFERROR(IF(INDEX(Tbl_KPIMaster[Direction],MATCH($G128,Tbl_KPIMaster[KPI],0))="Lower is Better",IF($J128=0,1,IF($I128=0,0,$I128/$J128)),IF($I128=0,1,$J128/$I128)),0)</f>
        <v/>
      </c>
      <c r="R128" s="8">
        <f>IF(OR($I128="",$J128=""),"",$J128-$I128)</f>
        <v/>
      </c>
      <c r="S128" s="8">
        <f>IFERROR(IF(INDEX(Tbl_KPIMaster[Direction],MATCH($G128,Tbl_KPIMaster[KPI],0))="Lower is Better",IF($J128&lt;=$I128,"Green",IF($J128&lt;=$I128+IF($I128=0,$K128,$I128*$K128),"Amber","Red")),IF($J128&gt;=$I128,"Green",IF($J128&gt;=$I128-IF($I128=0,$K128,$I128*$K128),"Amber","Red"))),"")</f>
        <v/>
      </c>
      <c r="T128" s="10" t="inlineStr"/>
    </row>
    <row r="129">
      <c r="A129" s="3" t="n">
        <v>46136</v>
      </c>
      <c r="B129" s="4">
        <f>IF($A129="","",TEXT($A129,"mmm-yyyy"))</f>
        <v/>
      </c>
      <c r="C129" s="4">
        <f>IF($A129="","","W"&amp;WEEKNUM($A129,2))</f>
        <v/>
      </c>
      <c r="D129" s="4">
        <f>IF($A129="","",TEXT($A129,"ddd"))</f>
        <v/>
      </c>
      <c r="E129" s="4" t="inlineStr">
        <is>
          <t>Maintenance</t>
        </is>
      </c>
      <c r="F129" s="4">
        <f>IFERROR(INDEX(Tbl_KPIMaster[Category],MATCH($G129,Tbl_KPIMaster[KPI],0)),"")</f>
        <v/>
      </c>
      <c r="G129" s="4" t="inlineStr">
        <is>
          <t>Unplanned Downtime</t>
        </is>
      </c>
      <c r="H129" s="4">
        <f>IFERROR(INDEX(Tbl_KPIMaster[Unit],MATCH($G129,Tbl_KPIMaster[KPI],0)),"")</f>
        <v/>
      </c>
      <c r="I129" s="5">
        <f>IFERROR(INDEX(Tbl_KPIMaster[Maximum Target],MATCH($G129,Tbl_KPIMaster[KPI],0)),"")</f>
        <v/>
      </c>
      <c r="J129" s="5" t="n">
        <v>4.34</v>
      </c>
      <c r="K129" s="4">
        <f>IFERROR(INDEX(Tbl_KPIMaster[Tolerance],MATCH($G129,Tbl_KPIMaster[KPI],0)),"")</f>
        <v/>
      </c>
      <c r="L129" s="4">
        <f>IFERROR(INDEX(Tbl_KPIMaster[Owner],MATCH($G129,Tbl_KPIMaster[KPI],0)),"")</f>
        <v/>
      </c>
      <c r="M129" s="6" t="inlineStr">
        <is>
          <t>Equipment breakdown</t>
        </is>
      </c>
      <c r="N129" s="4" t="inlineStr"/>
      <c r="O129" s="4" t="inlineStr">
        <is>
          <t>Low</t>
        </is>
      </c>
      <c r="P129" s="4" t="inlineStr">
        <is>
          <t>Closed</t>
        </is>
      </c>
      <c r="Q129" s="5">
        <f>IFERROR(IF(INDEX(Tbl_KPIMaster[Direction],MATCH($G129,Tbl_KPIMaster[KPI],0))="Lower is Better",IF($J129=0,1,IF($I129=0,0,$I129/$J129)),IF($I129=0,1,$J129/$I129)),0)</f>
        <v/>
      </c>
      <c r="R129" s="4">
        <f>IF(OR($I129="",$J129=""),"",$J129-$I129)</f>
        <v/>
      </c>
      <c r="S129" s="4">
        <f>IFERROR(IF(INDEX(Tbl_KPIMaster[Direction],MATCH($G129,Tbl_KPIMaster[KPI],0))="Lower is Better",IF($J129&lt;=$I129,"Green",IF($J129&lt;=$I129+IF($I129=0,$K129,$I129*$K129),"Amber","Red")),IF($J129&gt;=$I129,"Green",IF($J129&gt;=$I129-IF($I129=0,$K129,$I129*$K129),"Amber","Red"))),"")</f>
        <v/>
      </c>
      <c r="T129" s="6" t="inlineStr"/>
    </row>
    <row r="130">
      <c r="A130" s="7" t="n">
        <v>46136</v>
      </c>
      <c r="B130" s="8">
        <f>IF($A130="","",TEXT($A130,"mmm-yyyy"))</f>
        <v/>
      </c>
      <c r="C130" s="8">
        <f>IF($A130="","","W"&amp;WEEKNUM($A130,2))</f>
        <v/>
      </c>
      <c r="D130" s="8">
        <f>IF($A130="","",TEXT($A130,"ddd"))</f>
        <v/>
      </c>
      <c r="E130" s="8" t="inlineStr">
        <is>
          <t>Maintenance</t>
        </is>
      </c>
      <c r="F130" s="8">
        <f>IFERROR(INDEX(Tbl_KPIMaster[Category],MATCH($G130,Tbl_KPIMaster[KPI],0)),"")</f>
        <v/>
      </c>
      <c r="G130" s="8" t="inlineStr">
        <is>
          <t>PM Compliance %</t>
        </is>
      </c>
      <c r="H130" s="8">
        <f>IFERROR(INDEX(Tbl_KPIMaster[Unit],MATCH($G130,Tbl_KPIMaster[KPI],0)),"")</f>
        <v/>
      </c>
      <c r="I130" s="9">
        <f>IFERROR(INDEX(Tbl_KPIMaster[Maximum Target],MATCH($G130,Tbl_KPIMaster[KPI],0)),"")</f>
        <v/>
      </c>
      <c r="J130" s="9" t="n">
        <v>1.1119</v>
      </c>
      <c r="K130" s="8">
        <f>IFERROR(INDEX(Tbl_KPIMaster[Tolerance],MATCH($G130,Tbl_KPIMaster[KPI],0)),"")</f>
        <v/>
      </c>
      <c r="L130" s="8">
        <f>IFERROR(INDEX(Tbl_KPIMaster[Owner],MATCH($G130,Tbl_KPIMaster[KPI],0)),"")</f>
        <v/>
      </c>
      <c r="M130" s="10" t="inlineStr">
        <is>
          <t>Manpower shortage</t>
        </is>
      </c>
      <c r="N130" s="8" t="inlineStr"/>
      <c r="O130" s="8" t="inlineStr">
        <is>
          <t>Low</t>
        </is>
      </c>
      <c r="P130" s="8" t="inlineStr">
        <is>
          <t>In Progress</t>
        </is>
      </c>
      <c r="Q130" s="9">
        <f>IFERROR(IF(INDEX(Tbl_KPIMaster[Direction],MATCH($G130,Tbl_KPIMaster[KPI],0))="Lower is Better",IF($J130=0,1,IF($I130=0,0,$I130/$J130)),IF($I130=0,1,$J130/$I130)),0)</f>
        <v/>
      </c>
      <c r="R130" s="8">
        <f>IF(OR($I130="",$J130=""),"",$J130-$I130)</f>
        <v/>
      </c>
      <c r="S130" s="8">
        <f>IFERROR(IF(INDEX(Tbl_KPIMaster[Direction],MATCH($G130,Tbl_KPIMaster[KPI],0))="Lower is Better",IF($J130&lt;=$I130,"Green",IF($J130&lt;=$I130+IF($I130=0,$K130,$I130*$K130),"Amber","Red")),IF($J130&gt;=$I130,"Green",IF($J130&gt;=$I130-IF($I130=0,$K130,$I130*$K130),"Amber","Red"))),"")</f>
        <v/>
      </c>
      <c r="T130" s="10" t="inlineStr"/>
    </row>
    <row r="131">
      <c r="A131" s="3" t="n">
        <v>46136</v>
      </c>
      <c r="B131" s="4">
        <f>IF($A131="","",TEXT($A131,"mmm-yyyy"))</f>
        <v/>
      </c>
      <c r="C131" s="4">
        <f>IF($A131="","","W"&amp;WEEKNUM($A131,2))</f>
        <v/>
      </c>
      <c r="D131" s="4">
        <f>IF($A131="","",TEXT($A131,"ddd"))</f>
        <v/>
      </c>
      <c r="E131" s="4" t="inlineStr">
        <is>
          <t>Utilities</t>
        </is>
      </c>
      <c r="F131" s="4">
        <f>IFERROR(INDEX(Tbl_KPIMaster[Category],MATCH($G131,Tbl_KPIMaster[KPI],0)),"")</f>
        <v/>
      </c>
      <c r="G131" s="4" t="inlineStr">
        <is>
          <t>Power Consumption</t>
        </is>
      </c>
      <c r="H131" s="4">
        <f>IFERROR(INDEX(Tbl_KPIMaster[Unit],MATCH($G131,Tbl_KPIMaster[KPI],0)),"")</f>
        <v/>
      </c>
      <c r="I131" s="5">
        <f>IFERROR(INDEX(Tbl_KPIMaster[Maximum Target],MATCH($G131,Tbl_KPIMaster[KPI],0)),"")</f>
        <v/>
      </c>
      <c r="J131" s="5" t="n">
        <v>4216.15</v>
      </c>
      <c r="K131" s="4">
        <f>IFERROR(INDEX(Tbl_KPIMaster[Tolerance],MATCH($G131,Tbl_KPIMaster[KPI],0)),"")</f>
        <v/>
      </c>
      <c r="L131" s="4">
        <f>IFERROR(INDEX(Tbl_KPIMaster[Owner],MATCH($G131,Tbl_KPIMaster[KPI],0)),"")</f>
        <v/>
      </c>
      <c r="M131" s="6" t="inlineStr">
        <is>
          <t>Process improvement in progress</t>
        </is>
      </c>
      <c r="N131" s="4" t="inlineStr"/>
      <c r="O131" s="4" t="inlineStr">
        <is>
          <t>Low</t>
        </is>
      </c>
      <c r="P131" s="4" t="inlineStr">
        <is>
          <t>Open</t>
        </is>
      </c>
      <c r="Q131" s="5">
        <f>IFERROR(IF(INDEX(Tbl_KPIMaster[Direction],MATCH($G131,Tbl_KPIMaster[KPI],0))="Lower is Better",IF($J131=0,1,IF($I131=0,0,$I131/$J131)),IF($I131=0,1,$J131/$I131)),0)</f>
        <v/>
      </c>
      <c r="R131" s="4">
        <f>IF(OR($I131="",$J131=""),"",$J131-$I131)</f>
        <v/>
      </c>
      <c r="S131" s="4">
        <f>IFERROR(IF(INDEX(Tbl_KPIMaster[Direction],MATCH($G131,Tbl_KPIMaster[KPI],0))="Lower is Better",IF($J131&lt;=$I131,"Green",IF($J131&lt;=$I131+IF($I131=0,$K131,$I131*$K131),"Amber","Red")),IF($J131&gt;=$I131,"Green",IF($J131&gt;=$I131-IF($I131=0,$K131,$I131*$K131),"Amber","Red"))),"")</f>
        <v/>
      </c>
      <c r="T131" s="6" t="inlineStr"/>
    </row>
    <row r="132">
      <c r="A132" s="7" t="n">
        <v>46136</v>
      </c>
      <c r="B132" s="8">
        <f>IF($A132="","",TEXT($A132,"mmm-yyyy"))</f>
        <v/>
      </c>
      <c r="C132" s="8">
        <f>IF($A132="","","W"&amp;WEEKNUM($A132,2))</f>
        <v/>
      </c>
      <c r="D132" s="8">
        <f>IF($A132="","",TEXT($A132,"ddd"))</f>
        <v/>
      </c>
      <c r="E132" s="8" t="inlineStr">
        <is>
          <t>Utilities</t>
        </is>
      </c>
      <c r="F132" s="8">
        <f>IFERROR(INDEX(Tbl_KPIMaster[Category],MATCH($G132,Tbl_KPIMaster[KPI],0)),"")</f>
        <v/>
      </c>
      <c r="G132" s="8" t="inlineStr">
        <is>
          <t>Water Consumption</t>
        </is>
      </c>
      <c r="H132" s="8">
        <f>IFERROR(INDEX(Tbl_KPIMaster[Unit],MATCH($G132,Tbl_KPIMaster[KPI],0)),"")</f>
        <v/>
      </c>
      <c r="I132" s="9">
        <f>IFERROR(INDEX(Tbl_KPIMaster[Maximum Target],MATCH($G132,Tbl_KPIMaster[KPI],0)),"")</f>
        <v/>
      </c>
      <c r="J132" s="9" t="n">
        <v>54.58</v>
      </c>
      <c r="K132" s="8">
        <f>IFERROR(INDEX(Tbl_KPIMaster[Tolerance],MATCH($G132,Tbl_KPIMaster[KPI],0)),"")</f>
        <v/>
      </c>
      <c r="L132" s="8">
        <f>IFERROR(INDEX(Tbl_KPIMaster[Owner],MATCH($G132,Tbl_KPIMaster[KPI],0)),"")</f>
        <v/>
      </c>
      <c r="M132" s="10" t="inlineStr">
        <is>
          <t>Within normal range</t>
        </is>
      </c>
      <c r="N132" s="8" t="inlineStr">
        <is>
          <t>Procurement follow-up</t>
        </is>
      </c>
      <c r="O132" s="8" t="inlineStr">
        <is>
          <t>Medium</t>
        </is>
      </c>
      <c r="P132" s="8" t="inlineStr">
        <is>
          <t>Closed</t>
        </is>
      </c>
      <c r="Q132" s="9">
        <f>IFERROR(IF(INDEX(Tbl_KPIMaster[Direction],MATCH($G132,Tbl_KPIMaster[KPI],0))="Lower is Better",IF($J132=0,1,IF($I132=0,0,$I132/$J132)),IF($I132=0,1,$J132/$I132)),0)</f>
        <v/>
      </c>
      <c r="R132" s="8">
        <f>IF(OR($I132="",$J132=""),"",$J132-$I132)</f>
        <v/>
      </c>
      <c r="S132" s="8">
        <f>IFERROR(IF(INDEX(Tbl_KPIMaster[Direction],MATCH($G132,Tbl_KPIMaster[KPI],0))="Lower is Better",IF($J132&lt;=$I132,"Green",IF($J132&lt;=$I132+IF($I132=0,$K132,$I132*$K132),"Amber","Red")),IF($J132&gt;=$I132,"Green",IF($J132&gt;=$I132-IF($I132=0,$K132,$I132*$K132),"Amber","Red"))),"")</f>
        <v/>
      </c>
      <c r="T132" s="10" t="inlineStr"/>
    </row>
    <row r="133">
      <c r="A133" s="3" t="n">
        <v>46136</v>
      </c>
      <c r="B133" s="4">
        <f>IF($A133="","",TEXT($A133,"mmm-yyyy"))</f>
        <v/>
      </c>
      <c r="C133" s="4">
        <f>IF($A133="","","W"&amp;WEEKNUM($A133,2))</f>
        <v/>
      </c>
      <c r="D133" s="4">
        <f>IF($A133="","",TEXT($A133,"ddd"))</f>
        <v/>
      </c>
      <c r="E133" s="4" t="inlineStr">
        <is>
          <t>Warehouse</t>
        </is>
      </c>
      <c r="F133" s="4">
        <f>IFERROR(INDEX(Tbl_KPIMaster[Category],MATCH($G133,Tbl_KPIMaster[KPI],0)),"")</f>
        <v/>
      </c>
      <c r="G133" s="4" t="inlineStr">
        <is>
          <t>On-Time Dispatch %</t>
        </is>
      </c>
      <c r="H133" s="4">
        <f>IFERROR(INDEX(Tbl_KPIMaster[Unit],MATCH($G133,Tbl_KPIMaster[KPI],0)),"")</f>
        <v/>
      </c>
      <c r="I133" s="5">
        <f>IFERROR(INDEX(Tbl_KPIMaster[Maximum Target],MATCH($G133,Tbl_KPIMaster[KPI],0)),"")</f>
        <v/>
      </c>
      <c r="J133" s="5" t="n">
        <v>1.062</v>
      </c>
      <c r="K133" s="4">
        <f>IFERROR(INDEX(Tbl_KPIMaster[Tolerance],MATCH($G133,Tbl_KPIMaster[KPI],0)),"")</f>
        <v/>
      </c>
      <c r="L133" s="4">
        <f>IFERROR(INDEX(Tbl_KPIMaster[Owner],MATCH($G133,Tbl_KPIMaster[KPI],0)),"")</f>
        <v/>
      </c>
      <c r="M133" s="6" t="inlineStr">
        <is>
          <t>Process improvement in progress</t>
        </is>
      </c>
      <c r="N133" s="4" t="inlineStr">
        <is>
          <t>Management approval pending</t>
        </is>
      </c>
      <c r="O133" s="4" t="inlineStr">
        <is>
          <t>Low</t>
        </is>
      </c>
      <c r="P133" s="4" t="inlineStr">
        <is>
          <t>In Progress</t>
        </is>
      </c>
      <c r="Q133" s="5">
        <f>IFERROR(IF(INDEX(Tbl_KPIMaster[Direction],MATCH($G133,Tbl_KPIMaster[KPI],0))="Lower is Better",IF($J133=0,1,IF($I133=0,0,$I133/$J133)),IF($I133=0,1,$J133/$I133)),0)</f>
        <v/>
      </c>
      <c r="R133" s="4">
        <f>IF(OR($I133="",$J133=""),"",$J133-$I133)</f>
        <v/>
      </c>
      <c r="S133" s="4">
        <f>IFERROR(IF(INDEX(Tbl_KPIMaster[Direction],MATCH($G133,Tbl_KPIMaster[KPI],0))="Lower is Better",IF($J133&lt;=$I133,"Green",IF($J133&lt;=$I133+IF($I133=0,$K133,$I133*$K133),"Amber","Red")),IF($J133&gt;=$I133,"Green",IF($J133&gt;=$I133-IF($I133=0,$K133,$I133*$K133),"Amber","Red"))),"")</f>
        <v/>
      </c>
      <c r="T133" s="6" t="inlineStr"/>
    </row>
    <row r="134">
      <c r="A134" s="7" t="n">
        <v>46136</v>
      </c>
      <c r="B134" s="8">
        <f>IF($A134="","",TEXT($A134,"mmm-yyyy"))</f>
        <v/>
      </c>
      <c r="C134" s="8">
        <f>IF($A134="","","W"&amp;WEEKNUM($A134,2))</f>
        <v/>
      </c>
      <c r="D134" s="8">
        <f>IF($A134="","",TEXT($A134,"ddd"))</f>
        <v/>
      </c>
      <c r="E134" s="8" t="inlineStr">
        <is>
          <t>Warehouse</t>
        </is>
      </c>
      <c r="F134" s="8">
        <f>IFERROR(INDEX(Tbl_KPIMaster[Category],MATCH($G134,Tbl_KPIMaster[KPI],0)),"")</f>
        <v/>
      </c>
      <c r="G134" s="8" t="inlineStr">
        <is>
          <t>Inventory Accuracy %</t>
        </is>
      </c>
      <c r="H134" s="8">
        <f>IFERROR(INDEX(Tbl_KPIMaster[Unit],MATCH($G134,Tbl_KPIMaster[KPI],0)),"")</f>
        <v/>
      </c>
      <c r="I134" s="9">
        <f>IFERROR(INDEX(Tbl_KPIMaster[Maximum Target],MATCH($G134,Tbl_KPIMaster[KPI],0)),"")</f>
        <v/>
      </c>
      <c r="J134" s="9" t="n">
        <v>0.9023</v>
      </c>
      <c r="K134" s="8">
        <f>IFERROR(INDEX(Tbl_KPIMaster[Tolerance],MATCH($G134,Tbl_KPIMaster[KPI],0)),"")</f>
        <v/>
      </c>
      <c r="L134" s="8">
        <f>IFERROR(INDEX(Tbl_KPIMaster[Owner],MATCH($G134,Tbl_KPIMaster[KPI],0)),"")</f>
        <v/>
      </c>
      <c r="M134" s="10" t="inlineStr">
        <is>
          <t>Process improvement in progress</t>
        </is>
      </c>
      <c r="N134" s="8" t="inlineStr"/>
      <c r="O134" s="8" t="inlineStr">
        <is>
          <t>Low</t>
        </is>
      </c>
      <c r="P134" s="8" t="inlineStr">
        <is>
          <t>Closed</t>
        </is>
      </c>
      <c r="Q134" s="9">
        <f>IFERROR(IF(INDEX(Tbl_KPIMaster[Direction],MATCH($G134,Tbl_KPIMaster[KPI],0))="Lower is Better",IF($J134=0,1,IF($I134=0,0,$I134/$J134)),IF($I134=0,1,$J134/$I134)),0)</f>
        <v/>
      </c>
      <c r="R134" s="8">
        <f>IF(OR($I134="",$J134=""),"",$J134-$I134)</f>
        <v/>
      </c>
      <c r="S134" s="8">
        <f>IFERROR(IF(INDEX(Tbl_KPIMaster[Direction],MATCH($G134,Tbl_KPIMaster[KPI],0))="Lower is Better",IF($J134&lt;=$I134,"Green",IF($J134&lt;=$I134+IF($I134=0,$K134,$I134*$K134),"Amber","Red")),IF($J134&gt;=$I134,"Green",IF($J134&gt;=$I134-IF($I134=0,$K134,$I134*$K134),"Amber","Red"))),"")</f>
        <v/>
      </c>
      <c r="T134" s="10" t="inlineStr"/>
    </row>
    <row r="135">
      <c r="A135" s="3" t="n">
        <v>46136</v>
      </c>
      <c r="B135" s="4">
        <f>IF($A135="","",TEXT($A135,"mmm-yyyy"))</f>
        <v/>
      </c>
      <c r="C135" s="4">
        <f>IF($A135="","","W"&amp;WEEKNUM($A135,2))</f>
        <v/>
      </c>
      <c r="D135" s="4">
        <f>IF($A135="","",TEXT($A135,"ddd"))</f>
        <v/>
      </c>
      <c r="E135" s="4" t="inlineStr">
        <is>
          <t>HR</t>
        </is>
      </c>
      <c r="F135" s="4">
        <f>IFERROR(INDEX(Tbl_KPIMaster[Category],MATCH($G135,Tbl_KPIMaster[KPI],0)),"")</f>
        <v/>
      </c>
      <c r="G135" s="4" t="inlineStr">
        <is>
          <t>Absenteeism %</t>
        </is>
      </c>
      <c r="H135" s="4">
        <f>IFERROR(INDEX(Tbl_KPIMaster[Unit],MATCH($G135,Tbl_KPIMaster[KPI],0)),"")</f>
        <v/>
      </c>
      <c r="I135" s="5">
        <f>IFERROR(INDEX(Tbl_KPIMaster[Maximum Target],MATCH($G135,Tbl_KPIMaster[KPI],0)),"")</f>
        <v/>
      </c>
      <c r="J135" s="5" t="n">
        <v>0</v>
      </c>
      <c r="K135" s="4">
        <f>IFERROR(INDEX(Tbl_KPIMaster[Tolerance],MATCH($G135,Tbl_KPIMaster[KPI],0)),"")</f>
        <v/>
      </c>
      <c r="L135" s="4">
        <f>IFERROR(INDEX(Tbl_KPIMaster[Owner],MATCH($G135,Tbl_KPIMaster[KPI],0)),"")</f>
        <v/>
      </c>
      <c r="M135" s="6" t="inlineStr">
        <is>
          <t>Equipment breakdown</t>
        </is>
      </c>
      <c r="N135" s="4" t="inlineStr"/>
      <c r="O135" s="4" t="inlineStr">
        <is>
          <t>Low</t>
        </is>
      </c>
      <c r="P135" s="4" t="inlineStr">
        <is>
          <t>Closed</t>
        </is>
      </c>
      <c r="Q135" s="5">
        <f>IFERROR(IF(INDEX(Tbl_KPIMaster[Direction],MATCH($G135,Tbl_KPIMaster[KPI],0))="Lower is Better",IF($J135=0,1,IF($I135=0,0,$I135/$J135)),IF($I135=0,1,$J135/$I135)),0)</f>
        <v/>
      </c>
      <c r="R135" s="4">
        <f>IF(OR($I135="",$J135=""),"",$J135-$I135)</f>
        <v/>
      </c>
      <c r="S135" s="4">
        <f>IFERROR(IF(INDEX(Tbl_KPIMaster[Direction],MATCH($G135,Tbl_KPIMaster[KPI],0))="Lower is Better",IF($J135&lt;=$I135,"Green",IF($J135&lt;=$I135+IF($I135=0,$K135,$I135*$K135),"Amber","Red")),IF($J135&gt;=$I135,"Green",IF($J135&gt;=$I135-IF($I135=0,$K135,$I135*$K135),"Amber","Red"))),"")</f>
        <v/>
      </c>
      <c r="T135" s="6" t="inlineStr"/>
    </row>
    <row r="136">
      <c r="A136" s="7" t="n">
        <v>46136</v>
      </c>
      <c r="B136" s="8">
        <f>IF($A136="","",TEXT($A136,"mmm-yyyy"))</f>
        <v/>
      </c>
      <c r="C136" s="8">
        <f>IF($A136="","","W"&amp;WEEKNUM($A136,2))</f>
        <v/>
      </c>
      <c r="D136" s="8">
        <f>IF($A136="","",TEXT($A136,"ddd"))</f>
        <v/>
      </c>
      <c r="E136" s="8" t="inlineStr">
        <is>
          <t>HR</t>
        </is>
      </c>
      <c r="F136" s="8">
        <f>IFERROR(INDEX(Tbl_KPIMaster[Category],MATCH($G136,Tbl_KPIMaster[KPI],0)),"")</f>
        <v/>
      </c>
      <c r="G136" s="8" t="inlineStr">
        <is>
          <t>Training Hours</t>
        </is>
      </c>
      <c r="H136" s="8">
        <f>IFERROR(INDEX(Tbl_KPIMaster[Unit],MATCH($G136,Tbl_KPIMaster[KPI],0)),"")</f>
        <v/>
      </c>
      <c r="I136" s="9">
        <f>IFERROR(INDEX(Tbl_KPIMaster[Maximum Target],MATCH($G136,Tbl_KPIMaster[KPI],0)),"")</f>
        <v/>
      </c>
      <c r="J136" s="9" t="n">
        <v>1.68</v>
      </c>
      <c r="K136" s="8">
        <f>IFERROR(INDEX(Tbl_KPIMaster[Tolerance],MATCH($G136,Tbl_KPIMaster[KPI],0)),"")</f>
        <v/>
      </c>
      <c r="L136" s="8">
        <f>IFERROR(INDEX(Tbl_KPIMaster[Owner],MATCH($G136,Tbl_KPIMaster[KPI],0)),"")</f>
        <v/>
      </c>
      <c r="M136" s="10" t="inlineStr">
        <is>
          <t>Equipment breakdown</t>
        </is>
      </c>
      <c r="N136" s="8" t="inlineStr"/>
      <c r="O136" s="8" t="inlineStr">
        <is>
          <t>Medium</t>
        </is>
      </c>
      <c r="P136" s="8" t="inlineStr">
        <is>
          <t>In Progress</t>
        </is>
      </c>
      <c r="Q136" s="9">
        <f>IFERROR(IF(INDEX(Tbl_KPIMaster[Direction],MATCH($G136,Tbl_KPIMaster[KPI],0))="Lower is Better",IF($J136=0,1,IF($I136=0,0,$I136/$J136)),IF($I136=0,1,$J136/$I136)),0)</f>
        <v/>
      </c>
      <c r="R136" s="8">
        <f>IF(OR($I136="",$J136=""),"",$J136-$I136)</f>
        <v/>
      </c>
      <c r="S136" s="8">
        <f>IFERROR(IF(INDEX(Tbl_KPIMaster[Direction],MATCH($G136,Tbl_KPIMaster[KPI],0))="Lower is Better",IF($J136&lt;=$I136,"Green",IF($J136&lt;=$I136+IF($I136=0,$K136,$I136*$K136),"Amber","Red")),IF($J136&gt;=$I136,"Green",IF($J136&gt;=$I136-IF($I136=0,$K136,$I136*$K136),"Amber","Red"))),"")</f>
        <v/>
      </c>
      <c r="T136" s="10" t="inlineStr"/>
    </row>
    <row r="137">
      <c r="A137" s="3" t="n">
        <v>46136</v>
      </c>
      <c r="B137" s="4">
        <f>IF($A137="","",TEXT($A137,"mmm-yyyy"))</f>
        <v/>
      </c>
      <c r="C137" s="4">
        <f>IF($A137="","","W"&amp;WEEKNUM($A137,2))</f>
        <v/>
      </c>
      <c r="D137" s="4">
        <f>IF($A137="","",TEXT($A137,"ddd"))</f>
        <v/>
      </c>
      <c r="E137" s="4" t="inlineStr">
        <is>
          <t>Engineering</t>
        </is>
      </c>
      <c r="F137" s="4">
        <f>IFERROR(INDEX(Tbl_KPIMaster[Category],MATCH($G137,Tbl_KPIMaster[KPI],0)),"")</f>
        <v/>
      </c>
      <c r="G137" s="4" t="inlineStr">
        <is>
          <t>Project Milestone Adherence %</t>
        </is>
      </c>
      <c r="H137" s="4">
        <f>IFERROR(INDEX(Tbl_KPIMaster[Unit],MATCH($G137,Tbl_KPIMaster[KPI],0)),"")</f>
        <v/>
      </c>
      <c r="I137" s="5">
        <f>IFERROR(INDEX(Tbl_KPIMaster[Maximum Target],MATCH($G137,Tbl_KPIMaster[KPI],0)),"")</f>
        <v/>
      </c>
      <c r="J137" s="5" t="n">
        <v>1.1599</v>
      </c>
      <c r="K137" s="4">
        <f>IFERROR(INDEX(Tbl_KPIMaster[Tolerance],MATCH($G137,Tbl_KPIMaster[KPI],0)),"")</f>
        <v/>
      </c>
      <c r="L137" s="4">
        <f>IFERROR(INDEX(Tbl_KPIMaster[Owner],MATCH($G137,Tbl_KPIMaster[KPI],0)),"")</f>
        <v/>
      </c>
      <c r="M137" s="6" t="inlineStr">
        <is>
          <t>Process improvement in progress</t>
        </is>
      </c>
      <c r="N137" s="4" t="inlineStr"/>
      <c r="O137" s="4" t="inlineStr">
        <is>
          <t>Low</t>
        </is>
      </c>
      <c r="P137" s="4" t="inlineStr">
        <is>
          <t>Open</t>
        </is>
      </c>
      <c r="Q137" s="5">
        <f>IFERROR(IF(INDEX(Tbl_KPIMaster[Direction],MATCH($G137,Tbl_KPIMaster[KPI],0))="Lower is Better",IF($J137=0,1,IF($I137=0,0,$I137/$J137)),IF($I137=0,1,$J137/$I137)),0)</f>
        <v/>
      </c>
      <c r="R137" s="4">
        <f>IF(OR($I137="",$J137=""),"",$J137-$I137)</f>
        <v/>
      </c>
      <c r="S137" s="4">
        <f>IFERROR(IF(INDEX(Tbl_KPIMaster[Direction],MATCH($G137,Tbl_KPIMaster[KPI],0))="Lower is Better",IF($J137&lt;=$I137,"Green",IF($J137&lt;=$I137+IF($I137=0,$K137,$I137*$K137),"Amber","Red")),IF($J137&gt;=$I137,"Green",IF($J137&gt;=$I137-IF($I137=0,$K137,$I137*$K137),"Amber","Red"))),"")</f>
        <v/>
      </c>
      <c r="T137" s="6" t="inlineStr"/>
    </row>
    <row r="138">
      <c r="A138" s="7" t="n">
        <v>46136</v>
      </c>
      <c r="B138" s="8">
        <f>IF($A138="","",TEXT($A138,"mmm-yyyy"))</f>
        <v/>
      </c>
      <c r="C138" s="8">
        <f>IF($A138="","","W"&amp;WEEKNUM($A138,2))</f>
        <v/>
      </c>
      <c r="D138" s="8">
        <f>IF($A138="","",TEXT($A138,"ddd"))</f>
        <v/>
      </c>
      <c r="E138" s="8" t="inlineStr">
        <is>
          <t>Engineering</t>
        </is>
      </c>
      <c r="F138" s="8">
        <f>IFERROR(INDEX(Tbl_KPIMaster[Category],MATCH($G138,Tbl_KPIMaster[KPI],0)),"")</f>
        <v/>
      </c>
      <c r="G138" s="8" t="inlineStr">
        <is>
          <t>Breakdown Resolution Time</t>
        </is>
      </c>
      <c r="H138" s="8">
        <f>IFERROR(INDEX(Tbl_KPIMaster[Unit],MATCH($G138,Tbl_KPIMaster[KPI],0)),"")</f>
        <v/>
      </c>
      <c r="I138" s="9">
        <f>IFERROR(INDEX(Tbl_KPIMaster[Maximum Target],MATCH($G138,Tbl_KPIMaster[KPI],0)),"")</f>
        <v/>
      </c>
      <c r="J138" s="9" t="n">
        <v>0.05</v>
      </c>
      <c r="K138" s="8">
        <f>IFERROR(INDEX(Tbl_KPIMaster[Tolerance],MATCH($G138,Tbl_KPIMaster[KPI],0)),"")</f>
        <v/>
      </c>
      <c r="L138" s="8">
        <f>IFERROR(INDEX(Tbl_KPIMaster[Owner],MATCH($G138,Tbl_KPIMaster[KPI],0)),"")</f>
        <v/>
      </c>
      <c r="M138" s="10" t="inlineStr">
        <is>
          <t>New operator training effect</t>
        </is>
      </c>
      <c r="N138" s="8" t="inlineStr"/>
      <c r="O138" s="8" t="inlineStr">
        <is>
          <t>Low</t>
        </is>
      </c>
      <c r="P138" s="8" t="inlineStr">
        <is>
          <t>Closed</t>
        </is>
      </c>
      <c r="Q138" s="9">
        <f>IFERROR(IF(INDEX(Tbl_KPIMaster[Direction],MATCH($G138,Tbl_KPIMaster[KPI],0))="Lower is Better",IF($J138=0,1,IF($I138=0,0,$I138/$J138)),IF($I138=0,1,$J138/$I138)),0)</f>
        <v/>
      </c>
      <c r="R138" s="8">
        <f>IF(OR($I138="",$J138=""),"",$J138-$I138)</f>
        <v/>
      </c>
      <c r="S138" s="8">
        <f>IFERROR(IF(INDEX(Tbl_KPIMaster[Direction],MATCH($G138,Tbl_KPIMaster[KPI],0))="Lower is Better",IF($J138&lt;=$I138,"Green",IF($J138&lt;=$I138+IF($I138=0,$K138,$I138*$K138),"Amber","Red")),IF($J138&gt;=$I138,"Green",IF($J138&gt;=$I138-IF($I138=0,$K138,$I138*$K138),"Amber","Red"))),"")</f>
        <v/>
      </c>
      <c r="T138" s="10" t="inlineStr"/>
    </row>
    <row r="139">
      <c r="A139" s="3" t="n">
        <v>46136</v>
      </c>
      <c r="B139" s="4">
        <f>IF($A139="","",TEXT($A139,"mmm-yyyy"))</f>
        <v/>
      </c>
      <c r="C139" s="4">
        <f>IF($A139="","","W"&amp;WEEKNUM($A139,2))</f>
        <v/>
      </c>
      <c r="D139" s="4">
        <f>IF($A139="","",TEXT($A139,"ddd"))</f>
        <v/>
      </c>
      <c r="E139" s="4" t="inlineStr">
        <is>
          <t>Cost</t>
        </is>
      </c>
      <c r="F139" s="4">
        <f>IFERROR(INDEX(Tbl_KPIMaster[Category],MATCH($G139,Tbl_KPIMaster[KPI],0)),"")</f>
        <v/>
      </c>
      <c r="G139" s="4" t="inlineStr">
        <is>
          <t>Cost per Unit</t>
        </is>
      </c>
      <c r="H139" s="4">
        <f>IFERROR(INDEX(Tbl_KPIMaster[Unit],MATCH($G139,Tbl_KPIMaster[KPI],0)),"")</f>
        <v/>
      </c>
      <c r="I139" s="5">
        <f>IFERROR(INDEX(Tbl_KPIMaster[Maximum Target],MATCH($G139,Tbl_KPIMaster[KPI],0)),"")</f>
        <v/>
      </c>
      <c r="J139" s="5" t="n">
        <v>42.39</v>
      </c>
      <c r="K139" s="4">
        <f>IFERROR(INDEX(Tbl_KPIMaster[Tolerance],MATCH($G139,Tbl_KPIMaster[KPI],0)),"")</f>
        <v/>
      </c>
      <c r="L139" s="4">
        <f>IFERROR(INDEX(Tbl_KPIMaster[Owner],MATCH($G139,Tbl_KPIMaster[KPI],0)),"")</f>
        <v/>
      </c>
      <c r="M139" s="6" t="inlineStr">
        <is>
          <t>Preventive check done</t>
        </is>
      </c>
      <c r="N139" s="4" t="inlineStr"/>
      <c r="O139" s="4" t="inlineStr">
        <is>
          <t>Medium</t>
        </is>
      </c>
      <c r="P139" s="4" t="inlineStr">
        <is>
          <t>Open</t>
        </is>
      </c>
      <c r="Q139" s="5">
        <f>IFERROR(IF(INDEX(Tbl_KPIMaster[Direction],MATCH($G139,Tbl_KPIMaster[KPI],0))="Lower is Better",IF($J139=0,1,IF($I139=0,0,$I139/$J139)),IF($I139=0,1,$J139/$I139)),0)</f>
        <v/>
      </c>
      <c r="R139" s="4">
        <f>IF(OR($I139="",$J139=""),"",$J139-$I139)</f>
        <v/>
      </c>
      <c r="S139" s="4">
        <f>IFERROR(IF(INDEX(Tbl_KPIMaster[Direction],MATCH($G139,Tbl_KPIMaster[KPI],0))="Lower is Better",IF($J139&lt;=$I139,"Green",IF($J139&lt;=$I139+IF($I139=0,$K139,$I139*$K139),"Amber","Red")),IF($J139&gt;=$I139,"Green",IF($J139&gt;=$I139-IF($I139=0,$K139,$I139*$K139),"Amber","Red"))),"")</f>
        <v/>
      </c>
      <c r="T139" s="6" t="inlineStr"/>
    </row>
    <row r="140">
      <c r="A140" s="7" t="n">
        <v>46136</v>
      </c>
      <c r="B140" s="8">
        <f>IF($A140="","",TEXT($A140,"mmm-yyyy"))</f>
        <v/>
      </c>
      <c r="C140" s="8">
        <f>IF($A140="","","W"&amp;WEEKNUM($A140,2))</f>
        <v/>
      </c>
      <c r="D140" s="8">
        <f>IF($A140="","",TEXT($A140,"ddd"))</f>
        <v/>
      </c>
      <c r="E140" s="8" t="inlineStr">
        <is>
          <t>Cost</t>
        </is>
      </c>
      <c r="F140" s="8">
        <f>IFERROR(INDEX(Tbl_KPIMaster[Category],MATCH($G140,Tbl_KPIMaster[KPI],0)),"")</f>
        <v/>
      </c>
      <c r="G140" s="8" t="inlineStr">
        <is>
          <t>Budget Variance %</t>
        </is>
      </c>
      <c r="H140" s="8">
        <f>IFERROR(INDEX(Tbl_KPIMaster[Unit],MATCH($G140,Tbl_KPIMaster[KPI],0)),"")</f>
        <v/>
      </c>
      <c r="I140" s="9">
        <f>IFERROR(INDEX(Tbl_KPIMaster[Maximum Target],MATCH($G140,Tbl_KPIMaster[KPI],0)),"")</f>
        <v/>
      </c>
      <c r="J140" s="9" t="n">
        <v>0.2513</v>
      </c>
      <c r="K140" s="8">
        <f>IFERROR(INDEX(Tbl_KPIMaster[Tolerance],MATCH($G140,Tbl_KPIMaster[KPI],0)),"")</f>
        <v/>
      </c>
      <c r="L140" s="8">
        <f>IFERROR(INDEX(Tbl_KPIMaster[Owner],MATCH($G140,Tbl_KPIMaster[KPI],0)),"")</f>
        <v/>
      </c>
      <c r="M140" s="10" t="inlineStr">
        <is>
          <t>Process improvement in progress</t>
        </is>
      </c>
      <c r="N140" s="8" t="inlineStr">
        <is>
          <t>Management approval pending</t>
        </is>
      </c>
      <c r="O140" s="8" t="inlineStr">
        <is>
          <t>Low</t>
        </is>
      </c>
      <c r="P140" s="8" t="inlineStr">
        <is>
          <t>In Progress</t>
        </is>
      </c>
      <c r="Q140" s="9">
        <f>IFERROR(IF(INDEX(Tbl_KPIMaster[Direction],MATCH($G140,Tbl_KPIMaster[KPI],0))="Lower is Better",IF($J140=0,1,IF($I140=0,0,$I140/$J140)),IF($I140=0,1,$J140/$I140)),0)</f>
        <v/>
      </c>
      <c r="R140" s="8">
        <f>IF(OR($I140="",$J140=""),"",$J140-$I140)</f>
        <v/>
      </c>
      <c r="S140" s="8">
        <f>IFERROR(IF(INDEX(Tbl_KPIMaster[Direction],MATCH($G140,Tbl_KPIMaster[KPI],0))="Lower is Better",IF($J140&lt;=$I140,"Green",IF($J140&lt;=$I140+IF($I140=0,$K140,$I140*$K140),"Amber","Red")),IF($J140&gt;=$I140,"Green",IF($J140&gt;=$I140-IF($I140=0,$K140,$I140*$K140),"Amber","Red"))),"")</f>
        <v/>
      </c>
      <c r="T140" s="10" t="inlineStr"/>
    </row>
    <row r="141">
      <c r="A141" s="3" t="n">
        <v>46136</v>
      </c>
      <c r="B141" s="4">
        <f>IF($A141="","",TEXT($A141,"mmm-yyyy"))</f>
        <v/>
      </c>
      <c r="C141" s="4">
        <f>IF($A141="","","W"&amp;WEEKNUM($A141,2))</f>
        <v/>
      </c>
      <c r="D141" s="4">
        <f>IF($A141="","",TEXT($A141,"ddd"))</f>
        <v/>
      </c>
      <c r="E141" s="4" t="inlineStr">
        <is>
          <t>Energy</t>
        </is>
      </c>
      <c r="F141" s="4">
        <f>IFERROR(INDEX(Tbl_KPIMaster[Category],MATCH($G141,Tbl_KPIMaster[KPI],0)),"")</f>
        <v/>
      </c>
      <c r="G141" s="4" t="inlineStr">
        <is>
          <t>Energy Intensity (kWh/unit)</t>
        </is>
      </c>
      <c r="H141" s="4">
        <f>IFERROR(INDEX(Tbl_KPIMaster[Unit],MATCH($G141,Tbl_KPIMaster[KPI],0)),"")</f>
        <v/>
      </c>
      <c r="I141" s="5">
        <f>IFERROR(INDEX(Tbl_KPIMaster[Maximum Target],MATCH($G141,Tbl_KPIMaster[KPI],0)),"")</f>
        <v/>
      </c>
      <c r="J141" s="5" t="n">
        <v>4.9</v>
      </c>
      <c r="K141" s="4">
        <f>IFERROR(INDEX(Tbl_KPIMaster[Tolerance],MATCH($G141,Tbl_KPIMaster[KPI],0)),"")</f>
        <v/>
      </c>
      <c r="L141" s="4">
        <f>IFERROR(INDEX(Tbl_KPIMaster[Owner],MATCH($G141,Tbl_KPIMaster[KPI],0)),"")</f>
        <v/>
      </c>
      <c r="M141" s="6" t="inlineStr">
        <is>
          <t>Line changeover impact</t>
        </is>
      </c>
      <c r="N141" s="4" t="inlineStr">
        <is>
          <t>Management approval pending</t>
        </is>
      </c>
      <c r="O141" s="4" t="inlineStr">
        <is>
          <t>Low</t>
        </is>
      </c>
      <c r="P141" s="4" t="inlineStr">
        <is>
          <t>Open</t>
        </is>
      </c>
      <c r="Q141" s="5">
        <f>IFERROR(IF(INDEX(Tbl_KPIMaster[Direction],MATCH($G141,Tbl_KPIMaster[KPI],0))="Lower is Better",IF($J141=0,1,IF($I141=0,0,$I141/$J141)),IF($I141=0,1,$J141/$I141)),0)</f>
        <v/>
      </c>
      <c r="R141" s="4">
        <f>IF(OR($I141="",$J141=""),"",$J141-$I141)</f>
        <v/>
      </c>
      <c r="S141" s="4">
        <f>IFERROR(IF(INDEX(Tbl_KPIMaster[Direction],MATCH($G141,Tbl_KPIMaster[KPI],0))="Lower is Better",IF($J141&lt;=$I141,"Green",IF($J141&lt;=$I141+IF($I141=0,$K141,$I141*$K141),"Amber","Red")),IF($J141&gt;=$I141,"Green",IF($J141&gt;=$I141-IF($I141=0,$K141,$I141*$K141),"Amber","Red"))),"")</f>
        <v/>
      </c>
      <c r="T141" s="6" t="inlineStr"/>
    </row>
    <row r="142">
      <c r="A142" s="7" t="n">
        <v>46136</v>
      </c>
      <c r="B142" s="8">
        <f>IF($A142="","",TEXT($A142,"mmm-yyyy"))</f>
        <v/>
      </c>
      <c r="C142" s="8">
        <f>IF($A142="","","W"&amp;WEEKNUM($A142,2))</f>
        <v/>
      </c>
      <c r="D142" s="8">
        <f>IF($A142="","",TEXT($A142,"ddd"))</f>
        <v/>
      </c>
      <c r="E142" s="8" t="inlineStr">
        <is>
          <t>Energy</t>
        </is>
      </c>
      <c r="F142" s="8">
        <f>IFERROR(INDEX(Tbl_KPIMaster[Category],MATCH($G142,Tbl_KPIMaster[KPI],0)),"")</f>
        <v/>
      </c>
      <c r="G142" s="8" t="inlineStr">
        <is>
          <t>Renewable Energy Share %</t>
        </is>
      </c>
      <c r="H142" s="8">
        <f>IFERROR(INDEX(Tbl_KPIMaster[Unit],MATCH($G142,Tbl_KPIMaster[KPI],0)),"")</f>
        <v/>
      </c>
      <c r="I142" s="9">
        <f>IFERROR(INDEX(Tbl_KPIMaster[Maximum Target],MATCH($G142,Tbl_KPIMaster[KPI],0)),"")</f>
        <v/>
      </c>
      <c r="J142" s="9" t="n">
        <v>0.2421</v>
      </c>
      <c r="K142" s="8">
        <f>IFERROR(INDEX(Tbl_KPIMaster[Tolerance],MATCH($G142,Tbl_KPIMaster[KPI],0)),"")</f>
        <v/>
      </c>
      <c r="L142" s="8">
        <f>IFERROR(INDEX(Tbl_KPIMaster[Owner],MATCH($G142,Tbl_KPIMaster[KPI],0)),"")</f>
        <v/>
      </c>
      <c r="M142" s="10" t="inlineStr">
        <is>
          <t>Vendor delay</t>
        </is>
      </c>
      <c r="N142" s="8" t="inlineStr"/>
      <c r="O142" s="8" t="inlineStr">
        <is>
          <t>Low</t>
        </is>
      </c>
      <c r="P142" s="8" t="inlineStr">
        <is>
          <t>Closed</t>
        </is>
      </c>
      <c r="Q142" s="9">
        <f>IFERROR(IF(INDEX(Tbl_KPIMaster[Direction],MATCH($G142,Tbl_KPIMaster[KPI],0))="Lower is Better",IF($J142=0,1,IF($I142=0,0,$I142/$J142)),IF($I142=0,1,$J142/$I142)),0)</f>
        <v/>
      </c>
      <c r="R142" s="8">
        <f>IF(OR($I142="",$J142=""),"",$J142-$I142)</f>
        <v/>
      </c>
      <c r="S142" s="8">
        <f>IFERROR(IF(INDEX(Tbl_KPIMaster[Direction],MATCH($G142,Tbl_KPIMaster[KPI],0))="Lower is Better",IF($J142&lt;=$I142,"Green",IF($J142&lt;=$I142+IF($I142=0,$K142,$I142*$K142),"Amber","Red")),IF($J142&gt;=$I142,"Green",IF($J142&gt;=$I142-IF($I142=0,$K142,$I142*$K142),"Amber","Red"))),"")</f>
        <v/>
      </c>
      <c r="T142" s="10" t="inlineStr"/>
    </row>
    <row r="143">
      <c r="A143" s="3" t="n">
        <v>46137</v>
      </c>
      <c r="B143" s="4">
        <f>IF($A143="","",TEXT($A143,"mmm-yyyy"))</f>
        <v/>
      </c>
      <c r="C143" s="4">
        <f>IF($A143="","","W"&amp;WEEKNUM($A143,2))</f>
        <v/>
      </c>
      <c r="D143" s="4">
        <f>IF($A143="","",TEXT($A143,"ddd"))</f>
        <v/>
      </c>
      <c r="E143" s="4" t="inlineStr">
        <is>
          <t>Safety</t>
        </is>
      </c>
      <c r="F143" s="4">
        <f>IFERROR(INDEX(Tbl_KPIMaster[Category],MATCH($G143,Tbl_KPIMaster[KPI],0)),"")</f>
        <v/>
      </c>
      <c r="G143" s="4" t="inlineStr">
        <is>
          <t>Safety Incidents (LTI)</t>
        </is>
      </c>
      <c r="H143" s="4">
        <f>IFERROR(INDEX(Tbl_KPIMaster[Unit],MATCH($G143,Tbl_KPIMaster[KPI],0)),"")</f>
        <v/>
      </c>
      <c r="I143" s="5">
        <f>IFERROR(INDEX(Tbl_KPIMaster[Maximum Target],MATCH($G143,Tbl_KPIMaster[KPI],0)),"")</f>
        <v/>
      </c>
      <c r="J143" s="5" t="n">
        <v>0</v>
      </c>
      <c r="K143" s="4">
        <f>IFERROR(INDEX(Tbl_KPIMaster[Tolerance],MATCH($G143,Tbl_KPIMaster[KPI],0)),"")</f>
        <v/>
      </c>
      <c r="L143" s="4">
        <f>IFERROR(INDEX(Tbl_KPIMaster[Owner],MATCH($G143,Tbl_KPIMaster[KPI],0)),"")</f>
        <v/>
      </c>
      <c r="M143" s="6" t="inlineStr">
        <is>
          <t>Awaiting spares</t>
        </is>
      </c>
      <c r="N143" s="4" t="inlineStr">
        <is>
          <t>Procurement follow-up</t>
        </is>
      </c>
      <c r="O143" s="4" t="inlineStr">
        <is>
          <t>Medium</t>
        </is>
      </c>
      <c r="P143" s="4" t="inlineStr">
        <is>
          <t>Open</t>
        </is>
      </c>
      <c r="Q143" s="5">
        <f>IFERROR(IF(INDEX(Tbl_KPIMaster[Direction],MATCH($G143,Tbl_KPIMaster[KPI],0))="Lower is Better",IF($J143=0,1,IF($I143=0,0,$I143/$J143)),IF($I143=0,1,$J143/$I143)),0)</f>
        <v/>
      </c>
      <c r="R143" s="4">
        <f>IF(OR($I143="",$J143=""),"",$J143-$I143)</f>
        <v/>
      </c>
      <c r="S143" s="4">
        <f>IFERROR(IF(INDEX(Tbl_KPIMaster[Direction],MATCH($G143,Tbl_KPIMaster[KPI],0))="Lower is Better",IF($J143&lt;=$I143,"Green",IF($J143&lt;=$I143+IF($I143=0,$K143,$I143*$K143),"Amber","Red")),IF($J143&gt;=$I143,"Green",IF($J143&gt;=$I143-IF($I143=0,$K143,$I143*$K143),"Amber","Red"))),"")</f>
        <v/>
      </c>
      <c r="T143" s="6" t="inlineStr"/>
    </row>
    <row r="144">
      <c r="A144" s="7" t="n">
        <v>46137</v>
      </c>
      <c r="B144" s="8">
        <f>IF($A144="","",TEXT($A144,"mmm-yyyy"))</f>
        <v/>
      </c>
      <c r="C144" s="8">
        <f>IF($A144="","","W"&amp;WEEKNUM($A144,2))</f>
        <v/>
      </c>
      <c r="D144" s="8">
        <f>IF($A144="","",TEXT($A144,"ddd"))</f>
        <v/>
      </c>
      <c r="E144" s="8" t="inlineStr">
        <is>
          <t>Safety</t>
        </is>
      </c>
      <c r="F144" s="8">
        <f>IFERROR(INDEX(Tbl_KPIMaster[Category],MATCH($G144,Tbl_KPIMaster[KPI],0)),"")</f>
        <v/>
      </c>
      <c r="G144" s="8" t="inlineStr">
        <is>
          <t>Near Miss Reports</t>
        </is>
      </c>
      <c r="H144" s="8">
        <f>IFERROR(INDEX(Tbl_KPIMaster[Unit],MATCH($G144,Tbl_KPIMaster[KPI],0)),"")</f>
        <v/>
      </c>
      <c r="I144" s="9">
        <f>IFERROR(INDEX(Tbl_KPIMaster[Maximum Target],MATCH($G144,Tbl_KPIMaster[KPI],0)),"")</f>
        <v/>
      </c>
      <c r="J144" s="9" t="n">
        <v>2</v>
      </c>
      <c r="K144" s="8">
        <f>IFERROR(INDEX(Tbl_KPIMaster[Tolerance],MATCH($G144,Tbl_KPIMaster[KPI],0)),"")</f>
        <v/>
      </c>
      <c r="L144" s="8">
        <f>IFERROR(INDEX(Tbl_KPIMaster[Owner],MATCH($G144,Tbl_KPIMaster[KPI],0)),"")</f>
        <v/>
      </c>
      <c r="M144" s="10" t="inlineStr">
        <is>
          <t>Within normal range</t>
        </is>
      </c>
      <c r="N144" s="8" t="inlineStr"/>
      <c r="O144" s="8" t="inlineStr">
        <is>
          <t>Low</t>
        </is>
      </c>
      <c r="P144" s="8" t="inlineStr">
        <is>
          <t>Open</t>
        </is>
      </c>
      <c r="Q144" s="9">
        <f>IFERROR(IF(INDEX(Tbl_KPIMaster[Direction],MATCH($G144,Tbl_KPIMaster[KPI],0))="Lower is Better",IF($J144=0,1,IF($I144=0,0,$I144/$J144)),IF($I144=0,1,$J144/$I144)),0)</f>
        <v/>
      </c>
      <c r="R144" s="8">
        <f>IF(OR($I144="",$J144=""),"",$J144-$I144)</f>
        <v/>
      </c>
      <c r="S144" s="8">
        <f>IFERROR(IF(INDEX(Tbl_KPIMaster[Direction],MATCH($G144,Tbl_KPIMaster[KPI],0))="Lower is Better",IF($J144&lt;=$I144,"Green",IF($J144&lt;=$I144+IF($I144=0,$K144,$I144*$K144),"Amber","Red")),IF($J144&gt;=$I144,"Green",IF($J144&gt;=$I144-IF($I144=0,$K144,$I144*$K144),"Amber","Red"))),"")</f>
        <v/>
      </c>
      <c r="T144" s="10" t="inlineStr"/>
    </row>
    <row r="145">
      <c r="A145" s="3" t="n">
        <v>46137</v>
      </c>
      <c r="B145" s="4">
        <f>IF($A145="","",TEXT($A145,"mmm-yyyy"))</f>
        <v/>
      </c>
      <c r="C145" s="4">
        <f>IF($A145="","","W"&amp;WEEKNUM($A145,2))</f>
        <v/>
      </c>
      <c r="D145" s="4">
        <f>IF($A145="","",TEXT($A145,"ddd"))</f>
        <v/>
      </c>
      <c r="E145" s="4" t="inlineStr">
        <is>
          <t>Production</t>
        </is>
      </c>
      <c r="F145" s="4">
        <f>IFERROR(INDEX(Tbl_KPIMaster[Category],MATCH($G145,Tbl_KPIMaster[KPI],0)),"")</f>
        <v/>
      </c>
      <c r="G145" s="4" t="inlineStr">
        <is>
          <t>Production Output</t>
        </is>
      </c>
      <c r="H145" s="4">
        <f>IFERROR(INDEX(Tbl_KPIMaster[Unit],MATCH($G145,Tbl_KPIMaster[KPI],0)),"")</f>
        <v/>
      </c>
      <c r="I145" s="5">
        <f>IFERROR(INDEX(Tbl_KPIMaster[Maximum Target],MATCH($G145,Tbl_KPIMaster[KPI],0)),"")</f>
        <v/>
      </c>
      <c r="J145" s="5" t="n">
        <v>1192.29</v>
      </c>
      <c r="K145" s="4">
        <f>IFERROR(INDEX(Tbl_KPIMaster[Tolerance],MATCH($G145,Tbl_KPIMaster[KPI],0)),"")</f>
        <v/>
      </c>
      <c r="L145" s="4">
        <f>IFERROR(INDEX(Tbl_KPIMaster[Owner],MATCH($G145,Tbl_KPIMaster[KPI],0)),"")</f>
        <v/>
      </c>
      <c r="M145" s="6" t="inlineStr">
        <is>
          <t>Line changeover impact</t>
        </is>
      </c>
      <c r="N145" s="4" t="inlineStr"/>
      <c r="O145" s="4" t="inlineStr">
        <is>
          <t>Low</t>
        </is>
      </c>
      <c r="P145" s="4" t="inlineStr">
        <is>
          <t>Open</t>
        </is>
      </c>
      <c r="Q145" s="5">
        <f>IFERROR(IF(INDEX(Tbl_KPIMaster[Direction],MATCH($G145,Tbl_KPIMaster[KPI],0))="Lower is Better",IF($J145=0,1,IF($I145=0,0,$I145/$J145)),IF($I145=0,1,$J145/$I145)),0)</f>
        <v/>
      </c>
      <c r="R145" s="4">
        <f>IF(OR($I145="",$J145=""),"",$J145-$I145)</f>
        <v/>
      </c>
      <c r="S145" s="4">
        <f>IFERROR(IF(INDEX(Tbl_KPIMaster[Direction],MATCH($G145,Tbl_KPIMaster[KPI],0))="Lower is Better",IF($J145&lt;=$I145,"Green",IF($J145&lt;=$I145+IF($I145=0,$K145,$I145*$K145),"Amber","Red")),IF($J145&gt;=$I145,"Green",IF($J145&gt;=$I145-IF($I145=0,$K145,$I145*$K145),"Amber","Red"))),"")</f>
        <v/>
      </c>
      <c r="T145" s="6" t="inlineStr"/>
    </row>
    <row r="146">
      <c r="A146" s="7" t="n">
        <v>46137</v>
      </c>
      <c r="B146" s="8">
        <f>IF($A146="","",TEXT($A146,"mmm-yyyy"))</f>
        <v/>
      </c>
      <c r="C146" s="8">
        <f>IF($A146="","","W"&amp;WEEKNUM($A146,2))</f>
        <v/>
      </c>
      <c r="D146" s="8">
        <f>IF($A146="","",TEXT($A146,"ddd"))</f>
        <v/>
      </c>
      <c r="E146" s="8" t="inlineStr">
        <is>
          <t>Production</t>
        </is>
      </c>
      <c r="F146" s="8">
        <f>IFERROR(INDEX(Tbl_KPIMaster[Category],MATCH($G146,Tbl_KPIMaster[KPI],0)),"")</f>
        <v/>
      </c>
      <c r="G146" s="8" t="inlineStr">
        <is>
          <t>OEE %</t>
        </is>
      </c>
      <c r="H146" s="8">
        <f>IFERROR(INDEX(Tbl_KPIMaster[Unit],MATCH($G146,Tbl_KPIMaster[KPI],0)),"")</f>
        <v/>
      </c>
      <c r="I146" s="9">
        <f>IFERROR(INDEX(Tbl_KPIMaster[Maximum Target],MATCH($G146,Tbl_KPIMaster[KPI],0)),"")</f>
        <v/>
      </c>
      <c r="J146" s="9" t="n">
        <v>0.7393999999999999</v>
      </c>
      <c r="K146" s="8">
        <f>IFERROR(INDEX(Tbl_KPIMaster[Tolerance],MATCH($G146,Tbl_KPIMaster[KPI],0)),"")</f>
        <v/>
      </c>
      <c r="L146" s="8">
        <f>IFERROR(INDEX(Tbl_KPIMaster[Owner],MATCH($G146,Tbl_KPIMaster[KPI],0)),"")</f>
        <v/>
      </c>
      <c r="M146" s="10" t="inlineStr">
        <is>
          <t>Line changeover impact</t>
        </is>
      </c>
      <c r="N146" s="8" t="inlineStr"/>
      <c r="O146" s="8" t="inlineStr">
        <is>
          <t>Low</t>
        </is>
      </c>
      <c r="P146" s="8" t="inlineStr">
        <is>
          <t>Closed</t>
        </is>
      </c>
      <c r="Q146" s="9">
        <f>IFERROR(IF(INDEX(Tbl_KPIMaster[Direction],MATCH($G146,Tbl_KPIMaster[KPI],0))="Lower is Better",IF($J146=0,1,IF($I146=0,0,$I146/$J146)),IF($I146=0,1,$J146/$I146)),0)</f>
        <v/>
      </c>
      <c r="R146" s="8">
        <f>IF(OR($I146="",$J146=""),"",$J146-$I146)</f>
        <v/>
      </c>
      <c r="S146" s="8">
        <f>IFERROR(IF(INDEX(Tbl_KPIMaster[Direction],MATCH($G146,Tbl_KPIMaster[KPI],0))="Lower is Better",IF($J146&lt;=$I146,"Green",IF($J146&lt;=$I146+IF($I146=0,$K146,$I146*$K146),"Amber","Red")),IF($J146&gt;=$I146,"Green",IF($J146&gt;=$I146-IF($I146=0,$K146,$I146*$K146),"Amber","Red"))),"")</f>
        <v/>
      </c>
      <c r="T146" s="10" t="inlineStr"/>
    </row>
    <row r="147">
      <c r="A147" s="3" t="n">
        <v>46137</v>
      </c>
      <c r="B147" s="4">
        <f>IF($A147="","",TEXT($A147,"mmm-yyyy"))</f>
        <v/>
      </c>
      <c r="C147" s="4">
        <f>IF($A147="","","W"&amp;WEEKNUM($A147,2))</f>
        <v/>
      </c>
      <c r="D147" s="4">
        <f>IF($A147="","",TEXT($A147,"ddd"))</f>
        <v/>
      </c>
      <c r="E147" s="4" t="inlineStr">
        <is>
          <t>Quality</t>
        </is>
      </c>
      <c r="F147" s="4">
        <f>IFERROR(INDEX(Tbl_KPIMaster[Category],MATCH($G147,Tbl_KPIMaster[KPI],0)),"")</f>
        <v/>
      </c>
      <c r="G147" s="4" t="inlineStr">
        <is>
          <t>Defect Rate %</t>
        </is>
      </c>
      <c r="H147" s="4">
        <f>IFERROR(INDEX(Tbl_KPIMaster[Unit],MATCH($G147,Tbl_KPIMaster[KPI],0)),"")</f>
        <v/>
      </c>
      <c r="I147" s="5">
        <f>IFERROR(INDEX(Tbl_KPIMaster[Maximum Target],MATCH($G147,Tbl_KPIMaster[KPI],0)),"")</f>
        <v/>
      </c>
      <c r="J147" s="5" t="n">
        <v>0</v>
      </c>
      <c r="K147" s="4">
        <f>IFERROR(INDEX(Tbl_KPIMaster[Tolerance],MATCH($G147,Tbl_KPIMaster[KPI],0)),"")</f>
        <v/>
      </c>
      <c r="L147" s="4">
        <f>IFERROR(INDEX(Tbl_KPIMaster[Owner],MATCH($G147,Tbl_KPIMaster[KPI],0)),"")</f>
        <v/>
      </c>
      <c r="M147" s="6" t="inlineStr">
        <is>
          <t>Equipment breakdown</t>
        </is>
      </c>
      <c r="N147" s="4" t="inlineStr"/>
      <c r="O147" s="4" t="inlineStr">
        <is>
          <t>Medium</t>
        </is>
      </c>
      <c r="P147" s="4" t="inlineStr">
        <is>
          <t>In Progress</t>
        </is>
      </c>
      <c r="Q147" s="5">
        <f>IFERROR(IF(INDEX(Tbl_KPIMaster[Direction],MATCH($G147,Tbl_KPIMaster[KPI],0))="Lower is Better",IF($J147=0,1,IF($I147=0,0,$I147/$J147)),IF($I147=0,1,$J147/$I147)),0)</f>
        <v/>
      </c>
      <c r="R147" s="4">
        <f>IF(OR($I147="",$J147=""),"",$J147-$I147)</f>
        <v/>
      </c>
      <c r="S147" s="4">
        <f>IFERROR(IF(INDEX(Tbl_KPIMaster[Direction],MATCH($G147,Tbl_KPIMaster[KPI],0))="Lower is Better",IF($J147&lt;=$I147,"Green",IF($J147&lt;=$I147+IF($I147=0,$K147,$I147*$K147),"Amber","Red")),IF($J147&gt;=$I147,"Green",IF($J147&gt;=$I147-IF($I147=0,$K147,$I147*$K147),"Amber","Red"))),"")</f>
        <v/>
      </c>
      <c r="T147" s="6" t="inlineStr"/>
    </row>
    <row r="148">
      <c r="A148" s="7" t="n">
        <v>46137</v>
      </c>
      <c r="B148" s="8">
        <f>IF($A148="","",TEXT($A148,"mmm-yyyy"))</f>
        <v/>
      </c>
      <c r="C148" s="8">
        <f>IF($A148="","","W"&amp;WEEKNUM($A148,2))</f>
        <v/>
      </c>
      <c r="D148" s="8">
        <f>IF($A148="","",TEXT($A148,"ddd"))</f>
        <v/>
      </c>
      <c r="E148" s="8" t="inlineStr">
        <is>
          <t>Quality</t>
        </is>
      </c>
      <c r="F148" s="8">
        <f>IFERROR(INDEX(Tbl_KPIMaster[Category],MATCH($G148,Tbl_KPIMaster[KPI],0)),"")</f>
        <v/>
      </c>
      <c r="G148" s="8" t="inlineStr">
        <is>
          <t>Customer Complaints</t>
        </is>
      </c>
      <c r="H148" s="8">
        <f>IFERROR(INDEX(Tbl_KPIMaster[Unit],MATCH($G148,Tbl_KPIMaster[KPI],0)),"")</f>
        <v/>
      </c>
      <c r="I148" s="9">
        <f>IFERROR(INDEX(Tbl_KPIMaster[Maximum Target],MATCH($G148,Tbl_KPIMaster[KPI],0)),"")</f>
        <v/>
      </c>
      <c r="J148" s="9" t="n">
        <v>0</v>
      </c>
      <c r="K148" s="8">
        <f>IFERROR(INDEX(Tbl_KPIMaster[Tolerance],MATCH($G148,Tbl_KPIMaster[KPI],0)),"")</f>
        <v/>
      </c>
      <c r="L148" s="8">
        <f>IFERROR(INDEX(Tbl_KPIMaster[Owner],MATCH($G148,Tbl_KPIMaster[KPI],0)),"")</f>
        <v/>
      </c>
      <c r="M148" s="10" t="inlineStr">
        <is>
          <t>Process improvement in progress</t>
        </is>
      </c>
      <c r="N148" s="8" t="inlineStr">
        <is>
          <t>Procurement follow-up</t>
        </is>
      </c>
      <c r="O148" s="8" t="inlineStr">
        <is>
          <t>Medium</t>
        </is>
      </c>
      <c r="P148" s="8" t="inlineStr">
        <is>
          <t>Closed</t>
        </is>
      </c>
      <c r="Q148" s="9">
        <f>IFERROR(IF(INDEX(Tbl_KPIMaster[Direction],MATCH($G148,Tbl_KPIMaster[KPI],0))="Lower is Better",IF($J148=0,1,IF($I148=0,0,$I148/$J148)),IF($I148=0,1,$J148/$I148)),0)</f>
        <v/>
      </c>
      <c r="R148" s="8">
        <f>IF(OR($I148="",$J148=""),"",$J148-$I148)</f>
        <v/>
      </c>
      <c r="S148" s="8">
        <f>IFERROR(IF(INDEX(Tbl_KPIMaster[Direction],MATCH($G148,Tbl_KPIMaster[KPI],0))="Lower is Better",IF($J148&lt;=$I148,"Green",IF($J148&lt;=$I148+IF($I148=0,$K148,$I148*$K148),"Amber","Red")),IF($J148&gt;=$I148,"Green",IF($J148&gt;=$I148-IF($I148=0,$K148,$I148*$K148),"Amber","Red"))),"")</f>
        <v/>
      </c>
      <c r="T148" s="10" t="inlineStr"/>
    </row>
    <row r="149">
      <c r="A149" s="3" t="n">
        <v>46137</v>
      </c>
      <c r="B149" s="4">
        <f>IF($A149="","",TEXT($A149,"mmm-yyyy"))</f>
        <v/>
      </c>
      <c r="C149" s="4">
        <f>IF($A149="","","W"&amp;WEEKNUM($A149,2))</f>
        <v/>
      </c>
      <c r="D149" s="4">
        <f>IF($A149="","",TEXT($A149,"ddd"))</f>
        <v/>
      </c>
      <c r="E149" s="4" t="inlineStr">
        <is>
          <t>Maintenance</t>
        </is>
      </c>
      <c r="F149" s="4">
        <f>IFERROR(INDEX(Tbl_KPIMaster[Category],MATCH($G149,Tbl_KPIMaster[KPI],0)),"")</f>
        <v/>
      </c>
      <c r="G149" s="4" t="inlineStr">
        <is>
          <t>Unplanned Downtime</t>
        </is>
      </c>
      <c r="H149" s="4">
        <f>IFERROR(INDEX(Tbl_KPIMaster[Unit],MATCH($G149,Tbl_KPIMaster[KPI],0)),"")</f>
        <v/>
      </c>
      <c r="I149" s="5">
        <f>IFERROR(INDEX(Tbl_KPIMaster[Maximum Target],MATCH($G149,Tbl_KPIMaster[KPI],0)),"")</f>
        <v/>
      </c>
      <c r="J149" s="5" t="n">
        <v>0</v>
      </c>
      <c r="K149" s="4">
        <f>IFERROR(INDEX(Tbl_KPIMaster[Tolerance],MATCH($G149,Tbl_KPIMaster[KPI],0)),"")</f>
        <v/>
      </c>
      <c r="L149" s="4">
        <f>IFERROR(INDEX(Tbl_KPIMaster[Owner],MATCH($G149,Tbl_KPIMaster[KPI],0)),"")</f>
        <v/>
      </c>
      <c r="M149" s="6" t="inlineStr">
        <is>
          <t>Equipment breakdown</t>
        </is>
      </c>
      <c r="N149" s="4" t="inlineStr"/>
      <c r="O149" s="4" t="inlineStr">
        <is>
          <t>High</t>
        </is>
      </c>
      <c r="P149" s="4" t="inlineStr">
        <is>
          <t>In Progress</t>
        </is>
      </c>
      <c r="Q149" s="5">
        <f>IFERROR(IF(INDEX(Tbl_KPIMaster[Direction],MATCH($G149,Tbl_KPIMaster[KPI],0))="Lower is Better",IF($J149=0,1,IF($I149=0,0,$I149/$J149)),IF($I149=0,1,$J149/$I149)),0)</f>
        <v/>
      </c>
      <c r="R149" s="4">
        <f>IF(OR($I149="",$J149=""),"",$J149-$I149)</f>
        <v/>
      </c>
      <c r="S149" s="4">
        <f>IFERROR(IF(INDEX(Tbl_KPIMaster[Direction],MATCH($G149,Tbl_KPIMaster[KPI],0))="Lower is Better",IF($J149&lt;=$I149,"Green",IF($J149&lt;=$I149+IF($I149=0,$K149,$I149*$K149),"Amber","Red")),IF($J149&gt;=$I149,"Green",IF($J149&gt;=$I149-IF($I149=0,$K149,$I149*$K149),"Amber","Red"))),"")</f>
        <v/>
      </c>
      <c r="T149" s="6" t="inlineStr"/>
    </row>
    <row r="150">
      <c r="A150" s="7" t="n">
        <v>46137</v>
      </c>
      <c r="B150" s="8">
        <f>IF($A150="","",TEXT($A150,"mmm-yyyy"))</f>
        <v/>
      </c>
      <c r="C150" s="8">
        <f>IF($A150="","","W"&amp;WEEKNUM($A150,2))</f>
        <v/>
      </c>
      <c r="D150" s="8">
        <f>IF($A150="","",TEXT($A150,"ddd"))</f>
        <v/>
      </c>
      <c r="E150" s="8" t="inlineStr">
        <is>
          <t>Maintenance</t>
        </is>
      </c>
      <c r="F150" s="8">
        <f>IFERROR(INDEX(Tbl_KPIMaster[Category],MATCH($G150,Tbl_KPIMaster[KPI],0)),"")</f>
        <v/>
      </c>
      <c r="G150" s="8" t="inlineStr">
        <is>
          <t>PM Compliance %</t>
        </is>
      </c>
      <c r="H150" s="8">
        <f>IFERROR(INDEX(Tbl_KPIMaster[Unit],MATCH($G150,Tbl_KPIMaster[KPI],0)),"")</f>
        <v/>
      </c>
      <c r="I150" s="9">
        <f>IFERROR(INDEX(Tbl_KPIMaster[Maximum Target],MATCH($G150,Tbl_KPIMaster[KPI],0)),"")</f>
        <v/>
      </c>
      <c r="J150" s="9" t="n">
        <v>1.1968</v>
      </c>
      <c r="K150" s="8">
        <f>IFERROR(INDEX(Tbl_KPIMaster[Tolerance],MATCH($G150,Tbl_KPIMaster[KPI],0)),"")</f>
        <v/>
      </c>
      <c r="L150" s="8">
        <f>IFERROR(INDEX(Tbl_KPIMaster[Owner],MATCH($G150,Tbl_KPIMaster[KPI],0)),"")</f>
        <v/>
      </c>
      <c r="M150" s="10" t="inlineStr"/>
      <c r="N150" s="8" t="inlineStr">
        <is>
          <t>Engineering support needed</t>
        </is>
      </c>
      <c r="O150" s="8" t="inlineStr">
        <is>
          <t>Low</t>
        </is>
      </c>
      <c r="P150" s="8" t="inlineStr">
        <is>
          <t>Closed</t>
        </is>
      </c>
      <c r="Q150" s="9">
        <f>IFERROR(IF(INDEX(Tbl_KPIMaster[Direction],MATCH($G150,Tbl_KPIMaster[KPI],0))="Lower is Better",IF($J150=0,1,IF($I150=0,0,$I150/$J150)),IF($I150=0,1,$J150/$I150)),0)</f>
        <v/>
      </c>
      <c r="R150" s="8">
        <f>IF(OR($I150="",$J150=""),"",$J150-$I150)</f>
        <v/>
      </c>
      <c r="S150" s="8">
        <f>IFERROR(IF(INDEX(Tbl_KPIMaster[Direction],MATCH($G150,Tbl_KPIMaster[KPI],0))="Lower is Better",IF($J150&lt;=$I150,"Green",IF($J150&lt;=$I150+IF($I150=0,$K150,$I150*$K150),"Amber","Red")),IF($J150&gt;=$I150,"Green",IF($J150&gt;=$I150-IF($I150=0,$K150,$I150*$K150),"Amber","Red"))),"")</f>
        <v/>
      </c>
      <c r="T150" s="10" t="inlineStr"/>
    </row>
    <row r="151">
      <c r="A151" s="3" t="n">
        <v>46137</v>
      </c>
      <c r="B151" s="4">
        <f>IF($A151="","",TEXT($A151,"mmm-yyyy"))</f>
        <v/>
      </c>
      <c r="C151" s="4">
        <f>IF($A151="","","W"&amp;WEEKNUM($A151,2))</f>
        <v/>
      </c>
      <c r="D151" s="4">
        <f>IF($A151="","",TEXT($A151,"ddd"))</f>
        <v/>
      </c>
      <c r="E151" s="4" t="inlineStr">
        <is>
          <t>Utilities</t>
        </is>
      </c>
      <c r="F151" s="4">
        <f>IFERROR(INDEX(Tbl_KPIMaster[Category],MATCH($G151,Tbl_KPIMaster[KPI],0)),"")</f>
        <v/>
      </c>
      <c r="G151" s="4" t="inlineStr">
        <is>
          <t>Power Consumption</t>
        </is>
      </c>
      <c r="H151" s="4">
        <f>IFERROR(INDEX(Tbl_KPIMaster[Unit],MATCH($G151,Tbl_KPIMaster[KPI],0)),"")</f>
        <v/>
      </c>
      <c r="I151" s="5">
        <f>IFERROR(INDEX(Tbl_KPIMaster[Maximum Target],MATCH($G151,Tbl_KPIMaster[KPI],0)),"")</f>
        <v/>
      </c>
      <c r="J151" s="5" t="n">
        <v>4189.51</v>
      </c>
      <c r="K151" s="4">
        <f>IFERROR(INDEX(Tbl_KPIMaster[Tolerance],MATCH($G151,Tbl_KPIMaster[KPI],0)),"")</f>
        <v/>
      </c>
      <c r="L151" s="4">
        <f>IFERROR(INDEX(Tbl_KPIMaster[Owner],MATCH($G151,Tbl_KPIMaster[KPI],0)),"")</f>
        <v/>
      </c>
      <c r="M151" s="6" t="inlineStr"/>
      <c r="N151" s="4" t="inlineStr">
        <is>
          <t>Procurement follow-up</t>
        </is>
      </c>
      <c r="O151" s="4" t="inlineStr">
        <is>
          <t>Low</t>
        </is>
      </c>
      <c r="P151" s="4" t="inlineStr">
        <is>
          <t>Closed</t>
        </is>
      </c>
      <c r="Q151" s="5">
        <f>IFERROR(IF(INDEX(Tbl_KPIMaster[Direction],MATCH($G151,Tbl_KPIMaster[KPI],0))="Lower is Better",IF($J151=0,1,IF($I151=0,0,$I151/$J151)),IF($I151=0,1,$J151/$I151)),0)</f>
        <v/>
      </c>
      <c r="R151" s="4">
        <f>IF(OR($I151="",$J151=""),"",$J151-$I151)</f>
        <v/>
      </c>
      <c r="S151" s="4">
        <f>IFERROR(IF(INDEX(Tbl_KPIMaster[Direction],MATCH($G151,Tbl_KPIMaster[KPI],0))="Lower is Better",IF($J151&lt;=$I151,"Green",IF($J151&lt;=$I151+IF($I151=0,$K151,$I151*$K151),"Amber","Red")),IF($J151&gt;=$I151,"Green",IF($J151&gt;=$I151-IF($I151=0,$K151,$I151*$K151),"Amber","Red"))),"")</f>
        <v/>
      </c>
      <c r="T151" s="6" t="inlineStr"/>
    </row>
    <row r="152">
      <c r="A152" s="7" t="n">
        <v>46137</v>
      </c>
      <c r="B152" s="8">
        <f>IF($A152="","",TEXT($A152,"mmm-yyyy"))</f>
        <v/>
      </c>
      <c r="C152" s="8">
        <f>IF($A152="","","W"&amp;WEEKNUM($A152,2))</f>
        <v/>
      </c>
      <c r="D152" s="8">
        <f>IF($A152="","",TEXT($A152,"ddd"))</f>
        <v/>
      </c>
      <c r="E152" s="8" t="inlineStr">
        <is>
          <t>Utilities</t>
        </is>
      </c>
      <c r="F152" s="8">
        <f>IFERROR(INDEX(Tbl_KPIMaster[Category],MATCH($G152,Tbl_KPIMaster[KPI],0)),"")</f>
        <v/>
      </c>
      <c r="G152" s="8" t="inlineStr">
        <is>
          <t>Water Consumption</t>
        </is>
      </c>
      <c r="H152" s="8">
        <f>IFERROR(INDEX(Tbl_KPIMaster[Unit],MATCH($G152,Tbl_KPIMaster[KPI],0)),"")</f>
        <v/>
      </c>
      <c r="I152" s="9">
        <f>IFERROR(INDEX(Tbl_KPIMaster[Maximum Target],MATCH($G152,Tbl_KPIMaster[KPI],0)),"")</f>
        <v/>
      </c>
      <c r="J152" s="9" t="n">
        <v>50.14</v>
      </c>
      <c r="K152" s="8">
        <f>IFERROR(INDEX(Tbl_KPIMaster[Tolerance],MATCH($G152,Tbl_KPIMaster[KPI],0)),"")</f>
        <v/>
      </c>
      <c r="L152" s="8">
        <f>IFERROR(INDEX(Tbl_KPIMaster[Owner],MATCH($G152,Tbl_KPIMaster[KPI],0)),"")</f>
        <v/>
      </c>
      <c r="M152" s="10" t="inlineStr">
        <is>
          <t>Equipment breakdown</t>
        </is>
      </c>
      <c r="N152" s="8" t="inlineStr">
        <is>
          <t>Procurement follow-up</t>
        </is>
      </c>
      <c r="O152" s="8" t="inlineStr">
        <is>
          <t>Medium</t>
        </is>
      </c>
      <c r="P152" s="8" t="inlineStr">
        <is>
          <t>Closed</t>
        </is>
      </c>
      <c r="Q152" s="9">
        <f>IFERROR(IF(INDEX(Tbl_KPIMaster[Direction],MATCH($G152,Tbl_KPIMaster[KPI],0))="Lower is Better",IF($J152=0,1,IF($I152=0,0,$I152/$J152)),IF($I152=0,1,$J152/$I152)),0)</f>
        <v/>
      </c>
      <c r="R152" s="8">
        <f>IF(OR($I152="",$J152=""),"",$J152-$I152)</f>
        <v/>
      </c>
      <c r="S152" s="8">
        <f>IFERROR(IF(INDEX(Tbl_KPIMaster[Direction],MATCH($G152,Tbl_KPIMaster[KPI],0))="Lower is Better",IF($J152&lt;=$I152,"Green",IF($J152&lt;=$I152+IF($I152=0,$K152,$I152*$K152),"Amber","Red")),IF($J152&gt;=$I152,"Green",IF($J152&gt;=$I152-IF($I152=0,$K152,$I152*$K152),"Amber","Red"))),"")</f>
        <v/>
      </c>
      <c r="T152" s="10" t="inlineStr"/>
    </row>
    <row r="153">
      <c r="A153" s="3" t="n">
        <v>46137</v>
      </c>
      <c r="B153" s="4">
        <f>IF($A153="","",TEXT($A153,"mmm-yyyy"))</f>
        <v/>
      </c>
      <c r="C153" s="4">
        <f>IF($A153="","","W"&amp;WEEKNUM($A153,2))</f>
        <v/>
      </c>
      <c r="D153" s="4">
        <f>IF($A153="","",TEXT($A153,"ddd"))</f>
        <v/>
      </c>
      <c r="E153" s="4" t="inlineStr">
        <is>
          <t>Warehouse</t>
        </is>
      </c>
      <c r="F153" s="4">
        <f>IFERROR(INDEX(Tbl_KPIMaster[Category],MATCH($G153,Tbl_KPIMaster[KPI],0)),"")</f>
        <v/>
      </c>
      <c r="G153" s="4" t="inlineStr">
        <is>
          <t>On-Time Dispatch %</t>
        </is>
      </c>
      <c r="H153" s="4">
        <f>IFERROR(INDEX(Tbl_KPIMaster[Unit],MATCH($G153,Tbl_KPIMaster[KPI],0)),"")</f>
        <v/>
      </c>
      <c r="I153" s="5">
        <f>IFERROR(INDEX(Tbl_KPIMaster[Maximum Target],MATCH($G153,Tbl_KPIMaster[KPI],0)),"")</f>
        <v/>
      </c>
      <c r="J153" s="5" t="n">
        <v>0.766</v>
      </c>
      <c r="K153" s="4">
        <f>IFERROR(INDEX(Tbl_KPIMaster[Tolerance],MATCH($G153,Tbl_KPIMaster[KPI],0)),"")</f>
        <v/>
      </c>
      <c r="L153" s="4">
        <f>IFERROR(INDEX(Tbl_KPIMaster[Owner],MATCH($G153,Tbl_KPIMaster[KPI],0)),"")</f>
        <v/>
      </c>
      <c r="M153" s="6" t="inlineStr">
        <is>
          <t>Vendor delay</t>
        </is>
      </c>
      <c r="N153" s="4" t="inlineStr">
        <is>
          <t>Management approval pending</t>
        </is>
      </c>
      <c r="O153" s="4" t="inlineStr">
        <is>
          <t>Low</t>
        </is>
      </c>
      <c r="P153" s="4" t="inlineStr">
        <is>
          <t>Closed</t>
        </is>
      </c>
      <c r="Q153" s="5">
        <f>IFERROR(IF(INDEX(Tbl_KPIMaster[Direction],MATCH($G153,Tbl_KPIMaster[KPI],0))="Lower is Better",IF($J153=0,1,IF($I153=0,0,$I153/$J153)),IF($I153=0,1,$J153/$I153)),0)</f>
        <v/>
      </c>
      <c r="R153" s="4">
        <f>IF(OR($I153="",$J153=""),"",$J153-$I153)</f>
        <v/>
      </c>
      <c r="S153" s="4">
        <f>IFERROR(IF(INDEX(Tbl_KPIMaster[Direction],MATCH($G153,Tbl_KPIMaster[KPI],0))="Lower is Better",IF($J153&lt;=$I153,"Green",IF($J153&lt;=$I153+IF($I153=0,$K153,$I153*$K153),"Amber","Red")),IF($J153&gt;=$I153,"Green",IF($J153&gt;=$I153-IF($I153=0,$K153,$I153*$K153),"Amber","Red"))),"")</f>
        <v/>
      </c>
      <c r="T153" s="6" t="inlineStr"/>
    </row>
    <row r="154">
      <c r="A154" s="7" t="n">
        <v>46137</v>
      </c>
      <c r="B154" s="8">
        <f>IF($A154="","",TEXT($A154,"mmm-yyyy"))</f>
        <v/>
      </c>
      <c r="C154" s="8">
        <f>IF($A154="","","W"&amp;WEEKNUM($A154,2))</f>
        <v/>
      </c>
      <c r="D154" s="8">
        <f>IF($A154="","",TEXT($A154,"ddd"))</f>
        <v/>
      </c>
      <c r="E154" s="8" t="inlineStr">
        <is>
          <t>Warehouse</t>
        </is>
      </c>
      <c r="F154" s="8">
        <f>IFERROR(INDEX(Tbl_KPIMaster[Category],MATCH($G154,Tbl_KPIMaster[KPI],0)),"")</f>
        <v/>
      </c>
      <c r="G154" s="8" t="inlineStr">
        <is>
          <t>Inventory Accuracy %</t>
        </is>
      </c>
      <c r="H154" s="8">
        <f>IFERROR(INDEX(Tbl_KPIMaster[Unit],MATCH($G154,Tbl_KPIMaster[KPI],0)),"")</f>
        <v/>
      </c>
      <c r="I154" s="9">
        <f>IFERROR(INDEX(Tbl_KPIMaster[Maximum Target],MATCH($G154,Tbl_KPIMaster[KPI],0)),"")</f>
        <v/>
      </c>
      <c r="J154" s="9" t="n">
        <v>0.917</v>
      </c>
      <c r="K154" s="8">
        <f>IFERROR(INDEX(Tbl_KPIMaster[Tolerance],MATCH($G154,Tbl_KPIMaster[KPI],0)),"")</f>
        <v/>
      </c>
      <c r="L154" s="8">
        <f>IFERROR(INDEX(Tbl_KPIMaster[Owner],MATCH($G154,Tbl_KPIMaster[KPI],0)),"")</f>
        <v/>
      </c>
      <c r="M154" s="10" t="inlineStr">
        <is>
          <t>Within normal range</t>
        </is>
      </c>
      <c r="N154" s="8" t="inlineStr"/>
      <c r="O154" s="8" t="inlineStr">
        <is>
          <t>Low</t>
        </is>
      </c>
      <c r="P154" s="8" t="inlineStr">
        <is>
          <t>Closed</t>
        </is>
      </c>
      <c r="Q154" s="9">
        <f>IFERROR(IF(INDEX(Tbl_KPIMaster[Direction],MATCH($G154,Tbl_KPIMaster[KPI],0))="Lower is Better",IF($J154=0,1,IF($I154=0,0,$I154/$J154)),IF($I154=0,1,$J154/$I154)),0)</f>
        <v/>
      </c>
      <c r="R154" s="8">
        <f>IF(OR($I154="",$J154=""),"",$J154-$I154)</f>
        <v/>
      </c>
      <c r="S154" s="8">
        <f>IFERROR(IF(INDEX(Tbl_KPIMaster[Direction],MATCH($G154,Tbl_KPIMaster[KPI],0))="Lower is Better",IF($J154&lt;=$I154,"Green",IF($J154&lt;=$I154+IF($I154=0,$K154,$I154*$K154),"Amber","Red")),IF($J154&gt;=$I154,"Green",IF($J154&gt;=$I154-IF($I154=0,$K154,$I154*$K154),"Amber","Red"))),"")</f>
        <v/>
      </c>
      <c r="T154" s="10" t="inlineStr"/>
    </row>
    <row r="155">
      <c r="A155" s="3" t="n">
        <v>46137</v>
      </c>
      <c r="B155" s="4">
        <f>IF($A155="","",TEXT($A155,"mmm-yyyy"))</f>
        <v/>
      </c>
      <c r="C155" s="4">
        <f>IF($A155="","","W"&amp;WEEKNUM($A155,2))</f>
        <v/>
      </c>
      <c r="D155" s="4">
        <f>IF($A155="","",TEXT($A155,"ddd"))</f>
        <v/>
      </c>
      <c r="E155" s="4" t="inlineStr">
        <is>
          <t>HR</t>
        </is>
      </c>
      <c r="F155" s="4">
        <f>IFERROR(INDEX(Tbl_KPIMaster[Category],MATCH($G155,Tbl_KPIMaster[KPI],0)),"")</f>
        <v/>
      </c>
      <c r="G155" s="4" t="inlineStr">
        <is>
          <t>Absenteeism %</t>
        </is>
      </c>
      <c r="H155" s="4">
        <f>IFERROR(INDEX(Tbl_KPIMaster[Unit],MATCH($G155,Tbl_KPIMaster[KPI],0)),"")</f>
        <v/>
      </c>
      <c r="I155" s="5">
        <f>IFERROR(INDEX(Tbl_KPIMaster[Maximum Target],MATCH($G155,Tbl_KPIMaster[KPI],0)),"")</f>
        <v/>
      </c>
      <c r="J155" s="5" t="n">
        <v>0.2988</v>
      </c>
      <c r="K155" s="4">
        <f>IFERROR(INDEX(Tbl_KPIMaster[Tolerance],MATCH($G155,Tbl_KPIMaster[KPI],0)),"")</f>
        <v/>
      </c>
      <c r="L155" s="4">
        <f>IFERROR(INDEX(Tbl_KPIMaster[Owner],MATCH($G155,Tbl_KPIMaster[KPI],0)),"")</f>
        <v/>
      </c>
      <c r="M155" s="6" t="inlineStr">
        <is>
          <t>Process improvement in progress</t>
        </is>
      </c>
      <c r="N155" s="4" t="inlineStr"/>
      <c r="O155" s="4" t="inlineStr">
        <is>
          <t>Medium</t>
        </is>
      </c>
      <c r="P155" s="4" t="inlineStr">
        <is>
          <t>Closed</t>
        </is>
      </c>
      <c r="Q155" s="5">
        <f>IFERROR(IF(INDEX(Tbl_KPIMaster[Direction],MATCH($G155,Tbl_KPIMaster[KPI],0))="Lower is Better",IF($J155=0,1,IF($I155=0,0,$I155/$J155)),IF($I155=0,1,$J155/$I155)),0)</f>
        <v/>
      </c>
      <c r="R155" s="4">
        <f>IF(OR($I155="",$J155=""),"",$J155-$I155)</f>
        <v/>
      </c>
      <c r="S155" s="4">
        <f>IFERROR(IF(INDEX(Tbl_KPIMaster[Direction],MATCH($G155,Tbl_KPIMaster[KPI],0))="Lower is Better",IF($J155&lt;=$I155,"Green",IF($J155&lt;=$I155+IF($I155=0,$K155,$I155*$K155),"Amber","Red")),IF($J155&gt;=$I155,"Green",IF($J155&gt;=$I155-IF($I155=0,$K155,$I155*$K155),"Amber","Red"))),"")</f>
        <v/>
      </c>
      <c r="T155" s="6" t="inlineStr"/>
    </row>
    <row r="156">
      <c r="A156" s="7" t="n">
        <v>46137</v>
      </c>
      <c r="B156" s="8">
        <f>IF($A156="","",TEXT($A156,"mmm-yyyy"))</f>
        <v/>
      </c>
      <c r="C156" s="8">
        <f>IF($A156="","","W"&amp;WEEKNUM($A156,2))</f>
        <v/>
      </c>
      <c r="D156" s="8">
        <f>IF($A156="","",TEXT($A156,"ddd"))</f>
        <v/>
      </c>
      <c r="E156" s="8" t="inlineStr">
        <is>
          <t>HR</t>
        </is>
      </c>
      <c r="F156" s="8">
        <f>IFERROR(INDEX(Tbl_KPIMaster[Category],MATCH($G156,Tbl_KPIMaster[KPI],0)),"")</f>
        <v/>
      </c>
      <c r="G156" s="8" t="inlineStr">
        <is>
          <t>Training Hours</t>
        </is>
      </c>
      <c r="H156" s="8">
        <f>IFERROR(INDEX(Tbl_KPIMaster[Unit],MATCH($G156,Tbl_KPIMaster[KPI],0)),"")</f>
        <v/>
      </c>
      <c r="I156" s="9">
        <f>IFERROR(INDEX(Tbl_KPIMaster[Maximum Target],MATCH($G156,Tbl_KPIMaster[KPI],0)),"")</f>
        <v/>
      </c>
      <c r="J156" s="9" t="n">
        <v>2.15</v>
      </c>
      <c r="K156" s="8">
        <f>IFERROR(INDEX(Tbl_KPIMaster[Tolerance],MATCH($G156,Tbl_KPIMaster[KPI],0)),"")</f>
        <v/>
      </c>
      <c r="L156" s="8">
        <f>IFERROR(INDEX(Tbl_KPIMaster[Owner],MATCH($G156,Tbl_KPIMaster[KPI],0)),"")</f>
        <v/>
      </c>
      <c r="M156" s="10" t="inlineStr">
        <is>
          <t>Manpower shortage</t>
        </is>
      </c>
      <c r="N156" s="8" t="inlineStr">
        <is>
          <t>Procurement follow-up</t>
        </is>
      </c>
      <c r="O156" s="8" t="inlineStr">
        <is>
          <t>Low</t>
        </is>
      </c>
      <c r="P156" s="8" t="inlineStr">
        <is>
          <t>Open</t>
        </is>
      </c>
      <c r="Q156" s="9">
        <f>IFERROR(IF(INDEX(Tbl_KPIMaster[Direction],MATCH($G156,Tbl_KPIMaster[KPI],0))="Lower is Better",IF($J156=0,1,IF($I156=0,0,$I156/$J156)),IF($I156=0,1,$J156/$I156)),0)</f>
        <v/>
      </c>
      <c r="R156" s="8">
        <f>IF(OR($I156="",$J156=""),"",$J156-$I156)</f>
        <v/>
      </c>
      <c r="S156" s="8">
        <f>IFERROR(IF(INDEX(Tbl_KPIMaster[Direction],MATCH($G156,Tbl_KPIMaster[KPI],0))="Lower is Better",IF($J156&lt;=$I156,"Green",IF($J156&lt;=$I156+IF($I156=0,$K156,$I156*$K156),"Amber","Red")),IF($J156&gt;=$I156,"Green",IF($J156&gt;=$I156-IF($I156=0,$K156,$I156*$K156),"Amber","Red"))),"")</f>
        <v/>
      </c>
      <c r="T156" s="10" t="inlineStr"/>
    </row>
    <row r="157">
      <c r="A157" s="3" t="n">
        <v>46137</v>
      </c>
      <c r="B157" s="4">
        <f>IF($A157="","",TEXT($A157,"mmm-yyyy"))</f>
        <v/>
      </c>
      <c r="C157" s="4">
        <f>IF($A157="","","W"&amp;WEEKNUM($A157,2))</f>
        <v/>
      </c>
      <c r="D157" s="4">
        <f>IF($A157="","",TEXT($A157,"ddd"))</f>
        <v/>
      </c>
      <c r="E157" s="4" t="inlineStr">
        <is>
          <t>Engineering</t>
        </is>
      </c>
      <c r="F157" s="4">
        <f>IFERROR(INDEX(Tbl_KPIMaster[Category],MATCH($G157,Tbl_KPIMaster[KPI],0)),"")</f>
        <v/>
      </c>
      <c r="G157" s="4" t="inlineStr">
        <is>
          <t>Project Milestone Adherence %</t>
        </is>
      </c>
      <c r="H157" s="4">
        <f>IFERROR(INDEX(Tbl_KPIMaster[Unit],MATCH($G157,Tbl_KPIMaster[KPI],0)),"")</f>
        <v/>
      </c>
      <c r="I157" s="5">
        <f>IFERROR(INDEX(Tbl_KPIMaster[Maximum Target],MATCH($G157,Tbl_KPIMaster[KPI],0)),"")</f>
        <v/>
      </c>
      <c r="J157" s="5" t="n">
        <v>1.1064</v>
      </c>
      <c r="K157" s="4">
        <f>IFERROR(INDEX(Tbl_KPIMaster[Tolerance],MATCH($G157,Tbl_KPIMaster[KPI],0)),"")</f>
        <v/>
      </c>
      <c r="L157" s="4">
        <f>IFERROR(INDEX(Tbl_KPIMaster[Owner],MATCH($G157,Tbl_KPIMaster[KPI],0)),"")</f>
        <v/>
      </c>
      <c r="M157" s="6" t="inlineStr">
        <is>
          <t>Line changeover impact</t>
        </is>
      </c>
      <c r="N157" s="4" t="inlineStr">
        <is>
          <t>Procurement follow-up</t>
        </is>
      </c>
      <c r="O157" s="4" t="inlineStr">
        <is>
          <t>Low</t>
        </is>
      </c>
      <c r="P157" s="4" t="inlineStr">
        <is>
          <t>In Progress</t>
        </is>
      </c>
      <c r="Q157" s="5">
        <f>IFERROR(IF(INDEX(Tbl_KPIMaster[Direction],MATCH($G157,Tbl_KPIMaster[KPI],0))="Lower is Better",IF($J157=0,1,IF($I157=0,0,$I157/$J157)),IF($I157=0,1,$J157/$I157)),0)</f>
        <v/>
      </c>
      <c r="R157" s="4">
        <f>IF(OR($I157="",$J157=""),"",$J157-$I157)</f>
        <v/>
      </c>
      <c r="S157" s="4">
        <f>IFERROR(IF(INDEX(Tbl_KPIMaster[Direction],MATCH($G157,Tbl_KPIMaster[KPI],0))="Lower is Better",IF($J157&lt;=$I157,"Green",IF($J157&lt;=$I157+IF($I157=0,$K157,$I157*$K157),"Amber","Red")),IF($J157&gt;=$I157,"Green",IF($J157&gt;=$I157-IF($I157=0,$K157,$I157*$K157),"Amber","Red"))),"")</f>
        <v/>
      </c>
      <c r="T157" s="6" t="inlineStr"/>
    </row>
    <row r="158">
      <c r="A158" s="7" t="n">
        <v>46137</v>
      </c>
      <c r="B158" s="8">
        <f>IF($A158="","",TEXT($A158,"mmm-yyyy"))</f>
        <v/>
      </c>
      <c r="C158" s="8">
        <f>IF($A158="","","W"&amp;WEEKNUM($A158,2))</f>
        <v/>
      </c>
      <c r="D158" s="8">
        <f>IF($A158="","",TEXT($A158,"ddd"))</f>
        <v/>
      </c>
      <c r="E158" s="8" t="inlineStr">
        <is>
          <t>Engineering</t>
        </is>
      </c>
      <c r="F158" s="8">
        <f>IFERROR(INDEX(Tbl_KPIMaster[Category],MATCH($G158,Tbl_KPIMaster[KPI],0)),"")</f>
        <v/>
      </c>
      <c r="G158" s="8" t="inlineStr">
        <is>
          <t>Breakdown Resolution Time</t>
        </is>
      </c>
      <c r="H158" s="8">
        <f>IFERROR(INDEX(Tbl_KPIMaster[Unit],MATCH($G158,Tbl_KPIMaster[KPI],0)),"")</f>
        <v/>
      </c>
      <c r="I158" s="9">
        <f>IFERROR(INDEX(Tbl_KPIMaster[Maximum Target],MATCH($G158,Tbl_KPIMaster[KPI],0)),"")</f>
        <v/>
      </c>
      <c r="J158" s="9" t="n">
        <v>0</v>
      </c>
      <c r="K158" s="8">
        <f>IFERROR(INDEX(Tbl_KPIMaster[Tolerance],MATCH($G158,Tbl_KPIMaster[KPI],0)),"")</f>
        <v/>
      </c>
      <c r="L158" s="8">
        <f>IFERROR(INDEX(Tbl_KPIMaster[Owner],MATCH($G158,Tbl_KPIMaster[KPI],0)),"")</f>
        <v/>
      </c>
      <c r="M158" s="10" t="inlineStr">
        <is>
          <t>Equipment breakdown</t>
        </is>
      </c>
      <c r="N158" s="8" t="inlineStr"/>
      <c r="O158" s="8" t="inlineStr">
        <is>
          <t>Low</t>
        </is>
      </c>
      <c r="P158" s="8" t="inlineStr">
        <is>
          <t>In Progress</t>
        </is>
      </c>
      <c r="Q158" s="9">
        <f>IFERROR(IF(INDEX(Tbl_KPIMaster[Direction],MATCH($G158,Tbl_KPIMaster[KPI],0))="Lower is Better",IF($J158=0,1,IF($I158=0,0,$I158/$J158)),IF($I158=0,1,$J158/$I158)),0)</f>
        <v/>
      </c>
      <c r="R158" s="8">
        <f>IF(OR($I158="",$J158=""),"",$J158-$I158)</f>
        <v/>
      </c>
      <c r="S158" s="8">
        <f>IFERROR(IF(INDEX(Tbl_KPIMaster[Direction],MATCH($G158,Tbl_KPIMaster[KPI],0))="Lower is Better",IF($J158&lt;=$I158,"Green",IF($J158&lt;=$I158+IF($I158=0,$K158,$I158*$K158),"Amber","Red")),IF($J158&gt;=$I158,"Green",IF($J158&gt;=$I158-IF($I158=0,$K158,$I158*$K158),"Amber","Red"))),"")</f>
        <v/>
      </c>
      <c r="T158" s="10" t="inlineStr"/>
    </row>
    <row r="159">
      <c r="A159" s="3" t="n">
        <v>46137</v>
      </c>
      <c r="B159" s="4">
        <f>IF($A159="","",TEXT($A159,"mmm-yyyy"))</f>
        <v/>
      </c>
      <c r="C159" s="4">
        <f>IF($A159="","","W"&amp;WEEKNUM($A159,2))</f>
        <v/>
      </c>
      <c r="D159" s="4">
        <f>IF($A159="","",TEXT($A159,"ddd"))</f>
        <v/>
      </c>
      <c r="E159" s="4" t="inlineStr">
        <is>
          <t>Cost</t>
        </is>
      </c>
      <c r="F159" s="4">
        <f>IFERROR(INDEX(Tbl_KPIMaster[Category],MATCH($G159,Tbl_KPIMaster[KPI],0)),"")</f>
        <v/>
      </c>
      <c r="G159" s="4" t="inlineStr">
        <is>
          <t>Cost per Unit</t>
        </is>
      </c>
      <c r="H159" s="4">
        <f>IFERROR(INDEX(Tbl_KPIMaster[Unit],MATCH($G159,Tbl_KPIMaster[KPI],0)),"")</f>
        <v/>
      </c>
      <c r="I159" s="5">
        <f>IFERROR(INDEX(Tbl_KPIMaster[Maximum Target],MATCH($G159,Tbl_KPIMaster[KPI],0)),"")</f>
        <v/>
      </c>
      <c r="J159" s="5" t="n">
        <v>46.67</v>
      </c>
      <c r="K159" s="4">
        <f>IFERROR(INDEX(Tbl_KPIMaster[Tolerance],MATCH($G159,Tbl_KPIMaster[KPI],0)),"")</f>
        <v/>
      </c>
      <c r="L159" s="4">
        <f>IFERROR(INDEX(Tbl_KPIMaster[Owner],MATCH($G159,Tbl_KPIMaster[KPI],0)),"")</f>
        <v/>
      </c>
      <c r="M159" s="6" t="inlineStr">
        <is>
          <t>Manpower shortage</t>
        </is>
      </c>
      <c r="N159" s="4" t="inlineStr">
        <is>
          <t>Procurement follow-up</t>
        </is>
      </c>
      <c r="O159" s="4" t="inlineStr">
        <is>
          <t>High</t>
        </is>
      </c>
      <c r="P159" s="4" t="inlineStr">
        <is>
          <t>Closed</t>
        </is>
      </c>
      <c r="Q159" s="5">
        <f>IFERROR(IF(INDEX(Tbl_KPIMaster[Direction],MATCH($G159,Tbl_KPIMaster[KPI],0))="Lower is Better",IF($J159=0,1,IF($I159=0,0,$I159/$J159)),IF($I159=0,1,$J159/$I159)),0)</f>
        <v/>
      </c>
      <c r="R159" s="4">
        <f>IF(OR($I159="",$J159=""),"",$J159-$I159)</f>
        <v/>
      </c>
      <c r="S159" s="4">
        <f>IFERROR(IF(INDEX(Tbl_KPIMaster[Direction],MATCH($G159,Tbl_KPIMaster[KPI],0))="Lower is Better",IF($J159&lt;=$I159,"Green",IF($J159&lt;=$I159+IF($I159=0,$K159,$I159*$K159),"Amber","Red")),IF($J159&gt;=$I159,"Green",IF($J159&gt;=$I159-IF($I159=0,$K159,$I159*$K159),"Amber","Red"))),"")</f>
        <v/>
      </c>
      <c r="T159" s="6" t="inlineStr"/>
    </row>
    <row r="160">
      <c r="A160" s="7" t="n">
        <v>46137</v>
      </c>
      <c r="B160" s="8">
        <f>IF($A160="","",TEXT($A160,"mmm-yyyy"))</f>
        <v/>
      </c>
      <c r="C160" s="8">
        <f>IF($A160="","","W"&amp;WEEKNUM($A160,2))</f>
        <v/>
      </c>
      <c r="D160" s="8">
        <f>IF($A160="","",TEXT($A160,"ddd"))</f>
        <v/>
      </c>
      <c r="E160" s="8" t="inlineStr">
        <is>
          <t>Cost</t>
        </is>
      </c>
      <c r="F160" s="8">
        <f>IFERROR(INDEX(Tbl_KPIMaster[Category],MATCH($G160,Tbl_KPIMaster[KPI],0)),"")</f>
        <v/>
      </c>
      <c r="G160" s="8" t="inlineStr">
        <is>
          <t>Budget Variance %</t>
        </is>
      </c>
      <c r="H160" s="8">
        <f>IFERROR(INDEX(Tbl_KPIMaster[Unit],MATCH($G160,Tbl_KPIMaster[KPI],0)),"")</f>
        <v/>
      </c>
      <c r="I160" s="9">
        <f>IFERROR(INDEX(Tbl_KPIMaster[Maximum Target],MATCH($G160,Tbl_KPIMaster[KPI],0)),"")</f>
        <v/>
      </c>
      <c r="J160" s="9" t="n">
        <v>0.5238</v>
      </c>
      <c r="K160" s="8">
        <f>IFERROR(INDEX(Tbl_KPIMaster[Tolerance],MATCH($G160,Tbl_KPIMaster[KPI],0)),"")</f>
        <v/>
      </c>
      <c r="L160" s="8">
        <f>IFERROR(INDEX(Tbl_KPIMaster[Owner],MATCH($G160,Tbl_KPIMaster[KPI],0)),"")</f>
        <v/>
      </c>
      <c r="M160" s="10" t="inlineStr">
        <is>
          <t>Process improvement in progress</t>
        </is>
      </c>
      <c r="N160" s="8" t="inlineStr">
        <is>
          <t>Procurement follow-up</t>
        </is>
      </c>
      <c r="O160" s="8" t="inlineStr">
        <is>
          <t>Low</t>
        </is>
      </c>
      <c r="P160" s="8" t="inlineStr">
        <is>
          <t>Closed</t>
        </is>
      </c>
      <c r="Q160" s="9">
        <f>IFERROR(IF(INDEX(Tbl_KPIMaster[Direction],MATCH($G160,Tbl_KPIMaster[KPI],0))="Lower is Better",IF($J160=0,1,IF($I160=0,0,$I160/$J160)),IF($I160=0,1,$J160/$I160)),0)</f>
        <v/>
      </c>
      <c r="R160" s="8">
        <f>IF(OR($I160="",$J160=""),"",$J160-$I160)</f>
        <v/>
      </c>
      <c r="S160" s="8">
        <f>IFERROR(IF(INDEX(Tbl_KPIMaster[Direction],MATCH($G160,Tbl_KPIMaster[KPI],0))="Lower is Better",IF($J160&lt;=$I160,"Green",IF($J160&lt;=$I160+IF($I160=0,$K160,$I160*$K160),"Amber","Red")),IF($J160&gt;=$I160,"Green",IF($J160&gt;=$I160-IF($I160=0,$K160,$I160*$K160),"Amber","Red"))),"")</f>
        <v/>
      </c>
      <c r="T160" s="10" t="inlineStr"/>
    </row>
    <row r="161">
      <c r="A161" s="3" t="n">
        <v>46137</v>
      </c>
      <c r="B161" s="4">
        <f>IF($A161="","",TEXT($A161,"mmm-yyyy"))</f>
        <v/>
      </c>
      <c r="C161" s="4">
        <f>IF($A161="","","W"&amp;WEEKNUM($A161,2))</f>
        <v/>
      </c>
      <c r="D161" s="4">
        <f>IF($A161="","",TEXT($A161,"ddd"))</f>
        <v/>
      </c>
      <c r="E161" s="4" t="inlineStr">
        <is>
          <t>Energy</t>
        </is>
      </c>
      <c r="F161" s="4">
        <f>IFERROR(INDEX(Tbl_KPIMaster[Category],MATCH($G161,Tbl_KPIMaster[KPI],0)),"")</f>
        <v/>
      </c>
      <c r="G161" s="4" t="inlineStr">
        <is>
          <t>Energy Intensity (kWh/unit)</t>
        </is>
      </c>
      <c r="H161" s="4">
        <f>IFERROR(INDEX(Tbl_KPIMaster[Unit],MATCH($G161,Tbl_KPIMaster[KPI],0)),"")</f>
        <v/>
      </c>
      <c r="I161" s="5">
        <f>IFERROR(INDEX(Tbl_KPIMaster[Maximum Target],MATCH($G161,Tbl_KPIMaster[KPI],0)),"")</f>
        <v/>
      </c>
      <c r="J161" s="5" t="n">
        <v>3.8</v>
      </c>
      <c r="K161" s="4">
        <f>IFERROR(INDEX(Tbl_KPIMaster[Tolerance],MATCH($G161,Tbl_KPIMaster[KPI],0)),"")</f>
        <v/>
      </c>
      <c r="L161" s="4">
        <f>IFERROR(INDEX(Tbl_KPIMaster[Owner],MATCH($G161,Tbl_KPIMaster[KPI],0)),"")</f>
        <v/>
      </c>
      <c r="M161" s="6" t="inlineStr">
        <is>
          <t>Weather impact</t>
        </is>
      </c>
      <c r="N161" s="4" t="inlineStr"/>
      <c r="O161" s="4" t="inlineStr">
        <is>
          <t>Medium</t>
        </is>
      </c>
      <c r="P161" s="4" t="inlineStr">
        <is>
          <t>Closed</t>
        </is>
      </c>
      <c r="Q161" s="5">
        <f>IFERROR(IF(INDEX(Tbl_KPIMaster[Direction],MATCH($G161,Tbl_KPIMaster[KPI],0))="Lower is Better",IF($J161=0,1,IF($I161=0,0,$I161/$J161)),IF($I161=0,1,$J161/$I161)),0)</f>
        <v/>
      </c>
      <c r="R161" s="4">
        <f>IF(OR($I161="",$J161=""),"",$J161-$I161)</f>
        <v/>
      </c>
      <c r="S161" s="4">
        <f>IFERROR(IF(INDEX(Tbl_KPIMaster[Direction],MATCH($G161,Tbl_KPIMaster[KPI],0))="Lower is Better",IF($J161&lt;=$I161,"Green",IF($J161&lt;=$I161+IF($I161=0,$K161,$I161*$K161),"Amber","Red")),IF($J161&gt;=$I161,"Green",IF($J161&gt;=$I161-IF($I161=0,$K161,$I161*$K161),"Amber","Red"))),"")</f>
        <v/>
      </c>
      <c r="T161" s="6" t="inlineStr"/>
    </row>
    <row r="162">
      <c r="A162" s="7" t="n">
        <v>46137</v>
      </c>
      <c r="B162" s="8">
        <f>IF($A162="","",TEXT($A162,"mmm-yyyy"))</f>
        <v/>
      </c>
      <c r="C162" s="8">
        <f>IF($A162="","","W"&amp;WEEKNUM($A162,2))</f>
        <v/>
      </c>
      <c r="D162" s="8">
        <f>IF($A162="","",TEXT($A162,"ddd"))</f>
        <v/>
      </c>
      <c r="E162" s="8" t="inlineStr">
        <is>
          <t>Energy</t>
        </is>
      </c>
      <c r="F162" s="8">
        <f>IFERROR(INDEX(Tbl_KPIMaster[Category],MATCH($G162,Tbl_KPIMaster[KPI],0)),"")</f>
        <v/>
      </c>
      <c r="G162" s="8" t="inlineStr">
        <is>
          <t>Renewable Energy Share %</t>
        </is>
      </c>
      <c r="H162" s="8">
        <f>IFERROR(INDEX(Tbl_KPIMaster[Unit],MATCH($G162,Tbl_KPIMaster[KPI],0)),"")</f>
        <v/>
      </c>
      <c r="I162" s="9">
        <f>IFERROR(INDEX(Tbl_KPIMaster[Maximum Target],MATCH($G162,Tbl_KPIMaster[KPI],0)),"")</f>
        <v/>
      </c>
      <c r="J162" s="9" t="n">
        <v>0.238</v>
      </c>
      <c r="K162" s="8">
        <f>IFERROR(INDEX(Tbl_KPIMaster[Tolerance],MATCH($G162,Tbl_KPIMaster[KPI],0)),"")</f>
        <v/>
      </c>
      <c r="L162" s="8">
        <f>IFERROR(INDEX(Tbl_KPIMaster[Owner],MATCH($G162,Tbl_KPIMaster[KPI],0)),"")</f>
        <v/>
      </c>
      <c r="M162" s="10" t="inlineStr">
        <is>
          <t>Awaiting spares</t>
        </is>
      </c>
      <c r="N162" s="8" t="inlineStr"/>
      <c r="O162" s="8" t="inlineStr">
        <is>
          <t>High</t>
        </is>
      </c>
      <c r="P162" s="8" t="inlineStr">
        <is>
          <t>In Progress</t>
        </is>
      </c>
      <c r="Q162" s="9">
        <f>IFERROR(IF(INDEX(Tbl_KPIMaster[Direction],MATCH($G162,Tbl_KPIMaster[KPI],0))="Lower is Better",IF($J162=0,1,IF($I162=0,0,$I162/$J162)),IF($I162=0,1,$J162/$I162)),0)</f>
        <v/>
      </c>
      <c r="R162" s="8">
        <f>IF(OR($I162="",$J162=""),"",$J162-$I162)</f>
        <v/>
      </c>
      <c r="S162" s="8">
        <f>IFERROR(IF(INDEX(Tbl_KPIMaster[Direction],MATCH($G162,Tbl_KPIMaster[KPI],0))="Lower is Better",IF($J162&lt;=$I162,"Green",IF($J162&lt;=$I162+IF($I162=0,$K162,$I162*$K162),"Amber","Red")),IF($J162&gt;=$I162,"Green",IF($J162&gt;=$I162-IF($I162=0,$K162,$I162*$K162),"Amber","Red"))),"")</f>
        <v/>
      </c>
      <c r="T162" s="10" t="inlineStr"/>
    </row>
    <row r="163">
      <c r="A163" s="3" t="n">
        <v>46138</v>
      </c>
      <c r="B163" s="4">
        <f>IF($A163="","",TEXT($A163,"mmm-yyyy"))</f>
        <v/>
      </c>
      <c r="C163" s="4">
        <f>IF($A163="","","W"&amp;WEEKNUM($A163,2))</f>
        <v/>
      </c>
      <c r="D163" s="4">
        <f>IF($A163="","",TEXT($A163,"ddd"))</f>
        <v/>
      </c>
      <c r="E163" s="4" t="inlineStr">
        <is>
          <t>Safety</t>
        </is>
      </c>
      <c r="F163" s="4">
        <f>IFERROR(INDEX(Tbl_KPIMaster[Category],MATCH($G163,Tbl_KPIMaster[KPI],0)),"")</f>
        <v/>
      </c>
      <c r="G163" s="4" t="inlineStr">
        <is>
          <t>Safety Incidents (LTI)</t>
        </is>
      </c>
      <c r="H163" s="4">
        <f>IFERROR(INDEX(Tbl_KPIMaster[Unit],MATCH($G163,Tbl_KPIMaster[KPI],0)),"")</f>
        <v/>
      </c>
      <c r="I163" s="5">
        <f>IFERROR(INDEX(Tbl_KPIMaster[Maximum Target],MATCH($G163,Tbl_KPIMaster[KPI],0)),"")</f>
        <v/>
      </c>
      <c r="J163" s="5" t="n">
        <v>2</v>
      </c>
      <c r="K163" s="4">
        <f>IFERROR(INDEX(Tbl_KPIMaster[Tolerance],MATCH($G163,Tbl_KPIMaster[KPI],0)),"")</f>
        <v/>
      </c>
      <c r="L163" s="4">
        <f>IFERROR(INDEX(Tbl_KPIMaster[Owner],MATCH($G163,Tbl_KPIMaster[KPI],0)),"")</f>
        <v/>
      </c>
      <c r="M163" s="6" t="inlineStr">
        <is>
          <t>Weather impact</t>
        </is>
      </c>
      <c r="N163" s="4" t="inlineStr">
        <is>
          <t>Procurement follow-up</t>
        </is>
      </c>
      <c r="O163" s="4" t="inlineStr">
        <is>
          <t>Low</t>
        </is>
      </c>
      <c r="P163" s="4" t="inlineStr">
        <is>
          <t>Closed</t>
        </is>
      </c>
      <c r="Q163" s="5">
        <f>IFERROR(IF(INDEX(Tbl_KPIMaster[Direction],MATCH($G163,Tbl_KPIMaster[KPI],0))="Lower is Better",IF($J163=0,1,IF($I163=0,0,$I163/$J163)),IF($I163=0,1,$J163/$I163)),0)</f>
        <v/>
      </c>
      <c r="R163" s="4">
        <f>IF(OR($I163="",$J163=""),"",$J163-$I163)</f>
        <v/>
      </c>
      <c r="S163" s="4">
        <f>IFERROR(IF(INDEX(Tbl_KPIMaster[Direction],MATCH($G163,Tbl_KPIMaster[KPI],0))="Lower is Better",IF($J163&lt;=$I163,"Green",IF($J163&lt;=$I163+IF($I163=0,$K163,$I163*$K163),"Amber","Red")),IF($J163&gt;=$I163,"Green",IF($J163&gt;=$I163-IF($I163=0,$K163,$I163*$K163),"Amber","Red"))),"")</f>
        <v/>
      </c>
      <c r="T163" s="6" t="inlineStr"/>
    </row>
    <row r="164">
      <c r="A164" s="7" t="n">
        <v>46138</v>
      </c>
      <c r="B164" s="8">
        <f>IF($A164="","",TEXT($A164,"mmm-yyyy"))</f>
        <v/>
      </c>
      <c r="C164" s="8">
        <f>IF($A164="","","W"&amp;WEEKNUM($A164,2))</f>
        <v/>
      </c>
      <c r="D164" s="8">
        <f>IF($A164="","",TEXT($A164,"ddd"))</f>
        <v/>
      </c>
      <c r="E164" s="8" t="inlineStr">
        <is>
          <t>Safety</t>
        </is>
      </c>
      <c r="F164" s="8">
        <f>IFERROR(INDEX(Tbl_KPIMaster[Category],MATCH($G164,Tbl_KPIMaster[KPI],0)),"")</f>
        <v/>
      </c>
      <c r="G164" s="8" t="inlineStr">
        <is>
          <t>Near Miss Reports</t>
        </is>
      </c>
      <c r="H164" s="8">
        <f>IFERROR(INDEX(Tbl_KPIMaster[Unit],MATCH($G164,Tbl_KPIMaster[KPI],0)),"")</f>
        <v/>
      </c>
      <c r="I164" s="9">
        <f>IFERROR(INDEX(Tbl_KPIMaster[Maximum Target],MATCH($G164,Tbl_KPIMaster[KPI],0)),"")</f>
        <v/>
      </c>
      <c r="J164" s="9" t="n">
        <v>2</v>
      </c>
      <c r="K164" s="8">
        <f>IFERROR(INDEX(Tbl_KPIMaster[Tolerance],MATCH($G164,Tbl_KPIMaster[KPI],0)),"")</f>
        <v/>
      </c>
      <c r="L164" s="8">
        <f>IFERROR(INDEX(Tbl_KPIMaster[Owner],MATCH($G164,Tbl_KPIMaster[KPI],0)),"")</f>
        <v/>
      </c>
      <c r="M164" s="10" t="inlineStr">
        <is>
          <t>Process improvement in progress</t>
        </is>
      </c>
      <c r="N164" s="8" t="inlineStr">
        <is>
          <t>Procurement follow-up</t>
        </is>
      </c>
      <c r="O164" s="8" t="inlineStr">
        <is>
          <t>Low</t>
        </is>
      </c>
      <c r="P164" s="8" t="inlineStr">
        <is>
          <t>Closed</t>
        </is>
      </c>
      <c r="Q164" s="9">
        <f>IFERROR(IF(INDEX(Tbl_KPIMaster[Direction],MATCH($G164,Tbl_KPIMaster[KPI],0))="Lower is Better",IF($J164=0,1,IF($I164=0,0,$I164/$J164)),IF($I164=0,1,$J164/$I164)),0)</f>
        <v/>
      </c>
      <c r="R164" s="8">
        <f>IF(OR($I164="",$J164=""),"",$J164-$I164)</f>
        <v/>
      </c>
      <c r="S164" s="8">
        <f>IFERROR(IF(INDEX(Tbl_KPIMaster[Direction],MATCH($G164,Tbl_KPIMaster[KPI],0))="Lower is Better",IF($J164&lt;=$I164,"Green",IF($J164&lt;=$I164+IF($I164=0,$K164,$I164*$K164),"Amber","Red")),IF($J164&gt;=$I164,"Green",IF($J164&gt;=$I164-IF($I164=0,$K164,$I164*$K164),"Amber","Red"))),"")</f>
        <v/>
      </c>
      <c r="T164" s="10" t="inlineStr"/>
    </row>
    <row r="165">
      <c r="A165" s="3" t="n">
        <v>46138</v>
      </c>
      <c r="B165" s="4">
        <f>IF($A165="","",TEXT($A165,"mmm-yyyy"))</f>
        <v/>
      </c>
      <c r="C165" s="4">
        <f>IF($A165="","","W"&amp;WEEKNUM($A165,2))</f>
        <v/>
      </c>
      <c r="D165" s="4">
        <f>IF($A165="","",TEXT($A165,"ddd"))</f>
        <v/>
      </c>
      <c r="E165" s="4" t="inlineStr">
        <is>
          <t>Production</t>
        </is>
      </c>
      <c r="F165" s="4">
        <f>IFERROR(INDEX(Tbl_KPIMaster[Category],MATCH($G165,Tbl_KPIMaster[KPI],0)),"")</f>
        <v/>
      </c>
      <c r="G165" s="4" t="inlineStr">
        <is>
          <t>Production Output</t>
        </is>
      </c>
      <c r="H165" s="4">
        <f>IFERROR(INDEX(Tbl_KPIMaster[Unit],MATCH($G165,Tbl_KPIMaster[KPI],0)),"")</f>
        <v/>
      </c>
      <c r="I165" s="5">
        <f>IFERROR(INDEX(Tbl_KPIMaster[Maximum Target],MATCH($G165,Tbl_KPIMaster[KPI],0)),"")</f>
        <v/>
      </c>
      <c r="J165" s="5" t="n">
        <v>990.91</v>
      </c>
      <c r="K165" s="4">
        <f>IFERROR(INDEX(Tbl_KPIMaster[Tolerance],MATCH($G165,Tbl_KPIMaster[KPI],0)),"")</f>
        <v/>
      </c>
      <c r="L165" s="4">
        <f>IFERROR(INDEX(Tbl_KPIMaster[Owner],MATCH($G165,Tbl_KPIMaster[KPI],0)),"")</f>
        <v/>
      </c>
      <c r="M165" s="6" t="inlineStr">
        <is>
          <t>Awaiting spares</t>
        </is>
      </c>
      <c r="N165" s="4" t="inlineStr">
        <is>
          <t>Engineering support needed</t>
        </is>
      </c>
      <c r="O165" s="4" t="inlineStr">
        <is>
          <t>Medium</t>
        </is>
      </c>
      <c r="P165" s="4" t="inlineStr">
        <is>
          <t>In Progress</t>
        </is>
      </c>
      <c r="Q165" s="5">
        <f>IFERROR(IF(INDEX(Tbl_KPIMaster[Direction],MATCH($G165,Tbl_KPIMaster[KPI],0))="Lower is Better",IF($J165=0,1,IF($I165=0,0,$I165/$J165)),IF($I165=0,1,$J165/$I165)),0)</f>
        <v/>
      </c>
      <c r="R165" s="4">
        <f>IF(OR($I165="",$J165=""),"",$J165-$I165)</f>
        <v/>
      </c>
      <c r="S165" s="4">
        <f>IFERROR(IF(INDEX(Tbl_KPIMaster[Direction],MATCH($G165,Tbl_KPIMaster[KPI],0))="Lower is Better",IF($J165&lt;=$I165,"Green",IF($J165&lt;=$I165+IF($I165=0,$K165,$I165*$K165),"Amber","Red")),IF($J165&gt;=$I165,"Green",IF($J165&gt;=$I165-IF($I165=0,$K165,$I165*$K165),"Amber","Red"))),"")</f>
        <v/>
      </c>
      <c r="T165" s="6" t="inlineStr"/>
    </row>
    <row r="166">
      <c r="A166" s="7" t="n">
        <v>46138</v>
      </c>
      <c r="B166" s="8">
        <f>IF($A166="","",TEXT($A166,"mmm-yyyy"))</f>
        <v/>
      </c>
      <c r="C166" s="8">
        <f>IF($A166="","","W"&amp;WEEKNUM($A166,2))</f>
        <v/>
      </c>
      <c r="D166" s="8">
        <f>IF($A166="","",TEXT($A166,"ddd"))</f>
        <v/>
      </c>
      <c r="E166" s="8" t="inlineStr">
        <is>
          <t>Production</t>
        </is>
      </c>
      <c r="F166" s="8">
        <f>IFERROR(INDEX(Tbl_KPIMaster[Category],MATCH($G166,Tbl_KPIMaster[KPI],0)),"")</f>
        <v/>
      </c>
      <c r="G166" s="8" t="inlineStr">
        <is>
          <t>OEE %</t>
        </is>
      </c>
      <c r="H166" s="8">
        <f>IFERROR(INDEX(Tbl_KPIMaster[Unit],MATCH($G166,Tbl_KPIMaster[KPI],0)),"")</f>
        <v/>
      </c>
      <c r="I166" s="9">
        <f>IFERROR(INDEX(Tbl_KPIMaster[Maximum Target],MATCH($G166,Tbl_KPIMaster[KPI],0)),"")</f>
        <v/>
      </c>
      <c r="J166" s="9" t="n">
        <v>0.7587</v>
      </c>
      <c r="K166" s="8">
        <f>IFERROR(INDEX(Tbl_KPIMaster[Tolerance],MATCH($G166,Tbl_KPIMaster[KPI],0)),"")</f>
        <v/>
      </c>
      <c r="L166" s="8">
        <f>IFERROR(INDEX(Tbl_KPIMaster[Owner],MATCH($G166,Tbl_KPIMaster[KPI],0)),"")</f>
        <v/>
      </c>
      <c r="M166" s="10" t="inlineStr">
        <is>
          <t>Within normal range</t>
        </is>
      </c>
      <c r="N166" s="8" t="inlineStr">
        <is>
          <t>Engineering support needed</t>
        </is>
      </c>
      <c r="O166" s="8" t="inlineStr">
        <is>
          <t>Low</t>
        </is>
      </c>
      <c r="P166" s="8" t="inlineStr">
        <is>
          <t>Closed</t>
        </is>
      </c>
      <c r="Q166" s="9">
        <f>IFERROR(IF(INDEX(Tbl_KPIMaster[Direction],MATCH($G166,Tbl_KPIMaster[KPI],0))="Lower is Better",IF($J166=0,1,IF($I166=0,0,$I166/$J166)),IF($I166=0,1,$J166/$I166)),0)</f>
        <v/>
      </c>
      <c r="R166" s="8">
        <f>IF(OR($I166="",$J166=""),"",$J166-$I166)</f>
        <v/>
      </c>
      <c r="S166" s="8">
        <f>IFERROR(IF(INDEX(Tbl_KPIMaster[Direction],MATCH($G166,Tbl_KPIMaster[KPI],0))="Lower is Better",IF($J166&lt;=$I166,"Green",IF($J166&lt;=$I166+IF($I166=0,$K166,$I166*$K166),"Amber","Red")),IF($J166&gt;=$I166,"Green",IF($J166&gt;=$I166-IF($I166=0,$K166,$I166*$K166),"Amber","Red"))),"")</f>
        <v/>
      </c>
      <c r="T166" s="10" t="inlineStr"/>
    </row>
    <row r="167">
      <c r="A167" s="3" t="n">
        <v>46138</v>
      </c>
      <c r="B167" s="4">
        <f>IF($A167="","",TEXT($A167,"mmm-yyyy"))</f>
        <v/>
      </c>
      <c r="C167" s="4">
        <f>IF($A167="","","W"&amp;WEEKNUM($A167,2))</f>
        <v/>
      </c>
      <c r="D167" s="4">
        <f>IF($A167="","",TEXT($A167,"ddd"))</f>
        <v/>
      </c>
      <c r="E167" s="4" t="inlineStr">
        <is>
          <t>Quality</t>
        </is>
      </c>
      <c r="F167" s="4">
        <f>IFERROR(INDEX(Tbl_KPIMaster[Category],MATCH($G167,Tbl_KPIMaster[KPI],0)),"")</f>
        <v/>
      </c>
      <c r="G167" s="4" t="inlineStr">
        <is>
          <t>Defect Rate %</t>
        </is>
      </c>
      <c r="H167" s="4">
        <f>IFERROR(INDEX(Tbl_KPIMaster[Unit],MATCH($G167,Tbl_KPIMaster[KPI],0)),"")</f>
        <v/>
      </c>
      <c r="I167" s="5">
        <f>IFERROR(INDEX(Tbl_KPIMaster[Maximum Target],MATCH($G167,Tbl_KPIMaster[KPI],0)),"")</f>
        <v/>
      </c>
      <c r="J167" s="5" t="n">
        <v>0.5993000000000001</v>
      </c>
      <c r="K167" s="4">
        <f>IFERROR(INDEX(Tbl_KPIMaster[Tolerance],MATCH($G167,Tbl_KPIMaster[KPI],0)),"")</f>
        <v/>
      </c>
      <c r="L167" s="4">
        <f>IFERROR(INDEX(Tbl_KPIMaster[Owner],MATCH($G167,Tbl_KPIMaster[KPI],0)),"")</f>
        <v/>
      </c>
      <c r="M167" s="6" t="inlineStr"/>
      <c r="N167" s="4" t="inlineStr"/>
      <c r="O167" s="4" t="inlineStr">
        <is>
          <t>Medium</t>
        </is>
      </c>
      <c r="P167" s="4" t="inlineStr">
        <is>
          <t>Closed</t>
        </is>
      </c>
      <c r="Q167" s="5">
        <f>IFERROR(IF(INDEX(Tbl_KPIMaster[Direction],MATCH($G167,Tbl_KPIMaster[KPI],0))="Lower is Better",IF($J167=0,1,IF($I167=0,0,$I167/$J167)),IF($I167=0,1,$J167/$I167)),0)</f>
        <v/>
      </c>
      <c r="R167" s="4">
        <f>IF(OR($I167="",$J167=""),"",$J167-$I167)</f>
        <v/>
      </c>
      <c r="S167" s="4">
        <f>IFERROR(IF(INDEX(Tbl_KPIMaster[Direction],MATCH($G167,Tbl_KPIMaster[KPI],0))="Lower is Better",IF($J167&lt;=$I167,"Green",IF($J167&lt;=$I167+IF($I167=0,$K167,$I167*$K167),"Amber","Red")),IF($J167&gt;=$I167,"Green",IF($J167&gt;=$I167-IF($I167=0,$K167,$I167*$K167),"Amber","Red"))),"")</f>
        <v/>
      </c>
      <c r="T167" s="6" t="inlineStr"/>
    </row>
    <row r="168">
      <c r="A168" s="7" t="n">
        <v>46138</v>
      </c>
      <c r="B168" s="8">
        <f>IF($A168="","",TEXT($A168,"mmm-yyyy"))</f>
        <v/>
      </c>
      <c r="C168" s="8">
        <f>IF($A168="","","W"&amp;WEEKNUM($A168,2))</f>
        <v/>
      </c>
      <c r="D168" s="8">
        <f>IF($A168="","",TEXT($A168,"ddd"))</f>
        <v/>
      </c>
      <c r="E168" s="8" t="inlineStr">
        <is>
          <t>Quality</t>
        </is>
      </c>
      <c r="F168" s="8">
        <f>IFERROR(INDEX(Tbl_KPIMaster[Category],MATCH($G168,Tbl_KPIMaster[KPI],0)),"")</f>
        <v/>
      </c>
      <c r="G168" s="8" t="inlineStr">
        <is>
          <t>Customer Complaints</t>
        </is>
      </c>
      <c r="H168" s="8">
        <f>IFERROR(INDEX(Tbl_KPIMaster[Unit],MATCH($G168,Tbl_KPIMaster[KPI],0)),"")</f>
        <v/>
      </c>
      <c r="I168" s="9">
        <f>IFERROR(INDEX(Tbl_KPIMaster[Maximum Target],MATCH($G168,Tbl_KPIMaster[KPI],0)),"")</f>
        <v/>
      </c>
      <c r="J168" s="9" t="n">
        <v>0</v>
      </c>
      <c r="K168" s="8">
        <f>IFERROR(INDEX(Tbl_KPIMaster[Tolerance],MATCH($G168,Tbl_KPIMaster[KPI],0)),"")</f>
        <v/>
      </c>
      <c r="L168" s="8">
        <f>IFERROR(INDEX(Tbl_KPIMaster[Owner],MATCH($G168,Tbl_KPIMaster[KPI],0)),"")</f>
        <v/>
      </c>
      <c r="M168" s="10" t="inlineStr">
        <is>
          <t>Awaiting spares</t>
        </is>
      </c>
      <c r="N168" s="8" t="inlineStr">
        <is>
          <t>Engineering support needed</t>
        </is>
      </c>
      <c r="O168" s="8" t="inlineStr">
        <is>
          <t>High</t>
        </is>
      </c>
      <c r="P168" s="8" t="inlineStr">
        <is>
          <t>Closed</t>
        </is>
      </c>
      <c r="Q168" s="9">
        <f>IFERROR(IF(INDEX(Tbl_KPIMaster[Direction],MATCH($G168,Tbl_KPIMaster[KPI],0))="Lower is Better",IF($J168=0,1,IF($I168=0,0,$I168/$J168)),IF($I168=0,1,$J168/$I168)),0)</f>
        <v/>
      </c>
      <c r="R168" s="8">
        <f>IF(OR($I168="",$J168=""),"",$J168-$I168)</f>
        <v/>
      </c>
      <c r="S168" s="8">
        <f>IFERROR(IF(INDEX(Tbl_KPIMaster[Direction],MATCH($G168,Tbl_KPIMaster[KPI],0))="Lower is Better",IF($J168&lt;=$I168,"Green",IF($J168&lt;=$I168+IF($I168=0,$K168,$I168*$K168),"Amber","Red")),IF($J168&gt;=$I168,"Green",IF($J168&gt;=$I168-IF($I168=0,$K168,$I168*$K168),"Amber","Red"))),"")</f>
        <v/>
      </c>
      <c r="T168" s="10" t="inlineStr"/>
    </row>
    <row r="169">
      <c r="A169" s="3" t="n">
        <v>46138</v>
      </c>
      <c r="B169" s="4">
        <f>IF($A169="","",TEXT($A169,"mmm-yyyy"))</f>
        <v/>
      </c>
      <c r="C169" s="4">
        <f>IF($A169="","","W"&amp;WEEKNUM($A169,2))</f>
        <v/>
      </c>
      <c r="D169" s="4">
        <f>IF($A169="","",TEXT($A169,"ddd"))</f>
        <v/>
      </c>
      <c r="E169" s="4" t="inlineStr">
        <is>
          <t>Maintenance</t>
        </is>
      </c>
      <c r="F169" s="4">
        <f>IFERROR(INDEX(Tbl_KPIMaster[Category],MATCH($G169,Tbl_KPIMaster[KPI],0)),"")</f>
        <v/>
      </c>
      <c r="G169" s="4" t="inlineStr">
        <is>
          <t>Unplanned Downtime</t>
        </is>
      </c>
      <c r="H169" s="4">
        <f>IFERROR(INDEX(Tbl_KPIMaster[Unit],MATCH($G169,Tbl_KPIMaster[KPI],0)),"")</f>
        <v/>
      </c>
      <c r="I169" s="5">
        <f>IFERROR(INDEX(Tbl_KPIMaster[Maximum Target],MATCH($G169,Tbl_KPIMaster[KPI],0)),"")</f>
        <v/>
      </c>
      <c r="J169" s="5" t="n">
        <v>0.79</v>
      </c>
      <c r="K169" s="4">
        <f>IFERROR(INDEX(Tbl_KPIMaster[Tolerance],MATCH($G169,Tbl_KPIMaster[KPI],0)),"")</f>
        <v/>
      </c>
      <c r="L169" s="4">
        <f>IFERROR(INDEX(Tbl_KPIMaster[Owner],MATCH($G169,Tbl_KPIMaster[KPI],0)),"")</f>
        <v/>
      </c>
      <c r="M169" s="6" t="inlineStr">
        <is>
          <t>Within normal range</t>
        </is>
      </c>
      <c r="N169" s="4" t="inlineStr">
        <is>
          <t>Management approval pending</t>
        </is>
      </c>
      <c r="O169" s="4" t="inlineStr">
        <is>
          <t>High</t>
        </is>
      </c>
      <c r="P169" s="4" t="inlineStr">
        <is>
          <t>Closed</t>
        </is>
      </c>
      <c r="Q169" s="5">
        <f>IFERROR(IF(INDEX(Tbl_KPIMaster[Direction],MATCH($G169,Tbl_KPIMaster[KPI],0))="Lower is Better",IF($J169=0,1,IF($I169=0,0,$I169/$J169)),IF($I169=0,1,$J169/$I169)),0)</f>
        <v/>
      </c>
      <c r="R169" s="4">
        <f>IF(OR($I169="",$J169=""),"",$J169-$I169)</f>
        <v/>
      </c>
      <c r="S169" s="4">
        <f>IFERROR(IF(INDEX(Tbl_KPIMaster[Direction],MATCH($G169,Tbl_KPIMaster[KPI],0))="Lower is Better",IF($J169&lt;=$I169,"Green",IF($J169&lt;=$I169+IF($I169=0,$K169,$I169*$K169),"Amber","Red")),IF($J169&gt;=$I169,"Green",IF($J169&gt;=$I169-IF($I169=0,$K169,$I169*$K169),"Amber","Red"))),"")</f>
        <v/>
      </c>
      <c r="T169" s="6" t="inlineStr"/>
    </row>
    <row r="170">
      <c r="A170" s="7" t="n">
        <v>46138</v>
      </c>
      <c r="B170" s="8">
        <f>IF($A170="","",TEXT($A170,"mmm-yyyy"))</f>
        <v/>
      </c>
      <c r="C170" s="8">
        <f>IF($A170="","","W"&amp;WEEKNUM($A170,2))</f>
        <v/>
      </c>
      <c r="D170" s="8">
        <f>IF($A170="","",TEXT($A170,"ddd"))</f>
        <v/>
      </c>
      <c r="E170" s="8" t="inlineStr">
        <is>
          <t>Maintenance</t>
        </is>
      </c>
      <c r="F170" s="8">
        <f>IFERROR(INDEX(Tbl_KPIMaster[Category],MATCH($G170,Tbl_KPIMaster[KPI],0)),"")</f>
        <v/>
      </c>
      <c r="G170" s="8" t="inlineStr">
        <is>
          <t>PM Compliance %</t>
        </is>
      </c>
      <c r="H170" s="8">
        <f>IFERROR(INDEX(Tbl_KPIMaster[Unit],MATCH($G170,Tbl_KPIMaster[KPI],0)),"")</f>
        <v/>
      </c>
      <c r="I170" s="9">
        <f>IFERROR(INDEX(Tbl_KPIMaster[Maximum Target],MATCH($G170,Tbl_KPIMaster[KPI],0)),"")</f>
        <v/>
      </c>
      <c r="J170" s="9" t="n">
        <v>1.1529</v>
      </c>
      <c r="K170" s="8">
        <f>IFERROR(INDEX(Tbl_KPIMaster[Tolerance],MATCH($G170,Tbl_KPIMaster[KPI],0)),"")</f>
        <v/>
      </c>
      <c r="L170" s="8">
        <f>IFERROR(INDEX(Tbl_KPIMaster[Owner],MATCH($G170,Tbl_KPIMaster[KPI],0)),"")</f>
        <v/>
      </c>
      <c r="M170" s="10" t="inlineStr">
        <is>
          <t>Line changeover impact</t>
        </is>
      </c>
      <c r="N170" s="8" t="inlineStr">
        <is>
          <t>Engineering support needed</t>
        </is>
      </c>
      <c r="O170" s="8" t="inlineStr">
        <is>
          <t>Medium</t>
        </is>
      </c>
      <c r="P170" s="8" t="inlineStr">
        <is>
          <t>In Progress</t>
        </is>
      </c>
      <c r="Q170" s="9">
        <f>IFERROR(IF(INDEX(Tbl_KPIMaster[Direction],MATCH($G170,Tbl_KPIMaster[KPI],0))="Lower is Better",IF($J170=0,1,IF($I170=0,0,$I170/$J170)),IF($I170=0,1,$J170/$I170)),0)</f>
        <v/>
      </c>
      <c r="R170" s="8">
        <f>IF(OR($I170="",$J170=""),"",$J170-$I170)</f>
        <v/>
      </c>
      <c r="S170" s="8">
        <f>IFERROR(IF(INDEX(Tbl_KPIMaster[Direction],MATCH($G170,Tbl_KPIMaster[KPI],0))="Lower is Better",IF($J170&lt;=$I170,"Green",IF($J170&lt;=$I170+IF($I170=0,$K170,$I170*$K170),"Amber","Red")),IF($J170&gt;=$I170,"Green",IF($J170&gt;=$I170-IF($I170=0,$K170,$I170*$K170),"Amber","Red"))),"")</f>
        <v/>
      </c>
      <c r="T170" s="10" t="inlineStr"/>
    </row>
    <row r="171">
      <c r="A171" s="3" t="n">
        <v>46138</v>
      </c>
      <c r="B171" s="4">
        <f>IF($A171="","",TEXT($A171,"mmm-yyyy"))</f>
        <v/>
      </c>
      <c r="C171" s="4">
        <f>IF($A171="","","W"&amp;WEEKNUM($A171,2))</f>
        <v/>
      </c>
      <c r="D171" s="4">
        <f>IF($A171="","",TEXT($A171,"ddd"))</f>
        <v/>
      </c>
      <c r="E171" s="4" t="inlineStr">
        <is>
          <t>Utilities</t>
        </is>
      </c>
      <c r="F171" s="4">
        <f>IFERROR(INDEX(Tbl_KPIMaster[Category],MATCH($G171,Tbl_KPIMaster[KPI],0)),"")</f>
        <v/>
      </c>
      <c r="G171" s="4" t="inlineStr">
        <is>
          <t>Power Consumption</t>
        </is>
      </c>
      <c r="H171" s="4">
        <f>IFERROR(INDEX(Tbl_KPIMaster[Unit],MATCH($G171,Tbl_KPIMaster[KPI],0)),"")</f>
        <v/>
      </c>
      <c r="I171" s="5">
        <f>IFERROR(INDEX(Tbl_KPIMaster[Maximum Target],MATCH($G171,Tbl_KPIMaster[KPI],0)),"")</f>
        <v/>
      </c>
      <c r="J171" s="5" t="n">
        <v>4216.59</v>
      </c>
      <c r="K171" s="4">
        <f>IFERROR(INDEX(Tbl_KPIMaster[Tolerance],MATCH($G171,Tbl_KPIMaster[KPI],0)),"")</f>
        <v/>
      </c>
      <c r="L171" s="4">
        <f>IFERROR(INDEX(Tbl_KPIMaster[Owner],MATCH($G171,Tbl_KPIMaster[KPI],0)),"")</f>
        <v/>
      </c>
      <c r="M171" s="6" t="inlineStr">
        <is>
          <t>Line changeover impact</t>
        </is>
      </c>
      <c r="N171" s="4" t="inlineStr">
        <is>
          <t>Procurement follow-up</t>
        </is>
      </c>
      <c r="O171" s="4" t="inlineStr">
        <is>
          <t>High</t>
        </is>
      </c>
      <c r="P171" s="4" t="inlineStr">
        <is>
          <t>Closed</t>
        </is>
      </c>
      <c r="Q171" s="5">
        <f>IFERROR(IF(INDEX(Tbl_KPIMaster[Direction],MATCH($G171,Tbl_KPIMaster[KPI],0))="Lower is Better",IF($J171=0,1,IF($I171=0,0,$I171/$J171)),IF($I171=0,1,$J171/$I171)),0)</f>
        <v/>
      </c>
      <c r="R171" s="4">
        <f>IF(OR($I171="",$J171=""),"",$J171-$I171)</f>
        <v/>
      </c>
      <c r="S171" s="4">
        <f>IFERROR(IF(INDEX(Tbl_KPIMaster[Direction],MATCH($G171,Tbl_KPIMaster[KPI],0))="Lower is Better",IF($J171&lt;=$I171,"Green",IF($J171&lt;=$I171+IF($I171=0,$K171,$I171*$K171),"Amber","Red")),IF($J171&gt;=$I171,"Green",IF($J171&gt;=$I171-IF($I171=0,$K171,$I171*$K171),"Amber","Red"))),"")</f>
        <v/>
      </c>
      <c r="T171" s="6" t="inlineStr"/>
    </row>
    <row r="172">
      <c r="A172" s="7" t="n">
        <v>46138</v>
      </c>
      <c r="B172" s="8">
        <f>IF($A172="","",TEXT($A172,"mmm-yyyy"))</f>
        <v/>
      </c>
      <c r="C172" s="8">
        <f>IF($A172="","","W"&amp;WEEKNUM($A172,2))</f>
        <v/>
      </c>
      <c r="D172" s="8">
        <f>IF($A172="","",TEXT($A172,"ddd"))</f>
        <v/>
      </c>
      <c r="E172" s="8" t="inlineStr">
        <is>
          <t>Utilities</t>
        </is>
      </c>
      <c r="F172" s="8">
        <f>IFERROR(INDEX(Tbl_KPIMaster[Category],MATCH($G172,Tbl_KPIMaster[KPI],0)),"")</f>
        <v/>
      </c>
      <c r="G172" s="8" t="inlineStr">
        <is>
          <t>Water Consumption</t>
        </is>
      </c>
      <c r="H172" s="8">
        <f>IFERROR(INDEX(Tbl_KPIMaster[Unit],MATCH($G172,Tbl_KPIMaster[KPI],0)),"")</f>
        <v/>
      </c>
      <c r="I172" s="9">
        <f>IFERROR(INDEX(Tbl_KPIMaster[Maximum Target],MATCH($G172,Tbl_KPIMaster[KPI],0)),"")</f>
        <v/>
      </c>
      <c r="J172" s="9" t="n">
        <v>43.91</v>
      </c>
      <c r="K172" s="8">
        <f>IFERROR(INDEX(Tbl_KPIMaster[Tolerance],MATCH($G172,Tbl_KPIMaster[KPI],0)),"")</f>
        <v/>
      </c>
      <c r="L172" s="8">
        <f>IFERROR(INDEX(Tbl_KPIMaster[Owner],MATCH($G172,Tbl_KPIMaster[KPI],0)),"")</f>
        <v/>
      </c>
      <c r="M172" s="10" t="inlineStr">
        <is>
          <t>Awaiting spares</t>
        </is>
      </c>
      <c r="N172" s="8" t="inlineStr"/>
      <c r="O172" s="8" t="inlineStr">
        <is>
          <t>High</t>
        </is>
      </c>
      <c r="P172" s="8" t="inlineStr">
        <is>
          <t>Closed</t>
        </is>
      </c>
      <c r="Q172" s="9">
        <f>IFERROR(IF(INDEX(Tbl_KPIMaster[Direction],MATCH($G172,Tbl_KPIMaster[KPI],0))="Lower is Better",IF($J172=0,1,IF($I172=0,0,$I172/$J172)),IF($I172=0,1,$J172/$I172)),0)</f>
        <v/>
      </c>
      <c r="R172" s="8">
        <f>IF(OR($I172="",$J172=""),"",$J172-$I172)</f>
        <v/>
      </c>
      <c r="S172" s="8">
        <f>IFERROR(IF(INDEX(Tbl_KPIMaster[Direction],MATCH($G172,Tbl_KPIMaster[KPI],0))="Lower is Better",IF($J172&lt;=$I172,"Green",IF($J172&lt;=$I172+IF($I172=0,$K172,$I172*$K172),"Amber","Red")),IF($J172&gt;=$I172,"Green",IF($J172&gt;=$I172-IF($I172=0,$K172,$I172*$K172),"Amber","Red"))),"")</f>
        <v/>
      </c>
      <c r="T172" s="10" t="inlineStr"/>
    </row>
    <row r="173">
      <c r="A173" s="3" t="n">
        <v>46138</v>
      </c>
      <c r="B173" s="4">
        <f>IF($A173="","",TEXT($A173,"mmm-yyyy"))</f>
        <v/>
      </c>
      <c r="C173" s="4">
        <f>IF($A173="","","W"&amp;WEEKNUM($A173,2))</f>
        <v/>
      </c>
      <c r="D173" s="4">
        <f>IF($A173="","",TEXT($A173,"ddd"))</f>
        <v/>
      </c>
      <c r="E173" s="4" t="inlineStr">
        <is>
          <t>Warehouse</t>
        </is>
      </c>
      <c r="F173" s="4">
        <f>IFERROR(INDEX(Tbl_KPIMaster[Category],MATCH($G173,Tbl_KPIMaster[KPI],0)),"")</f>
        <v/>
      </c>
      <c r="G173" s="4" t="inlineStr">
        <is>
          <t>On-Time Dispatch %</t>
        </is>
      </c>
      <c r="H173" s="4">
        <f>IFERROR(INDEX(Tbl_KPIMaster[Unit],MATCH($G173,Tbl_KPIMaster[KPI],0)),"")</f>
        <v/>
      </c>
      <c r="I173" s="5">
        <f>IFERROR(INDEX(Tbl_KPIMaster[Maximum Target],MATCH($G173,Tbl_KPIMaster[KPI],0)),"")</f>
        <v/>
      </c>
      <c r="J173" s="5" t="n">
        <v>0.9836</v>
      </c>
      <c r="K173" s="4">
        <f>IFERROR(INDEX(Tbl_KPIMaster[Tolerance],MATCH($G173,Tbl_KPIMaster[KPI],0)),"")</f>
        <v/>
      </c>
      <c r="L173" s="4">
        <f>IFERROR(INDEX(Tbl_KPIMaster[Owner],MATCH($G173,Tbl_KPIMaster[KPI],0)),"")</f>
        <v/>
      </c>
      <c r="M173" s="6" t="inlineStr"/>
      <c r="N173" s="4" t="inlineStr"/>
      <c r="O173" s="4" t="inlineStr">
        <is>
          <t>Low</t>
        </is>
      </c>
      <c r="P173" s="4" t="inlineStr">
        <is>
          <t>Closed</t>
        </is>
      </c>
      <c r="Q173" s="5">
        <f>IFERROR(IF(INDEX(Tbl_KPIMaster[Direction],MATCH($G173,Tbl_KPIMaster[KPI],0))="Lower is Better",IF($J173=0,1,IF($I173=0,0,$I173/$J173)),IF($I173=0,1,$J173/$I173)),0)</f>
        <v/>
      </c>
      <c r="R173" s="4">
        <f>IF(OR($I173="",$J173=""),"",$J173-$I173)</f>
        <v/>
      </c>
      <c r="S173" s="4">
        <f>IFERROR(IF(INDEX(Tbl_KPIMaster[Direction],MATCH($G173,Tbl_KPIMaster[KPI],0))="Lower is Better",IF($J173&lt;=$I173,"Green",IF($J173&lt;=$I173+IF($I173=0,$K173,$I173*$K173),"Amber","Red")),IF($J173&gt;=$I173,"Green",IF($J173&gt;=$I173-IF($I173=0,$K173,$I173*$K173),"Amber","Red"))),"")</f>
        <v/>
      </c>
      <c r="T173" s="6" t="inlineStr"/>
    </row>
    <row r="174">
      <c r="A174" s="7" t="n">
        <v>46138</v>
      </c>
      <c r="B174" s="8">
        <f>IF($A174="","",TEXT($A174,"mmm-yyyy"))</f>
        <v/>
      </c>
      <c r="C174" s="8">
        <f>IF($A174="","","W"&amp;WEEKNUM($A174,2))</f>
        <v/>
      </c>
      <c r="D174" s="8">
        <f>IF($A174="","",TEXT($A174,"ddd"))</f>
        <v/>
      </c>
      <c r="E174" s="8" t="inlineStr">
        <is>
          <t>Warehouse</t>
        </is>
      </c>
      <c r="F174" s="8">
        <f>IFERROR(INDEX(Tbl_KPIMaster[Category],MATCH($G174,Tbl_KPIMaster[KPI],0)),"")</f>
        <v/>
      </c>
      <c r="G174" s="8" t="inlineStr">
        <is>
          <t>Inventory Accuracy %</t>
        </is>
      </c>
      <c r="H174" s="8">
        <f>IFERROR(INDEX(Tbl_KPIMaster[Unit],MATCH($G174,Tbl_KPIMaster[KPI],0)),"")</f>
        <v/>
      </c>
      <c r="I174" s="9">
        <f>IFERROR(INDEX(Tbl_KPIMaster[Maximum Target],MATCH($G174,Tbl_KPIMaster[KPI],0)),"")</f>
        <v/>
      </c>
      <c r="J174" s="9" t="n">
        <v>1.0055</v>
      </c>
      <c r="K174" s="8">
        <f>IFERROR(INDEX(Tbl_KPIMaster[Tolerance],MATCH($G174,Tbl_KPIMaster[KPI],0)),"")</f>
        <v/>
      </c>
      <c r="L174" s="8">
        <f>IFERROR(INDEX(Tbl_KPIMaster[Owner],MATCH($G174,Tbl_KPIMaster[KPI],0)),"")</f>
        <v/>
      </c>
      <c r="M174" s="10" t="inlineStr">
        <is>
          <t>Manpower shortage</t>
        </is>
      </c>
      <c r="N174" s="8" t="inlineStr"/>
      <c r="O174" s="8" t="inlineStr">
        <is>
          <t>Low</t>
        </is>
      </c>
      <c r="P174" s="8" t="inlineStr">
        <is>
          <t>Closed</t>
        </is>
      </c>
      <c r="Q174" s="9">
        <f>IFERROR(IF(INDEX(Tbl_KPIMaster[Direction],MATCH($G174,Tbl_KPIMaster[KPI],0))="Lower is Better",IF($J174=0,1,IF($I174=0,0,$I174/$J174)),IF($I174=0,1,$J174/$I174)),0)</f>
        <v/>
      </c>
      <c r="R174" s="8">
        <f>IF(OR($I174="",$J174=""),"",$J174-$I174)</f>
        <v/>
      </c>
      <c r="S174" s="8">
        <f>IFERROR(IF(INDEX(Tbl_KPIMaster[Direction],MATCH($G174,Tbl_KPIMaster[KPI],0))="Lower is Better",IF($J174&lt;=$I174,"Green",IF($J174&lt;=$I174+IF($I174=0,$K174,$I174*$K174),"Amber","Red")),IF($J174&gt;=$I174,"Green",IF($J174&gt;=$I174-IF($I174=0,$K174,$I174*$K174),"Amber","Red"))),"")</f>
        <v/>
      </c>
      <c r="T174" s="10" t="inlineStr"/>
    </row>
    <row r="175">
      <c r="A175" s="3" t="n">
        <v>46138</v>
      </c>
      <c r="B175" s="4">
        <f>IF($A175="","",TEXT($A175,"mmm-yyyy"))</f>
        <v/>
      </c>
      <c r="C175" s="4">
        <f>IF($A175="","","W"&amp;WEEKNUM($A175,2))</f>
        <v/>
      </c>
      <c r="D175" s="4">
        <f>IF($A175="","",TEXT($A175,"ddd"))</f>
        <v/>
      </c>
      <c r="E175" s="4" t="inlineStr">
        <is>
          <t>HR</t>
        </is>
      </c>
      <c r="F175" s="4">
        <f>IFERROR(INDEX(Tbl_KPIMaster[Category],MATCH($G175,Tbl_KPIMaster[KPI],0)),"")</f>
        <v/>
      </c>
      <c r="G175" s="4" t="inlineStr">
        <is>
          <t>Absenteeism %</t>
        </is>
      </c>
      <c r="H175" s="4">
        <f>IFERROR(INDEX(Tbl_KPIMaster[Unit],MATCH($G175,Tbl_KPIMaster[KPI],0)),"")</f>
        <v/>
      </c>
      <c r="I175" s="5">
        <f>IFERROR(INDEX(Tbl_KPIMaster[Maximum Target],MATCH($G175,Tbl_KPIMaster[KPI],0)),"")</f>
        <v/>
      </c>
      <c r="J175" s="5" t="n">
        <v>0.8593</v>
      </c>
      <c r="K175" s="4">
        <f>IFERROR(INDEX(Tbl_KPIMaster[Tolerance],MATCH($G175,Tbl_KPIMaster[KPI],0)),"")</f>
        <v/>
      </c>
      <c r="L175" s="4">
        <f>IFERROR(INDEX(Tbl_KPIMaster[Owner],MATCH($G175,Tbl_KPIMaster[KPI],0)),"")</f>
        <v/>
      </c>
      <c r="M175" s="6" t="inlineStr">
        <is>
          <t>Manpower shortage</t>
        </is>
      </c>
      <c r="N175" s="4" t="inlineStr">
        <is>
          <t>Procurement follow-up</t>
        </is>
      </c>
      <c r="O175" s="4" t="inlineStr">
        <is>
          <t>Low</t>
        </is>
      </c>
      <c r="P175" s="4" t="inlineStr">
        <is>
          <t>Open</t>
        </is>
      </c>
      <c r="Q175" s="5">
        <f>IFERROR(IF(INDEX(Tbl_KPIMaster[Direction],MATCH($G175,Tbl_KPIMaster[KPI],0))="Lower is Better",IF($J175=0,1,IF($I175=0,0,$I175/$J175)),IF($I175=0,1,$J175/$I175)),0)</f>
        <v/>
      </c>
      <c r="R175" s="4">
        <f>IF(OR($I175="",$J175=""),"",$J175-$I175)</f>
        <v/>
      </c>
      <c r="S175" s="4">
        <f>IFERROR(IF(INDEX(Tbl_KPIMaster[Direction],MATCH($G175,Tbl_KPIMaster[KPI],0))="Lower is Better",IF($J175&lt;=$I175,"Green",IF($J175&lt;=$I175+IF($I175=0,$K175,$I175*$K175),"Amber","Red")),IF($J175&gt;=$I175,"Green",IF($J175&gt;=$I175-IF($I175=0,$K175,$I175*$K175),"Amber","Red"))),"")</f>
        <v/>
      </c>
      <c r="T175" s="6" t="inlineStr"/>
    </row>
    <row r="176">
      <c r="A176" s="7" t="n">
        <v>46138</v>
      </c>
      <c r="B176" s="8">
        <f>IF($A176="","",TEXT($A176,"mmm-yyyy"))</f>
        <v/>
      </c>
      <c r="C176" s="8">
        <f>IF($A176="","","W"&amp;WEEKNUM($A176,2))</f>
        <v/>
      </c>
      <c r="D176" s="8">
        <f>IF($A176="","",TEXT($A176,"ddd"))</f>
        <v/>
      </c>
      <c r="E176" s="8" t="inlineStr">
        <is>
          <t>HR</t>
        </is>
      </c>
      <c r="F176" s="8">
        <f>IFERROR(INDEX(Tbl_KPIMaster[Category],MATCH($G176,Tbl_KPIMaster[KPI],0)),"")</f>
        <v/>
      </c>
      <c r="G176" s="8" t="inlineStr">
        <is>
          <t>Training Hours</t>
        </is>
      </c>
      <c r="H176" s="8">
        <f>IFERROR(INDEX(Tbl_KPIMaster[Unit],MATCH($G176,Tbl_KPIMaster[KPI],0)),"")</f>
        <v/>
      </c>
      <c r="I176" s="9">
        <f>IFERROR(INDEX(Tbl_KPIMaster[Maximum Target],MATCH($G176,Tbl_KPIMaster[KPI],0)),"")</f>
        <v/>
      </c>
      <c r="J176" s="9" t="n">
        <v>1.53</v>
      </c>
      <c r="K176" s="8">
        <f>IFERROR(INDEX(Tbl_KPIMaster[Tolerance],MATCH($G176,Tbl_KPIMaster[KPI],0)),"")</f>
        <v/>
      </c>
      <c r="L176" s="8">
        <f>IFERROR(INDEX(Tbl_KPIMaster[Owner],MATCH($G176,Tbl_KPIMaster[KPI],0)),"")</f>
        <v/>
      </c>
      <c r="M176" s="10" t="inlineStr">
        <is>
          <t>Line changeover impact</t>
        </is>
      </c>
      <c r="N176" s="8" t="inlineStr"/>
      <c r="O176" s="8" t="inlineStr">
        <is>
          <t>Medium</t>
        </is>
      </c>
      <c r="P176" s="8" t="inlineStr">
        <is>
          <t>Open</t>
        </is>
      </c>
      <c r="Q176" s="9">
        <f>IFERROR(IF(INDEX(Tbl_KPIMaster[Direction],MATCH($G176,Tbl_KPIMaster[KPI],0))="Lower is Better",IF($J176=0,1,IF($I176=0,0,$I176/$J176)),IF($I176=0,1,$J176/$I176)),0)</f>
        <v/>
      </c>
      <c r="R176" s="8">
        <f>IF(OR($I176="",$J176=""),"",$J176-$I176)</f>
        <v/>
      </c>
      <c r="S176" s="8">
        <f>IFERROR(IF(INDEX(Tbl_KPIMaster[Direction],MATCH($G176,Tbl_KPIMaster[KPI],0))="Lower is Better",IF($J176&lt;=$I176,"Green",IF($J176&lt;=$I176+IF($I176=0,$K176,$I176*$K176),"Amber","Red")),IF($J176&gt;=$I176,"Green",IF($J176&gt;=$I176-IF($I176=0,$K176,$I176*$K176),"Amber","Red"))),"")</f>
        <v/>
      </c>
      <c r="T176" s="10" t="inlineStr"/>
    </row>
    <row r="177">
      <c r="A177" s="3" t="n">
        <v>46138</v>
      </c>
      <c r="B177" s="4">
        <f>IF($A177="","",TEXT($A177,"mmm-yyyy"))</f>
        <v/>
      </c>
      <c r="C177" s="4">
        <f>IF($A177="","","W"&amp;WEEKNUM($A177,2))</f>
        <v/>
      </c>
      <c r="D177" s="4">
        <f>IF($A177="","",TEXT($A177,"ddd"))</f>
        <v/>
      </c>
      <c r="E177" s="4" t="inlineStr">
        <is>
          <t>Engineering</t>
        </is>
      </c>
      <c r="F177" s="4">
        <f>IFERROR(INDEX(Tbl_KPIMaster[Category],MATCH($G177,Tbl_KPIMaster[KPI],0)),"")</f>
        <v/>
      </c>
      <c r="G177" s="4" t="inlineStr">
        <is>
          <t>Project Milestone Adherence %</t>
        </is>
      </c>
      <c r="H177" s="4">
        <f>IFERROR(INDEX(Tbl_KPIMaster[Unit],MATCH($G177,Tbl_KPIMaster[KPI],0)),"")</f>
        <v/>
      </c>
      <c r="I177" s="5">
        <f>IFERROR(INDEX(Tbl_KPIMaster[Maximum Target],MATCH($G177,Tbl_KPIMaster[KPI],0)),"")</f>
        <v/>
      </c>
      <c r="J177" s="5" t="n">
        <v>0.6905</v>
      </c>
      <c r="K177" s="4">
        <f>IFERROR(INDEX(Tbl_KPIMaster[Tolerance],MATCH($G177,Tbl_KPIMaster[KPI],0)),"")</f>
        <v/>
      </c>
      <c r="L177" s="4">
        <f>IFERROR(INDEX(Tbl_KPIMaster[Owner],MATCH($G177,Tbl_KPIMaster[KPI],0)),"")</f>
        <v/>
      </c>
      <c r="M177" s="6" t="inlineStr">
        <is>
          <t>Equipment breakdown</t>
        </is>
      </c>
      <c r="N177" s="4" t="inlineStr"/>
      <c r="O177" s="4" t="inlineStr">
        <is>
          <t>Medium</t>
        </is>
      </c>
      <c r="P177" s="4" t="inlineStr">
        <is>
          <t>Closed</t>
        </is>
      </c>
      <c r="Q177" s="5">
        <f>IFERROR(IF(INDEX(Tbl_KPIMaster[Direction],MATCH($G177,Tbl_KPIMaster[KPI],0))="Lower is Better",IF($J177=0,1,IF($I177=0,0,$I177/$J177)),IF($I177=0,1,$J177/$I177)),0)</f>
        <v/>
      </c>
      <c r="R177" s="4">
        <f>IF(OR($I177="",$J177=""),"",$J177-$I177)</f>
        <v/>
      </c>
      <c r="S177" s="4">
        <f>IFERROR(IF(INDEX(Tbl_KPIMaster[Direction],MATCH($G177,Tbl_KPIMaster[KPI],0))="Lower is Better",IF($J177&lt;=$I177,"Green",IF($J177&lt;=$I177+IF($I177=0,$K177,$I177*$K177),"Amber","Red")),IF($J177&gt;=$I177,"Green",IF($J177&gt;=$I177-IF($I177=0,$K177,$I177*$K177),"Amber","Red"))),"")</f>
        <v/>
      </c>
      <c r="T177" s="6" t="inlineStr"/>
    </row>
    <row r="178">
      <c r="A178" s="7" t="n">
        <v>46138</v>
      </c>
      <c r="B178" s="8">
        <f>IF($A178="","",TEXT($A178,"mmm-yyyy"))</f>
        <v/>
      </c>
      <c r="C178" s="8">
        <f>IF($A178="","","W"&amp;WEEKNUM($A178,2))</f>
        <v/>
      </c>
      <c r="D178" s="8">
        <f>IF($A178="","",TEXT($A178,"ddd"))</f>
        <v/>
      </c>
      <c r="E178" s="8" t="inlineStr">
        <is>
          <t>Engineering</t>
        </is>
      </c>
      <c r="F178" s="8">
        <f>IFERROR(INDEX(Tbl_KPIMaster[Category],MATCH($G178,Tbl_KPIMaster[KPI],0)),"")</f>
        <v/>
      </c>
      <c r="G178" s="8" t="inlineStr">
        <is>
          <t>Breakdown Resolution Time</t>
        </is>
      </c>
      <c r="H178" s="8">
        <f>IFERROR(INDEX(Tbl_KPIMaster[Unit],MATCH($G178,Tbl_KPIMaster[KPI],0)),"")</f>
        <v/>
      </c>
      <c r="I178" s="9">
        <f>IFERROR(INDEX(Tbl_KPIMaster[Maximum Target],MATCH($G178,Tbl_KPIMaster[KPI],0)),"")</f>
        <v/>
      </c>
      <c r="J178" s="9" t="n">
        <v>0.83</v>
      </c>
      <c r="K178" s="8">
        <f>IFERROR(INDEX(Tbl_KPIMaster[Tolerance],MATCH($G178,Tbl_KPIMaster[KPI],0)),"")</f>
        <v/>
      </c>
      <c r="L178" s="8">
        <f>IFERROR(INDEX(Tbl_KPIMaster[Owner],MATCH($G178,Tbl_KPIMaster[KPI],0)),"")</f>
        <v/>
      </c>
      <c r="M178" s="10" t="inlineStr">
        <is>
          <t>Within normal range</t>
        </is>
      </c>
      <c r="N178" s="8" t="inlineStr">
        <is>
          <t>Engineering support needed</t>
        </is>
      </c>
      <c r="O178" s="8" t="inlineStr">
        <is>
          <t>Low</t>
        </is>
      </c>
      <c r="P178" s="8" t="inlineStr">
        <is>
          <t>Closed</t>
        </is>
      </c>
      <c r="Q178" s="9">
        <f>IFERROR(IF(INDEX(Tbl_KPIMaster[Direction],MATCH($G178,Tbl_KPIMaster[KPI],0))="Lower is Better",IF($J178=0,1,IF($I178=0,0,$I178/$J178)),IF($I178=0,1,$J178/$I178)),0)</f>
        <v/>
      </c>
      <c r="R178" s="8">
        <f>IF(OR($I178="",$J178=""),"",$J178-$I178)</f>
        <v/>
      </c>
      <c r="S178" s="8">
        <f>IFERROR(IF(INDEX(Tbl_KPIMaster[Direction],MATCH($G178,Tbl_KPIMaster[KPI],0))="Lower is Better",IF($J178&lt;=$I178,"Green",IF($J178&lt;=$I178+IF($I178=0,$K178,$I178*$K178),"Amber","Red")),IF($J178&gt;=$I178,"Green",IF($J178&gt;=$I178-IF($I178=0,$K178,$I178*$K178),"Amber","Red"))),"")</f>
        <v/>
      </c>
      <c r="T178" s="10" t="inlineStr"/>
    </row>
    <row r="179">
      <c r="A179" s="3" t="n">
        <v>46138</v>
      </c>
      <c r="B179" s="4">
        <f>IF($A179="","",TEXT($A179,"mmm-yyyy"))</f>
        <v/>
      </c>
      <c r="C179" s="4">
        <f>IF($A179="","","W"&amp;WEEKNUM($A179,2))</f>
        <v/>
      </c>
      <c r="D179" s="4">
        <f>IF($A179="","",TEXT($A179,"ddd"))</f>
        <v/>
      </c>
      <c r="E179" s="4" t="inlineStr">
        <is>
          <t>Cost</t>
        </is>
      </c>
      <c r="F179" s="4">
        <f>IFERROR(INDEX(Tbl_KPIMaster[Category],MATCH($G179,Tbl_KPIMaster[KPI],0)),"")</f>
        <v/>
      </c>
      <c r="G179" s="4" t="inlineStr">
        <is>
          <t>Cost per Unit</t>
        </is>
      </c>
      <c r="H179" s="4">
        <f>IFERROR(INDEX(Tbl_KPIMaster[Unit],MATCH($G179,Tbl_KPIMaster[KPI],0)),"")</f>
        <v/>
      </c>
      <c r="I179" s="5">
        <f>IFERROR(INDEX(Tbl_KPIMaster[Maximum Target],MATCH($G179,Tbl_KPIMaster[KPI],0)),"")</f>
        <v/>
      </c>
      <c r="J179" s="5" t="n">
        <v>49.54</v>
      </c>
      <c r="K179" s="4">
        <f>IFERROR(INDEX(Tbl_KPIMaster[Tolerance],MATCH($G179,Tbl_KPIMaster[KPI],0)),"")</f>
        <v/>
      </c>
      <c r="L179" s="4">
        <f>IFERROR(INDEX(Tbl_KPIMaster[Owner],MATCH($G179,Tbl_KPIMaster[KPI],0)),"")</f>
        <v/>
      </c>
      <c r="M179" s="6" t="inlineStr">
        <is>
          <t>Equipment breakdown</t>
        </is>
      </c>
      <c r="N179" s="4" t="inlineStr"/>
      <c r="O179" s="4" t="inlineStr">
        <is>
          <t>Low</t>
        </is>
      </c>
      <c r="P179" s="4" t="inlineStr">
        <is>
          <t>In Progress</t>
        </is>
      </c>
      <c r="Q179" s="5">
        <f>IFERROR(IF(INDEX(Tbl_KPIMaster[Direction],MATCH($G179,Tbl_KPIMaster[KPI],0))="Lower is Better",IF($J179=0,1,IF($I179=0,0,$I179/$J179)),IF($I179=0,1,$J179/$I179)),0)</f>
        <v/>
      </c>
      <c r="R179" s="4">
        <f>IF(OR($I179="",$J179=""),"",$J179-$I179)</f>
        <v/>
      </c>
      <c r="S179" s="4">
        <f>IFERROR(IF(INDEX(Tbl_KPIMaster[Direction],MATCH($G179,Tbl_KPIMaster[KPI],0))="Lower is Better",IF($J179&lt;=$I179,"Green",IF($J179&lt;=$I179+IF($I179=0,$K179,$I179*$K179),"Amber","Red")),IF($J179&gt;=$I179,"Green",IF($J179&gt;=$I179-IF($I179=0,$K179,$I179*$K179),"Amber","Red"))),"")</f>
        <v/>
      </c>
      <c r="T179" s="6" t="inlineStr"/>
    </row>
    <row r="180">
      <c r="A180" s="7" t="n">
        <v>46138</v>
      </c>
      <c r="B180" s="8">
        <f>IF($A180="","",TEXT($A180,"mmm-yyyy"))</f>
        <v/>
      </c>
      <c r="C180" s="8">
        <f>IF($A180="","","W"&amp;WEEKNUM($A180,2))</f>
        <v/>
      </c>
      <c r="D180" s="8">
        <f>IF($A180="","",TEXT($A180,"ddd"))</f>
        <v/>
      </c>
      <c r="E180" s="8" t="inlineStr">
        <is>
          <t>Cost</t>
        </is>
      </c>
      <c r="F180" s="8">
        <f>IFERROR(INDEX(Tbl_KPIMaster[Category],MATCH($G180,Tbl_KPIMaster[KPI],0)),"")</f>
        <v/>
      </c>
      <c r="G180" s="8" t="inlineStr">
        <is>
          <t>Budget Variance %</t>
        </is>
      </c>
      <c r="H180" s="8">
        <f>IFERROR(INDEX(Tbl_KPIMaster[Unit],MATCH($G180,Tbl_KPIMaster[KPI],0)),"")</f>
        <v/>
      </c>
      <c r="I180" s="9">
        <f>IFERROR(INDEX(Tbl_KPIMaster[Maximum Target],MATCH($G180,Tbl_KPIMaster[KPI],0)),"")</f>
        <v/>
      </c>
      <c r="J180" s="9" t="n">
        <v>0.8794999999999999</v>
      </c>
      <c r="K180" s="8">
        <f>IFERROR(INDEX(Tbl_KPIMaster[Tolerance],MATCH($G180,Tbl_KPIMaster[KPI],0)),"")</f>
        <v/>
      </c>
      <c r="L180" s="8">
        <f>IFERROR(INDEX(Tbl_KPIMaster[Owner],MATCH($G180,Tbl_KPIMaster[KPI],0)),"")</f>
        <v/>
      </c>
      <c r="M180" s="10" t="inlineStr">
        <is>
          <t>Weather impact</t>
        </is>
      </c>
      <c r="N180" s="8" t="inlineStr"/>
      <c r="O180" s="8" t="inlineStr">
        <is>
          <t>Low</t>
        </is>
      </c>
      <c r="P180" s="8" t="inlineStr">
        <is>
          <t>Open</t>
        </is>
      </c>
      <c r="Q180" s="9">
        <f>IFERROR(IF(INDEX(Tbl_KPIMaster[Direction],MATCH($G180,Tbl_KPIMaster[KPI],0))="Lower is Better",IF($J180=0,1,IF($I180=0,0,$I180/$J180)),IF($I180=0,1,$J180/$I180)),0)</f>
        <v/>
      </c>
      <c r="R180" s="8">
        <f>IF(OR($I180="",$J180=""),"",$J180-$I180)</f>
        <v/>
      </c>
      <c r="S180" s="8">
        <f>IFERROR(IF(INDEX(Tbl_KPIMaster[Direction],MATCH($G180,Tbl_KPIMaster[KPI],0))="Lower is Better",IF($J180&lt;=$I180,"Green",IF($J180&lt;=$I180+IF($I180=0,$K180,$I180*$K180),"Amber","Red")),IF($J180&gt;=$I180,"Green",IF($J180&gt;=$I180-IF($I180=0,$K180,$I180*$K180),"Amber","Red"))),"")</f>
        <v/>
      </c>
      <c r="T180" s="10" t="inlineStr"/>
    </row>
    <row r="181">
      <c r="A181" s="3" t="n">
        <v>46138</v>
      </c>
      <c r="B181" s="4">
        <f>IF($A181="","",TEXT($A181,"mmm-yyyy"))</f>
        <v/>
      </c>
      <c r="C181" s="4">
        <f>IF($A181="","","W"&amp;WEEKNUM($A181,2))</f>
        <v/>
      </c>
      <c r="D181" s="4">
        <f>IF($A181="","",TEXT($A181,"ddd"))</f>
        <v/>
      </c>
      <c r="E181" s="4" t="inlineStr">
        <is>
          <t>Energy</t>
        </is>
      </c>
      <c r="F181" s="4">
        <f>IFERROR(INDEX(Tbl_KPIMaster[Category],MATCH($G181,Tbl_KPIMaster[KPI],0)),"")</f>
        <v/>
      </c>
      <c r="G181" s="4" t="inlineStr">
        <is>
          <t>Energy Intensity (kWh/unit)</t>
        </is>
      </c>
      <c r="H181" s="4">
        <f>IFERROR(INDEX(Tbl_KPIMaster[Unit],MATCH($G181,Tbl_KPIMaster[KPI],0)),"")</f>
        <v/>
      </c>
      <c r="I181" s="5">
        <f>IFERROR(INDEX(Tbl_KPIMaster[Maximum Target],MATCH($G181,Tbl_KPIMaster[KPI],0)),"")</f>
        <v/>
      </c>
      <c r="J181" s="5" t="n">
        <v>3.98</v>
      </c>
      <c r="K181" s="4">
        <f>IFERROR(INDEX(Tbl_KPIMaster[Tolerance],MATCH($G181,Tbl_KPIMaster[KPI],0)),"")</f>
        <v/>
      </c>
      <c r="L181" s="4">
        <f>IFERROR(INDEX(Tbl_KPIMaster[Owner],MATCH($G181,Tbl_KPIMaster[KPI],0)),"")</f>
        <v/>
      </c>
      <c r="M181" s="6" t="inlineStr">
        <is>
          <t>Vendor delay</t>
        </is>
      </c>
      <c r="N181" s="4" t="inlineStr"/>
      <c r="O181" s="4" t="inlineStr">
        <is>
          <t>Medium</t>
        </is>
      </c>
      <c r="P181" s="4" t="inlineStr">
        <is>
          <t>Closed</t>
        </is>
      </c>
      <c r="Q181" s="5">
        <f>IFERROR(IF(INDEX(Tbl_KPIMaster[Direction],MATCH($G181,Tbl_KPIMaster[KPI],0))="Lower is Better",IF($J181=0,1,IF($I181=0,0,$I181/$J181)),IF($I181=0,1,$J181/$I181)),0)</f>
        <v/>
      </c>
      <c r="R181" s="4">
        <f>IF(OR($I181="",$J181=""),"",$J181-$I181)</f>
        <v/>
      </c>
      <c r="S181" s="4">
        <f>IFERROR(IF(INDEX(Tbl_KPIMaster[Direction],MATCH($G181,Tbl_KPIMaster[KPI],0))="Lower is Better",IF($J181&lt;=$I181,"Green",IF($J181&lt;=$I181+IF($I181=0,$K181,$I181*$K181),"Amber","Red")),IF($J181&gt;=$I181,"Green",IF($J181&gt;=$I181-IF($I181=0,$K181,$I181*$K181),"Amber","Red"))),"")</f>
        <v/>
      </c>
      <c r="T181" s="6" t="inlineStr"/>
    </row>
    <row r="182">
      <c r="A182" s="7" t="n">
        <v>46138</v>
      </c>
      <c r="B182" s="8">
        <f>IF($A182="","",TEXT($A182,"mmm-yyyy"))</f>
        <v/>
      </c>
      <c r="C182" s="8">
        <f>IF($A182="","","W"&amp;WEEKNUM($A182,2))</f>
        <v/>
      </c>
      <c r="D182" s="8">
        <f>IF($A182="","",TEXT($A182,"ddd"))</f>
        <v/>
      </c>
      <c r="E182" s="8" t="inlineStr">
        <is>
          <t>Energy</t>
        </is>
      </c>
      <c r="F182" s="8">
        <f>IFERROR(INDEX(Tbl_KPIMaster[Category],MATCH($G182,Tbl_KPIMaster[KPI],0)),"")</f>
        <v/>
      </c>
      <c r="G182" s="8" t="inlineStr">
        <is>
          <t>Renewable Energy Share %</t>
        </is>
      </c>
      <c r="H182" s="8">
        <f>IFERROR(INDEX(Tbl_KPIMaster[Unit],MATCH($G182,Tbl_KPIMaster[KPI],0)),"")</f>
        <v/>
      </c>
      <c r="I182" s="9">
        <f>IFERROR(INDEX(Tbl_KPIMaster[Maximum Target],MATCH($G182,Tbl_KPIMaster[KPI],0)),"")</f>
        <v/>
      </c>
      <c r="J182" s="9" t="n">
        <v>0.2643</v>
      </c>
      <c r="K182" s="8">
        <f>IFERROR(INDEX(Tbl_KPIMaster[Tolerance],MATCH($G182,Tbl_KPIMaster[KPI],0)),"")</f>
        <v/>
      </c>
      <c r="L182" s="8">
        <f>IFERROR(INDEX(Tbl_KPIMaster[Owner],MATCH($G182,Tbl_KPIMaster[KPI],0)),"")</f>
        <v/>
      </c>
      <c r="M182" s="10" t="inlineStr">
        <is>
          <t>Weather impact</t>
        </is>
      </c>
      <c r="N182" s="8" t="inlineStr"/>
      <c r="O182" s="8" t="inlineStr">
        <is>
          <t>Medium</t>
        </is>
      </c>
      <c r="P182" s="8" t="inlineStr">
        <is>
          <t>Closed</t>
        </is>
      </c>
      <c r="Q182" s="9">
        <f>IFERROR(IF(INDEX(Tbl_KPIMaster[Direction],MATCH($G182,Tbl_KPIMaster[KPI],0))="Lower is Better",IF($J182=0,1,IF($I182=0,0,$I182/$J182)),IF($I182=0,1,$J182/$I182)),0)</f>
        <v/>
      </c>
      <c r="R182" s="8">
        <f>IF(OR($I182="",$J182=""),"",$J182-$I182)</f>
        <v/>
      </c>
      <c r="S182" s="8">
        <f>IFERROR(IF(INDEX(Tbl_KPIMaster[Direction],MATCH($G182,Tbl_KPIMaster[KPI],0))="Lower is Better",IF($J182&lt;=$I182,"Green",IF($J182&lt;=$I182+IF($I182=0,$K182,$I182*$K182),"Amber","Red")),IF($J182&gt;=$I182,"Green",IF($J182&gt;=$I182-IF($I182=0,$K182,$I182*$K182),"Amber","Red"))),"")</f>
        <v/>
      </c>
      <c r="T182" s="10" t="inlineStr"/>
    </row>
    <row r="183">
      <c r="A183" s="3" t="n">
        <v>46139</v>
      </c>
      <c r="B183" s="4">
        <f>IF($A183="","",TEXT($A183,"mmm-yyyy"))</f>
        <v/>
      </c>
      <c r="C183" s="4">
        <f>IF($A183="","","W"&amp;WEEKNUM($A183,2))</f>
        <v/>
      </c>
      <c r="D183" s="4">
        <f>IF($A183="","",TEXT($A183,"ddd"))</f>
        <v/>
      </c>
      <c r="E183" s="4" t="inlineStr">
        <is>
          <t>Safety</t>
        </is>
      </c>
      <c r="F183" s="4">
        <f>IFERROR(INDEX(Tbl_KPIMaster[Category],MATCH($G183,Tbl_KPIMaster[KPI],0)),"")</f>
        <v/>
      </c>
      <c r="G183" s="4" t="inlineStr">
        <is>
          <t>Safety Incidents (LTI)</t>
        </is>
      </c>
      <c r="H183" s="4">
        <f>IFERROR(INDEX(Tbl_KPIMaster[Unit],MATCH($G183,Tbl_KPIMaster[KPI],0)),"")</f>
        <v/>
      </c>
      <c r="I183" s="5">
        <f>IFERROR(INDEX(Tbl_KPIMaster[Maximum Target],MATCH($G183,Tbl_KPIMaster[KPI],0)),"")</f>
        <v/>
      </c>
      <c r="J183" s="5" t="n">
        <v>0</v>
      </c>
      <c r="K183" s="4">
        <f>IFERROR(INDEX(Tbl_KPIMaster[Tolerance],MATCH($G183,Tbl_KPIMaster[KPI],0)),"")</f>
        <v/>
      </c>
      <c r="L183" s="4">
        <f>IFERROR(INDEX(Tbl_KPIMaster[Owner],MATCH($G183,Tbl_KPIMaster[KPI],0)),"")</f>
        <v/>
      </c>
      <c r="M183" s="6" t="inlineStr"/>
      <c r="N183" s="4" t="inlineStr"/>
      <c r="O183" s="4" t="inlineStr">
        <is>
          <t>Low</t>
        </is>
      </c>
      <c r="P183" s="4" t="inlineStr">
        <is>
          <t>Closed</t>
        </is>
      </c>
      <c r="Q183" s="5">
        <f>IFERROR(IF(INDEX(Tbl_KPIMaster[Direction],MATCH($G183,Tbl_KPIMaster[KPI],0))="Lower is Better",IF($J183=0,1,IF($I183=0,0,$I183/$J183)),IF($I183=0,1,$J183/$I183)),0)</f>
        <v/>
      </c>
      <c r="R183" s="4">
        <f>IF(OR($I183="",$J183=""),"",$J183-$I183)</f>
        <v/>
      </c>
      <c r="S183" s="4">
        <f>IFERROR(IF(INDEX(Tbl_KPIMaster[Direction],MATCH($G183,Tbl_KPIMaster[KPI],0))="Lower is Better",IF($J183&lt;=$I183,"Green",IF($J183&lt;=$I183+IF($I183=0,$K183,$I183*$K183),"Amber","Red")),IF($J183&gt;=$I183,"Green",IF($J183&gt;=$I183-IF($I183=0,$K183,$I183*$K183),"Amber","Red"))),"")</f>
        <v/>
      </c>
      <c r="T183" s="6" t="inlineStr"/>
    </row>
    <row r="184">
      <c r="A184" s="7" t="n">
        <v>46139</v>
      </c>
      <c r="B184" s="8">
        <f>IF($A184="","",TEXT($A184,"mmm-yyyy"))</f>
        <v/>
      </c>
      <c r="C184" s="8">
        <f>IF($A184="","","W"&amp;WEEKNUM($A184,2))</f>
        <v/>
      </c>
      <c r="D184" s="8">
        <f>IF($A184="","",TEXT($A184,"ddd"))</f>
        <v/>
      </c>
      <c r="E184" s="8" t="inlineStr">
        <is>
          <t>Safety</t>
        </is>
      </c>
      <c r="F184" s="8">
        <f>IFERROR(INDEX(Tbl_KPIMaster[Category],MATCH($G184,Tbl_KPIMaster[KPI],0)),"")</f>
        <v/>
      </c>
      <c r="G184" s="8" t="inlineStr">
        <is>
          <t>Near Miss Reports</t>
        </is>
      </c>
      <c r="H184" s="8">
        <f>IFERROR(INDEX(Tbl_KPIMaster[Unit],MATCH($G184,Tbl_KPIMaster[KPI],0)),"")</f>
        <v/>
      </c>
      <c r="I184" s="9">
        <f>IFERROR(INDEX(Tbl_KPIMaster[Maximum Target],MATCH($G184,Tbl_KPIMaster[KPI],0)),"")</f>
        <v/>
      </c>
      <c r="J184" s="9" t="n">
        <v>2</v>
      </c>
      <c r="K184" s="8">
        <f>IFERROR(INDEX(Tbl_KPIMaster[Tolerance],MATCH($G184,Tbl_KPIMaster[KPI],0)),"")</f>
        <v/>
      </c>
      <c r="L184" s="8">
        <f>IFERROR(INDEX(Tbl_KPIMaster[Owner],MATCH($G184,Tbl_KPIMaster[KPI],0)),"")</f>
        <v/>
      </c>
      <c r="M184" s="10" t="inlineStr">
        <is>
          <t>Weather impact</t>
        </is>
      </c>
      <c r="N184" s="8" t="inlineStr">
        <is>
          <t>Engineering support needed</t>
        </is>
      </c>
      <c r="O184" s="8" t="inlineStr">
        <is>
          <t>Low</t>
        </is>
      </c>
      <c r="P184" s="8" t="inlineStr">
        <is>
          <t>Closed</t>
        </is>
      </c>
      <c r="Q184" s="9">
        <f>IFERROR(IF(INDEX(Tbl_KPIMaster[Direction],MATCH($G184,Tbl_KPIMaster[KPI],0))="Lower is Better",IF($J184=0,1,IF($I184=0,0,$I184/$J184)),IF($I184=0,1,$J184/$I184)),0)</f>
        <v/>
      </c>
      <c r="R184" s="8">
        <f>IF(OR($I184="",$J184=""),"",$J184-$I184)</f>
        <v/>
      </c>
      <c r="S184" s="8">
        <f>IFERROR(IF(INDEX(Tbl_KPIMaster[Direction],MATCH($G184,Tbl_KPIMaster[KPI],0))="Lower is Better",IF($J184&lt;=$I184,"Green",IF($J184&lt;=$I184+IF($I184=0,$K184,$I184*$K184),"Amber","Red")),IF($J184&gt;=$I184,"Green",IF($J184&gt;=$I184-IF($I184=0,$K184,$I184*$K184),"Amber","Red"))),"")</f>
        <v/>
      </c>
      <c r="T184" s="10" t="inlineStr"/>
    </row>
    <row r="185">
      <c r="A185" s="3" t="n">
        <v>46139</v>
      </c>
      <c r="B185" s="4">
        <f>IF($A185="","",TEXT($A185,"mmm-yyyy"))</f>
        <v/>
      </c>
      <c r="C185" s="4">
        <f>IF($A185="","","W"&amp;WEEKNUM($A185,2))</f>
        <v/>
      </c>
      <c r="D185" s="4">
        <f>IF($A185="","",TEXT($A185,"ddd"))</f>
        <v/>
      </c>
      <c r="E185" s="4" t="inlineStr">
        <is>
          <t>Production</t>
        </is>
      </c>
      <c r="F185" s="4">
        <f>IFERROR(INDEX(Tbl_KPIMaster[Category],MATCH($G185,Tbl_KPIMaster[KPI],0)),"")</f>
        <v/>
      </c>
      <c r="G185" s="4" t="inlineStr">
        <is>
          <t>Production Output</t>
        </is>
      </c>
      <c r="H185" s="4">
        <f>IFERROR(INDEX(Tbl_KPIMaster[Unit],MATCH($G185,Tbl_KPIMaster[KPI],0)),"")</f>
        <v/>
      </c>
      <c r="I185" s="5">
        <f>IFERROR(INDEX(Tbl_KPIMaster[Maximum Target],MATCH($G185,Tbl_KPIMaster[KPI],0)),"")</f>
        <v/>
      </c>
      <c r="J185" s="5" t="n">
        <v>918.4299999999999</v>
      </c>
      <c r="K185" s="4">
        <f>IFERROR(INDEX(Tbl_KPIMaster[Tolerance],MATCH($G185,Tbl_KPIMaster[KPI],0)),"")</f>
        <v/>
      </c>
      <c r="L185" s="4">
        <f>IFERROR(INDEX(Tbl_KPIMaster[Owner],MATCH($G185,Tbl_KPIMaster[KPI],0)),"")</f>
        <v/>
      </c>
      <c r="M185" s="6" t="inlineStr"/>
      <c r="N185" s="4" t="inlineStr"/>
      <c r="O185" s="4" t="inlineStr">
        <is>
          <t>Low</t>
        </is>
      </c>
      <c r="P185" s="4" t="inlineStr">
        <is>
          <t>Closed</t>
        </is>
      </c>
      <c r="Q185" s="5">
        <f>IFERROR(IF(INDEX(Tbl_KPIMaster[Direction],MATCH($G185,Tbl_KPIMaster[KPI],0))="Lower is Better",IF($J185=0,1,IF($I185=0,0,$I185/$J185)),IF($I185=0,1,$J185/$I185)),0)</f>
        <v/>
      </c>
      <c r="R185" s="4">
        <f>IF(OR($I185="",$J185=""),"",$J185-$I185)</f>
        <v/>
      </c>
      <c r="S185" s="4">
        <f>IFERROR(IF(INDEX(Tbl_KPIMaster[Direction],MATCH($G185,Tbl_KPIMaster[KPI],0))="Lower is Better",IF($J185&lt;=$I185,"Green",IF($J185&lt;=$I185+IF($I185=0,$K185,$I185*$K185),"Amber","Red")),IF($J185&gt;=$I185,"Green",IF($J185&gt;=$I185-IF($I185=0,$K185,$I185*$K185),"Amber","Red"))),"")</f>
        <v/>
      </c>
      <c r="T185" s="6" t="inlineStr"/>
    </row>
    <row r="186">
      <c r="A186" s="7" t="n">
        <v>46139</v>
      </c>
      <c r="B186" s="8">
        <f>IF($A186="","",TEXT($A186,"mmm-yyyy"))</f>
        <v/>
      </c>
      <c r="C186" s="8">
        <f>IF($A186="","","W"&amp;WEEKNUM($A186,2))</f>
        <v/>
      </c>
      <c r="D186" s="8">
        <f>IF($A186="","",TEXT($A186,"ddd"))</f>
        <v/>
      </c>
      <c r="E186" s="8" t="inlineStr">
        <is>
          <t>Production</t>
        </is>
      </c>
      <c r="F186" s="8">
        <f>IFERROR(INDEX(Tbl_KPIMaster[Category],MATCH($G186,Tbl_KPIMaster[KPI],0)),"")</f>
        <v/>
      </c>
      <c r="G186" s="8" t="inlineStr">
        <is>
          <t>OEE %</t>
        </is>
      </c>
      <c r="H186" s="8">
        <f>IFERROR(INDEX(Tbl_KPIMaster[Unit],MATCH($G186,Tbl_KPIMaster[KPI],0)),"")</f>
        <v/>
      </c>
      <c r="I186" s="9">
        <f>IFERROR(INDEX(Tbl_KPIMaster[Maximum Target],MATCH($G186,Tbl_KPIMaster[KPI],0)),"")</f>
        <v/>
      </c>
      <c r="J186" s="9" t="n">
        <v>0.8138</v>
      </c>
      <c r="K186" s="8">
        <f>IFERROR(INDEX(Tbl_KPIMaster[Tolerance],MATCH($G186,Tbl_KPIMaster[KPI],0)),"")</f>
        <v/>
      </c>
      <c r="L186" s="8">
        <f>IFERROR(INDEX(Tbl_KPIMaster[Owner],MATCH($G186,Tbl_KPIMaster[KPI],0)),"")</f>
        <v/>
      </c>
      <c r="M186" s="10" t="inlineStr">
        <is>
          <t>Awaiting spares</t>
        </is>
      </c>
      <c r="N186" s="8" t="inlineStr">
        <is>
          <t>Procurement follow-up</t>
        </is>
      </c>
      <c r="O186" s="8" t="inlineStr">
        <is>
          <t>High</t>
        </is>
      </c>
      <c r="P186" s="8" t="inlineStr">
        <is>
          <t>Closed</t>
        </is>
      </c>
      <c r="Q186" s="9">
        <f>IFERROR(IF(INDEX(Tbl_KPIMaster[Direction],MATCH($G186,Tbl_KPIMaster[KPI],0))="Lower is Better",IF($J186=0,1,IF($I186=0,0,$I186/$J186)),IF($I186=0,1,$J186/$I186)),0)</f>
        <v/>
      </c>
      <c r="R186" s="8">
        <f>IF(OR($I186="",$J186=""),"",$J186-$I186)</f>
        <v/>
      </c>
      <c r="S186" s="8">
        <f>IFERROR(IF(INDEX(Tbl_KPIMaster[Direction],MATCH($G186,Tbl_KPIMaster[KPI],0))="Lower is Better",IF($J186&lt;=$I186,"Green",IF($J186&lt;=$I186+IF($I186=0,$K186,$I186*$K186),"Amber","Red")),IF($J186&gt;=$I186,"Green",IF($J186&gt;=$I186-IF($I186=0,$K186,$I186*$K186),"Amber","Red"))),"")</f>
        <v/>
      </c>
      <c r="T186" s="10" t="inlineStr"/>
    </row>
    <row r="187">
      <c r="A187" s="3" t="n">
        <v>46139</v>
      </c>
      <c r="B187" s="4">
        <f>IF($A187="","",TEXT($A187,"mmm-yyyy"))</f>
        <v/>
      </c>
      <c r="C187" s="4">
        <f>IF($A187="","","W"&amp;WEEKNUM($A187,2))</f>
        <v/>
      </c>
      <c r="D187" s="4">
        <f>IF($A187="","",TEXT($A187,"ddd"))</f>
        <v/>
      </c>
      <c r="E187" s="4" t="inlineStr">
        <is>
          <t>Quality</t>
        </is>
      </c>
      <c r="F187" s="4">
        <f>IFERROR(INDEX(Tbl_KPIMaster[Category],MATCH($G187,Tbl_KPIMaster[KPI],0)),"")</f>
        <v/>
      </c>
      <c r="G187" s="4" t="inlineStr">
        <is>
          <t>Defect Rate %</t>
        </is>
      </c>
      <c r="H187" s="4">
        <f>IFERROR(INDEX(Tbl_KPIMaster[Unit],MATCH($G187,Tbl_KPIMaster[KPI],0)),"")</f>
        <v/>
      </c>
      <c r="I187" s="5">
        <f>IFERROR(INDEX(Tbl_KPIMaster[Maximum Target],MATCH($G187,Tbl_KPIMaster[KPI],0)),"")</f>
        <v/>
      </c>
      <c r="J187" s="5" t="n">
        <v>1.3875</v>
      </c>
      <c r="K187" s="4">
        <f>IFERROR(INDEX(Tbl_KPIMaster[Tolerance],MATCH($G187,Tbl_KPIMaster[KPI],0)),"")</f>
        <v/>
      </c>
      <c r="L187" s="4">
        <f>IFERROR(INDEX(Tbl_KPIMaster[Owner],MATCH($G187,Tbl_KPIMaster[KPI],0)),"")</f>
        <v/>
      </c>
      <c r="M187" s="6" t="inlineStr">
        <is>
          <t>Preventive check done</t>
        </is>
      </c>
      <c r="N187" s="4" t="inlineStr"/>
      <c r="O187" s="4" t="inlineStr">
        <is>
          <t>Low</t>
        </is>
      </c>
      <c r="P187" s="4" t="inlineStr">
        <is>
          <t>In Progress</t>
        </is>
      </c>
      <c r="Q187" s="5">
        <f>IFERROR(IF(INDEX(Tbl_KPIMaster[Direction],MATCH($G187,Tbl_KPIMaster[KPI],0))="Lower is Better",IF($J187=0,1,IF($I187=0,0,$I187/$J187)),IF($I187=0,1,$J187/$I187)),0)</f>
        <v/>
      </c>
      <c r="R187" s="4">
        <f>IF(OR($I187="",$J187=""),"",$J187-$I187)</f>
        <v/>
      </c>
      <c r="S187" s="4">
        <f>IFERROR(IF(INDEX(Tbl_KPIMaster[Direction],MATCH($G187,Tbl_KPIMaster[KPI],0))="Lower is Better",IF($J187&lt;=$I187,"Green",IF($J187&lt;=$I187+IF($I187=0,$K187,$I187*$K187),"Amber","Red")),IF($J187&gt;=$I187,"Green",IF($J187&gt;=$I187-IF($I187=0,$K187,$I187*$K187),"Amber","Red"))),"")</f>
        <v/>
      </c>
      <c r="T187" s="6" t="inlineStr"/>
    </row>
    <row r="188">
      <c r="A188" s="7" t="n">
        <v>46139</v>
      </c>
      <c r="B188" s="8">
        <f>IF($A188="","",TEXT($A188,"mmm-yyyy"))</f>
        <v/>
      </c>
      <c r="C188" s="8">
        <f>IF($A188="","","W"&amp;WEEKNUM($A188,2))</f>
        <v/>
      </c>
      <c r="D188" s="8">
        <f>IF($A188="","",TEXT($A188,"ddd"))</f>
        <v/>
      </c>
      <c r="E188" s="8" t="inlineStr">
        <is>
          <t>Quality</t>
        </is>
      </c>
      <c r="F188" s="8">
        <f>IFERROR(INDEX(Tbl_KPIMaster[Category],MATCH($G188,Tbl_KPIMaster[KPI],0)),"")</f>
        <v/>
      </c>
      <c r="G188" s="8" t="inlineStr">
        <is>
          <t>Customer Complaints</t>
        </is>
      </c>
      <c r="H188" s="8">
        <f>IFERROR(INDEX(Tbl_KPIMaster[Unit],MATCH($G188,Tbl_KPIMaster[KPI],0)),"")</f>
        <v/>
      </c>
      <c r="I188" s="9">
        <f>IFERROR(INDEX(Tbl_KPIMaster[Maximum Target],MATCH($G188,Tbl_KPIMaster[KPI],0)),"")</f>
        <v/>
      </c>
      <c r="J188" s="9" t="n">
        <v>0</v>
      </c>
      <c r="K188" s="8">
        <f>IFERROR(INDEX(Tbl_KPIMaster[Tolerance],MATCH($G188,Tbl_KPIMaster[KPI],0)),"")</f>
        <v/>
      </c>
      <c r="L188" s="8">
        <f>IFERROR(INDEX(Tbl_KPIMaster[Owner],MATCH($G188,Tbl_KPIMaster[KPI],0)),"")</f>
        <v/>
      </c>
      <c r="M188" s="10" t="inlineStr">
        <is>
          <t>Awaiting spares</t>
        </is>
      </c>
      <c r="N188" s="8" t="inlineStr"/>
      <c r="O188" s="8" t="inlineStr">
        <is>
          <t>Low</t>
        </is>
      </c>
      <c r="P188" s="8" t="inlineStr">
        <is>
          <t>Closed</t>
        </is>
      </c>
      <c r="Q188" s="9">
        <f>IFERROR(IF(INDEX(Tbl_KPIMaster[Direction],MATCH($G188,Tbl_KPIMaster[KPI],0))="Lower is Better",IF($J188=0,1,IF($I188=0,0,$I188/$J188)),IF($I188=0,1,$J188/$I188)),0)</f>
        <v/>
      </c>
      <c r="R188" s="8">
        <f>IF(OR($I188="",$J188=""),"",$J188-$I188)</f>
        <v/>
      </c>
      <c r="S188" s="8">
        <f>IFERROR(IF(INDEX(Tbl_KPIMaster[Direction],MATCH($G188,Tbl_KPIMaster[KPI],0))="Lower is Better",IF($J188&lt;=$I188,"Green",IF($J188&lt;=$I188+IF($I188=0,$K188,$I188*$K188),"Amber","Red")),IF($J188&gt;=$I188,"Green",IF($J188&gt;=$I188-IF($I188=0,$K188,$I188*$K188),"Amber","Red"))),"")</f>
        <v/>
      </c>
      <c r="T188" s="10" t="inlineStr"/>
    </row>
    <row r="189">
      <c r="A189" s="3" t="n">
        <v>46139</v>
      </c>
      <c r="B189" s="4">
        <f>IF($A189="","",TEXT($A189,"mmm-yyyy"))</f>
        <v/>
      </c>
      <c r="C189" s="4">
        <f>IF($A189="","","W"&amp;WEEKNUM($A189,2))</f>
        <v/>
      </c>
      <c r="D189" s="4">
        <f>IF($A189="","",TEXT($A189,"ddd"))</f>
        <v/>
      </c>
      <c r="E189" s="4" t="inlineStr">
        <is>
          <t>Maintenance</t>
        </is>
      </c>
      <c r="F189" s="4">
        <f>IFERROR(INDEX(Tbl_KPIMaster[Category],MATCH($G189,Tbl_KPIMaster[KPI],0)),"")</f>
        <v/>
      </c>
      <c r="G189" s="4" t="inlineStr">
        <is>
          <t>Unplanned Downtime</t>
        </is>
      </c>
      <c r="H189" s="4">
        <f>IFERROR(INDEX(Tbl_KPIMaster[Unit],MATCH($G189,Tbl_KPIMaster[KPI],0)),"")</f>
        <v/>
      </c>
      <c r="I189" s="5">
        <f>IFERROR(INDEX(Tbl_KPIMaster[Maximum Target],MATCH($G189,Tbl_KPIMaster[KPI],0)),"")</f>
        <v/>
      </c>
      <c r="J189" s="5" t="n">
        <v>0</v>
      </c>
      <c r="K189" s="4">
        <f>IFERROR(INDEX(Tbl_KPIMaster[Tolerance],MATCH($G189,Tbl_KPIMaster[KPI],0)),"")</f>
        <v/>
      </c>
      <c r="L189" s="4">
        <f>IFERROR(INDEX(Tbl_KPIMaster[Owner],MATCH($G189,Tbl_KPIMaster[KPI],0)),"")</f>
        <v/>
      </c>
      <c r="M189" s="6" t="inlineStr">
        <is>
          <t>Process improvement in progress</t>
        </is>
      </c>
      <c r="N189" s="4" t="inlineStr">
        <is>
          <t>Management approval pending</t>
        </is>
      </c>
      <c r="O189" s="4" t="inlineStr">
        <is>
          <t>Medium</t>
        </is>
      </c>
      <c r="P189" s="4" t="inlineStr">
        <is>
          <t>Closed</t>
        </is>
      </c>
      <c r="Q189" s="5">
        <f>IFERROR(IF(INDEX(Tbl_KPIMaster[Direction],MATCH($G189,Tbl_KPIMaster[KPI],0))="Lower is Better",IF($J189=0,1,IF($I189=0,0,$I189/$J189)),IF($I189=0,1,$J189/$I189)),0)</f>
        <v/>
      </c>
      <c r="R189" s="4">
        <f>IF(OR($I189="",$J189=""),"",$J189-$I189)</f>
        <v/>
      </c>
      <c r="S189" s="4">
        <f>IFERROR(IF(INDEX(Tbl_KPIMaster[Direction],MATCH($G189,Tbl_KPIMaster[KPI],0))="Lower is Better",IF($J189&lt;=$I189,"Green",IF($J189&lt;=$I189+IF($I189=0,$K189,$I189*$K189),"Amber","Red")),IF($J189&gt;=$I189,"Green",IF($J189&gt;=$I189-IF($I189=0,$K189,$I189*$K189),"Amber","Red"))),"")</f>
        <v/>
      </c>
      <c r="T189" s="6" t="inlineStr"/>
    </row>
    <row r="190">
      <c r="A190" s="7" t="n">
        <v>46139</v>
      </c>
      <c r="B190" s="8">
        <f>IF($A190="","",TEXT($A190,"mmm-yyyy"))</f>
        <v/>
      </c>
      <c r="C190" s="8">
        <f>IF($A190="","","W"&amp;WEEKNUM($A190,2))</f>
        <v/>
      </c>
      <c r="D190" s="8">
        <f>IF($A190="","",TEXT($A190,"ddd"))</f>
        <v/>
      </c>
      <c r="E190" s="8" t="inlineStr">
        <is>
          <t>Maintenance</t>
        </is>
      </c>
      <c r="F190" s="8">
        <f>IFERROR(INDEX(Tbl_KPIMaster[Category],MATCH($G190,Tbl_KPIMaster[KPI],0)),"")</f>
        <v/>
      </c>
      <c r="G190" s="8" t="inlineStr">
        <is>
          <t>PM Compliance %</t>
        </is>
      </c>
      <c r="H190" s="8">
        <f>IFERROR(INDEX(Tbl_KPIMaster[Unit],MATCH($G190,Tbl_KPIMaster[KPI],0)),"")</f>
        <v/>
      </c>
      <c r="I190" s="9">
        <f>IFERROR(INDEX(Tbl_KPIMaster[Maximum Target],MATCH($G190,Tbl_KPIMaster[KPI],0)),"")</f>
        <v/>
      </c>
      <c r="J190" s="9" t="n">
        <v>0.8997000000000001</v>
      </c>
      <c r="K190" s="8">
        <f>IFERROR(INDEX(Tbl_KPIMaster[Tolerance],MATCH($G190,Tbl_KPIMaster[KPI],0)),"")</f>
        <v/>
      </c>
      <c r="L190" s="8">
        <f>IFERROR(INDEX(Tbl_KPIMaster[Owner],MATCH($G190,Tbl_KPIMaster[KPI],0)),"")</f>
        <v/>
      </c>
      <c r="M190" s="10" t="inlineStr">
        <is>
          <t>Process improvement in progress</t>
        </is>
      </c>
      <c r="N190" s="8" t="inlineStr"/>
      <c r="O190" s="8" t="inlineStr">
        <is>
          <t>Low</t>
        </is>
      </c>
      <c r="P190" s="8" t="inlineStr">
        <is>
          <t>Closed</t>
        </is>
      </c>
      <c r="Q190" s="9">
        <f>IFERROR(IF(INDEX(Tbl_KPIMaster[Direction],MATCH($G190,Tbl_KPIMaster[KPI],0))="Lower is Better",IF($J190=0,1,IF($I190=0,0,$I190/$J190)),IF($I190=0,1,$J190/$I190)),0)</f>
        <v/>
      </c>
      <c r="R190" s="8">
        <f>IF(OR($I190="",$J190=""),"",$J190-$I190)</f>
        <v/>
      </c>
      <c r="S190" s="8">
        <f>IFERROR(IF(INDEX(Tbl_KPIMaster[Direction],MATCH($G190,Tbl_KPIMaster[KPI],0))="Lower is Better",IF($J190&lt;=$I190,"Green",IF($J190&lt;=$I190+IF($I190=0,$K190,$I190*$K190),"Amber","Red")),IF($J190&gt;=$I190,"Green",IF($J190&gt;=$I190-IF($I190=0,$K190,$I190*$K190),"Amber","Red"))),"")</f>
        <v/>
      </c>
      <c r="T190" s="10" t="inlineStr"/>
    </row>
    <row r="191">
      <c r="A191" s="3" t="n">
        <v>46139</v>
      </c>
      <c r="B191" s="4">
        <f>IF($A191="","",TEXT($A191,"mmm-yyyy"))</f>
        <v/>
      </c>
      <c r="C191" s="4">
        <f>IF($A191="","","W"&amp;WEEKNUM($A191,2))</f>
        <v/>
      </c>
      <c r="D191" s="4">
        <f>IF($A191="","",TEXT($A191,"ddd"))</f>
        <v/>
      </c>
      <c r="E191" s="4" t="inlineStr">
        <is>
          <t>Utilities</t>
        </is>
      </c>
      <c r="F191" s="4">
        <f>IFERROR(INDEX(Tbl_KPIMaster[Category],MATCH($G191,Tbl_KPIMaster[KPI],0)),"")</f>
        <v/>
      </c>
      <c r="G191" s="4" t="inlineStr">
        <is>
          <t>Power Consumption</t>
        </is>
      </c>
      <c r="H191" s="4">
        <f>IFERROR(INDEX(Tbl_KPIMaster[Unit],MATCH($G191,Tbl_KPIMaster[KPI],0)),"")</f>
        <v/>
      </c>
      <c r="I191" s="5">
        <f>IFERROR(INDEX(Tbl_KPIMaster[Maximum Target],MATCH($G191,Tbl_KPIMaster[KPI],0)),"")</f>
        <v/>
      </c>
      <c r="J191" s="5" t="n">
        <v>3798.81</v>
      </c>
      <c r="K191" s="4">
        <f>IFERROR(INDEX(Tbl_KPIMaster[Tolerance],MATCH($G191,Tbl_KPIMaster[KPI],0)),"")</f>
        <v/>
      </c>
      <c r="L191" s="4">
        <f>IFERROR(INDEX(Tbl_KPIMaster[Owner],MATCH($G191,Tbl_KPIMaster[KPI],0)),"")</f>
        <v/>
      </c>
      <c r="M191" s="6" t="inlineStr">
        <is>
          <t>Equipment breakdown</t>
        </is>
      </c>
      <c r="N191" s="4" t="inlineStr">
        <is>
          <t>Management approval pending</t>
        </is>
      </c>
      <c r="O191" s="4" t="inlineStr">
        <is>
          <t>Low</t>
        </is>
      </c>
      <c r="P191" s="4" t="inlineStr">
        <is>
          <t>Closed</t>
        </is>
      </c>
      <c r="Q191" s="5">
        <f>IFERROR(IF(INDEX(Tbl_KPIMaster[Direction],MATCH($G191,Tbl_KPIMaster[KPI],0))="Lower is Better",IF($J191=0,1,IF($I191=0,0,$I191/$J191)),IF($I191=0,1,$J191/$I191)),0)</f>
        <v/>
      </c>
      <c r="R191" s="4">
        <f>IF(OR($I191="",$J191=""),"",$J191-$I191)</f>
        <v/>
      </c>
      <c r="S191" s="4">
        <f>IFERROR(IF(INDEX(Tbl_KPIMaster[Direction],MATCH($G191,Tbl_KPIMaster[KPI],0))="Lower is Better",IF($J191&lt;=$I191,"Green",IF($J191&lt;=$I191+IF($I191=0,$K191,$I191*$K191),"Amber","Red")),IF($J191&gt;=$I191,"Green",IF($J191&gt;=$I191-IF($I191=0,$K191,$I191*$K191),"Amber","Red"))),"")</f>
        <v/>
      </c>
      <c r="T191" s="6" t="inlineStr"/>
    </row>
    <row r="192">
      <c r="A192" s="7" t="n">
        <v>46139</v>
      </c>
      <c r="B192" s="8">
        <f>IF($A192="","",TEXT($A192,"mmm-yyyy"))</f>
        <v/>
      </c>
      <c r="C192" s="8">
        <f>IF($A192="","","W"&amp;WEEKNUM($A192,2))</f>
        <v/>
      </c>
      <c r="D192" s="8">
        <f>IF($A192="","",TEXT($A192,"ddd"))</f>
        <v/>
      </c>
      <c r="E192" s="8" t="inlineStr">
        <is>
          <t>Utilities</t>
        </is>
      </c>
      <c r="F192" s="8">
        <f>IFERROR(INDEX(Tbl_KPIMaster[Category],MATCH($G192,Tbl_KPIMaster[KPI],0)),"")</f>
        <v/>
      </c>
      <c r="G192" s="8" t="inlineStr">
        <is>
          <t>Water Consumption</t>
        </is>
      </c>
      <c r="H192" s="8">
        <f>IFERROR(INDEX(Tbl_KPIMaster[Unit],MATCH($G192,Tbl_KPIMaster[KPI],0)),"")</f>
        <v/>
      </c>
      <c r="I192" s="9">
        <f>IFERROR(INDEX(Tbl_KPIMaster[Maximum Target],MATCH($G192,Tbl_KPIMaster[KPI],0)),"")</f>
        <v/>
      </c>
      <c r="J192" s="9" t="n">
        <v>54.56</v>
      </c>
      <c r="K192" s="8">
        <f>IFERROR(INDEX(Tbl_KPIMaster[Tolerance],MATCH($G192,Tbl_KPIMaster[KPI],0)),"")</f>
        <v/>
      </c>
      <c r="L192" s="8">
        <f>IFERROR(INDEX(Tbl_KPIMaster[Owner],MATCH($G192,Tbl_KPIMaster[KPI],0)),"")</f>
        <v/>
      </c>
      <c r="M192" s="10" t="inlineStr">
        <is>
          <t>Preventive check done</t>
        </is>
      </c>
      <c r="N192" s="8" t="inlineStr"/>
      <c r="O192" s="8" t="inlineStr">
        <is>
          <t>Medium</t>
        </is>
      </c>
      <c r="P192" s="8" t="inlineStr">
        <is>
          <t>In Progress</t>
        </is>
      </c>
      <c r="Q192" s="9">
        <f>IFERROR(IF(INDEX(Tbl_KPIMaster[Direction],MATCH($G192,Tbl_KPIMaster[KPI],0))="Lower is Better",IF($J192=0,1,IF($I192=0,0,$I192/$J192)),IF($I192=0,1,$J192/$I192)),0)</f>
        <v/>
      </c>
      <c r="R192" s="8">
        <f>IF(OR($I192="",$J192=""),"",$J192-$I192)</f>
        <v/>
      </c>
      <c r="S192" s="8">
        <f>IFERROR(IF(INDEX(Tbl_KPIMaster[Direction],MATCH($G192,Tbl_KPIMaster[KPI],0))="Lower is Better",IF($J192&lt;=$I192,"Green",IF($J192&lt;=$I192+IF($I192=0,$K192,$I192*$K192),"Amber","Red")),IF($J192&gt;=$I192,"Green",IF($J192&gt;=$I192-IF($I192=0,$K192,$I192*$K192),"Amber","Red"))),"")</f>
        <v/>
      </c>
      <c r="T192" s="10" t="inlineStr"/>
    </row>
    <row r="193">
      <c r="A193" s="3" t="n">
        <v>46139</v>
      </c>
      <c r="B193" s="4">
        <f>IF($A193="","",TEXT($A193,"mmm-yyyy"))</f>
        <v/>
      </c>
      <c r="C193" s="4">
        <f>IF($A193="","","W"&amp;WEEKNUM($A193,2))</f>
        <v/>
      </c>
      <c r="D193" s="4">
        <f>IF($A193="","",TEXT($A193,"ddd"))</f>
        <v/>
      </c>
      <c r="E193" s="4" t="inlineStr">
        <is>
          <t>Warehouse</t>
        </is>
      </c>
      <c r="F193" s="4">
        <f>IFERROR(INDEX(Tbl_KPIMaster[Category],MATCH($G193,Tbl_KPIMaster[KPI],0)),"")</f>
        <v/>
      </c>
      <c r="G193" s="4" t="inlineStr">
        <is>
          <t>On-Time Dispatch %</t>
        </is>
      </c>
      <c r="H193" s="4">
        <f>IFERROR(INDEX(Tbl_KPIMaster[Unit],MATCH($G193,Tbl_KPIMaster[KPI],0)),"")</f>
        <v/>
      </c>
      <c r="I193" s="5">
        <f>IFERROR(INDEX(Tbl_KPIMaster[Maximum Target],MATCH($G193,Tbl_KPIMaster[KPI],0)),"")</f>
        <v/>
      </c>
      <c r="J193" s="5" t="n">
        <v>0.9485</v>
      </c>
      <c r="K193" s="4">
        <f>IFERROR(INDEX(Tbl_KPIMaster[Tolerance],MATCH($G193,Tbl_KPIMaster[KPI],0)),"")</f>
        <v/>
      </c>
      <c r="L193" s="4">
        <f>IFERROR(INDEX(Tbl_KPIMaster[Owner],MATCH($G193,Tbl_KPIMaster[KPI],0)),"")</f>
        <v/>
      </c>
      <c r="M193" s="6" t="inlineStr">
        <is>
          <t>Manpower shortage</t>
        </is>
      </c>
      <c r="N193" s="4" t="inlineStr"/>
      <c r="O193" s="4" t="inlineStr">
        <is>
          <t>High</t>
        </is>
      </c>
      <c r="P193" s="4" t="inlineStr">
        <is>
          <t>Open</t>
        </is>
      </c>
      <c r="Q193" s="5">
        <f>IFERROR(IF(INDEX(Tbl_KPIMaster[Direction],MATCH($G193,Tbl_KPIMaster[KPI],0))="Lower is Better",IF($J193=0,1,IF($I193=0,0,$I193/$J193)),IF($I193=0,1,$J193/$I193)),0)</f>
        <v/>
      </c>
      <c r="R193" s="4">
        <f>IF(OR($I193="",$J193=""),"",$J193-$I193)</f>
        <v/>
      </c>
      <c r="S193" s="4">
        <f>IFERROR(IF(INDEX(Tbl_KPIMaster[Direction],MATCH($G193,Tbl_KPIMaster[KPI],0))="Lower is Better",IF($J193&lt;=$I193,"Green",IF($J193&lt;=$I193+IF($I193=0,$K193,$I193*$K193),"Amber","Red")),IF($J193&gt;=$I193,"Green",IF($J193&gt;=$I193-IF($I193=0,$K193,$I193*$K193),"Amber","Red"))),"")</f>
        <v/>
      </c>
      <c r="T193" s="6" t="inlineStr"/>
    </row>
    <row r="194">
      <c r="A194" s="7" t="n">
        <v>46139</v>
      </c>
      <c r="B194" s="8">
        <f>IF($A194="","",TEXT($A194,"mmm-yyyy"))</f>
        <v/>
      </c>
      <c r="C194" s="8">
        <f>IF($A194="","","W"&amp;WEEKNUM($A194,2))</f>
        <v/>
      </c>
      <c r="D194" s="8">
        <f>IF($A194="","",TEXT($A194,"ddd"))</f>
        <v/>
      </c>
      <c r="E194" s="8" t="inlineStr">
        <is>
          <t>Warehouse</t>
        </is>
      </c>
      <c r="F194" s="8">
        <f>IFERROR(INDEX(Tbl_KPIMaster[Category],MATCH($G194,Tbl_KPIMaster[KPI],0)),"")</f>
        <v/>
      </c>
      <c r="G194" s="8" t="inlineStr">
        <is>
          <t>Inventory Accuracy %</t>
        </is>
      </c>
      <c r="H194" s="8">
        <f>IFERROR(INDEX(Tbl_KPIMaster[Unit],MATCH($G194,Tbl_KPIMaster[KPI],0)),"")</f>
        <v/>
      </c>
      <c r="I194" s="9">
        <f>IFERROR(INDEX(Tbl_KPIMaster[Maximum Target],MATCH($G194,Tbl_KPIMaster[KPI],0)),"")</f>
        <v/>
      </c>
      <c r="J194" s="9" t="n">
        <v>1.0762</v>
      </c>
      <c r="K194" s="8">
        <f>IFERROR(INDEX(Tbl_KPIMaster[Tolerance],MATCH($G194,Tbl_KPIMaster[KPI],0)),"")</f>
        <v/>
      </c>
      <c r="L194" s="8">
        <f>IFERROR(INDEX(Tbl_KPIMaster[Owner],MATCH($G194,Tbl_KPIMaster[KPI],0)),"")</f>
        <v/>
      </c>
      <c r="M194" s="10" t="inlineStr">
        <is>
          <t>New operator training effect</t>
        </is>
      </c>
      <c r="N194" s="8" t="inlineStr"/>
      <c r="O194" s="8" t="inlineStr">
        <is>
          <t>Low</t>
        </is>
      </c>
      <c r="P194" s="8" t="inlineStr">
        <is>
          <t>Closed</t>
        </is>
      </c>
      <c r="Q194" s="9">
        <f>IFERROR(IF(INDEX(Tbl_KPIMaster[Direction],MATCH($G194,Tbl_KPIMaster[KPI],0))="Lower is Better",IF($J194=0,1,IF($I194=0,0,$I194/$J194)),IF($I194=0,1,$J194/$I194)),0)</f>
        <v/>
      </c>
      <c r="R194" s="8">
        <f>IF(OR($I194="",$J194=""),"",$J194-$I194)</f>
        <v/>
      </c>
      <c r="S194" s="8">
        <f>IFERROR(IF(INDEX(Tbl_KPIMaster[Direction],MATCH($G194,Tbl_KPIMaster[KPI],0))="Lower is Better",IF($J194&lt;=$I194,"Green",IF($J194&lt;=$I194+IF($I194=0,$K194,$I194*$K194),"Amber","Red")),IF($J194&gt;=$I194,"Green",IF($J194&gt;=$I194-IF($I194=0,$K194,$I194*$K194),"Amber","Red"))),"")</f>
        <v/>
      </c>
      <c r="T194" s="10" t="inlineStr"/>
    </row>
    <row r="195">
      <c r="A195" s="3" t="n">
        <v>46139</v>
      </c>
      <c r="B195" s="4">
        <f>IF($A195="","",TEXT($A195,"mmm-yyyy"))</f>
        <v/>
      </c>
      <c r="C195" s="4">
        <f>IF($A195="","","W"&amp;WEEKNUM($A195,2))</f>
        <v/>
      </c>
      <c r="D195" s="4">
        <f>IF($A195="","",TEXT($A195,"ddd"))</f>
        <v/>
      </c>
      <c r="E195" s="4" t="inlineStr">
        <is>
          <t>HR</t>
        </is>
      </c>
      <c r="F195" s="4">
        <f>IFERROR(INDEX(Tbl_KPIMaster[Category],MATCH($G195,Tbl_KPIMaster[KPI],0)),"")</f>
        <v/>
      </c>
      <c r="G195" s="4" t="inlineStr">
        <is>
          <t>Absenteeism %</t>
        </is>
      </c>
      <c r="H195" s="4">
        <f>IFERROR(INDEX(Tbl_KPIMaster[Unit],MATCH($G195,Tbl_KPIMaster[KPI],0)),"")</f>
        <v/>
      </c>
      <c r="I195" s="5">
        <f>IFERROR(INDEX(Tbl_KPIMaster[Maximum Target],MATCH($G195,Tbl_KPIMaster[KPI],0)),"")</f>
        <v/>
      </c>
      <c r="J195" s="5" t="n">
        <v>0</v>
      </c>
      <c r="K195" s="4">
        <f>IFERROR(INDEX(Tbl_KPIMaster[Tolerance],MATCH($G195,Tbl_KPIMaster[KPI],0)),"")</f>
        <v/>
      </c>
      <c r="L195" s="4">
        <f>IFERROR(INDEX(Tbl_KPIMaster[Owner],MATCH($G195,Tbl_KPIMaster[KPI],0)),"")</f>
        <v/>
      </c>
      <c r="M195" s="6" t="inlineStr"/>
      <c r="N195" s="4" t="inlineStr">
        <is>
          <t>Procurement follow-up</t>
        </is>
      </c>
      <c r="O195" s="4" t="inlineStr">
        <is>
          <t>Medium</t>
        </is>
      </c>
      <c r="P195" s="4" t="inlineStr">
        <is>
          <t>Closed</t>
        </is>
      </c>
      <c r="Q195" s="5">
        <f>IFERROR(IF(INDEX(Tbl_KPIMaster[Direction],MATCH($G195,Tbl_KPIMaster[KPI],0))="Lower is Better",IF($J195=0,1,IF($I195=0,0,$I195/$J195)),IF($I195=0,1,$J195/$I195)),0)</f>
        <v/>
      </c>
      <c r="R195" s="4">
        <f>IF(OR($I195="",$J195=""),"",$J195-$I195)</f>
        <v/>
      </c>
      <c r="S195" s="4">
        <f>IFERROR(IF(INDEX(Tbl_KPIMaster[Direction],MATCH($G195,Tbl_KPIMaster[KPI],0))="Lower is Better",IF($J195&lt;=$I195,"Green",IF($J195&lt;=$I195+IF($I195=0,$K195,$I195*$K195),"Amber","Red")),IF($J195&gt;=$I195,"Green",IF($J195&gt;=$I195-IF($I195=0,$K195,$I195*$K195),"Amber","Red"))),"")</f>
        <v/>
      </c>
      <c r="T195" s="6" t="inlineStr"/>
    </row>
    <row r="196">
      <c r="A196" s="7" t="n">
        <v>46139</v>
      </c>
      <c r="B196" s="8">
        <f>IF($A196="","",TEXT($A196,"mmm-yyyy"))</f>
        <v/>
      </c>
      <c r="C196" s="8">
        <f>IF($A196="","","W"&amp;WEEKNUM($A196,2))</f>
        <v/>
      </c>
      <c r="D196" s="8">
        <f>IF($A196="","",TEXT($A196,"ddd"))</f>
        <v/>
      </c>
      <c r="E196" s="8" t="inlineStr">
        <is>
          <t>HR</t>
        </is>
      </c>
      <c r="F196" s="8">
        <f>IFERROR(INDEX(Tbl_KPIMaster[Category],MATCH($G196,Tbl_KPIMaster[KPI],0)),"")</f>
        <v/>
      </c>
      <c r="G196" s="8" t="inlineStr">
        <is>
          <t>Training Hours</t>
        </is>
      </c>
      <c r="H196" s="8">
        <f>IFERROR(INDEX(Tbl_KPIMaster[Unit],MATCH($G196,Tbl_KPIMaster[KPI],0)),"")</f>
        <v/>
      </c>
      <c r="I196" s="9">
        <f>IFERROR(INDEX(Tbl_KPIMaster[Maximum Target],MATCH($G196,Tbl_KPIMaster[KPI],0)),"")</f>
        <v/>
      </c>
      <c r="J196" s="9" t="n">
        <v>2.12</v>
      </c>
      <c r="K196" s="8">
        <f>IFERROR(INDEX(Tbl_KPIMaster[Tolerance],MATCH($G196,Tbl_KPIMaster[KPI],0)),"")</f>
        <v/>
      </c>
      <c r="L196" s="8">
        <f>IFERROR(INDEX(Tbl_KPIMaster[Owner],MATCH($G196,Tbl_KPIMaster[KPI],0)),"")</f>
        <v/>
      </c>
      <c r="M196" s="10" t="inlineStr">
        <is>
          <t>New operator training effect</t>
        </is>
      </c>
      <c r="N196" s="8" t="inlineStr"/>
      <c r="O196" s="8" t="inlineStr">
        <is>
          <t>Low</t>
        </is>
      </c>
      <c r="P196" s="8" t="inlineStr">
        <is>
          <t>In Progress</t>
        </is>
      </c>
      <c r="Q196" s="9">
        <f>IFERROR(IF(INDEX(Tbl_KPIMaster[Direction],MATCH($G196,Tbl_KPIMaster[KPI],0))="Lower is Better",IF($J196=0,1,IF($I196=0,0,$I196/$J196)),IF($I196=0,1,$J196/$I196)),0)</f>
        <v/>
      </c>
      <c r="R196" s="8">
        <f>IF(OR($I196="",$J196=""),"",$J196-$I196)</f>
        <v/>
      </c>
      <c r="S196" s="8">
        <f>IFERROR(IF(INDEX(Tbl_KPIMaster[Direction],MATCH($G196,Tbl_KPIMaster[KPI],0))="Lower is Better",IF($J196&lt;=$I196,"Green",IF($J196&lt;=$I196+IF($I196=0,$K196,$I196*$K196),"Amber","Red")),IF($J196&gt;=$I196,"Green",IF($J196&gt;=$I196-IF($I196=0,$K196,$I196*$K196),"Amber","Red"))),"")</f>
        <v/>
      </c>
      <c r="T196" s="10" t="inlineStr"/>
    </row>
    <row r="197">
      <c r="A197" s="3" t="n">
        <v>46139</v>
      </c>
      <c r="B197" s="4">
        <f>IF($A197="","",TEXT($A197,"mmm-yyyy"))</f>
        <v/>
      </c>
      <c r="C197" s="4">
        <f>IF($A197="","","W"&amp;WEEKNUM($A197,2))</f>
        <v/>
      </c>
      <c r="D197" s="4">
        <f>IF($A197="","",TEXT($A197,"ddd"))</f>
        <v/>
      </c>
      <c r="E197" s="4" t="inlineStr">
        <is>
          <t>Engineering</t>
        </is>
      </c>
      <c r="F197" s="4">
        <f>IFERROR(INDEX(Tbl_KPIMaster[Category],MATCH($G197,Tbl_KPIMaster[KPI],0)),"")</f>
        <v/>
      </c>
      <c r="G197" s="4" t="inlineStr">
        <is>
          <t>Project Milestone Adherence %</t>
        </is>
      </c>
      <c r="H197" s="4">
        <f>IFERROR(INDEX(Tbl_KPIMaster[Unit],MATCH($G197,Tbl_KPIMaster[KPI],0)),"")</f>
        <v/>
      </c>
      <c r="I197" s="5">
        <f>IFERROR(INDEX(Tbl_KPIMaster[Maximum Target],MATCH($G197,Tbl_KPIMaster[KPI],0)),"")</f>
        <v/>
      </c>
      <c r="J197" s="5" t="n">
        <v>0.8415</v>
      </c>
      <c r="K197" s="4">
        <f>IFERROR(INDEX(Tbl_KPIMaster[Tolerance],MATCH($G197,Tbl_KPIMaster[KPI],0)),"")</f>
        <v/>
      </c>
      <c r="L197" s="4">
        <f>IFERROR(INDEX(Tbl_KPIMaster[Owner],MATCH($G197,Tbl_KPIMaster[KPI],0)),"")</f>
        <v/>
      </c>
      <c r="M197" s="6" t="inlineStr">
        <is>
          <t>Within normal range</t>
        </is>
      </c>
      <c r="N197" s="4" t="inlineStr">
        <is>
          <t>Engineering support needed</t>
        </is>
      </c>
      <c r="O197" s="4" t="inlineStr">
        <is>
          <t>Low</t>
        </is>
      </c>
      <c r="P197" s="4" t="inlineStr">
        <is>
          <t>Closed</t>
        </is>
      </c>
      <c r="Q197" s="5">
        <f>IFERROR(IF(INDEX(Tbl_KPIMaster[Direction],MATCH($G197,Tbl_KPIMaster[KPI],0))="Lower is Better",IF($J197=0,1,IF($I197=0,0,$I197/$J197)),IF($I197=0,1,$J197/$I197)),0)</f>
        <v/>
      </c>
      <c r="R197" s="4">
        <f>IF(OR($I197="",$J197=""),"",$J197-$I197)</f>
        <v/>
      </c>
      <c r="S197" s="4">
        <f>IFERROR(IF(INDEX(Tbl_KPIMaster[Direction],MATCH($G197,Tbl_KPIMaster[KPI],0))="Lower is Better",IF($J197&lt;=$I197,"Green",IF($J197&lt;=$I197+IF($I197=0,$K197,$I197*$K197),"Amber","Red")),IF($J197&gt;=$I197,"Green",IF($J197&gt;=$I197-IF($I197=0,$K197,$I197*$K197),"Amber","Red"))),"")</f>
        <v/>
      </c>
      <c r="T197" s="6" t="inlineStr"/>
    </row>
    <row r="198">
      <c r="A198" s="7" t="n">
        <v>46139</v>
      </c>
      <c r="B198" s="8">
        <f>IF($A198="","",TEXT($A198,"mmm-yyyy"))</f>
        <v/>
      </c>
      <c r="C198" s="8">
        <f>IF($A198="","","W"&amp;WEEKNUM($A198,2))</f>
        <v/>
      </c>
      <c r="D198" s="8">
        <f>IF($A198="","",TEXT($A198,"ddd"))</f>
        <v/>
      </c>
      <c r="E198" s="8" t="inlineStr">
        <is>
          <t>Engineering</t>
        </is>
      </c>
      <c r="F198" s="8">
        <f>IFERROR(INDEX(Tbl_KPIMaster[Category],MATCH($G198,Tbl_KPIMaster[KPI],0)),"")</f>
        <v/>
      </c>
      <c r="G198" s="8" t="inlineStr">
        <is>
          <t>Breakdown Resolution Time</t>
        </is>
      </c>
      <c r="H198" s="8">
        <f>IFERROR(INDEX(Tbl_KPIMaster[Unit],MATCH($G198,Tbl_KPIMaster[KPI],0)),"")</f>
        <v/>
      </c>
      <c r="I198" s="9">
        <f>IFERROR(INDEX(Tbl_KPIMaster[Maximum Target],MATCH($G198,Tbl_KPIMaster[KPI],0)),"")</f>
        <v/>
      </c>
      <c r="J198" s="9" t="n">
        <v>0</v>
      </c>
      <c r="K198" s="8">
        <f>IFERROR(INDEX(Tbl_KPIMaster[Tolerance],MATCH($G198,Tbl_KPIMaster[KPI],0)),"")</f>
        <v/>
      </c>
      <c r="L198" s="8">
        <f>IFERROR(INDEX(Tbl_KPIMaster[Owner],MATCH($G198,Tbl_KPIMaster[KPI],0)),"")</f>
        <v/>
      </c>
      <c r="M198" s="10" t="inlineStr">
        <is>
          <t>Manpower shortage</t>
        </is>
      </c>
      <c r="N198" s="8" t="inlineStr"/>
      <c r="O198" s="8" t="inlineStr">
        <is>
          <t>Low</t>
        </is>
      </c>
      <c r="P198" s="8" t="inlineStr">
        <is>
          <t>Open</t>
        </is>
      </c>
      <c r="Q198" s="9">
        <f>IFERROR(IF(INDEX(Tbl_KPIMaster[Direction],MATCH($G198,Tbl_KPIMaster[KPI],0))="Lower is Better",IF($J198=0,1,IF($I198=0,0,$I198/$J198)),IF($I198=0,1,$J198/$I198)),0)</f>
        <v/>
      </c>
      <c r="R198" s="8">
        <f>IF(OR($I198="",$J198=""),"",$J198-$I198)</f>
        <v/>
      </c>
      <c r="S198" s="8">
        <f>IFERROR(IF(INDEX(Tbl_KPIMaster[Direction],MATCH($G198,Tbl_KPIMaster[KPI],0))="Lower is Better",IF($J198&lt;=$I198,"Green",IF($J198&lt;=$I198+IF($I198=0,$K198,$I198*$K198),"Amber","Red")),IF($J198&gt;=$I198,"Green",IF($J198&gt;=$I198-IF($I198=0,$K198,$I198*$K198),"Amber","Red"))),"")</f>
        <v/>
      </c>
      <c r="T198" s="10" t="inlineStr"/>
    </row>
    <row r="199">
      <c r="A199" s="3" t="n">
        <v>46139</v>
      </c>
      <c r="B199" s="4">
        <f>IF($A199="","",TEXT($A199,"mmm-yyyy"))</f>
        <v/>
      </c>
      <c r="C199" s="4">
        <f>IF($A199="","","W"&amp;WEEKNUM($A199,2))</f>
        <v/>
      </c>
      <c r="D199" s="4">
        <f>IF($A199="","",TEXT($A199,"ddd"))</f>
        <v/>
      </c>
      <c r="E199" s="4" t="inlineStr">
        <is>
          <t>Cost</t>
        </is>
      </c>
      <c r="F199" s="4">
        <f>IFERROR(INDEX(Tbl_KPIMaster[Category],MATCH($G199,Tbl_KPIMaster[KPI],0)),"")</f>
        <v/>
      </c>
      <c r="G199" s="4" t="inlineStr">
        <is>
          <t>Cost per Unit</t>
        </is>
      </c>
      <c r="H199" s="4">
        <f>IFERROR(INDEX(Tbl_KPIMaster[Unit],MATCH($G199,Tbl_KPIMaster[KPI],0)),"")</f>
        <v/>
      </c>
      <c r="I199" s="5">
        <f>IFERROR(INDEX(Tbl_KPIMaster[Maximum Target],MATCH($G199,Tbl_KPIMaster[KPI],0)),"")</f>
        <v/>
      </c>
      <c r="J199" s="5" t="n">
        <v>39.87</v>
      </c>
      <c r="K199" s="4">
        <f>IFERROR(INDEX(Tbl_KPIMaster[Tolerance],MATCH($G199,Tbl_KPIMaster[KPI],0)),"")</f>
        <v/>
      </c>
      <c r="L199" s="4">
        <f>IFERROR(INDEX(Tbl_KPIMaster[Owner],MATCH($G199,Tbl_KPIMaster[KPI],0)),"")</f>
        <v/>
      </c>
      <c r="M199" s="6" t="inlineStr">
        <is>
          <t>New operator training effect</t>
        </is>
      </c>
      <c r="N199" s="4" t="inlineStr">
        <is>
          <t>Management approval pending</t>
        </is>
      </c>
      <c r="O199" s="4" t="inlineStr">
        <is>
          <t>Low</t>
        </is>
      </c>
      <c r="P199" s="4" t="inlineStr">
        <is>
          <t>Closed</t>
        </is>
      </c>
      <c r="Q199" s="5">
        <f>IFERROR(IF(INDEX(Tbl_KPIMaster[Direction],MATCH($G199,Tbl_KPIMaster[KPI],0))="Lower is Better",IF($J199=0,1,IF($I199=0,0,$I199/$J199)),IF($I199=0,1,$J199/$I199)),0)</f>
        <v/>
      </c>
      <c r="R199" s="4">
        <f>IF(OR($I199="",$J199=""),"",$J199-$I199)</f>
        <v/>
      </c>
      <c r="S199" s="4">
        <f>IFERROR(IF(INDEX(Tbl_KPIMaster[Direction],MATCH($G199,Tbl_KPIMaster[KPI],0))="Lower is Better",IF($J199&lt;=$I199,"Green",IF($J199&lt;=$I199+IF($I199=0,$K199,$I199*$K199),"Amber","Red")),IF($J199&gt;=$I199,"Green",IF($J199&gt;=$I199-IF($I199=0,$K199,$I199*$K199),"Amber","Red"))),"")</f>
        <v/>
      </c>
      <c r="T199" s="6" t="inlineStr"/>
    </row>
    <row r="200">
      <c r="A200" s="7" t="n">
        <v>46139</v>
      </c>
      <c r="B200" s="8">
        <f>IF($A200="","",TEXT($A200,"mmm-yyyy"))</f>
        <v/>
      </c>
      <c r="C200" s="8">
        <f>IF($A200="","","W"&amp;WEEKNUM($A200,2))</f>
        <v/>
      </c>
      <c r="D200" s="8">
        <f>IF($A200="","",TEXT($A200,"ddd"))</f>
        <v/>
      </c>
      <c r="E200" s="8" t="inlineStr">
        <is>
          <t>Cost</t>
        </is>
      </c>
      <c r="F200" s="8">
        <f>IFERROR(INDEX(Tbl_KPIMaster[Category],MATCH($G200,Tbl_KPIMaster[KPI],0)),"")</f>
        <v/>
      </c>
      <c r="G200" s="8" t="inlineStr">
        <is>
          <t>Budget Variance %</t>
        </is>
      </c>
      <c r="H200" s="8">
        <f>IFERROR(INDEX(Tbl_KPIMaster[Unit],MATCH($G200,Tbl_KPIMaster[KPI],0)),"")</f>
        <v/>
      </c>
      <c r="I200" s="9">
        <f>IFERROR(INDEX(Tbl_KPIMaster[Maximum Target],MATCH($G200,Tbl_KPIMaster[KPI],0)),"")</f>
        <v/>
      </c>
      <c r="J200" s="9" t="n">
        <v>0</v>
      </c>
      <c r="K200" s="8">
        <f>IFERROR(INDEX(Tbl_KPIMaster[Tolerance],MATCH($G200,Tbl_KPIMaster[KPI],0)),"")</f>
        <v/>
      </c>
      <c r="L200" s="8">
        <f>IFERROR(INDEX(Tbl_KPIMaster[Owner],MATCH($G200,Tbl_KPIMaster[KPI],0)),"")</f>
        <v/>
      </c>
      <c r="M200" s="10" t="inlineStr">
        <is>
          <t>Weather impact</t>
        </is>
      </c>
      <c r="N200" s="8" t="inlineStr">
        <is>
          <t>Procurement follow-up</t>
        </is>
      </c>
      <c r="O200" s="8" t="inlineStr">
        <is>
          <t>High</t>
        </is>
      </c>
      <c r="P200" s="8" t="inlineStr">
        <is>
          <t>Closed</t>
        </is>
      </c>
      <c r="Q200" s="9">
        <f>IFERROR(IF(INDEX(Tbl_KPIMaster[Direction],MATCH($G200,Tbl_KPIMaster[KPI],0))="Lower is Better",IF($J200=0,1,IF($I200=0,0,$I200/$J200)),IF($I200=0,1,$J200/$I200)),0)</f>
        <v/>
      </c>
      <c r="R200" s="8">
        <f>IF(OR($I200="",$J200=""),"",$J200-$I200)</f>
        <v/>
      </c>
      <c r="S200" s="8">
        <f>IFERROR(IF(INDEX(Tbl_KPIMaster[Direction],MATCH($G200,Tbl_KPIMaster[KPI],0))="Lower is Better",IF($J200&lt;=$I200,"Green",IF($J200&lt;=$I200+IF($I200=0,$K200,$I200*$K200),"Amber","Red")),IF($J200&gt;=$I200,"Green",IF($J200&gt;=$I200-IF($I200=0,$K200,$I200*$K200),"Amber","Red"))),"")</f>
        <v/>
      </c>
      <c r="T200" s="10" t="inlineStr"/>
    </row>
    <row r="201">
      <c r="A201" s="3" t="n">
        <v>46139</v>
      </c>
      <c r="B201" s="4">
        <f>IF($A201="","",TEXT($A201,"mmm-yyyy"))</f>
        <v/>
      </c>
      <c r="C201" s="4">
        <f>IF($A201="","","W"&amp;WEEKNUM($A201,2))</f>
        <v/>
      </c>
      <c r="D201" s="4">
        <f>IF($A201="","",TEXT($A201,"ddd"))</f>
        <v/>
      </c>
      <c r="E201" s="4" t="inlineStr">
        <is>
          <t>Energy</t>
        </is>
      </c>
      <c r="F201" s="4">
        <f>IFERROR(INDEX(Tbl_KPIMaster[Category],MATCH($G201,Tbl_KPIMaster[KPI],0)),"")</f>
        <v/>
      </c>
      <c r="G201" s="4" t="inlineStr">
        <is>
          <t>Energy Intensity (kWh/unit)</t>
        </is>
      </c>
      <c r="H201" s="4">
        <f>IFERROR(INDEX(Tbl_KPIMaster[Unit],MATCH($G201,Tbl_KPIMaster[KPI],0)),"")</f>
        <v/>
      </c>
      <c r="I201" s="5">
        <f>IFERROR(INDEX(Tbl_KPIMaster[Maximum Target],MATCH($G201,Tbl_KPIMaster[KPI],0)),"")</f>
        <v/>
      </c>
      <c r="J201" s="5" t="n">
        <v>3.39</v>
      </c>
      <c r="K201" s="4">
        <f>IFERROR(INDEX(Tbl_KPIMaster[Tolerance],MATCH($G201,Tbl_KPIMaster[KPI],0)),"")</f>
        <v/>
      </c>
      <c r="L201" s="4">
        <f>IFERROR(INDEX(Tbl_KPIMaster[Owner],MATCH($G201,Tbl_KPIMaster[KPI],0)),"")</f>
        <v/>
      </c>
      <c r="M201" s="6" t="inlineStr">
        <is>
          <t>Within normal range</t>
        </is>
      </c>
      <c r="N201" s="4" t="inlineStr">
        <is>
          <t>Engineering support needed</t>
        </is>
      </c>
      <c r="O201" s="4" t="inlineStr">
        <is>
          <t>Low</t>
        </is>
      </c>
      <c r="P201" s="4" t="inlineStr">
        <is>
          <t>In Progress</t>
        </is>
      </c>
      <c r="Q201" s="5">
        <f>IFERROR(IF(INDEX(Tbl_KPIMaster[Direction],MATCH($G201,Tbl_KPIMaster[KPI],0))="Lower is Better",IF($J201=0,1,IF($I201=0,0,$I201/$J201)),IF($I201=0,1,$J201/$I201)),0)</f>
        <v/>
      </c>
      <c r="R201" s="4">
        <f>IF(OR($I201="",$J201=""),"",$J201-$I201)</f>
        <v/>
      </c>
      <c r="S201" s="4">
        <f>IFERROR(IF(INDEX(Tbl_KPIMaster[Direction],MATCH($G201,Tbl_KPIMaster[KPI],0))="Lower is Better",IF($J201&lt;=$I201,"Green",IF($J201&lt;=$I201+IF($I201=0,$K201,$I201*$K201),"Amber","Red")),IF($J201&gt;=$I201,"Green",IF($J201&gt;=$I201-IF($I201=0,$K201,$I201*$K201),"Amber","Red"))),"")</f>
        <v/>
      </c>
      <c r="T201" s="6" t="inlineStr"/>
    </row>
    <row r="202">
      <c r="A202" s="7" t="n">
        <v>46139</v>
      </c>
      <c r="B202" s="8">
        <f>IF($A202="","",TEXT($A202,"mmm-yyyy"))</f>
        <v/>
      </c>
      <c r="C202" s="8">
        <f>IF($A202="","","W"&amp;WEEKNUM($A202,2))</f>
        <v/>
      </c>
      <c r="D202" s="8">
        <f>IF($A202="","",TEXT($A202,"ddd"))</f>
        <v/>
      </c>
      <c r="E202" s="8" t="inlineStr">
        <is>
          <t>Energy</t>
        </is>
      </c>
      <c r="F202" s="8">
        <f>IFERROR(INDEX(Tbl_KPIMaster[Category],MATCH($G202,Tbl_KPIMaster[KPI],0)),"")</f>
        <v/>
      </c>
      <c r="G202" s="8" t="inlineStr">
        <is>
          <t>Renewable Energy Share %</t>
        </is>
      </c>
      <c r="H202" s="8">
        <f>IFERROR(INDEX(Tbl_KPIMaster[Unit],MATCH($G202,Tbl_KPIMaster[KPI],0)),"")</f>
        <v/>
      </c>
      <c r="I202" s="9">
        <f>IFERROR(INDEX(Tbl_KPIMaster[Maximum Target],MATCH($G202,Tbl_KPIMaster[KPI],0)),"")</f>
        <v/>
      </c>
      <c r="J202" s="9" t="n">
        <v>0.2289</v>
      </c>
      <c r="K202" s="8">
        <f>IFERROR(INDEX(Tbl_KPIMaster[Tolerance],MATCH($G202,Tbl_KPIMaster[KPI],0)),"")</f>
        <v/>
      </c>
      <c r="L202" s="8">
        <f>IFERROR(INDEX(Tbl_KPIMaster[Owner],MATCH($G202,Tbl_KPIMaster[KPI],0)),"")</f>
        <v/>
      </c>
      <c r="M202" s="10" t="inlineStr">
        <is>
          <t>Equipment breakdown</t>
        </is>
      </c>
      <c r="N202" s="8" t="inlineStr"/>
      <c r="O202" s="8" t="inlineStr">
        <is>
          <t>Medium</t>
        </is>
      </c>
      <c r="P202" s="8" t="inlineStr">
        <is>
          <t>Open</t>
        </is>
      </c>
      <c r="Q202" s="9">
        <f>IFERROR(IF(INDEX(Tbl_KPIMaster[Direction],MATCH($G202,Tbl_KPIMaster[KPI],0))="Lower is Better",IF($J202=0,1,IF($I202=0,0,$I202/$J202)),IF($I202=0,1,$J202/$I202)),0)</f>
        <v/>
      </c>
      <c r="R202" s="8">
        <f>IF(OR($I202="",$J202=""),"",$J202-$I202)</f>
        <v/>
      </c>
      <c r="S202" s="8">
        <f>IFERROR(IF(INDEX(Tbl_KPIMaster[Direction],MATCH($G202,Tbl_KPIMaster[KPI],0))="Lower is Better",IF($J202&lt;=$I202,"Green",IF($J202&lt;=$I202+IF($I202=0,$K202,$I202*$K202),"Amber","Red")),IF($J202&gt;=$I202,"Green",IF($J202&gt;=$I202-IF($I202=0,$K202,$I202*$K202),"Amber","Red"))),"")</f>
        <v/>
      </c>
      <c r="T202" s="10" t="inlineStr"/>
    </row>
    <row r="203">
      <c r="A203" s="3" t="n">
        <v>46140</v>
      </c>
      <c r="B203" s="4">
        <f>IF($A203="","",TEXT($A203,"mmm-yyyy"))</f>
        <v/>
      </c>
      <c r="C203" s="4">
        <f>IF($A203="","","W"&amp;WEEKNUM($A203,2))</f>
        <v/>
      </c>
      <c r="D203" s="4">
        <f>IF($A203="","",TEXT($A203,"ddd"))</f>
        <v/>
      </c>
      <c r="E203" s="4" t="inlineStr">
        <is>
          <t>Safety</t>
        </is>
      </c>
      <c r="F203" s="4">
        <f>IFERROR(INDEX(Tbl_KPIMaster[Category],MATCH($G203,Tbl_KPIMaster[KPI],0)),"")</f>
        <v/>
      </c>
      <c r="G203" s="4" t="inlineStr">
        <is>
          <t>Safety Incidents (LTI)</t>
        </is>
      </c>
      <c r="H203" s="4">
        <f>IFERROR(INDEX(Tbl_KPIMaster[Unit],MATCH($G203,Tbl_KPIMaster[KPI],0)),"")</f>
        <v/>
      </c>
      <c r="I203" s="5">
        <f>IFERROR(INDEX(Tbl_KPIMaster[Maximum Target],MATCH($G203,Tbl_KPIMaster[KPI],0)),"")</f>
        <v/>
      </c>
      <c r="J203" s="5" t="n">
        <v>0</v>
      </c>
      <c r="K203" s="4">
        <f>IFERROR(INDEX(Tbl_KPIMaster[Tolerance],MATCH($G203,Tbl_KPIMaster[KPI],0)),"")</f>
        <v/>
      </c>
      <c r="L203" s="4">
        <f>IFERROR(INDEX(Tbl_KPIMaster[Owner],MATCH($G203,Tbl_KPIMaster[KPI],0)),"")</f>
        <v/>
      </c>
      <c r="M203" s="6" t="inlineStr">
        <is>
          <t>Weather impact</t>
        </is>
      </c>
      <c r="N203" s="4" t="inlineStr"/>
      <c r="O203" s="4" t="inlineStr">
        <is>
          <t>High</t>
        </is>
      </c>
      <c r="P203" s="4" t="inlineStr">
        <is>
          <t>Closed</t>
        </is>
      </c>
      <c r="Q203" s="5">
        <f>IFERROR(IF(INDEX(Tbl_KPIMaster[Direction],MATCH($G203,Tbl_KPIMaster[KPI],0))="Lower is Better",IF($J203=0,1,IF($I203=0,0,$I203/$J203)),IF($I203=0,1,$J203/$I203)),0)</f>
        <v/>
      </c>
      <c r="R203" s="4">
        <f>IF(OR($I203="",$J203=""),"",$J203-$I203)</f>
        <v/>
      </c>
      <c r="S203" s="4">
        <f>IFERROR(IF(INDEX(Tbl_KPIMaster[Direction],MATCH($G203,Tbl_KPIMaster[KPI],0))="Lower is Better",IF($J203&lt;=$I203,"Green",IF($J203&lt;=$I203+IF($I203=0,$K203,$I203*$K203),"Amber","Red")),IF($J203&gt;=$I203,"Green",IF($J203&gt;=$I203-IF($I203=0,$K203,$I203*$K203),"Amber","Red"))),"")</f>
        <v/>
      </c>
      <c r="T203" s="6" t="inlineStr"/>
    </row>
    <row r="204">
      <c r="A204" s="7" t="n">
        <v>46140</v>
      </c>
      <c r="B204" s="8">
        <f>IF($A204="","",TEXT($A204,"mmm-yyyy"))</f>
        <v/>
      </c>
      <c r="C204" s="8">
        <f>IF($A204="","","W"&amp;WEEKNUM($A204,2))</f>
        <v/>
      </c>
      <c r="D204" s="8">
        <f>IF($A204="","",TEXT($A204,"ddd"))</f>
        <v/>
      </c>
      <c r="E204" s="8" t="inlineStr">
        <is>
          <t>Safety</t>
        </is>
      </c>
      <c r="F204" s="8">
        <f>IFERROR(INDEX(Tbl_KPIMaster[Category],MATCH($G204,Tbl_KPIMaster[KPI],0)),"")</f>
        <v/>
      </c>
      <c r="G204" s="8" t="inlineStr">
        <is>
          <t>Near Miss Reports</t>
        </is>
      </c>
      <c r="H204" s="8">
        <f>IFERROR(INDEX(Tbl_KPIMaster[Unit],MATCH($G204,Tbl_KPIMaster[KPI],0)),"")</f>
        <v/>
      </c>
      <c r="I204" s="9">
        <f>IFERROR(INDEX(Tbl_KPIMaster[Maximum Target],MATCH($G204,Tbl_KPIMaster[KPI],0)),"")</f>
        <v/>
      </c>
      <c r="J204" s="9" t="n">
        <v>2</v>
      </c>
      <c r="K204" s="8">
        <f>IFERROR(INDEX(Tbl_KPIMaster[Tolerance],MATCH($G204,Tbl_KPIMaster[KPI],0)),"")</f>
        <v/>
      </c>
      <c r="L204" s="8">
        <f>IFERROR(INDEX(Tbl_KPIMaster[Owner],MATCH($G204,Tbl_KPIMaster[KPI],0)),"")</f>
        <v/>
      </c>
      <c r="M204" s="10" t="inlineStr">
        <is>
          <t>Awaiting spares</t>
        </is>
      </c>
      <c r="N204" s="8" t="inlineStr">
        <is>
          <t>Management approval pending</t>
        </is>
      </c>
      <c r="O204" s="8" t="inlineStr">
        <is>
          <t>Medium</t>
        </is>
      </c>
      <c r="P204" s="8" t="inlineStr">
        <is>
          <t>Open</t>
        </is>
      </c>
      <c r="Q204" s="9">
        <f>IFERROR(IF(INDEX(Tbl_KPIMaster[Direction],MATCH($G204,Tbl_KPIMaster[KPI],0))="Lower is Better",IF($J204=0,1,IF($I204=0,0,$I204/$J204)),IF($I204=0,1,$J204/$I204)),0)</f>
        <v/>
      </c>
      <c r="R204" s="8">
        <f>IF(OR($I204="",$J204=""),"",$J204-$I204)</f>
        <v/>
      </c>
      <c r="S204" s="8">
        <f>IFERROR(IF(INDEX(Tbl_KPIMaster[Direction],MATCH($G204,Tbl_KPIMaster[KPI],0))="Lower is Better",IF($J204&lt;=$I204,"Green",IF($J204&lt;=$I204+IF($I204=0,$K204,$I204*$K204),"Amber","Red")),IF($J204&gt;=$I204,"Green",IF($J204&gt;=$I204-IF($I204=0,$K204,$I204*$K204),"Amber","Red"))),"")</f>
        <v/>
      </c>
      <c r="T204" s="10" t="inlineStr"/>
    </row>
    <row r="205">
      <c r="A205" s="3" t="n">
        <v>46140</v>
      </c>
      <c r="B205" s="4">
        <f>IF($A205="","",TEXT($A205,"mmm-yyyy"))</f>
        <v/>
      </c>
      <c r="C205" s="4">
        <f>IF($A205="","","W"&amp;WEEKNUM($A205,2))</f>
        <v/>
      </c>
      <c r="D205" s="4">
        <f>IF($A205="","",TEXT($A205,"ddd"))</f>
        <v/>
      </c>
      <c r="E205" s="4" t="inlineStr">
        <is>
          <t>Production</t>
        </is>
      </c>
      <c r="F205" s="4">
        <f>IFERROR(INDEX(Tbl_KPIMaster[Category],MATCH($G205,Tbl_KPIMaster[KPI],0)),"")</f>
        <v/>
      </c>
      <c r="G205" s="4" t="inlineStr">
        <is>
          <t>Production Output</t>
        </is>
      </c>
      <c r="H205" s="4">
        <f>IFERROR(INDEX(Tbl_KPIMaster[Unit],MATCH($G205,Tbl_KPIMaster[KPI],0)),"")</f>
        <v/>
      </c>
      <c r="I205" s="5">
        <f>IFERROR(INDEX(Tbl_KPIMaster[Maximum Target],MATCH($G205,Tbl_KPIMaster[KPI],0)),"")</f>
        <v/>
      </c>
      <c r="J205" s="5" t="n">
        <v>1024.42</v>
      </c>
      <c r="K205" s="4">
        <f>IFERROR(INDEX(Tbl_KPIMaster[Tolerance],MATCH($G205,Tbl_KPIMaster[KPI],0)),"")</f>
        <v/>
      </c>
      <c r="L205" s="4">
        <f>IFERROR(INDEX(Tbl_KPIMaster[Owner],MATCH($G205,Tbl_KPIMaster[KPI],0)),"")</f>
        <v/>
      </c>
      <c r="M205" s="6" t="inlineStr">
        <is>
          <t>New operator training effect</t>
        </is>
      </c>
      <c r="N205" s="4" t="inlineStr"/>
      <c r="O205" s="4" t="inlineStr">
        <is>
          <t>Low</t>
        </is>
      </c>
      <c r="P205" s="4" t="inlineStr">
        <is>
          <t>Closed</t>
        </is>
      </c>
      <c r="Q205" s="5">
        <f>IFERROR(IF(INDEX(Tbl_KPIMaster[Direction],MATCH($G205,Tbl_KPIMaster[KPI],0))="Lower is Better",IF($J205=0,1,IF($I205=0,0,$I205/$J205)),IF($I205=0,1,$J205/$I205)),0)</f>
        <v/>
      </c>
      <c r="R205" s="4">
        <f>IF(OR($I205="",$J205=""),"",$J205-$I205)</f>
        <v/>
      </c>
      <c r="S205" s="4">
        <f>IFERROR(IF(INDEX(Tbl_KPIMaster[Direction],MATCH($G205,Tbl_KPIMaster[KPI],0))="Lower is Better",IF($J205&lt;=$I205,"Green",IF($J205&lt;=$I205+IF($I205=0,$K205,$I205*$K205),"Amber","Red")),IF($J205&gt;=$I205,"Green",IF($J205&gt;=$I205-IF($I205=0,$K205,$I205*$K205),"Amber","Red"))),"")</f>
        <v/>
      </c>
      <c r="T205" s="6" t="inlineStr"/>
    </row>
    <row r="206">
      <c r="A206" s="7" t="n">
        <v>46140</v>
      </c>
      <c r="B206" s="8">
        <f>IF($A206="","",TEXT($A206,"mmm-yyyy"))</f>
        <v/>
      </c>
      <c r="C206" s="8">
        <f>IF($A206="","","W"&amp;WEEKNUM($A206,2))</f>
        <v/>
      </c>
      <c r="D206" s="8">
        <f>IF($A206="","",TEXT($A206,"ddd"))</f>
        <v/>
      </c>
      <c r="E206" s="8" t="inlineStr">
        <is>
          <t>Production</t>
        </is>
      </c>
      <c r="F206" s="8">
        <f>IFERROR(INDEX(Tbl_KPIMaster[Category],MATCH($G206,Tbl_KPIMaster[KPI],0)),"")</f>
        <v/>
      </c>
      <c r="G206" s="8" t="inlineStr">
        <is>
          <t>OEE %</t>
        </is>
      </c>
      <c r="H206" s="8">
        <f>IFERROR(INDEX(Tbl_KPIMaster[Unit],MATCH($G206,Tbl_KPIMaster[KPI],0)),"")</f>
        <v/>
      </c>
      <c r="I206" s="9">
        <f>IFERROR(INDEX(Tbl_KPIMaster[Maximum Target],MATCH($G206,Tbl_KPIMaster[KPI],0)),"")</f>
        <v/>
      </c>
      <c r="J206" s="9" t="n">
        <v>0.8875999999999999</v>
      </c>
      <c r="K206" s="8">
        <f>IFERROR(INDEX(Tbl_KPIMaster[Tolerance],MATCH($G206,Tbl_KPIMaster[KPI],0)),"")</f>
        <v/>
      </c>
      <c r="L206" s="8">
        <f>IFERROR(INDEX(Tbl_KPIMaster[Owner],MATCH($G206,Tbl_KPIMaster[KPI],0)),"")</f>
        <v/>
      </c>
      <c r="M206" s="10" t="inlineStr"/>
      <c r="N206" s="8" t="inlineStr"/>
      <c r="O206" s="8" t="inlineStr">
        <is>
          <t>High</t>
        </is>
      </c>
      <c r="P206" s="8" t="inlineStr">
        <is>
          <t>Open</t>
        </is>
      </c>
      <c r="Q206" s="9">
        <f>IFERROR(IF(INDEX(Tbl_KPIMaster[Direction],MATCH($G206,Tbl_KPIMaster[KPI],0))="Lower is Better",IF($J206=0,1,IF($I206=0,0,$I206/$J206)),IF($I206=0,1,$J206/$I206)),0)</f>
        <v/>
      </c>
      <c r="R206" s="8">
        <f>IF(OR($I206="",$J206=""),"",$J206-$I206)</f>
        <v/>
      </c>
      <c r="S206" s="8">
        <f>IFERROR(IF(INDEX(Tbl_KPIMaster[Direction],MATCH($G206,Tbl_KPIMaster[KPI],0))="Lower is Better",IF($J206&lt;=$I206,"Green",IF($J206&lt;=$I206+IF($I206=0,$K206,$I206*$K206),"Amber","Red")),IF($J206&gt;=$I206,"Green",IF($J206&gt;=$I206-IF($I206=0,$K206,$I206*$K206),"Amber","Red"))),"")</f>
        <v/>
      </c>
      <c r="T206" s="10" t="inlineStr"/>
    </row>
    <row r="207">
      <c r="A207" s="3" t="n">
        <v>46140</v>
      </c>
      <c r="B207" s="4">
        <f>IF($A207="","",TEXT($A207,"mmm-yyyy"))</f>
        <v/>
      </c>
      <c r="C207" s="4">
        <f>IF($A207="","","W"&amp;WEEKNUM($A207,2))</f>
        <v/>
      </c>
      <c r="D207" s="4">
        <f>IF($A207="","",TEXT($A207,"ddd"))</f>
        <v/>
      </c>
      <c r="E207" s="4" t="inlineStr">
        <is>
          <t>Quality</t>
        </is>
      </c>
      <c r="F207" s="4">
        <f>IFERROR(INDEX(Tbl_KPIMaster[Category],MATCH($G207,Tbl_KPIMaster[KPI],0)),"")</f>
        <v/>
      </c>
      <c r="G207" s="4" t="inlineStr">
        <is>
          <t>Defect Rate %</t>
        </is>
      </c>
      <c r="H207" s="4">
        <f>IFERROR(INDEX(Tbl_KPIMaster[Unit],MATCH($G207,Tbl_KPIMaster[KPI],0)),"")</f>
        <v/>
      </c>
      <c r="I207" s="5">
        <f>IFERROR(INDEX(Tbl_KPIMaster[Maximum Target],MATCH($G207,Tbl_KPIMaster[KPI],0)),"")</f>
        <v/>
      </c>
      <c r="J207" s="5" t="n">
        <v>0</v>
      </c>
      <c r="K207" s="4">
        <f>IFERROR(INDEX(Tbl_KPIMaster[Tolerance],MATCH($G207,Tbl_KPIMaster[KPI],0)),"")</f>
        <v/>
      </c>
      <c r="L207" s="4">
        <f>IFERROR(INDEX(Tbl_KPIMaster[Owner],MATCH($G207,Tbl_KPIMaster[KPI],0)),"")</f>
        <v/>
      </c>
      <c r="M207" s="6" t="inlineStr">
        <is>
          <t>Awaiting spares</t>
        </is>
      </c>
      <c r="N207" s="4" t="inlineStr">
        <is>
          <t>Engineering support needed</t>
        </is>
      </c>
      <c r="O207" s="4" t="inlineStr">
        <is>
          <t>Medium</t>
        </is>
      </c>
      <c r="P207" s="4" t="inlineStr">
        <is>
          <t>Closed</t>
        </is>
      </c>
      <c r="Q207" s="5">
        <f>IFERROR(IF(INDEX(Tbl_KPIMaster[Direction],MATCH($G207,Tbl_KPIMaster[KPI],0))="Lower is Better",IF($J207=0,1,IF($I207=0,0,$I207/$J207)),IF($I207=0,1,$J207/$I207)),0)</f>
        <v/>
      </c>
      <c r="R207" s="4">
        <f>IF(OR($I207="",$J207=""),"",$J207-$I207)</f>
        <v/>
      </c>
      <c r="S207" s="4">
        <f>IFERROR(IF(INDEX(Tbl_KPIMaster[Direction],MATCH($G207,Tbl_KPIMaster[KPI],0))="Lower is Better",IF($J207&lt;=$I207,"Green",IF($J207&lt;=$I207+IF($I207=0,$K207,$I207*$K207),"Amber","Red")),IF($J207&gt;=$I207,"Green",IF($J207&gt;=$I207-IF($I207=0,$K207,$I207*$K207),"Amber","Red"))),"")</f>
        <v/>
      </c>
      <c r="T207" s="6" t="inlineStr"/>
    </row>
    <row r="208">
      <c r="A208" s="7" t="n">
        <v>46140</v>
      </c>
      <c r="B208" s="8">
        <f>IF($A208="","",TEXT($A208,"mmm-yyyy"))</f>
        <v/>
      </c>
      <c r="C208" s="8">
        <f>IF($A208="","","W"&amp;WEEKNUM($A208,2))</f>
        <v/>
      </c>
      <c r="D208" s="8">
        <f>IF($A208="","",TEXT($A208,"ddd"))</f>
        <v/>
      </c>
      <c r="E208" s="8" t="inlineStr">
        <is>
          <t>Quality</t>
        </is>
      </c>
      <c r="F208" s="8">
        <f>IFERROR(INDEX(Tbl_KPIMaster[Category],MATCH($G208,Tbl_KPIMaster[KPI],0)),"")</f>
        <v/>
      </c>
      <c r="G208" s="8" t="inlineStr">
        <is>
          <t>Customer Complaints</t>
        </is>
      </c>
      <c r="H208" s="8">
        <f>IFERROR(INDEX(Tbl_KPIMaster[Unit],MATCH($G208,Tbl_KPIMaster[KPI],0)),"")</f>
        <v/>
      </c>
      <c r="I208" s="9">
        <f>IFERROR(INDEX(Tbl_KPIMaster[Maximum Target],MATCH($G208,Tbl_KPIMaster[KPI],0)),"")</f>
        <v/>
      </c>
      <c r="J208" s="9" t="n">
        <v>2</v>
      </c>
      <c r="K208" s="8">
        <f>IFERROR(INDEX(Tbl_KPIMaster[Tolerance],MATCH($G208,Tbl_KPIMaster[KPI],0)),"")</f>
        <v/>
      </c>
      <c r="L208" s="8">
        <f>IFERROR(INDEX(Tbl_KPIMaster[Owner],MATCH($G208,Tbl_KPIMaster[KPI],0)),"")</f>
        <v/>
      </c>
      <c r="M208" s="10" t="inlineStr">
        <is>
          <t>Line changeover impact</t>
        </is>
      </c>
      <c r="N208" s="8" t="inlineStr"/>
      <c r="O208" s="8" t="inlineStr">
        <is>
          <t>Low</t>
        </is>
      </c>
      <c r="P208" s="8" t="inlineStr">
        <is>
          <t>Closed</t>
        </is>
      </c>
      <c r="Q208" s="9">
        <f>IFERROR(IF(INDEX(Tbl_KPIMaster[Direction],MATCH($G208,Tbl_KPIMaster[KPI],0))="Lower is Better",IF($J208=0,1,IF($I208=0,0,$I208/$J208)),IF($I208=0,1,$J208/$I208)),0)</f>
        <v/>
      </c>
      <c r="R208" s="8">
        <f>IF(OR($I208="",$J208=""),"",$J208-$I208)</f>
        <v/>
      </c>
      <c r="S208" s="8">
        <f>IFERROR(IF(INDEX(Tbl_KPIMaster[Direction],MATCH($G208,Tbl_KPIMaster[KPI],0))="Lower is Better",IF($J208&lt;=$I208,"Green",IF($J208&lt;=$I208+IF($I208=0,$K208,$I208*$K208),"Amber","Red")),IF($J208&gt;=$I208,"Green",IF($J208&gt;=$I208-IF($I208=0,$K208,$I208*$K208),"Amber","Red"))),"")</f>
        <v/>
      </c>
      <c r="T208" s="10" t="inlineStr"/>
    </row>
    <row r="209">
      <c r="A209" s="3" t="n">
        <v>46140</v>
      </c>
      <c r="B209" s="4">
        <f>IF($A209="","",TEXT($A209,"mmm-yyyy"))</f>
        <v/>
      </c>
      <c r="C209" s="4">
        <f>IF($A209="","","W"&amp;WEEKNUM($A209,2))</f>
        <v/>
      </c>
      <c r="D209" s="4">
        <f>IF($A209="","",TEXT($A209,"ddd"))</f>
        <v/>
      </c>
      <c r="E209" s="4" t="inlineStr">
        <is>
          <t>Maintenance</t>
        </is>
      </c>
      <c r="F209" s="4">
        <f>IFERROR(INDEX(Tbl_KPIMaster[Category],MATCH($G209,Tbl_KPIMaster[KPI],0)),"")</f>
        <v/>
      </c>
      <c r="G209" s="4" t="inlineStr">
        <is>
          <t>Unplanned Downtime</t>
        </is>
      </c>
      <c r="H209" s="4">
        <f>IFERROR(INDEX(Tbl_KPIMaster[Unit],MATCH($G209,Tbl_KPIMaster[KPI],0)),"")</f>
        <v/>
      </c>
      <c r="I209" s="5">
        <f>IFERROR(INDEX(Tbl_KPIMaster[Maximum Target],MATCH($G209,Tbl_KPIMaster[KPI],0)),"")</f>
        <v/>
      </c>
      <c r="J209" s="5" t="n">
        <v>0.05</v>
      </c>
      <c r="K209" s="4">
        <f>IFERROR(INDEX(Tbl_KPIMaster[Tolerance],MATCH($G209,Tbl_KPIMaster[KPI],0)),"")</f>
        <v/>
      </c>
      <c r="L209" s="4">
        <f>IFERROR(INDEX(Tbl_KPIMaster[Owner],MATCH($G209,Tbl_KPIMaster[KPI],0)),"")</f>
        <v/>
      </c>
      <c r="M209" s="6" t="inlineStr">
        <is>
          <t>Awaiting spares</t>
        </is>
      </c>
      <c r="N209" s="4" t="inlineStr">
        <is>
          <t>Management approval pending</t>
        </is>
      </c>
      <c r="O209" s="4" t="inlineStr">
        <is>
          <t>Low</t>
        </is>
      </c>
      <c r="P209" s="4" t="inlineStr">
        <is>
          <t>Closed</t>
        </is>
      </c>
      <c r="Q209" s="5">
        <f>IFERROR(IF(INDEX(Tbl_KPIMaster[Direction],MATCH($G209,Tbl_KPIMaster[KPI],0))="Lower is Better",IF($J209=0,1,IF($I209=0,0,$I209/$J209)),IF($I209=0,1,$J209/$I209)),0)</f>
        <v/>
      </c>
      <c r="R209" s="4">
        <f>IF(OR($I209="",$J209=""),"",$J209-$I209)</f>
        <v/>
      </c>
      <c r="S209" s="4">
        <f>IFERROR(IF(INDEX(Tbl_KPIMaster[Direction],MATCH($G209,Tbl_KPIMaster[KPI],0))="Lower is Better",IF($J209&lt;=$I209,"Green",IF($J209&lt;=$I209+IF($I209=0,$K209,$I209*$K209),"Amber","Red")),IF($J209&gt;=$I209,"Green",IF($J209&gt;=$I209-IF($I209=0,$K209,$I209*$K209),"Amber","Red"))),"")</f>
        <v/>
      </c>
      <c r="T209" s="6" t="inlineStr"/>
    </row>
    <row r="210">
      <c r="A210" s="7" t="n">
        <v>46140</v>
      </c>
      <c r="B210" s="8">
        <f>IF($A210="","",TEXT($A210,"mmm-yyyy"))</f>
        <v/>
      </c>
      <c r="C210" s="8">
        <f>IF($A210="","","W"&amp;WEEKNUM($A210,2))</f>
        <v/>
      </c>
      <c r="D210" s="8">
        <f>IF($A210="","",TEXT($A210,"ddd"))</f>
        <v/>
      </c>
      <c r="E210" s="8" t="inlineStr">
        <is>
          <t>Maintenance</t>
        </is>
      </c>
      <c r="F210" s="8">
        <f>IFERROR(INDEX(Tbl_KPIMaster[Category],MATCH($G210,Tbl_KPIMaster[KPI],0)),"")</f>
        <v/>
      </c>
      <c r="G210" s="8" t="inlineStr">
        <is>
          <t>PM Compliance %</t>
        </is>
      </c>
      <c r="H210" s="8">
        <f>IFERROR(INDEX(Tbl_KPIMaster[Unit],MATCH($G210,Tbl_KPIMaster[KPI],0)),"")</f>
        <v/>
      </c>
      <c r="I210" s="9">
        <f>IFERROR(INDEX(Tbl_KPIMaster[Maximum Target],MATCH($G210,Tbl_KPIMaster[KPI],0)),"")</f>
        <v/>
      </c>
      <c r="J210" s="9" t="n">
        <v>0.921</v>
      </c>
      <c r="K210" s="8">
        <f>IFERROR(INDEX(Tbl_KPIMaster[Tolerance],MATCH($G210,Tbl_KPIMaster[KPI],0)),"")</f>
        <v/>
      </c>
      <c r="L210" s="8">
        <f>IFERROR(INDEX(Tbl_KPIMaster[Owner],MATCH($G210,Tbl_KPIMaster[KPI],0)),"")</f>
        <v/>
      </c>
      <c r="M210" s="10" t="inlineStr"/>
      <c r="N210" s="8" t="inlineStr">
        <is>
          <t>Engineering support needed</t>
        </is>
      </c>
      <c r="O210" s="8" t="inlineStr">
        <is>
          <t>Low</t>
        </is>
      </c>
      <c r="P210" s="8" t="inlineStr">
        <is>
          <t>Closed</t>
        </is>
      </c>
      <c r="Q210" s="9">
        <f>IFERROR(IF(INDEX(Tbl_KPIMaster[Direction],MATCH($G210,Tbl_KPIMaster[KPI],0))="Lower is Better",IF($J210=0,1,IF($I210=0,0,$I210/$J210)),IF($I210=0,1,$J210/$I210)),0)</f>
        <v/>
      </c>
      <c r="R210" s="8">
        <f>IF(OR($I210="",$J210=""),"",$J210-$I210)</f>
        <v/>
      </c>
      <c r="S210" s="8">
        <f>IFERROR(IF(INDEX(Tbl_KPIMaster[Direction],MATCH($G210,Tbl_KPIMaster[KPI],0))="Lower is Better",IF($J210&lt;=$I210,"Green",IF($J210&lt;=$I210+IF($I210=0,$K210,$I210*$K210),"Amber","Red")),IF($J210&gt;=$I210,"Green",IF($J210&gt;=$I210-IF($I210=0,$K210,$I210*$K210),"Amber","Red"))),"")</f>
        <v/>
      </c>
      <c r="T210" s="10" t="inlineStr"/>
    </row>
    <row r="211">
      <c r="A211" s="3" t="n">
        <v>46140</v>
      </c>
      <c r="B211" s="4">
        <f>IF($A211="","",TEXT($A211,"mmm-yyyy"))</f>
        <v/>
      </c>
      <c r="C211" s="4">
        <f>IF($A211="","","W"&amp;WEEKNUM($A211,2))</f>
        <v/>
      </c>
      <c r="D211" s="4">
        <f>IF($A211="","",TEXT($A211,"ddd"))</f>
        <v/>
      </c>
      <c r="E211" s="4" t="inlineStr">
        <is>
          <t>Utilities</t>
        </is>
      </c>
      <c r="F211" s="4">
        <f>IFERROR(INDEX(Tbl_KPIMaster[Category],MATCH($G211,Tbl_KPIMaster[KPI],0)),"")</f>
        <v/>
      </c>
      <c r="G211" s="4" t="inlineStr">
        <is>
          <t>Power Consumption</t>
        </is>
      </c>
      <c r="H211" s="4">
        <f>IFERROR(INDEX(Tbl_KPIMaster[Unit],MATCH($G211,Tbl_KPIMaster[KPI],0)),"")</f>
        <v/>
      </c>
      <c r="I211" s="5">
        <f>IFERROR(INDEX(Tbl_KPIMaster[Maximum Target],MATCH($G211,Tbl_KPIMaster[KPI],0)),"")</f>
        <v/>
      </c>
      <c r="J211" s="5" t="n">
        <v>3076.83</v>
      </c>
      <c r="K211" s="4">
        <f>IFERROR(INDEX(Tbl_KPIMaster[Tolerance],MATCH($G211,Tbl_KPIMaster[KPI],0)),"")</f>
        <v/>
      </c>
      <c r="L211" s="4">
        <f>IFERROR(INDEX(Tbl_KPIMaster[Owner],MATCH($G211,Tbl_KPIMaster[KPI],0)),"")</f>
        <v/>
      </c>
      <c r="M211" s="6" t="inlineStr">
        <is>
          <t>Awaiting spares</t>
        </is>
      </c>
      <c r="N211" s="4" t="inlineStr">
        <is>
          <t>Management approval pending</t>
        </is>
      </c>
      <c r="O211" s="4" t="inlineStr">
        <is>
          <t>Medium</t>
        </is>
      </c>
      <c r="P211" s="4" t="inlineStr">
        <is>
          <t>In Progress</t>
        </is>
      </c>
      <c r="Q211" s="5">
        <f>IFERROR(IF(INDEX(Tbl_KPIMaster[Direction],MATCH($G211,Tbl_KPIMaster[KPI],0))="Lower is Better",IF($J211=0,1,IF($I211=0,0,$I211/$J211)),IF($I211=0,1,$J211/$I211)),0)</f>
        <v/>
      </c>
      <c r="R211" s="4">
        <f>IF(OR($I211="",$J211=""),"",$J211-$I211)</f>
        <v/>
      </c>
      <c r="S211" s="4">
        <f>IFERROR(IF(INDEX(Tbl_KPIMaster[Direction],MATCH($G211,Tbl_KPIMaster[KPI],0))="Lower is Better",IF($J211&lt;=$I211,"Green",IF($J211&lt;=$I211+IF($I211=0,$K211,$I211*$K211),"Amber","Red")),IF($J211&gt;=$I211,"Green",IF($J211&gt;=$I211-IF($I211=0,$K211,$I211*$K211),"Amber","Red"))),"")</f>
        <v/>
      </c>
      <c r="T211" s="6" t="inlineStr"/>
    </row>
    <row r="212">
      <c r="A212" s="7" t="n">
        <v>46140</v>
      </c>
      <c r="B212" s="8">
        <f>IF($A212="","",TEXT($A212,"mmm-yyyy"))</f>
        <v/>
      </c>
      <c r="C212" s="8">
        <f>IF($A212="","","W"&amp;WEEKNUM($A212,2))</f>
        <v/>
      </c>
      <c r="D212" s="8">
        <f>IF($A212="","",TEXT($A212,"ddd"))</f>
        <v/>
      </c>
      <c r="E212" s="8" t="inlineStr">
        <is>
          <t>Utilities</t>
        </is>
      </c>
      <c r="F212" s="8">
        <f>IFERROR(INDEX(Tbl_KPIMaster[Category],MATCH($G212,Tbl_KPIMaster[KPI],0)),"")</f>
        <v/>
      </c>
      <c r="G212" s="8" t="inlineStr">
        <is>
          <t>Water Consumption</t>
        </is>
      </c>
      <c r="H212" s="8">
        <f>IFERROR(INDEX(Tbl_KPIMaster[Unit],MATCH($G212,Tbl_KPIMaster[KPI],0)),"")</f>
        <v/>
      </c>
      <c r="I212" s="9">
        <f>IFERROR(INDEX(Tbl_KPIMaster[Maximum Target],MATCH($G212,Tbl_KPIMaster[KPI],0)),"")</f>
        <v/>
      </c>
      <c r="J212" s="9" t="n">
        <v>54.54</v>
      </c>
      <c r="K212" s="8">
        <f>IFERROR(INDEX(Tbl_KPIMaster[Tolerance],MATCH($G212,Tbl_KPIMaster[KPI],0)),"")</f>
        <v/>
      </c>
      <c r="L212" s="8">
        <f>IFERROR(INDEX(Tbl_KPIMaster[Owner],MATCH($G212,Tbl_KPIMaster[KPI],0)),"")</f>
        <v/>
      </c>
      <c r="M212" s="10" t="inlineStr">
        <is>
          <t>Process improvement in progress</t>
        </is>
      </c>
      <c r="N212" s="8" t="inlineStr"/>
      <c r="O212" s="8" t="inlineStr">
        <is>
          <t>Low</t>
        </is>
      </c>
      <c r="P212" s="8" t="inlineStr">
        <is>
          <t>Closed</t>
        </is>
      </c>
      <c r="Q212" s="9">
        <f>IFERROR(IF(INDEX(Tbl_KPIMaster[Direction],MATCH($G212,Tbl_KPIMaster[KPI],0))="Lower is Better",IF($J212=0,1,IF($I212=0,0,$I212/$J212)),IF($I212=0,1,$J212/$I212)),0)</f>
        <v/>
      </c>
      <c r="R212" s="8">
        <f>IF(OR($I212="",$J212=""),"",$J212-$I212)</f>
        <v/>
      </c>
      <c r="S212" s="8">
        <f>IFERROR(IF(INDEX(Tbl_KPIMaster[Direction],MATCH($G212,Tbl_KPIMaster[KPI],0))="Lower is Better",IF($J212&lt;=$I212,"Green",IF($J212&lt;=$I212+IF($I212=0,$K212,$I212*$K212),"Amber","Red")),IF($J212&gt;=$I212,"Green",IF($J212&gt;=$I212-IF($I212=0,$K212,$I212*$K212),"Amber","Red"))),"")</f>
        <v/>
      </c>
      <c r="T212" s="10" t="inlineStr"/>
    </row>
    <row r="213">
      <c r="A213" s="3" t="n">
        <v>46140</v>
      </c>
      <c r="B213" s="4">
        <f>IF($A213="","",TEXT($A213,"mmm-yyyy"))</f>
        <v/>
      </c>
      <c r="C213" s="4">
        <f>IF($A213="","","W"&amp;WEEKNUM($A213,2))</f>
        <v/>
      </c>
      <c r="D213" s="4">
        <f>IF($A213="","",TEXT($A213,"ddd"))</f>
        <v/>
      </c>
      <c r="E213" s="4" t="inlineStr">
        <is>
          <t>Warehouse</t>
        </is>
      </c>
      <c r="F213" s="4">
        <f>IFERROR(INDEX(Tbl_KPIMaster[Category],MATCH($G213,Tbl_KPIMaster[KPI],0)),"")</f>
        <v/>
      </c>
      <c r="G213" s="4" t="inlineStr">
        <is>
          <t>On-Time Dispatch %</t>
        </is>
      </c>
      <c r="H213" s="4">
        <f>IFERROR(INDEX(Tbl_KPIMaster[Unit],MATCH($G213,Tbl_KPIMaster[KPI],0)),"")</f>
        <v/>
      </c>
      <c r="I213" s="5">
        <f>IFERROR(INDEX(Tbl_KPIMaster[Maximum Target],MATCH($G213,Tbl_KPIMaster[KPI],0)),"")</f>
        <v/>
      </c>
      <c r="J213" s="5" t="n">
        <v>0.927</v>
      </c>
      <c r="K213" s="4">
        <f>IFERROR(INDEX(Tbl_KPIMaster[Tolerance],MATCH($G213,Tbl_KPIMaster[KPI],0)),"")</f>
        <v/>
      </c>
      <c r="L213" s="4">
        <f>IFERROR(INDEX(Tbl_KPIMaster[Owner],MATCH($G213,Tbl_KPIMaster[KPI],0)),"")</f>
        <v/>
      </c>
      <c r="M213" s="6" t="inlineStr">
        <is>
          <t>Manpower shortage</t>
        </is>
      </c>
      <c r="N213" s="4" t="inlineStr">
        <is>
          <t>Management approval pending</t>
        </is>
      </c>
      <c r="O213" s="4" t="inlineStr">
        <is>
          <t>Low</t>
        </is>
      </c>
      <c r="P213" s="4" t="inlineStr">
        <is>
          <t>Open</t>
        </is>
      </c>
      <c r="Q213" s="5">
        <f>IFERROR(IF(INDEX(Tbl_KPIMaster[Direction],MATCH($G213,Tbl_KPIMaster[KPI],0))="Lower is Better",IF($J213=0,1,IF($I213=0,0,$I213/$J213)),IF($I213=0,1,$J213/$I213)),0)</f>
        <v/>
      </c>
      <c r="R213" s="4">
        <f>IF(OR($I213="",$J213=""),"",$J213-$I213)</f>
        <v/>
      </c>
      <c r="S213" s="4">
        <f>IFERROR(IF(INDEX(Tbl_KPIMaster[Direction],MATCH($G213,Tbl_KPIMaster[KPI],0))="Lower is Better",IF($J213&lt;=$I213,"Green",IF($J213&lt;=$I213+IF($I213=0,$K213,$I213*$K213),"Amber","Red")),IF($J213&gt;=$I213,"Green",IF($J213&gt;=$I213-IF($I213=0,$K213,$I213*$K213),"Amber","Red"))),"")</f>
        <v/>
      </c>
      <c r="T213" s="6" t="inlineStr"/>
    </row>
    <row r="214">
      <c r="A214" s="7" t="n">
        <v>46140</v>
      </c>
      <c r="B214" s="8">
        <f>IF($A214="","",TEXT($A214,"mmm-yyyy"))</f>
        <v/>
      </c>
      <c r="C214" s="8">
        <f>IF($A214="","","W"&amp;WEEKNUM($A214,2))</f>
        <v/>
      </c>
      <c r="D214" s="8">
        <f>IF($A214="","",TEXT($A214,"ddd"))</f>
        <v/>
      </c>
      <c r="E214" s="8" t="inlineStr">
        <is>
          <t>Warehouse</t>
        </is>
      </c>
      <c r="F214" s="8">
        <f>IFERROR(INDEX(Tbl_KPIMaster[Category],MATCH($G214,Tbl_KPIMaster[KPI],0)),"")</f>
        <v/>
      </c>
      <c r="G214" s="8" t="inlineStr">
        <is>
          <t>Inventory Accuracy %</t>
        </is>
      </c>
      <c r="H214" s="8">
        <f>IFERROR(INDEX(Tbl_KPIMaster[Unit],MATCH($G214,Tbl_KPIMaster[KPI],0)),"")</f>
        <v/>
      </c>
      <c r="I214" s="9">
        <f>IFERROR(INDEX(Tbl_KPIMaster[Maximum Target],MATCH($G214,Tbl_KPIMaster[KPI],0)),"")</f>
        <v/>
      </c>
      <c r="J214" s="9" t="n">
        <v>0.9237</v>
      </c>
      <c r="K214" s="8">
        <f>IFERROR(INDEX(Tbl_KPIMaster[Tolerance],MATCH($G214,Tbl_KPIMaster[KPI],0)),"")</f>
        <v/>
      </c>
      <c r="L214" s="8">
        <f>IFERROR(INDEX(Tbl_KPIMaster[Owner],MATCH($G214,Tbl_KPIMaster[KPI],0)),"")</f>
        <v/>
      </c>
      <c r="M214" s="10" t="inlineStr">
        <is>
          <t>Line changeover impact</t>
        </is>
      </c>
      <c r="N214" s="8" t="inlineStr"/>
      <c r="O214" s="8" t="inlineStr">
        <is>
          <t>Low</t>
        </is>
      </c>
      <c r="P214" s="8" t="inlineStr">
        <is>
          <t>Closed</t>
        </is>
      </c>
      <c r="Q214" s="9">
        <f>IFERROR(IF(INDEX(Tbl_KPIMaster[Direction],MATCH($G214,Tbl_KPIMaster[KPI],0))="Lower is Better",IF($J214=0,1,IF($I214=0,0,$I214/$J214)),IF($I214=0,1,$J214/$I214)),0)</f>
        <v/>
      </c>
      <c r="R214" s="8">
        <f>IF(OR($I214="",$J214=""),"",$J214-$I214)</f>
        <v/>
      </c>
      <c r="S214" s="8">
        <f>IFERROR(IF(INDEX(Tbl_KPIMaster[Direction],MATCH($G214,Tbl_KPIMaster[KPI],0))="Lower is Better",IF($J214&lt;=$I214,"Green",IF($J214&lt;=$I214+IF($I214=0,$K214,$I214*$K214),"Amber","Red")),IF($J214&gt;=$I214,"Green",IF($J214&gt;=$I214-IF($I214=0,$K214,$I214*$K214),"Amber","Red"))),"")</f>
        <v/>
      </c>
      <c r="T214" s="10" t="inlineStr"/>
    </row>
    <row r="215">
      <c r="A215" s="3" t="n">
        <v>46140</v>
      </c>
      <c r="B215" s="4">
        <f>IF($A215="","",TEXT($A215,"mmm-yyyy"))</f>
        <v/>
      </c>
      <c r="C215" s="4">
        <f>IF($A215="","","W"&amp;WEEKNUM($A215,2))</f>
        <v/>
      </c>
      <c r="D215" s="4">
        <f>IF($A215="","",TEXT($A215,"ddd"))</f>
        <v/>
      </c>
      <c r="E215" s="4" t="inlineStr">
        <is>
          <t>HR</t>
        </is>
      </c>
      <c r="F215" s="4">
        <f>IFERROR(INDEX(Tbl_KPIMaster[Category],MATCH($G215,Tbl_KPIMaster[KPI],0)),"")</f>
        <v/>
      </c>
      <c r="G215" s="4" t="inlineStr">
        <is>
          <t>Absenteeism %</t>
        </is>
      </c>
      <c r="H215" s="4">
        <f>IFERROR(INDEX(Tbl_KPIMaster[Unit],MATCH($G215,Tbl_KPIMaster[KPI],0)),"")</f>
        <v/>
      </c>
      <c r="I215" s="5">
        <f>IFERROR(INDEX(Tbl_KPIMaster[Maximum Target],MATCH($G215,Tbl_KPIMaster[KPI],0)),"")</f>
        <v/>
      </c>
      <c r="J215" s="5" t="n">
        <v>0.0276</v>
      </c>
      <c r="K215" s="4">
        <f>IFERROR(INDEX(Tbl_KPIMaster[Tolerance],MATCH($G215,Tbl_KPIMaster[KPI],0)),"")</f>
        <v/>
      </c>
      <c r="L215" s="4">
        <f>IFERROR(INDEX(Tbl_KPIMaster[Owner],MATCH($G215,Tbl_KPIMaster[KPI],0)),"")</f>
        <v/>
      </c>
      <c r="M215" s="6" t="inlineStr">
        <is>
          <t>Line changeover impact</t>
        </is>
      </c>
      <c r="N215" s="4" t="inlineStr">
        <is>
          <t>Engineering support needed</t>
        </is>
      </c>
      <c r="O215" s="4" t="inlineStr">
        <is>
          <t>Medium</t>
        </is>
      </c>
      <c r="P215" s="4" t="inlineStr">
        <is>
          <t>Closed</t>
        </is>
      </c>
      <c r="Q215" s="5">
        <f>IFERROR(IF(INDEX(Tbl_KPIMaster[Direction],MATCH($G215,Tbl_KPIMaster[KPI],0))="Lower is Better",IF($J215=0,1,IF($I215=0,0,$I215/$J215)),IF($I215=0,1,$J215/$I215)),0)</f>
        <v/>
      </c>
      <c r="R215" s="4">
        <f>IF(OR($I215="",$J215=""),"",$J215-$I215)</f>
        <v/>
      </c>
      <c r="S215" s="4">
        <f>IFERROR(IF(INDEX(Tbl_KPIMaster[Direction],MATCH($G215,Tbl_KPIMaster[KPI],0))="Lower is Better",IF($J215&lt;=$I215,"Green",IF($J215&lt;=$I215+IF($I215=0,$K215,$I215*$K215),"Amber","Red")),IF($J215&gt;=$I215,"Green",IF($J215&gt;=$I215-IF($I215=0,$K215,$I215*$K215),"Amber","Red"))),"")</f>
        <v/>
      </c>
      <c r="T215" s="6" t="inlineStr"/>
    </row>
    <row r="216">
      <c r="A216" s="7" t="n">
        <v>46140</v>
      </c>
      <c r="B216" s="8">
        <f>IF($A216="","",TEXT($A216,"mmm-yyyy"))</f>
        <v/>
      </c>
      <c r="C216" s="8">
        <f>IF($A216="","","W"&amp;WEEKNUM($A216,2))</f>
        <v/>
      </c>
      <c r="D216" s="8">
        <f>IF($A216="","",TEXT($A216,"ddd"))</f>
        <v/>
      </c>
      <c r="E216" s="8" t="inlineStr">
        <is>
          <t>HR</t>
        </is>
      </c>
      <c r="F216" s="8">
        <f>IFERROR(INDEX(Tbl_KPIMaster[Category],MATCH($G216,Tbl_KPIMaster[KPI],0)),"")</f>
        <v/>
      </c>
      <c r="G216" s="8" t="inlineStr">
        <is>
          <t>Training Hours</t>
        </is>
      </c>
      <c r="H216" s="8">
        <f>IFERROR(INDEX(Tbl_KPIMaster[Unit],MATCH($G216,Tbl_KPIMaster[KPI],0)),"")</f>
        <v/>
      </c>
      <c r="I216" s="9">
        <f>IFERROR(INDEX(Tbl_KPIMaster[Maximum Target],MATCH($G216,Tbl_KPIMaster[KPI],0)),"")</f>
        <v/>
      </c>
      <c r="J216" s="9" t="n">
        <v>1.65</v>
      </c>
      <c r="K216" s="8">
        <f>IFERROR(INDEX(Tbl_KPIMaster[Tolerance],MATCH($G216,Tbl_KPIMaster[KPI],0)),"")</f>
        <v/>
      </c>
      <c r="L216" s="8">
        <f>IFERROR(INDEX(Tbl_KPIMaster[Owner],MATCH($G216,Tbl_KPIMaster[KPI],0)),"")</f>
        <v/>
      </c>
      <c r="M216" s="10" t="inlineStr">
        <is>
          <t>Process improvement in progress</t>
        </is>
      </c>
      <c r="N216" s="8" t="inlineStr">
        <is>
          <t>Procurement follow-up</t>
        </is>
      </c>
      <c r="O216" s="8" t="inlineStr">
        <is>
          <t>Medium</t>
        </is>
      </c>
      <c r="P216" s="8" t="inlineStr">
        <is>
          <t>Closed</t>
        </is>
      </c>
      <c r="Q216" s="9">
        <f>IFERROR(IF(INDEX(Tbl_KPIMaster[Direction],MATCH($G216,Tbl_KPIMaster[KPI],0))="Lower is Better",IF($J216=0,1,IF($I216=0,0,$I216/$J216)),IF($I216=0,1,$J216/$I216)),0)</f>
        <v/>
      </c>
      <c r="R216" s="8">
        <f>IF(OR($I216="",$J216=""),"",$J216-$I216)</f>
        <v/>
      </c>
      <c r="S216" s="8">
        <f>IFERROR(IF(INDEX(Tbl_KPIMaster[Direction],MATCH($G216,Tbl_KPIMaster[KPI],0))="Lower is Better",IF($J216&lt;=$I216,"Green",IF($J216&lt;=$I216+IF($I216=0,$K216,$I216*$K216),"Amber","Red")),IF($J216&gt;=$I216,"Green",IF($J216&gt;=$I216-IF($I216=0,$K216,$I216*$K216),"Amber","Red"))),"")</f>
        <v/>
      </c>
      <c r="T216" s="10" t="inlineStr"/>
    </row>
    <row r="217">
      <c r="A217" s="3" t="n">
        <v>46140</v>
      </c>
      <c r="B217" s="4">
        <f>IF($A217="","",TEXT($A217,"mmm-yyyy"))</f>
        <v/>
      </c>
      <c r="C217" s="4">
        <f>IF($A217="","","W"&amp;WEEKNUM($A217,2))</f>
        <v/>
      </c>
      <c r="D217" s="4">
        <f>IF($A217="","",TEXT($A217,"ddd"))</f>
        <v/>
      </c>
      <c r="E217" s="4" t="inlineStr">
        <is>
          <t>Engineering</t>
        </is>
      </c>
      <c r="F217" s="4">
        <f>IFERROR(INDEX(Tbl_KPIMaster[Category],MATCH($G217,Tbl_KPIMaster[KPI],0)),"")</f>
        <v/>
      </c>
      <c r="G217" s="4" t="inlineStr">
        <is>
          <t>Project Milestone Adherence %</t>
        </is>
      </c>
      <c r="H217" s="4">
        <f>IFERROR(INDEX(Tbl_KPIMaster[Unit],MATCH($G217,Tbl_KPIMaster[KPI],0)),"")</f>
        <v/>
      </c>
      <c r="I217" s="5">
        <f>IFERROR(INDEX(Tbl_KPIMaster[Maximum Target],MATCH($G217,Tbl_KPIMaster[KPI],0)),"")</f>
        <v/>
      </c>
      <c r="J217" s="5" t="n">
        <v>0.9568</v>
      </c>
      <c r="K217" s="4">
        <f>IFERROR(INDEX(Tbl_KPIMaster[Tolerance],MATCH($G217,Tbl_KPIMaster[KPI],0)),"")</f>
        <v/>
      </c>
      <c r="L217" s="4">
        <f>IFERROR(INDEX(Tbl_KPIMaster[Owner],MATCH($G217,Tbl_KPIMaster[KPI],0)),"")</f>
        <v/>
      </c>
      <c r="M217" s="6" t="inlineStr">
        <is>
          <t>Preventive check done</t>
        </is>
      </c>
      <c r="N217" s="4" t="inlineStr">
        <is>
          <t>Procurement follow-up</t>
        </is>
      </c>
      <c r="O217" s="4" t="inlineStr">
        <is>
          <t>Low</t>
        </is>
      </c>
      <c r="P217" s="4" t="inlineStr">
        <is>
          <t>Open</t>
        </is>
      </c>
      <c r="Q217" s="5">
        <f>IFERROR(IF(INDEX(Tbl_KPIMaster[Direction],MATCH($G217,Tbl_KPIMaster[KPI],0))="Lower is Better",IF($J217=0,1,IF($I217=0,0,$I217/$J217)),IF($I217=0,1,$J217/$I217)),0)</f>
        <v/>
      </c>
      <c r="R217" s="4">
        <f>IF(OR($I217="",$J217=""),"",$J217-$I217)</f>
        <v/>
      </c>
      <c r="S217" s="4">
        <f>IFERROR(IF(INDEX(Tbl_KPIMaster[Direction],MATCH($G217,Tbl_KPIMaster[KPI],0))="Lower is Better",IF($J217&lt;=$I217,"Green",IF($J217&lt;=$I217+IF($I217=0,$K217,$I217*$K217),"Amber","Red")),IF($J217&gt;=$I217,"Green",IF($J217&gt;=$I217-IF($I217=0,$K217,$I217*$K217),"Amber","Red"))),"")</f>
        <v/>
      </c>
      <c r="T217" s="6" t="inlineStr"/>
    </row>
    <row r="218">
      <c r="A218" s="7" t="n">
        <v>46140</v>
      </c>
      <c r="B218" s="8">
        <f>IF($A218="","",TEXT($A218,"mmm-yyyy"))</f>
        <v/>
      </c>
      <c r="C218" s="8">
        <f>IF($A218="","","W"&amp;WEEKNUM($A218,2))</f>
        <v/>
      </c>
      <c r="D218" s="8">
        <f>IF($A218="","",TEXT($A218,"ddd"))</f>
        <v/>
      </c>
      <c r="E218" s="8" t="inlineStr">
        <is>
          <t>Engineering</t>
        </is>
      </c>
      <c r="F218" s="8">
        <f>IFERROR(INDEX(Tbl_KPIMaster[Category],MATCH($G218,Tbl_KPIMaster[KPI],0)),"")</f>
        <v/>
      </c>
      <c r="G218" s="8" t="inlineStr">
        <is>
          <t>Breakdown Resolution Time</t>
        </is>
      </c>
      <c r="H218" s="8">
        <f>IFERROR(INDEX(Tbl_KPIMaster[Unit],MATCH($G218,Tbl_KPIMaster[KPI],0)),"")</f>
        <v/>
      </c>
      <c r="I218" s="9">
        <f>IFERROR(INDEX(Tbl_KPIMaster[Maximum Target],MATCH($G218,Tbl_KPIMaster[KPI],0)),"")</f>
        <v/>
      </c>
      <c r="J218" s="9" t="n">
        <v>0</v>
      </c>
      <c r="K218" s="8">
        <f>IFERROR(INDEX(Tbl_KPIMaster[Tolerance],MATCH($G218,Tbl_KPIMaster[KPI],0)),"")</f>
        <v/>
      </c>
      <c r="L218" s="8">
        <f>IFERROR(INDEX(Tbl_KPIMaster[Owner],MATCH($G218,Tbl_KPIMaster[KPI],0)),"")</f>
        <v/>
      </c>
      <c r="M218" s="10" t="inlineStr">
        <is>
          <t>Process improvement in progress</t>
        </is>
      </c>
      <c r="N218" s="8" t="inlineStr"/>
      <c r="O218" s="8" t="inlineStr">
        <is>
          <t>Low</t>
        </is>
      </c>
      <c r="P218" s="8" t="inlineStr">
        <is>
          <t>Open</t>
        </is>
      </c>
      <c r="Q218" s="9">
        <f>IFERROR(IF(INDEX(Tbl_KPIMaster[Direction],MATCH($G218,Tbl_KPIMaster[KPI],0))="Lower is Better",IF($J218=0,1,IF($I218=0,0,$I218/$J218)),IF($I218=0,1,$J218/$I218)),0)</f>
        <v/>
      </c>
      <c r="R218" s="8">
        <f>IF(OR($I218="",$J218=""),"",$J218-$I218)</f>
        <v/>
      </c>
      <c r="S218" s="8">
        <f>IFERROR(IF(INDEX(Tbl_KPIMaster[Direction],MATCH($G218,Tbl_KPIMaster[KPI],0))="Lower is Better",IF($J218&lt;=$I218,"Green",IF($J218&lt;=$I218+IF($I218=0,$K218,$I218*$K218),"Amber","Red")),IF($J218&gt;=$I218,"Green",IF($J218&gt;=$I218-IF($I218=0,$K218,$I218*$K218),"Amber","Red"))),"")</f>
        <v/>
      </c>
      <c r="T218" s="10" t="inlineStr"/>
    </row>
    <row r="219">
      <c r="A219" s="3" t="n">
        <v>46140</v>
      </c>
      <c r="B219" s="4">
        <f>IF($A219="","",TEXT($A219,"mmm-yyyy"))</f>
        <v/>
      </c>
      <c r="C219" s="4">
        <f>IF($A219="","","W"&amp;WEEKNUM($A219,2))</f>
        <v/>
      </c>
      <c r="D219" s="4">
        <f>IF($A219="","",TEXT($A219,"ddd"))</f>
        <v/>
      </c>
      <c r="E219" s="4" t="inlineStr">
        <is>
          <t>Cost</t>
        </is>
      </c>
      <c r="F219" s="4">
        <f>IFERROR(INDEX(Tbl_KPIMaster[Category],MATCH($G219,Tbl_KPIMaster[KPI],0)),"")</f>
        <v/>
      </c>
      <c r="G219" s="4" t="inlineStr">
        <is>
          <t>Cost per Unit</t>
        </is>
      </c>
      <c r="H219" s="4">
        <f>IFERROR(INDEX(Tbl_KPIMaster[Unit],MATCH($G219,Tbl_KPIMaster[KPI],0)),"")</f>
        <v/>
      </c>
      <c r="I219" s="5">
        <f>IFERROR(INDEX(Tbl_KPIMaster[Maximum Target],MATCH($G219,Tbl_KPIMaster[KPI],0)),"")</f>
        <v/>
      </c>
      <c r="J219" s="5" t="n">
        <v>45.6</v>
      </c>
      <c r="K219" s="4">
        <f>IFERROR(INDEX(Tbl_KPIMaster[Tolerance],MATCH($G219,Tbl_KPIMaster[KPI],0)),"")</f>
        <v/>
      </c>
      <c r="L219" s="4">
        <f>IFERROR(INDEX(Tbl_KPIMaster[Owner],MATCH($G219,Tbl_KPIMaster[KPI],0)),"")</f>
        <v/>
      </c>
      <c r="M219" s="6" t="inlineStr">
        <is>
          <t>New operator training effect</t>
        </is>
      </c>
      <c r="N219" s="4" t="inlineStr">
        <is>
          <t>Management approval pending</t>
        </is>
      </c>
      <c r="O219" s="4" t="inlineStr">
        <is>
          <t>Low</t>
        </is>
      </c>
      <c r="P219" s="4" t="inlineStr">
        <is>
          <t>Closed</t>
        </is>
      </c>
      <c r="Q219" s="5">
        <f>IFERROR(IF(INDEX(Tbl_KPIMaster[Direction],MATCH($G219,Tbl_KPIMaster[KPI],0))="Lower is Better",IF($J219=0,1,IF($I219=0,0,$I219/$J219)),IF($I219=0,1,$J219/$I219)),0)</f>
        <v/>
      </c>
      <c r="R219" s="4">
        <f>IF(OR($I219="",$J219=""),"",$J219-$I219)</f>
        <v/>
      </c>
      <c r="S219" s="4">
        <f>IFERROR(IF(INDEX(Tbl_KPIMaster[Direction],MATCH($G219,Tbl_KPIMaster[KPI],0))="Lower is Better",IF($J219&lt;=$I219,"Green",IF($J219&lt;=$I219+IF($I219=0,$K219,$I219*$K219),"Amber","Red")),IF($J219&gt;=$I219,"Green",IF($J219&gt;=$I219-IF($I219=0,$K219,$I219*$K219),"Amber","Red"))),"")</f>
        <v/>
      </c>
      <c r="T219" s="6" t="inlineStr"/>
    </row>
    <row r="220">
      <c r="A220" s="7" t="n">
        <v>46140</v>
      </c>
      <c r="B220" s="8">
        <f>IF($A220="","",TEXT($A220,"mmm-yyyy"))</f>
        <v/>
      </c>
      <c r="C220" s="8">
        <f>IF($A220="","","W"&amp;WEEKNUM($A220,2))</f>
        <v/>
      </c>
      <c r="D220" s="8">
        <f>IF($A220="","",TEXT($A220,"ddd"))</f>
        <v/>
      </c>
      <c r="E220" s="8" t="inlineStr">
        <is>
          <t>Cost</t>
        </is>
      </c>
      <c r="F220" s="8">
        <f>IFERROR(INDEX(Tbl_KPIMaster[Category],MATCH($G220,Tbl_KPIMaster[KPI],0)),"")</f>
        <v/>
      </c>
      <c r="G220" s="8" t="inlineStr">
        <is>
          <t>Budget Variance %</t>
        </is>
      </c>
      <c r="H220" s="8">
        <f>IFERROR(INDEX(Tbl_KPIMaster[Unit],MATCH($G220,Tbl_KPIMaster[KPI],0)),"")</f>
        <v/>
      </c>
      <c r="I220" s="9">
        <f>IFERROR(INDEX(Tbl_KPIMaster[Maximum Target],MATCH($G220,Tbl_KPIMaster[KPI],0)),"")</f>
        <v/>
      </c>
      <c r="J220" s="9" t="n">
        <v>0.3942</v>
      </c>
      <c r="K220" s="8">
        <f>IFERROR(INDEX(Tbl_KPIMaster[Tolerance],MATCH($G220,Tbl_KPIMaster[KPI],0)),"")</f>
        <v/>
      </c>
      <c r="L220" s="8">
        <f>IFERROR(INDEX(Tbl_KPIMaster[Owner],MATCH($G220,Tbl_KPIMaster[KPI],0)),"")</f>
        <v/>
      </c>
      <c r="M220" s="10" t="inlineStr">
        <is>
          <t>Vendor delay</t>
        </is>
      </c>
      <c r="N220" s="8" t="inlineStr"/>
      <c r="O220" s="8" t="inlineStr">
        <is>
          <t>Low</t>
        </is>
      </c>
      <c r="P220" s="8" t="inlineStr">
        <is>
          <t>Closed</t>
        </is>
      </c>
      <c r="Q220" s="9">
        <f>IFERROR(IF(INDEX(Tbl_KPIMaster[Direction],MATCH($G220,Tbl_KPIMaster[KPI],0))="Lower is Better",IF($J220=0,1,IF($I220=0,0,$I220/$J220)),IF($I220=0,1,$J220/$I220)),0)</f>
        <v/>
      </c>
      <c r="R220" s="8">
        <f>IF(OR($I220="",$J220=""),"",$J220-$I220)</f>
        <v/>
      </c>
      <c r="S220" s="8">
        <f>IFERROR(IF(INDEX(Tbl_KPIMaster[Direction],MATCH($G220,Tbl_KPIMaster[KPI],0))="Lower is Better",IF($J220&lt;=$I220,"Green",IF($J220&lt;=$I220+IF($I220=0,$K220,$I220*$K220),"Amber","Red")),IF($J220&gt;=$I220,"Green",IF($J220&gt;=$I220-IF($I220=0,$K220,$I220*$K220),"Amber","Red"))),"")</f>
        <v/>
      </c>
      <c r="T220" s="10" t="inlineStr"/>
    </row>
    <row r="221">
      <c r="A221" s="3" t="n">
        <v>46140</v>
      </c>
      <c r="B221" s="4">
        <f>IF($A221="","",TEXT($A221,"mmm-yyyy"))</f>
        <v/>
      </c>
      <c r="C221" s="4">
        <f>IF($A221="","","W"&amp;WEEKNUM($A221,2))</f>
        <v/>
      </c>
      <c r="D221" s="4">
        <f>IF($A221="","",TEXT($A221,"ddd"))</f>
        <v/>
      </c>
      <c r="E221" s="4" t="inlineStr">
        <is>
          <t>Energy</t>
        </is>
      </c>
      <c r="F221" s="4">
        <f>IFERROR(INDEX(Tbl_KPIMaster[Category],MATCH($G221,Tbl_KPIMaster[KPI],0)),"")</f>
        <v/>
      </c>
      <c r="G221" s="4" t="inlineStr">
        <is>
          <t>Energy Intensity (kWh/unit)</t>
        </is>
      </c>
      <c r="H221" s="4">
        <f>IFERROR(INDEX(Tbl_KPIMaster[Unit],MATCH($G221,Tbl_KPIMaster[KPI],0)),"")</f>
        <v/>
      </c>
      <c r="I221" s="5">
        <f>IFERROR(INDEX(Tbl_KPIMaster[Maximum Target],MATCH($G221,Tbl_KPIMaster[KPI],0)),"")</f>
        <v/>
      </c>
      <c r="J221" s="5" t="n">
        <v>4.31</v>
      </c>
      <c r="K221" s="4">
        <f>IFERROR(INDEX(Tbl_KPIMaster[Tolerance],MATCH($G221,Tbl_KPIMaster[KPI],0)),"")</f>
        <v/>
      </c>
      <c r="L221" s="4">
        <f>IFERROR(INDEX(Tbl_KPIMaster[Owner],MATCH($G221,Tbl_KPIMaster[KPI],0)),"")</f>
        <v/>
      </c>
      <c r="M221" s="6" t="inlineStr">
        <is>
          <t>Awaiting spares</t>
        </is>
      </c>
      <c r="N221" s="4" t="inlineStr">
        <is>
          <t>Engineering support needed</t>
        </is>
      </c>
      <c r="O221" s="4" t="inlineStr">
        <is>
          <t>Low</t>
        </is>
      </c>
      <c r="P221" s="4" t="inlineStr">
        <is>
          <t>In Progress</t>
        </is>
      </c>
      <c r="Q221" s="5">
        <f>IFERROR(IF(INDEX(Tbl_KPIMaster[Direction],MATCH($G221,Tbl_KPIMaster[KPI],0))="Lower is Better",IF($J221=0,1,IF($I221=0,0,$I221/$J221)),IF($I221=0,1,$J221/$I221)),0)</f>
        <v/>
      </c>
      <c r="R221" s="4">
        <f>IF(OR($I221="",$J221=""),"",$J221-$I221)</f>
        <v/>
      </c>
      <c r="S221" s="4">
        <f>IFERROR(IF(INDEX(Tbl_KPIMaster[Direction],MATCH($G221,Tbl_KPIMaster[KPI],0))="Lower is Better",IF($J221&lt;=$I221,"Green",IF($J221&lt;=$I221+IF($I221=0,$K221,$I221*$K221),"Amber","Red")),IF($J221&gt;=$I221,"Green",IF($J221&gt;=$I221-IF($I221=0,$K221,$I221*$K221),"Amber","Red"))),"")</f>
        <v/>
      </c>
      <c r="T221" s="6" t="inlineStr"/>
    </row>
    <row r="222">
      <c r="A222" s="7" t="n">
        <v>46140</v>
      </c>
      <c r="B222" s="8">
        <f>IF($A222="","",TEXT($A222,"mmm-yyyy"))</f>
        <v/>
      </c>
      <c r="C222" s="8">
        <f>IF($A222="","","W"&amp;WEEKNUM($A222,2))</f>
        <v/>
      </c>
      <c r="D222" s="8">
        <f>IF($A222="","",TEXT($A222,"ddd"))</f>
        <v/>
      </c>
      <c r="E222" s="8" t="inlineStr">
        <is>
          <t>Energy</t>
        </is>
      </c>
      <c r="F222" s="8">
        <f>IFERROR(INDEX(Tbl_KPIMaster[Category],MATCH($G222,Tbl_KPIMaster[KPI],0)),"")</f>
        <v/>
      </c>
      <c r="G222" s="8" t="inlineStr">
        <is>
          <t>Renewable Energy Share %</t>
        </is>
      </c>
      <c r="H222" s="8">
        <f>IFERROR(INDEX(Tbl_KPIMaster[Unit],MATCH($G222,Tbl_KPIMaster[KPI],0)),"")</f>
        <v/>
      </c>
      <c r="I222" s="9">
        <f>IFERROR(INDEX(Tbl_KPIMaster[Maximum Target],MATCH($G222,Tbl_KPIMaster[KPI],0)),"")</f>
        <v/>
      </c>
      <c r="J222" s="9" t="n">
        <v>0.223</v>
      </c>
      <c r="K222" s="8">
        <f>IFERROR(INDEX(Tbl_KPIMaster[Tolerance],MATCH($G222,Tbl_KPIMaster[KPI],0)),"")</f>
        <v/>
      </c>
      <c r="L222" s="8">
        <f>IFERROR(INDEX(Tbl_KPIMaster[Owner],MATCH($G222,Tbl_KPIMaster[KPI],0)),"")</f>
        <v/>
      </c>
      <c r="M222" s="10" t="inlineStr">
        <is>
          <t>Preventive check done</t>
        </is>
      </c>
      <c r="N222" s="8" t="inlineStr">
        <is>
          <t>Procurement follow-up</t>
        </is>
      </c>
      <c r="O222" s="8" t="inlineStr">
        <is>
          <t>Low</t>
        </is>
      </c>
      <c r="P222" s="8" t="inlineStr">
        <is>
          <t>In Progress</t>
        </is>
      </c>
      <c r="Q222" s="9">
        <f>IFERROR(IF(INDEX(Tbl_KPIMaster[Direction],MATCH($G222,Tbl_KPIMaster[KPI],0))="Lower is Better",IF($J222=0,1,IF($I222=0,0,$I222/$J222)),IF($I222=0,1,$J222/$I222)),0)</f>
        <v/>
      </c>
      <c r="R222" s="8">
        <f>IF(OR($I222="",$J222=""),"",$J222-$I222)</f>
        <v/>
      </c>
      <c r="S222" s="8">
        <f>IFERROR(IF(INDEX(Tbl_KPIMaster[Direction],MATCH($G222,Tbl_KPIMaster[KPI],0))="Lower is Better",IF($J222&lt;=$I222,"Green",IF($J222&lt;=$I222+IF($I222=0,$K222,$I222*$K222),"Amber","Red")),IF($J222&gt;=$I222,"Green",IF($J222&gt;=$I222-IF($I222=0,$K222,$I222*$K222),"Amber","Red"))),"")</f>
        <v/>
      </c>
      <c r="T222" s="10" t="inlineStr"/>
    </row>
    <row r="223">
      <c r="A223" s="3" t="n">
        <v>46141</v>
      </c>
      <c r="B223" s="4">
        <f>IF($A223="","",TEXT($A223,"mmm-yyyy"))</f>
        <v/>
      </c>
      <c r="C223" s="4">
        <f>IF($A223="","","W"&amp;WEEKNUM($A223,2))</f>
        <v/>
      </c>
      <c r="D223" s="4">
        <f>IF($A223="","",TEXT($A223,"ddd"))</f>
        <v/>
      </c>
      <c r="E223" s="4" t="inlineStr">
        <is>
          <t>Safety</t>
        </is>
      </c>
      <c r="F223" s="4">
        <f>IFERROR(INDEX(Tbl_KPIMaster[Category],MATCH($G223,Tbl_KPIMaster[KPI],0)),"")</f>
        <v/>
      </c>
      <c r="G223" s="4" t="inlineStr">
        <is>
          <t>Safety Incidents (LTI)</t>
        </is>
      </c>
      <c r="H223" s="4">
        <f>IFERROR(INDEX(Tbl_KPIMaster[Unit],MATCH($G223,Tbl_KPIMaster[KPI],0)),"")</f>
        <v/>
      </c>
      <c r="I223" s="5">
        <f>IFERROR(INDEX(Tbl_KPIMaster[Maximum Target],MATCH($G223,Tbl_KPIMaster[KPI],0)),"")</f>
        <v/>
      </c>
      <c r="J223" s="5" t="n">
        <v>1</v>
      </c>
      <c r="K223" s="4">
        <f>IFERROR(INDEX(Tbl_KPIMaster[Tolerance],MATCH($G223,Tbl_KPIMaster[KPI],0)),"")</f>
        <v/>
      </c>
      <c r="L223" s="4">
        <f>IFERROR(INDEX(Tbl_KPIMaster[Owner],MATCH($G223,Tbl_KPIMaster[KPI],0)),"")</f>
        <v/>
      </c>
      <c r="M223" s="6" t="inlineStr">
        <is>
          <t>Weather impact</t>
        </is>
      </c>
      <c r="N223" s="4" t="inlineStr"/>
      <c r="O223" s="4" t="inlineStr">
        <is>
          <t>Medium</t>
        </is>
      </c>
      <c r="P223" s="4" t="inlineStr">
        <is>
          <t>Closed</t>
        </is>
      </c>
      <c r="Q223" s="5">
        <f>IFERROR(IF(INDEX(Tbl_KPIMaster[Direction],MATCH($G223,Tbl_KPIMaster[KPI],0))="Lower is Better",IF($J223=0,1,IF($I223=0,0,$I223/$J223)),IF($I223=0,1,$J223/$I223)),0)</f>
        <v/>
      </c>
      <c r="R223" s="4">
        <f>IF(OR($I223="",$J223=""),"",$J223-$I223)</f>
        <v/>
      </c>
      <c r="S223" s="4">
        <f>IFERROR(IF(INDEX(Tbl_KPIMaster[Direction],MATCH($G223,Tbl_KPIMaster[KPI],0))="Lower is Better",IF($J223&lt;=$I223,"Green",IF($J223&lt;=$I223+IF($I223=0,$K223,$I223*$K223),"Amber","Red")),IF($J223&gt;=$I223,"Green",IF($J223&gt;=$I223-IF($I223=0,$K223,$I223*$K223),"Amber","Red"))),"")</f>
        <v/>
      </c>
      <c r="T223" s="6" t="inlineStr"/>
    </row>
    <row r="224">
      <c r="A224" s="7" t="n">
        <v>46141</v>
      </c>
      <c r="B224" s="8">
        <f>IF($A224="","",TEXT($A224,"mmm-yyyy"))</f>
        <v/>
      </c>
      <c r="C224" s="8">
        <f>IF($A224="","","W"&amp;WEEKNUM($A224,2))</f>
        <v/>
      </c>
      <c r="D224" s="8">
        <f>IF($A224="","",TEXT($A224,"ddd"))</f>
        <v/>
      </c>
      <c r="E224" s="8" t="inlineStr">
        <is>
          <t>Safety</t>
        </is>
      </c>
      <c r="F224" s="8">
        <f>IFERROR(INDEX(Tbl_KPIMaster[Category],MATCH($G224,Tbl_KPIMaster[KPI],0)),"")</f>
        <v/>
      </c>
      <c r="G224" s="8" t="inlineStr">
        <is>
          <t>Near Miss Reports</t>
        </is>
      </c>
      <c r="H224" s="8">
        <f>IFERROR(INDEX(Tbl_KPIMaster[Unit],MATCH($G224,Tbl_KPIMaster[KPI],0)),"")</f>
        <v/>
      </c>
      <c r="I224" s="9">
        <f>IFERROR(INDEX(Tbl_KPIMaster[Maximum Target],MATCH($G224,Tbl_KPIMaster[KPI],0)),"")</f>
        <v/>
      </c>
      <c r="J224" s="9" t="n">
        <v>2</v>
      </c>
      <c r="K224" s="8">
        <f>IFERROR(INDEX(Tbl_KPIMaster[Tolerance],MATCH($G224,Tbl_KPIMaster[KPI],0)),"")</f>
        <v/>
      </c>
      <c r="L224" s="8">
        <f>IFERROR(INDEX(Tbl_KPIMaster[Owner],MATCH($G224,Tbl_KPIMaster[KPI],0)),"")</f>
        <v/>
      </c>
      <c r="M224" s="10" t="inlineStr"/>
      <c r="N224" s="8" t="inlineStr">
        <is>
          <t>Procurement follow-up</t>
        </is>
      </c>
      <c r="O224" s="8" t="inlineStr">
        <is>
          <t>Low</t>
        </is>
      </c>
      <c r="P224" s="8" t="inlineStr">
        <is>
          <t>Open</t>
        </is>
      </c>
      <c r="Q224" s="9">
        <f>IFERROR(IF(INDEX(Tbl_KPIMaster[Direction],MATCH($G224,Tbl_KPIMaster[KPI],0))="Lower is Better",IF($J224=0,1,IF($I224=0,0,$I224/$J224)),IF($I224=0,1,$J224/$I224)),0)</f>
        <v/>
      </c>
      <c r="R224" s="8">
        <f>IF(OR($I224="",$J224=""),"",$J224-$I224)</f>
        <v/>
      </c>
      <c r="S224" s="8">
        <f>IFERROR(IF(INDEX(Tbl_KPIMaster[Direction],MATCH($G224,Tbl_KPIMaster[KPI],0))="Lower is Better",IF($J224&lt;=$I224,"Green",IF($J224&lt;=$I224+IF($I224=0,$K224,$I224*$K224),"Amber","Red")),IF($J224&gt;=$I224,"Green",IF($J224&gt;=$I224-IF($I224=0,$K224,$I224*$K224),"Amber","Red"))),"")</f>
        <v/>
      </c>
      <c r="T224" s="10" t="inlineStr"/>
    </row>
    <row r="225">
      <c r="A225" s="3" t="n">
        <v>46141</v>
      </c>
      <c r="B225" s="4">
        <f>IF($A225="","",TEXT($A225,"mmm-yyyy"))</f>
        <v/>
      </c>
      <c r="C225" s="4">
        <f>IF($A225="","","W"&amp;WEEKNUM($A225,2))</f>
        <v/>
      </c>
      <c r="D225" s="4">
        <f>IF($A225="","",TEXT($A225,"ddd"))</f>
        <v/>
      </c>
      <c r="E225" s="4" t="inlineStr">
        <is>
          <t>Production</t>
        </is>
      </c>
      <c r="F225" s="4">
        <f>IFERROR(INDEX(Tbl_KPIMaster[Category],MATCH($G225,Tbl_KPIMaster[KPI],0)),"")</f>
        <v/>
      </c>
      <c r="G225" s="4" t="inlineStr">
        <is>
          <t>Production Output</t>
        </is>
      </c>
      <c r="H225" s="4">
        <f>IFERROR(INDEX(Tbl_KPIMaster[Unit],MATCH($G225,Tbl_KPIMaster[KPI],0)),"")</f>
        <v/>
      </c>
      <c r="I225" s="5">
        <f>IFERROR(INDEX(Tbl_KPIMaster[Maximum Target],MATCH($G225,Tbl_KPIMaster[KPI],0)),"")</f>
        <v/>
      </c>
      <c r="J225" s="5" t="n">
        <v>854.67</v>
      </c>
      <c r="K225" s="4">
        <f>IFERROR(INDEX(Tbl_KPIMaster[Tolerance],MATCH($G225,Tbl_KPIMaster[KPI],0)),"")</f>
        <v/>
      </c>
      <c r="L225" s="4">
        <f>IFERROR(INDEX(Tbl_KPIMaster[Owner],MATCH($G225,Tbl_KPIMaster[KPI],0)),"")</f>
        <v/>
      </c>
      <c r="M225" s="6" t="inlineStr">
        <is>
          <t>Weather impact</t>
        </is>
      </c>
      <c r="N225" s="4" t="inlineStr"/>
      <c r="O225" s="4" t="inlineStr">
        <is>
          <t>High</t>
        </is>
      </c>
      <c r="P225" s="4" t="inlineStr">
        <is>
          <t>Closed</t>
        </is>
      </c>
      <c r="Q225" s="5">
        <f>IFERROR(IF(INDEX(Tbl_KPIMaster[Direction],MATCH($G225,Tbl_KPIMaster[KPI],0))="Lower is Better",IF($J225=0,1,IF($I225=0,0,$I225/$J225)),IF($I225=0,1,$J225/$I225)),0)</f>
        <v/>
      </c>
      <c r="R225" s="4">
        <f>IF(OR($I225="",$J225=""),"",$J225-$I225)</f>
        <v/>
      </c>
      <c r="S225" s="4">
        <f>IFERROR(IF(INDEX(Tbl_KPIMaster[Direction],MATCH($G225,Tbl_KPIMaster[KPI],0))="Lower is Better",IF($J225&lt;=$I225,"Green",IF($J225&lt;=$I225+IF($I225=0,$K225,$I225*$K225),"Amber","Red")),IF($J225&gt;=$I225,"Green",IF($J225&gt;=$I225-IF($I225=0,$K225,$I225*$K225),"Amber","Red"))),"")</f>
        <v/>
      </c>
      <c r="T225" s="6" t="inlineStr"/>
    </row>
    <row r="226">
      <c r="A226" s="7" t="n">
        <v>46141</v>
      </c>
      <c r="B226" s="8">
        <f>IF($A226="","",TEXT($A226,"mmm-yyyy"))</f>
        <v/>
      </c>
      <c r="C226" s="8">
        <f>IF($A226="","","W"&amp;WEEKNUM($A226,2))</f>
        <v/>
      </c>
      <c r="D226" s="8">
        <f>IF($A226="","",TEXT($A226,"ddd"))</f>
        <v/>
      </c>
      <c r="E226" s="8" t="inlineStr">
        <is>
          <t>Production</t>
        </is>
      </c>
      <c r="F226" s="8">
        <f>IFERROR(INDEX(Tbl_KPIMaster[Category],MATCH($G226,Tbl_KPIMaster[KPI],0)),"")</f>
        <v/>
      </c>
      <c r="G226" s="8" t="inlineStr">
        <is>
          <t>OEE %</t>
        </is>
      </c>
      <c r="H226" s="8">
        <f>IFERROR(INDEX(Tbl_KPIMaster[Unit],MATCH($G226,Tbl_KPIMaster[KPI],0)),"")</f>
        <v/>
      </c>
      <c r="I226" s="9">
        <f>IFERROR(INDEX(Tbl_KPIMaster[Maximum Target],MATCH($G226,Tbl_KPIMaster[KPI],0)),"")</f>
        <v/>
      </c>
      <c r="J226" s="9" t="n">
        <v>0.7443</v>
      </c>
      <c r="K226" s="8">
        <f>IFERROR(INDEX(Tbl_KPIMaster[Tolerance],MATCH($G226,Tbl_KPIMaster[KPI],0)),"")</f>
        <v/>
      </c>
      <c r="L226" s="8">
        <f>IFERROR(INDEX(Tbl_KPIMaster[Owner],MATCH($G226,Tbl_KPIMaster[KPI],0)),"")</f>
        <v/>
      </c>
      <c r="M226" s="10" t="inlineStr">
        <is>
          <t>Manpower shortage</t>
        </is>
      </c>
      <c r="N226" s="8" t="inlineStr"/>
      <c r="O226" s="8" t="inlineStr">
        <is>
          <t>Low</t>
        </is>
      </c>
      <c r="P226" s="8" t="inlineStr">
        <is>
          <t>Closed</t>
        </is>
      </c>
      <c r="Q226" s="9">
        <f>IFERROR(IF(INDEX(Tbl_KPIMaster[Direction],MATCH($G226,Tbl_KPIMaster[KPI],0))="Lower is Better",IF($J226=0,1,IF($I226=0,0,$I226/$J226)),IF($I226=0,1,$J226/$I226)),0)</f>
        <v/>
      </c>
      <c r="R226" s="8">
        <f>IF(OR($I226="",$J226=""),"",$J226-$I226)</f>
        <v/>
      </c>
      <c r="S226" s="8">
        <f>IFERROR(IF(INDEX(Tbl_KPIMaster[Direction],MATCH($G226,Tbl_KPIMaster[KPI],0))="Lower is Better",IF($J226&lt;=$I226,"Green",IF($J226&lt;=$I226+IF($I226=0,$K226,$I226*$K226),"Amber","Red")),IF($J226&gt;=$I226,"Green",IF($J226&gt;=$I226-IF($I226=0,$K226,$I226*$K226),"Amber","Red"))),"")</f>
        <v/>
      </c>
      <c r="T226" s="10" t="inlineStr"/>
    </row>
    <row r="227">
      <c r="A227" s="3" t="n">
        <v>46141</v>
      </c>
      <c r="B227" s="4">
        <f>IF($A227="","",TEXT($A227,"mmm-yyyy"))</f>
        <v/>
      </c>
      <c r="C227" s="4">
        <f>IF($A227="","","W"&amp;WEEKNUM($A227,2))</f>
        <v/>
      </c>
      <c r="D227" s="4">
        <f>IF($A227="","",TEXT($A227,"ddd"))</f>
        <v/>
      </c>
      <c r="E227" s="4" t="inlineStr">
        <is>
          <t>Quality</t>
        </is>
      </c>
      <c r="F227" s="4">
        <f>IFERROR(INDEX(Tbl_KPIMaster[Category],MATCH($G227,Tbl_KPIMaster[KPI],0)),"")</f>
        <v/>
      </c>
      <c r="G227" s="4" t="inlineStr">
        <is>
          <t>Defect Rate %</t>
        </is>
      </c>
      <c r="H227" s="4">
        <f>IFERROR(INDEX(Tbl_KPIMaster[Unit],MATCH($G227,Tbl_KPIMaster[KPI],0)),"")</f>
        <v/>
      </c>
      <c r="I227" s="5">
        <f>IFERROR(INDEX(Tbl_KPIMaster[Maximum Target],MATCH($G227,Tbl_KPIMaster[KPI],0)),"")</f>
        <v/>
      </c>
      <c r="J227" s="5" t="n">
        <v>0</v>
      </c>
      <c r="K227" s="4">
        <f>IFERROR(INDEX(Tbl_KPIMaster[Tolerance],MATCH($G227,Tbl_KPIMaster[KPI],0)),"")</f>
        <v/>
      </c>
      <c r="L227" s="4">
        <f>IFERROR(INDEX(Tbl_KPIMaster[Owner],MATCH($G227,Tbl_KPIMaster[KPI],0)),"")</f>
        <v/>
      </c>
      <c r="M227" s="6" t="inlineStr">
        <is>
          <t>Preventive check done</t>
        </is>
      </c>
      <c r="N227" s="4" t="inlineStr"/>
      <c r="O227" s="4" t="inlineStr">
        <is>
          <t>Low</t>
        </is>
      </c>
      <c r="P227" s="4" t="inlineStr">
        <is>
          <t>Closed</t>
        </is>
      </c>
      <c r="Q227" s="5">
        <f>IFERROR(IF(INDEX(Tbl_KPIMaster[Direction],MATCH($G227,Tbl_KPIMaster[KPI],0))="Lower is Better",IF($J227=0,1,IF($I227=0,0,$I227/$J227)),IF($I227=0,1,$J227/$I227)),0)</f>
        <v/>
      </c>
      <c r="R227" s="4">
        <f>IF(OR($I227="",$J227=""),"",$J227-$I227)</f>
        <v/>
      </c>
      <c r="S227" s="4">
        <f>IFERROR(IF(INDEX(Tbl_KPIMaster[Direction],MATCH($G227,Tbl_KPIMaster[KPI],0))="Lower is Better",IF($J227&lt;=$I227,"Green",IF($J227&lt;=$I227+IF($I227=0,$K227,$I227*$K227),"Amber","Red")),IF($J227&gt;=$I227,"Green",IF($J227&gt;=$I227-IF($I227=0,$K227,$I227*$K227),"Amber","Red"))),"")</f>
        <v/>
      </c>
      <c r="T227" s="6" t="inlineStr"/>
    </row>
    <row r="228">
      <c r="A228" s="7" t="n">
        <v>46141</v>
      </c>
      <c r="B228" s="8">
        <f>IF($A228="","",TEXT($A228,"mmm-yyyy"))</f>
        <v/>
      </c>
      <c r="C228" s="8">
        <f>IF($A228="","","W"&amp;WEEKNUM($A228,2))</f>
        <v/>
      </c>
      <c r="D228" s="8">
        <f>IF($A228="","",TEXT($A228,"ddd"))</f>
        <v/>
      </c>
      <c r="E228" s="8" t="inlineStr">
        <is>
          <t>Quality</t>
        </is>
      </c>
      <c r="F228" s="8">
        <f>IFERROR(INDEX(Tbl_KPIMaster[Category],MATCH($G228,Tbl_KPIMaster[KPI],0)),"")</f>
        <v/>
      </c>
      <c r="G228" s="8" t="inlineStr">
        <is>
          <t>Customer Complaints</t>
        </is>
      </c>
      <c r="H228" s="8">
        <f>IFERROR(INDEX(Tbl_KPIMaster[Unit],MATCH($G228,Tbl_KPIMaster[KPI],0)),"")</f>
        <v/>
      </c>
      <c r="I228" s="9">
        <f>IFERROR(INDEX(Tbl_KPIMaster[Maximum Target],MATCH($G228,Tbl_KPIMaster[KPI],0)),"")</f>
        <v/>
      </c>
      <c r="J228" s="9" t="n">
        <v>0</v>
      </c>
      <c r="K228" s="8">
        <f>IFERROR(INDEX(Tbl_KPIMaster[Tolerance],MATCH($G228,Tbl_KPIMaster[KPI],0)),"")</f>
        <v/>
      </c>
      <c r="L228" s="8">
        <f>IFERROR(INDEX(Tbl_KPIMaster[Owner],MATCH($G228,Tbl_KPIMaster[KPI],0)),"")</f>
        <v/>
      </c>
      <c r="M228" s="10" t="inlineStr">
        <is>
          <t>Vendor delay</t>
        </is>
      </c>
      <c r="N228" s="8" t="inlineStr"/>
      <c r="O228" s="8" t="inlineStr">
        <is>
          <t>Low</t>
        </is>
      </c>
      <c r="P228" s="8" t="inlineStr">
        <is>
          <t>Closed</t>
        </is>
      </c>
      <c r="Q228" s="9">
        <f>IFERROR(IF(INDEX(Tbl_KPIMaster[Direction],MATCH($G228,Tbl_KPIMaster[KPI],0))="Lower is Better",IF($J228=0,1,IF($I228=0,0,$I228/$J228)),IF($I228=0,1,$J228/$I228)),0)</f>
        <v/>
      </c>
      <c r="R228" s="8">
        <f>IF(OR($I228="",$J228=""),"",$J228-$I228)</f>
        <v/>
      </c>
      <c r="S228" s="8">
        <f>IFERROR(IF(INDEX(Tbl_KPIMaster[Direction],MATCH($G228,Tbl_KPIMaster[KPI],0))="Lower is Better",IF($J228&lt;=$I228,"Green",IF($J228&lt;=$I228+IF($I228=0,$K228,$I228*$K228),"Amber","Red")),IF($J228&gt;=$I228,"Green",IF($J228&gt;=$I228-IF($I228=0,$K228,$I228*$K228),"Amber","Red"))),"")</f>
        <v/>
      </c>
      <c r="T228" s="10" t="inlineStr"/>
    </row>
    <row r="229">
      <c r="A229" s="3" t="n">
        <v>46141</v>
      </c>
      <c r="B229" s="4">
        <f>IF($A229="","",TEXT($A229,"mmm-yyyy"))</f>
        <v/>
      </c>
      <c r="C229" s="4">
        <f>IF($A229="","","W"&amp;WEEKNUM($A229,2))</f>
        <v/>
      </c>
      <c r="D229" s="4">
        <f>IF($A229="","",TEXT($A229,"ddd"))</f>
        <v/>
      </c>
      <c r="E229" s="4" t="inlineStr">
        <is>
          <t>Maintenance</t>
        </is>
      </c>
      <c r="F229" s="4">
        <f>IFERROR(INDEX(Tbl_KPIMaster[Category],MATCH($G229,Tbl_KPIMaster[KPI],0)),"")</f>
        <v/>
      </c>
      <c r="G229" s="4" t="inlineStr">
        <is>
          <t>Unplanned Downtime</t>
        </is>
      </c>
      <c r="H229" s="4">
        <f>IFERROR(INDEX(Tbl_KPIMaster[Unit],MATCH($G229,Tbl_KPIMaster[KPI],0)),"")</f>
        <v/>
      </c>
      <c r="I229" s="5">
        <f>IFERROR(INDEX(Tbl_KPIMaster[Maximum Target],MATCH($G229,Tbl_KPIMaster[KPI],0)),"")</f>
        <v/>
      </c>
      <c r="J229" s="5" t="n">
        <v>0</v>
      </c>
      <c r="K229" s="4">
        <f>IFERROR(INDEX(Tbl_KPIMaster[Tolerance],MATCH($G229,Tbl_KPIMaster[KPI],0)),"")</f>
        <v/>
      </c>
      <c r="L229" s="4">
        <f>IFERROR(INDEX(Tbl_KPIMaster[Owner],MATCH($G229,Tbl_KPIMaster[KPI],0)),"")</f>
        <v/>
      </c>
      <c r="M229" s="6" t="inlineStr">
        <is>
          <t>New operator training effect</t>
        </is>
      </c>
      <c r="N229" s="4" t="inlineStr">
        <is>
          <t>Engineering support needed</t>
        </is>
      </c>
      <c r="O229" s="4" t="inlineStr">
        <is>
          <t>Low</t>
        </is>
      </c>
      <c r="P229" s="4" t="inlineStr">
        <is>
          <t>Open</t>
        </is>
      </c>
      <c r="Q229" s="5">
        <f>IFERROR(IF(INDEX(Tbl_KPIMaster[Direction],MATCH($G229,Tbl_KPIMaster[KPI],0))="Lower is Better",IF($J229=0,1,IF($I229=0,0,$I229/$J229)),IF($I229=0,1,$J229/$I229)),0)</f>
        <v/>
      </c>
      <c r="R229" s="4">
        <f>IF(OR($I229="",$J229=""),"",$J229-$I229)</f>
        <v/>
      </c>
      <c r="S229" s="4">
        <f>IFERROR(IF(INDEX(Tbl_KPIMaster[Direction],MATCH($G229,Tbl_KPIMaster[KPI],0))="Lower is Better",IF($J229&lt;=$I229,"Green",IF($J229&lt;=$I229+IF($I229=0,$K229,$I229*$K229),"Amber","Red")),IF($J229&gt;=$I229,"Green",IF($J229&gt;=$I229-IF($I229=0,$K229,$I229*$K229),"Amber","Red"))),"")</f>
        <v/>
      </c>
      <c r="T229" s="6" t="inlineStr"/>
    </row>
    <row r="230">
      <c r="A230" s="7" t="n">
        <v>46141</v>
      </c>
      <c r="B230" s="8">
        <f>IF($A230="","",TEXT($A230,"mmm-yyyy"))</f>
        <v/>
      </c>
      <c r="C230" s="8">
        <f>IF($A230="","","W"&amp;WEEKNUM($A230,2))</f>
        <v/>
      </c>
      <c r="D230" s="8">
        <f>IF($A230="","",TEXT($A230,"ddd"))</f>
        <v/>
      </c>
      <c r="E230" s="8" t="inlineStr">
        <is>
          <t>Maintenance</t>
        </is>
      </c>
      <c r="F230" s="8">
        <f>IFERROR(INDEX(Tbl_KPIMaster[Category],MATCH($G230,Tbl_KPIMaster[KPI],0)),"")</f>
        <v/>
      </c>
      <c r="G230" s="8" t="inlineStr">
        <is>
          <t>PM Compliance %</t>
        </is>
      </c>
      <c r="H230" s="8">
        <f>IFERROR(INDEX(Tbl_KPIMaster[Unit],MATCH($G230,Tbl_KPIMaster[KPI],0)),"")</f>
        <v/>
      </c>
      <c r="I230" s="9">
        <f>IFERROR(INDEX(Tbl_KPIMaster[Maximum Target],MATCH($G230,Tbl_KPIMaster[KPI],0)),"")</f>
        <v/>
      </c>
      <c r="J230" s="9" t="n">
        <v>1.0903</v>
      </c>
      <c r="K230" s="8">
        <f>IFERROR(INDEX(Tbl_KPIMaster[Tolerance],MATCH($G230,Tbl_KPIMaster[KPI],0)),"")</f>
        <v/>
      </c>
      <c r="L230" s="8">
        <f>IFERROR(INDEX(Tbl_KPIMaster[Owner],MATCH($G230,Tbl_KPIMaster[KPI],0)),"")</f>
        <v/>
      </c>
      <c r="M230" s="10" t="inlineStr">
        <is>
          <t>Preventive check done</t>
        </is>
      </c>
      <c r="N230" s="8" t="inlineStr">
        <is>
          <t>Procurement follow-up</t>
        </is>
      </c>
      <c r="O230" s="8" t="inlineStr">
        <is>
          <t>Low</t>
        </is>
      </c>
      <c r="P230" s="8" t="inlineStr">
        <is>
          <t>Closed</t>
        </is>
      </c>
      <c r="Q230" s="9">
        <f>IFERROR(IF(INDEX(Tbl_KPIMaster[Direction],MATCH($G230,Tbl_KPIMaster[KPI],0))="Lower is Better",IF($J230=0,1,IF($I230=0,0,$I230/$J230)),IF($I230=0,1,$J230/$I230)),0)</f>
        <v/>
      </c>
      <c r="R230" s="8">
        <f>IF(OR($I230="",$J230=""),"",$J230-$I230)</f>
        <v/>
      </c>
      <c r="S230" s="8">
        <f>IFERROR(IF(INDEX(Tbl_KPIMaster[Direction],MATCH($G230,Tbl_KPIMaster[KPI],0))="Lower is Better",IF($J230&lt;=$I230,"Green",IF($J230&lt;=$I230+IF($I230=0,$K230,$I230*$K230),"Amber","Red")),IF($J230&gt;=$I230,"Green",IF($J230&gt;=$I230-IF($I230=0,$K230,$I230*$K230),"Amber","Red"))),"")</f>
        <v/>
      </c>
      <c r="T230" s="10" t="inlineStr"/>
    </row>
    <row r="231">
      <c r="A231" s="3" t="n">
        <v>46141</v>
      </c>
      <c r="B231" s="4">
        <f>IF($A231="","",TEXT($A231,"mmm-yyyy"))</f>
        <v/>
      </c>
      <c r="C231" s="4">
        <f>IF($A231="","","W"&amp;WEEKNUM($A231,2))</f>
        <v/>
      </c>
      <c r="D231" s="4">
        <f>IF($A231="","",TEXT($A231,"ddd"))</f>
        <v/>
      </c>
      <c r="E231" s="4" t="inlineStr">
        <is>
          <t>Utilities</t>
        </is>
      </c>
      <c r="F231" s="4">
        <f>IFERROR(INDEX(Tbl_KPIMaster[Category],MATCH($G231,Tbl_KPIMaster[KPI],0)),"")</f>
        <v/>
      </c>
      <c r="G231" s="4" t="inlineStr">
        <is>
          <t>Power Consumption</t>
        </is>
      </c>
      <c r="H231" s="4">
        <f>IFERROR(INDEX(Tbl_KPIMaster[Unit],MATCH($G231,Tbl_KPIMaster[KPI],0)),"")</f>
        <v/>
      </c>
      <c r="I231" s="5">
        <f>IFERROR(INDEX(Tbl_KPIMaster[Maximum Target],MATCH($G231,Tbl_KPIMaster[KPI],0)),"")</f>
        <v/>
      </c>
      <c r="J231" s="5" t="n">
        <v>3332.14</v>
      </c>
      <c r="K231" s="4">
        <f>IFERROR(INDEX(Tbl_KPIMaster[Tolerance],MATCH($G231,Tbl_KPIMaster[KPI],0)),"")</f>
        <v/>
      </c>
      <c r="L231" s="4">
        <f>IFERROR(INDEX(Tbl_KPIMaster[Owner],MATCH($G231,Tbl_KPIMaster[KPI],0)),"")</f>
        <v/>
      </c>
      <c r="M231" s="6" t="inlineStr">
        <is>
          <t>Awaiting spares</t>
        </is>
      </c>
      <c r="N231" s="4" t="inlineStr"/>
      <c r="O231" s="4" t="inlineStr">
        <is>
          <t>Low</t>
        </is>
      </c>
      <c r="P231" s="4" t="inlineStr">
        <is>
          <t>Closed</t>
        </is>
      </c>
      <c r="Q231" s="5">
        <f>IFERROR(IF(INDEX(Tbl_KPIMaster[Direction],MATCH($G231,Tbl_KPIMaster[KPI],0))="Lower is Better",IF($J231=0,1,IF($I231=0,0,$I231/$J231)),IF($I231=0,1,$J231/$I231)),0)</f>
        <v/>
      </c>
      <c r="R231" s="4">
        <f>IF(OR($I231="",$J231=""),"",$J231-$I231)</f>
        <v/>
      </c>
      <c r="S231" s="4">
        <f>IFERROR(IF(INDEX(Tbl_KPIMaster[Direction],MATCH($G231,Tbl_KPIMaster[KPI],0))="Lower is Better",IF($J231&lt;=$I231,"Green",IF($J231&lt;=$I231+IF($I231=0,$K231,$I231*$K231),"Amber","Red")),IF($J231&gt;=$I231,"Green",IF($J231&gt;=$I231-IF($I231=0,$K231,$I231*$K231),"Amber","Red"))),"")</f>
        <v/>
      </c>
      <c r="T231" s="6" t="inlineStr"/>
    </row>
    <row r="232">
      <c r="A232" s="7" t="n">
        <v>46141</v>
      </c>
      <c r="B232" s="8">
        <f>IF($A232="","",TEXT($A232,"mmm-yyyy"))</f>
        <v/>
      </c>
      <c r="C232" s="8">
        <f>IF($A232="","","W"&amp;WEEKNUM($A232,2))</f>
        <v/>
      </c>
      <c r="D232" s="8">
        <f>IF($A232="","",TEXT($A232,"ddd"))</f>
        <v/>
      </c>
      <c r="E232" s="8" t="inlineStr">
        <is>
          <t>Utilities</t>
        </is>
      </c>
      <c r="F232" s="8">
        <f>IFERROR(INDEX(Tbl_KPIMaster[Category],MATCH($G232,Tbl_KPIMaster[KPI],0)),"")</f>
        <v/>
      </c>
      <c r="G232" s="8" t="inlineStr">
        <is>
          <t>Water Consumption</t>
        </is>
      </c>
      <c r="H232" s="8">
        <f>IFERROR(INDEX(Tbl_KPIMaster[Unit],MATCH($G232,Tbl_KPIMaster[KPI],0)),"")</f>
        <v/>
      </c>
      <c r="I232" s="9">
        <f>IFERROR(INDEX(Tbl_KPIMaster[Maximum Target],MATCH($G232,Tbl_KPIMaster[KPI],0)),"")</f>
        <v/>
      </c>
      <c r="J232" s="9" t="n">
        <v>48.88</v>
      </c>
      <c r="K232" s="8">
        <f>IFERROR(INDEX(Tbl_KPIMaster[Tolerance],MATCH($G232,Tbl_KPIMaster[KPI],0)),"")</f>
        <v/>
      </c>
      <c r="L232" s="8">
        <f>IFERROR(INDEX(Tbl_KPIMaster[Owner],MATCH($G232,Tbl_KPIMaster[KPI],0)),"")</f>
        <v/>
      </c>
      <c r="M232" s="10" t="inlineStr">
        <is>
          <t>Process improvement in progress</t>
        </is>
      </c>
      <c r="N232" s="8" t="inlineStr"/>
      <c r="O232" s="8" t="inlineStr">
        <is>
          <t>Low</t>
        </is>
      </c>
      <c r="P232" s="8" t="inlineStr">
        <is>
          <t>Open</t>
        </is>
      </c>
      <c r="Q232" s="9">
        <f>IFERROR(IF(INDEX(Tbl_KPIMaster[Direction],MATCH($G232,Tbl_KPIMaster[KPI],0))="Lower is Better",IF($J232=0,1,IF($I232=0,0,$I232/$J232)),IF($I232=0,1,$J232/$I232)),0)</f>
        <v/>
      </c>
      <c r="R232" s="8">
        <f>IF(OR($I232="",$J232=""),"",$J232-$I232)</f>
        <v/>
      </c>
      <c r="S232" s="8">
        <f>IFERROR(IF(INDEX(Tbl_KPIMaster[Direction],MATCH($G232,Tbl_KPIMaster[KPI],0))="Lower is Better",IF($J232&lt;=$I232,"Green",IF($J232&lt;=$I232+IF($I232=0,$K232,$I232*$K232),"Amber","Red")),IF($J232&gt;=$I232,"Green",IF($J232&gt;=$I232-IF($I232=0,$K232,$I232*$K232),"Amber","Red"))),"")</f>
        <v/>
      </c>
      <c r="T232" s="10" t="inlineStr"/>
    </row>
    <row r="233">
      <c r="A233" s="3" t="n">
        <v>46141</v>
      </c>
      <c r="B233" s="4">
        <f>IF($A233="","",TEXT($A233,"mmm-yyyy"))</f>
        <v/>
      </c>
      <c r="C233" s="4">
        <f>IF($A233="","","W"&amp;WEEKNUM($A233,2))</f>
        <v/>
      </c>
      <c r="D233" s="4">
        <f>IF($A233="","",TEXT($A233,"ddd"))</f>
        <v/>
      </c>
      <c r="E233" s="4" t="inlineStr">
        <is>
          <t>Warehouse</t>
        </is>
      </c>
      <c r="F233" s="4">
        <f>IFERROR(INDEX(Tbl_KPIMaster[Category],MATCH($G233,Tbl_KPIMaster[KPI],0)),"")</f>
        <v/>
      </c>
      <c r="G233" s="4" t="inlineStr">
        <is>
          <t>On-Time Dispatch %</t>
        </is>
      </c>
      <c r="H233" s="4">
        <f>IFERROR(INDEX(Tbl_KPIMaster[Unit],MATCH($G233,Tbl_KPIMaster[KPI],0)),"")</f>
        <v/>
      </c>
      <c r="I233" s="5">
        <f>IFERROR(INDEX(Tbl_KPIMaster[Maximum Target],MATCH($G233,Tbl_KPIMaster[KPI],0)),"")</f>
        <v/>
      </c>
      <c r="J233" s="5" t="n">
        <v>0.9592000000000001</v>
      </c>
      <c r="K233" s="4">
        <f>IFERROR(INDEX(Tbl_KPIMaster[Tolerance],MATCH($G233,Tbl_KPIMaster[KPI],0)),"")</f>
        <v/>
      </c>
      <c r="L233" s="4">
        <f>IFERROR(INDEX(Tbl_KPIMaster[Owner],MATCH($G233,Tbl_KPIMaster[KPI],0)),"")</f>
        <v/>
      </c>
      <c r="M233" s="6" t="inlineStr">
        <is>
          <t>Process improvement in progress</t>
        </is>
      </c>
      <c r="N233" s="4" t="inlineStr">
        <is>
          <t>Engineering support needed</t>
        </is>
      </c>
      <c r="O233" s="4" t="inlineStr">
        <is>
          <t>Low</t>
        </is>
      </c>
      <c r="P233" s="4" t="inlineStr">
        <is>
          <t>Closed</t>
        </is>
      </c>
      <c r="Q233" s="5">
        <f>IFERROR(IF(INDEX(Tbl_KPIMaster[Direction],MATCH($G233,Tbl_KPIMaster[KPI],0))="Lower is Better",IF($J233=0,1,IF($I233=0,0,$I233/$J233)),IF($I233=0,1,$J233/$I233)),0)</f>
        <v/>
      </c>
      <c r="R233" s="4">
        <f>IF(OR($I233="",$J233=""),"",$J233-$I233)</f>
        <v/>
      </c>
      <c r="S233" s="4">
        <f>IFERROR(IF(INDEX(Tbl_KPIMaster[Direction],MATCH($G233,Tbl_KPIMaster[KPI],0))="Lower is Better",IF($J233&lt;=$I233,"Green",IF($J233&lt;=$I233+IF($I233=0,$K233,$I233*$K233),"Amber","Red")),IF($J233&gt;=$I233,"Green",IF($J233&gt;=$I233-IF($I233=0,$K233,$I233*$K233),"Amber","Red"))),"")</f>
        <v/>
      </c>
      <c r="T233" s="6" t="inlineStr"/>
    </row>
    <row r="234">
      <c r="A234" s="7" t="n">
        <v>46141</v>
      </c>
      <c r="B234" s="8">
        <f>IF($A234="","",TEXT($A234,"mmm-yyyy"))</f>
        <v/>
      </c>
      <c r="C234" s="8">
        <f>IF($A234="","","W"&amp;WEEKNUM($A234,2))</f>
        <v/>
      </c>
      <c r="D234" s="8">
        <f>IF($A234="","",TEXT($A234,"ddd"))</f>
        <v/>
      </c>
      <c r="E234" s="8" t="inlineStr">
        <is>
          <t>Warehouse</t>
        </is>
      </c>
      <c r="F234" s="8">
        <f>IFERROR(INDEX(Tbl_KPIMaster[Category],MATCH($G234,Tbl_KPIMaster[KPI],0)),"")</f>
        <v/>
      </c>
      <c r="G234" s="8" t="inlineStr">
        <is>
          <t>Inventory Accuracy %</t>
        </is>
      </c>
      <c r="H234" s="8">
        <f>IFERROR(INDEX(Tbl_KPIMaster[Unit],MATCH($G234,Tbl_KPIMaster[KPI],0)),"")</f>
        <v/>
      </c>
      <c r="I234" s="9">
        <f>IFERROR(INDEX(Tbl_KPIMaster[Maximum Target],MATCH($G234,Tbl_KPIMaster[KPI],0)),"")</f>
        <v/>
      </c>
      <c r="J234" s="9" t="n">
        <v>1.0713</v>
      </c>
      <c r="K234" s="8">
        <f>IFERROR(INDEX(Tbl_KPIMaster[Tolerance],MATCH($G234,Tbl_KPIMaster[KPI],0)),"")</f>
        <v/>
      </c>
      <c r="L234" s="8">
        <f>IFERROR(INDEX(Tbl_KPIMaster[Owner],MATCH($G234,Tbl_KPIMaster[KPI],0)),"")</f>
        <v/>
      </c>
      <c r="M234" s="10" t="inlineStr"/>
      <c r="N234" s="8" t="inlineStr"/>
      <c r="O234" s="8" t="inlineStr">
        <is>
          <t>Medium</t>
        </is>
      </c>
      <c r="P234" s="8" t="inlineStr">
        <is>
          <t>Open</t>
        </is>
      </c>
      <c r="Q234" s="9">
        <f>IFERROR(IF(INDEX(Tbl_KPIMaster[Direction],MATCH($G234,Tbl_KPIMaster[KPI],0))="Lower is Better",IF($J234=0,1,IF($I234=0,0,$I234/$J234)),IF($I234=0,1,$J234/$I234)),0)</f>
        <v/>
      </c>
      <c r="R234" s="8">
        <f>IF(OR($I234="",$J234=""),"",$J234-$I234)</f>
        <v/>
      </c>
      <c r="S234" s="8">
        <f>IFERROR(IF(INDEX(Tbl_KPIMaster[Direction],MATCH($G234,Tbl_KPIMaster[KPI],0))="Lower is Better",IF($J234&lt;=$I234,"Green",IF($J234&lt;=$I234+IF($I234=0,$K234,$I234*$K234),"Amber","Red")),IF($J234&gt;=$I234,"Green",IF($J234&gt;=$I234-IF($I234=0,$K234,$I234*$K234),"Amber","Red"))),"")</f>
        <v/>
      </c>
      <c r="T234" s="10" t="inlineStr"/>
    </row>
    <row r="235">
      <c r="A235" s="3" t="n">
        <v>46141</v>
      </c>
      <c r="B235" s="4">
        <f>IF($A235="","",TEXT($A235,"mmm-yyyy"))</f>
        <v/>
      </c>
      <c r="C235" s="4">
        <f>IF($A235="","","W"&amp;WEEKNUM($A235,2))</f>
        <v/>
      </c>
      <c r="D235" s="4">
        <f>IF($A235="","",TEXT($A235,"ddd"))</f>
        <v/>
      </c>
      <c r="E235" s="4" t="inlineStr">
        <is>
          <t>HR</t>
        </is>
      </c>
      <c r="F235" s="4">
        <f>IFERROR(INDEX(Tbl_KPIMaster[Category],MATCH($G235,Tbl_KPIMaster[KPI],0)),"")</f>
        <v/>
      </c>
      <c r="G235" s="4" t="inlineStr">
        <is>
          <t>Absenteeism %</t>
        </is>
      </c>
      <c r="H235" s="4">
        <f>IFERROR(INDEX(Tbl_KPIMaster[Unit],MATCH($G235,Tbl_KPIMaster[KPI],0)),"")</f>
        <v/>
      </c>
      <c r="I235" s="5">
        <f>IFERROR(INDEX(Tbl_KPIMaster[Maximum Target],MATCH($G235,Tbl_KPIMaster[KPI],0)),"")</f>
        <v/>
      </c>
      <c r="J235" s="5" t="n">
        <v>0.234</v>
      </c>
      <c r="K235" s="4">
        <f>IFERROR(INDEX(Tbl_KPIMaster[Tolerance],MATCH($G235,Tbl_KPIMaster[KPI],0)),"")</f>
        <v/>
      </c>
      <c r="L235" s="4">
        <f>IFERROR(INDEX(Tbl_KPIMaster[Owner],MATCH($G235,Tbl_KPIMaster[KPI],0)),"")</f>
        <v/>
      </c>
      <c r="M235" s="6" t="inlineStr">
        <is>
          <t>Equipment breakdown</t>
        </is>
      </c>
      <c r="N235" s="4" t="inlineStr">
        <is>
          <t>Management approval pending</t>
        </is>
      </c>
      <c r="O235" s="4" t="inlineStr">
        <is>
          <t>Medium</t>
        </is>
      </c>
      <c r="P235" s="4" t="inlineStr">
        <is>
          <t>Closed</t>
        </is>
      </c>
      <c r="Q235" s="5">
        <f>IFERROR(IF(INDEX(Tbl_KPIMaster[Direction],MATCH($G235,Tbl_KPIMaster[KPI],0))="Lower is Better",IF($J235=0,1,IF($I235=0,0,$I235/$J235)),IF($I235=0,1,$J235/$I235)),0)</f>
        <v/>
      </c>
      <c r="R235" s="4">
        <f>IF(OR($I235="",$J235=""),"",$J235-$I235)</f>
        <v/>
      </c>
      <c r="S235" s="4">
        <f>IFERROR(IF(INDEX(Tbl_KPIMaster[Direction],MATCH($G235,Tbl_KPIMaster[KPI],0))="Lower is Better",IF($J235&lt;=$I235,"Green",IF($J235&lt;=$I235+IF($I235=0,$K235,$I235*$K235),"Amber","Red")),IF($J235&gt;=$I235,"Green",IF($J235&gt;=$I235-IF($I235=0,$K235,$I235*$K235),"Amber","Red"))),"")</f>
        <v/>
      </c>
      <c r="T235" s="6" t="inlineStr"/>
    </row>
    <row r="236">
      <c r="A236" s="7" t="n">
        <v>46141</v>
      </c>
      <c r="B236" s="8">
        <f>IF($A236="","",TEXT($A236,"mmm-yyyy"))</f>
        <v/>
      </c>
      <c r="C236" s="8">
        <f>IF($A236="","","W"&amp;WEEKNUM($A236,2))</f>
        <v/>
      </c>
      <c r="D236" s="8">
        <f>IF($A236="","",TEXT($A236,"ddd"))</f>
        <v/>
      </c>
      <c r="E236" s="8" t="inlineStr">
        <is>
          <t>HR</t>
        </is>
      </c>
      <c r="F236" s="8">
        <f>IFERROR(INDEX(Tbl_KPIMaster[Category],MATCH($G236,Tbl_KPIMaster[KPI],0)),"")</f>
        <v/>
      </c>
      <c r="G236" s="8" t="inlineStr">
        <is>
          <t>Training Hours</t>
        </is>
      </c>
      <c r="H236" s="8">
        <f>IFERROR(INDEX(Tbl_KPIMaster[Unit],MATCH($G236,Tbl_KPIMaster[KPI],0)),"")</f>
        <v/>
      </c>
      <c r="I236" s="9">
        <f>IFERROR(INDEX(Tbl_KPIMaster[Maximum Target],MATCH($G236,Tbl_KPIMaster[KPI],0)),"")</f>
        <v/>
      </c>
      <c r="J236" s="9" t="n">
        <v>2.13</v>
      </c>
      <c r="K236" s="8">
        <f>IFERROR(INDEX(Tbl_KPIMaster[Tolerance],MATCH($G236,Tbl_KPIMaster[KPI],0)),"")</f>
        <v/>
      </c>
      <c r="L236" s="8">
        <f>IFERROR(INDEX(Tbl_KPIMaster[Owner],MATCH($G236,Tbl_KPIMaster[KPI],0)),"")</f>
        <v/>
      </c>
      <c r="M236" s="10" t="inlineStr">
        <is>
          <t>Weather impact</t>
        </is>
      </c>
      <c r="N236" s="8" t="inlineStr"/>
      <c r="O236" s="8" t="inlineStr">
        <is>
          <t>Low</t>
        </is>
      </c>
      <c r="P236" s="8" t="inlineStr">
        <is>
          <t>In Progress</t>
        </is>
      </c>
      <c r="Q236" s="9">
        <f>IFERROR(IF(INDEX(Tbl_KPIMaster[Direction],MATCH($G236,Tbl_KPIMaster[KPI],0))="Lower is Better",IF($J236=0,1,IF($I236=0,0,$I236/$J236)),IF($I236=0,1,$J236/$I236)),0)</f>
        <v/>
      </c>
      <c r="R236" s="8">
        <f>IF(OR($I236="",$J236=""),"",$J236-$I236)</f>
        <v/>
      </c>
      <c r="S236" s="8">
        <f>IFERROR(IF(INDEX(Tbl_KPIMaster[Direction],MATCH($G236,Tbl_KPIMaster[KPI],0))="Lower is Better",IF($J236&lt;=$I236,"Green",IF($J236&lt;=$I236+IF($I236=0,$K236,$I236*$K236),"Amber","Red")),IF($J236&gt;=$I236,"Green",IF($J236&gt;=$I236-IF($I236=0,$K236,$I236*$K236),"Amber","Red"))),"")</f>
        <v/>
      </c>
      <c r="T236" s="10" t="inlineStr"/>
    </row>
    <row r="237">
      <c r="A237" s="3" t="n">
        <v>46141</v>
      </c>
      <c r="B237" s="4">
        <f>IF($A237="","",TEXT($A237,"mmm-yyyy"))</f>
        <v/>
      </c>
      <c r="C237" s="4">
        <f>IF($A237="","","W"&amp;WEEKNUM($A237,2))</f>
        <v/>
      </c>
      <c r="D237" s="4">
        <f>IF($A237="","",TEXT($A237,"ddd"))</f>
        <v/>
      </c>
      <c r="E237" s="4" t="inlineStr">
        <is>
          <t>Engineering</t>
        </is>
      </c>
      <c r="F237" s="4">
        <f>IFERROR(INDEX(Tbl_KPIMaster[Category],MATCH($G237,Tbl_KPIMaster[KPI],0)),"")</f>
        <v/>
      </c>
      <c r="G237" s="4" t="inlineStr">
        <is>
          <t>Project Milestone Adherence %</t>
        </is>
      </c>
      <c r="H237" s="4">
        <f>IFERROR(INDEX(Tbl_KPIMaster[Unit],MATCH($G237,Tbl_KPIMaster[KPI],0)),"")</f>
        <v/>
      </c>
      <c r="I237" s="5">
        <f>IFERROR(INDEX(Tbl_KPIMaster[Maximum Target],MATCH($G237,Tbl_KPIMaster[KPI],0)),"")</f>
        <v/>
      </c>
      <c r="J237" s="5" t="n">
        <v>1.0573</v>
      </c>
      <c r="K237" s="4">
        <f>IFERROR(INDEX(Tbl_KPIMaster[Tolerance],MATCH($G237,Tbl_KPIMaster[KPI],0)),"")</f>
        <v/>
      </c>
      <c r="L237" s="4">
        <f>IFERROR(INDEX(Tbl_KPIMaster[Owner],MATCH($G237,Tbl_KPIMaster[KPI],0)),"")</f>
        <v/>
      </c>
      <c r="M237" s="6" t="inlineStr">
        <is>
          <t>Vendor delay</t>
        </is>
      </c>
      <c r="N237" s="4" t="inlineStr"/>
      <c r="O237" s="4" t="inlineStr">
        <is>
          <t>Low</t>
        </is>
      </c>
      <c r="P237" s="4" t="inlineStr">
        <is>
          <t>Open</t>
        </is>
      </c>
      <c r="Q237" s="5">
        <f>IFERROR(IF(INDEX(Tbl_KPIMaster[Direction],MATCH($G237,Tbl_KPIMaster[KPI],0))="Lower is Better",IF($J237=0,1,IF($I237=0,0,$I237/$J237)),IF($I237=0,1,$J237/$I237)),0)</f>
        <v/>
      </c>
      <c r="R237" s="4">
        <f>IF(OR($I237="",$J237=""),"",$J237-$I237)</f>
        <v/>
      </c>
      <c r="S237" s="4">
        <f>IFERROR(IF(INDEX(Tbl_KPIMaster[Direction],MATCH($G237,Tbl_KPIMaster[KPI],0))="Lower is Better",IF($J237&lt;=$I237,"Green",IF($J237&lt;=$I237+IF($I237=0,$K237,$I237*$K237),"Amber","Red")),IF($J237&gt;=$I237,"Green",IF($J237&gt;=$I237-IF($I237=0,$K237,$I237*$K237),"Amber","Red"))),"")</f>
        <v/>
      </c>
      <c r="T237" s="6" t="inlineStr"/>
    </row>
    <row r="238">
      <c r="A238" s="7" t="n">
        <v>46141</v>
      </c>
      <c r="B238" s="8">
        <f>IF($A238="","",TEXT($A238,"mmm-yyyy"))</f>
        <v/>
      </c>
      <c r="C238" s="8">
        <f>IF($A238="","","W"&amp;WEEKNUM($A238,2))</f>
        <v/>
      </c>
      <c r="D238" s="8">
        <f>IF($A238="","",TEXT($A238,"ddd"))</f>
        <v/>
      </c>
      <c r="E238" s="8" t="inlineStr">
        <is>
          <t>Engineering</t>
        </is>
      </c>
      <c r="F238" s="8">
        <f>IFERROR(INDEX(Tbl_KPIMaster[Category],MATCH($G238,Tbl_KPIMaster[KPI],0)),"")</f>
        <v/>
      </c>
      <c r="G238" s="8" t="inlineStr">
        <is>
          <t>Breakdown Resolution Time</t>
        </is>
      </c>
      <c r="H238" s="8">
        <f>IFERROR(INDEX(Tbl_KPIMaster[Unit],MATCH($G238,Tbl_KPIMaster[KPI],0)),"")</f>
        <v/>
      </c>
      <c r="I238" s="9">
        <f>IFERROR(INDEX(Tbl_KPIMaster[Maximum Target],MATCH($G238,Tbl_KPIMaster[KPI],0)),"")</f>
        <v/>
      </c>
      <c r="J238" s="9" t="n">
        <v>0.2</v>
      </c>
      <c r="K238" s="8">
        <f>IFERROR(INDEX(Tbl_KPIMaster[Tolerance],MATCH($G238,Tbl_KPIMaster[KPI],0)),"")</f>
        <v/>
      </c>
      <c r="L238" s="8">
        <f>IFERROR(INDEX(Tbl_KPIMaster[Owner],MATCH($G238,Tbl_KPIMaster[KPI],0)),"")</f>
        <v/>
      </c>
      <c r="M238" s="10" t="inlineStr">
        <is>
          <t>Equipment breakdown</t>
        </is>
      </c>
      <c r="N238" s="8" t="inlineStr">
        <is>
          <t>Engineering support needed</t>
        </is>
      </c>
      <c r="O238" s="8" t="inlineStr">
        <is>
          <t>Low</t>
        </is>
      </c>
      <c r="P238" s="8" t="inlineStr">
        <is>
          <t>Open</t>
        </is>
      </c>
      <c r="Q238" s="9">
        <f>IFERROR(IF(INDEX(Tbl_KPIMaster[Direction],MATCH($G238,Tbl_KPIMaster[KPI],0))="Lower is Better",IF($J238=0,1,IF($I238=0,0,$I238/$J238)),IF($I238=0,1,$J238/$I238)),0)</f>
        <v/>
      </c>
      <c r="R238" s="8">
        <f>IF(OR($I238="",$J238=""),"",$J238-$I238)</f>
        <v/>
      </c>
      <c r="S238" s="8">
        <f>IFERROR(IF(INDEX(Tbl_KPIMaster[Direction],MATCH($G238,Tbl_KPIMaster[KPI],0))="Lower is Better",IF($J238&lt;=$I238,"Green",IF($J238&lt;=$I238+IF($I238=0,$K238,$I238*$K238),"Amber","Red")),IF($J238&gt;=$I238,"Green",IF($J238&gt;=$I238-IF($I238=0,$K238,$I238*$K238),"Amber","Red"))),"")</f>
        <v/>
      </c>
      <c r="T238" s="10" t="inlineStr"/>
    </row>
    <row r="239">
      <c r="A239" s="3" t="n">
        <v>46141</v>
      </c>
      <c r="B239" s="4">
        <f>IF($A239="","",TEXT($A239,"mmm-yyyy"))</f>
        <v/>
      </c>
      <c r="C239" s="4">
        <f>IF($A239="","","W"&amp;WEEKNUM($A239,2))</f>
        <v/>
      </c>
      <c r="D239" s="4">
        <f>IF($A239="","",TEXT($A239,"ddd"))</f>
        <v/>
      </c>
      <c r="E239" s="4" t="inlineStr">
        <is>
          <t>Cost</t>
        </is>
      </c>
      <c r="F239" s="4">
        <f>IFERROR(INDEX(Tbl_KPIMaster[Category],MATCH($G239,Tbl_KPIMaster[KPI],0)),"")</f>
        <v/>
      </c>
      <c r="G239" s="4" t="inlineStr">
        <is>
          <t>Cost per Unit</t>
        </is>
      </c>
      <c r="H239" s="4">
        <f>IFERROR(INDEX(Tbl_KPIMaster[Unit],MATCH($G239,Tbl_KPIMaster[KPI],0)),"")</f>
        <v/>
      </c>
      <c r="I239" s="5">
        <f>IFERROR(INDEX(Tbl_KPIMaster[Maximum Target],MATCH($G239,Tbl_KPIMaster[KPI],0)),"")</f>
        <v/>
      </c>
      <c r="J239" s="5" t="n">
        <v>41.34</v>
      </c>
      <c r="K239" s="4">
        <f>IFERROR(INDEX(Tbl_KPIMaster[Tolerance],MATCH($G239,Tbl_KPIMaster[KPI],0)),"")</f>
        <v/>
      </c>
      <c r="L239" s="4">
        <f>IFERROR(INDEX(Tbl_KPIMaster[Owner],MATCH($G239,Tbl_KPIMaster[KPI],0)),"")</f>
        <v/>
      </c>
      <c r="M239" s="6" t="inlineStr">
        <is>
          <t>Manpower shortage</t>
        </is>
      </c>
      <c r="N239" s="4" t="inlineStr"/>
      <c r="O239" s="4" t="inlineStr">
        <is>
          <t>Low</t>
        </is>
      </c>
      <c r="P239" s="4" t="inlineStr">
        <is>
          <t>Closed</t>
        </is>
      </c>
      <c r="Q239" s="5">
        <f>IFERROR(IF(INDEX(Tbl_KPIMaster[Direction],MATCH($G239,Tbl_KPIMaster[KPI],0))="Lower is Better",IF($J239=0,1,IF($I239=0,0,$I239/$J239)),IF($I239=0,1,$J239/$I239)),0)</f>
        <v/>
      </c>
      <c r="R239" s="4">
        <f>IF(OR($I239="",$J239=""),"",$J239-$I239)</f>
        <v/>
      </c>
      <c r="S239" s="4">
        <f>IFERROR(IF(INDEX(Tbl_KPIMaster[Direction],MATCH($G239,Tbl_KPIMaster[KPI],0))="Lower is Better",IF($J239&lt;=$I239,"Green",IF($J239&lt;=$I239+IF($I239=0,$K239,$I239*$K239),"Amber","Red")),IF($J239&gt;=$I239,"Green",IF($J239&gt;=$I239-IF($I239=0,$K239,$I239*$K239),"Amber","Red"))),"")</f>
        <v/>
      </c>
      <c r="T239" s="6" t="inlineStr"/>
    </row>
    <row r="240">
      <c r="A240" s="7" t="n">
        <v>46141</v>
      </c>
      <c r="B240" s="8">
        <f>IF($A240="","",TEXT($A240,"mmm-yyyy"))</f>
        <v/>
      </c>
      <c r="C240" s="8">
        <f>IF($A240="","","W"&amp;WEEKNUM($A240,2))</f>
        <v/>
      </c>
      <c r="D240" s="8">
        <f>IF($A240="","",TEXT($A240,"ddd"))</f>
        <v/>
      </c>
      <c r="E240" s="8" t="inlineStr">
        <is>
          <t>Cost</t>
        </is>
      </c>
      <c r="F240" s="8">
        <f>IFERROR(INDEX(Tbl_KPIMaster[Category],MATCH($G240,Tbl_KPIMaster[KPI],0)),"")</f>
        <v/>
      </c>
      <c r="G240" s="8" t="inlineStr">
        <is>
          <t>Budget Variance %</t>
        </is>
      </c>
      <c r="H240" s="8">
        <f>IFERROR(INDEX(Tbl_KPIMaster[Unit],MATCH($G240,Tbl_KPIMaster[KPI],0)),"")</f>
        <v/>
      </c>
      <c r="I240" s="9">
        <f>IFERROR(INDEX(Tbl_KPIMaster[Maximum Target],MATCH($G240,Tbl_KPIMaster[KPI],0)),"")</f>
        <v/>
      </c>
      <c r="J240" s="9" t="n">
        <v>0.5029</v>
      </c>
      <c r="K240" s="8">
        <f>IFERROR(INDEX(Tbl_KPIMaster[Tolerance],MATCH($G240,Tbl_KPIMaster[KPI],0)),"")</f>
        <v/>
      </c>
      <c r="L240" s="8">
        <f>IFERROR(INDEX(Tbl_KPIMaster[Owner],MATCH($G240,Tbl_KPIMaster[KPI],0)),"")</f>
        <v/>
      </c>
      <c r="M240" s="10" t="inlineStr">
        <is>
          <t>Weather impact</t>
        </is>
      </c>
      <c r="N240" s="8" t="inlineStr"/>
      <c r="O240" s="8" t="inlineStr">
        <is>
          <t>Low</t>
        </is>
      </c>
      <c r="P240" s="8" t="inlineStr">
        <is>
          <t>Closed</t>
        </is>
      </c>
      <c r="Q240" s="9">
        <f>IFERROR(IF(INDEX(Tbl_KPIMaster[Direction],MATCH($G240,Tbl_KPIMaster[KPI],0))="Lower is Better",IF($J240=0,1,IF($I240=0,0,$I240/$J240)),IF($I240=0,1,$J240/$I240)),0)</f>
        <v/>
      </c>
      <c r="R240" s="8">
        <f>IF(OR($I240="",$J240=""),"",$J240-$I240)</f>
        <v/>
      </c>
      <c r="S240" s="8">
        <f>IFERROR(IF(INDEX(Tbl_KPIMaster[Direction],MATCH($G240,Tbl_KPIMaster[KPI],0))="Lower is Better",IF($J240&lt;=$I240,"Green",IF($J240&lt;=$I240+IF($I240=0,$K240,$I240*$K240),"Amber","Red")),IF($J240&gt;=$I240,"Green",IF($J240&gt;=$I240-IF($I240=0,$K240,$I240*$K240),"Amber","Red"))),"")</f>
        <v/>
      </c>
      <c r="T240" s="10" t="inlineStr"/>
    </row>
    <row r="241">
      <c r="A241" s="3" t="n">
        <v>46141</v>
      </c>
      <c r="B241" s="4">
        <f>IF($A241="","",TEXT($A241,"mmm-yyyy"))</f>
        <v/>
      </c>
      <c r="C241" s="4">
        <f>IF($A241="","","W"&amp;WEEKNUM($A241,2))</f>
        <v/>
      </c>
      <c r="D241" s="4">
        <f>IF($A241="","",TEXT($A241,"ddd"))</f>
        <v/>
      </c>
      <c r="E241" s="4" t="inlineStr">
        <is>
          <t>Energy</t>
        </is>
      </c>
      <c r="F241" s="4">
        <f>IFERROR(INDEX(Tbl_KPIMaster[Category],MATCH($G241,Tbl_KPIMaster[KPI],0)),"")</f>
        <v/>
      </c>
      <c r="G241" s="4" t="inlineStr">
        <is>
          <t>Energy Intensity (kWh/unit)</t>
        </is>
      </c>
      <c r="H241" s="4">
        <f>IFERROR(INDEX(Tbl_KPIMaster[Unit],MATCH($G241,Tbl_KPIMaster[KPI],0)),"")</f>
        <v/>
      </c>
      <c r="I241" s="5">
        <f>IFERROR(INDEX(Tbl_KPIMaster[Maximum Target],MATCH($G241,Tbl_KPIMaster[KPI],0)),"")</f>
        <v/>
      </c>
      <c r="J241" s="5" t="n">
        <v>3.68</v>
      </c>
      <c r="K241" s="4">
        <f>IFERROR(INDEX(Tbl_KPIMaster[Tolerance],MATCH($G241,Tbl_KPIMaster[KPI],0)),"")</f>
        <v/>
      </c>
      <c r="L241" s="4">
        <f>IFERROR(INDEX(Tbl_KPIMaster[Owner],MATCH($G241,Tbl_KPIMaster[KPI],0)),"")</f>
        <v/>
      </c>
      <c r="M241" s="6" t="inlineStr">
        <is>
          <t>Preventive check done</t>
        </is>
      </c>
      <c r="N241" s="4" t="inlineStr"/>
      <c r="O241" s="4" t="inlineStr">
        <is>
          <t>Medium</t>
        </is>
      </c>
      <c r="P241" s="4" t="inlineStr">
        <is>
          <t>Open</t>
        </is>
      </c>
      <c r="Q241" s="5">
        <f>IFERROR(IF(INDEX(Tbl_KPIMaster[Direction],MATCH($G241,Tbl_KPIMaster[KPI],0))="Lower is Better",IF($J241=0,1,IF($I241=0,0,$I241/$J241)),IF($I241=0,1,$J241/$I241)),0)</f>
        <v/>
      </c>
      <c r="R241" s="4">
        <f>IF(OR($I241="",$J241=""),"",$J241-$I241)</f>
        <v/>
      </c>
      <c r="S241" s="4">
        <f>IFERROR(IF(INDEX(Tbl_KPIMaster[Direction],MATCH($G241,Tbl_KPIMaster[KPI],0))="Lower is Better",IF($J241&lt;=$I241,"Green",IF($J241&lt;=$I241+IF($I241=0,$K241,$I241*$K241),"Amber","Red")),IF($J241&gt;=$I241,"Green",IF($J241&gt;=$I241-IF($I241=0,$K241,$I241*$K241),"Amber","Red"))),"")</f>
        <v/>
      </c>
      <c r="T241" s="6" t="inlineStr"/>
    </row>
    <row r="242">
      <c r="A242" s="7" t="n">
        <v>46141</v>
      </c>
      <c r="B242" s="8">
        <f>IF($A242="","",TEXT($A242,"mmm-yyyy"))</f>
        <v/>
      </c>
      <c r="C242" s="8">
        <f>IF($A242="","","W"&amp;WEEKNUM($A242,2))</f>
        <v/>
      </c>
      <c r="D242" s="8">
        <f>IF($A242="","",TEXT($A242,"ddd"))</f>
        <v/>
      </c>
      <c r="E242" s="8" t="inlineStr">
        <is>
          <t>Energy</t>
        </is>
      </c>
      <c r="F242" s="8">
        <f>IFERROR(INDEX(Tbl_KPIMaster[Category],MATCH($G242,Tbl_KPIMaster[KPI],0)),"")</f>
        <v/>
      </c>
      <c r="G242" s="8" t="inlineStr">
        <is>
          <t>Renewable Energy Share %</t>
        </is>
      </c>
      <c r="H242" s="8">
        <f>IFERROR(INDEX(Tbl_KPIMaster[Unit],MATCH($G242,Tbl_KPIMaster[KPI],0)),"")</f>
        <v/>
      </c>
      <c r="I242" s="9">
        <f>IFERROR(INDEX(Tbl_KPIMaster[Maximum Target],MATCH($G242,Tbl_KPIMaster[KPI],0)),"")</f>
        <v/>
      </c>
      <c r="J242" s="9" t="n">
        <v>0.1943</v>
      </c>
      <c r="K242" s="8">
        <f>IFERROR(INDEX(Tbl_KPIMaster[Tolerance],MATCH($G242,Tbl_KPIMaster[KPI],0)),"")</f>
        <v/>
      </c>
      <c r="L242" s="8">
        <f>IFERROR(INDEX(Tbl_KPIMaster[Owner],MATCH($G242,Tbl_KPIMaster[KPI],0)),"")</f>
        <v/>
      </c>
      <c r="M242" s="10" t="inlineStr">
        <is>
          <t>Manpower shortage</t>
        </is>
      </c>
      <c r="N242" s="8" t="inlineStr"/>
      <c r="O242" s="8" t="inlineStr">
        <is>
          <t>Low</t>
        </is>
      </c>
      <c r="P242" s="8" t="inlineStr">
        <is>
          <t>Closed</t>
        </is>
      </c>
      <c r="Q242" s="9">
        <f>IFERROR(IF(INDEX(Tbl_KPIMaster[Direction],MATCH($G242,Tbl_KPIMaster[KPI],0))="Lower is Better",IF($J242=0,1,IF($I242=0,0,$I242/$J242)),IF($I242=0,1,$J242/$I242)),0)</f>
        <v/>
      </c>
      <c r="R242" s="8">
        <f>IF(OR($I242="",$J242=""),"",$J242-$I242)</f>
        <v/>
      </c>
      <c r="S242" s="8">
        <f>IFERROR(IF(INDEX(Tbl_KPIMaster[Direction],MATCH($G242,Tbl_KPIMaster[KPI],0))="Lower is Better",IF($J242&lt;=$I242,"Green",IF($J242&lt;=$I242+IF($I242=0,$K242,$I242*$K242),"Amber","Red")),IF($J242&gt;=$I242,"Green",IF($J242&gt;=$I242-IF($I242=0,$K242,$I242*$K242),"Amber","Red"))),"")</f>
        <v/>
      </c>
      <c r="T242" s="10" t="inlineStr"/>
    </row>
    <row r="243">
      <c r="A243" s="3" t="n">
        <v>46142</v>
      </c>
      <c r="B243" s="4">
        <f>IF($A243="","",TEXT($A243,"mmm-yyyy"))</f>
        <v/>
      </c>
      <c r="C243" s="4">
        <f>IF($A243="","","W"&amp;WEEKNUM($A243,2))</f>
        <v/>
      </c>
      <c r="D243" s="4">
        <f>IF($A243="","",TEXT($A243,"ddd"))</f>
        <v/>
      </c>
      <c r="E243" s="4" t="inlineStr">
        <is>
          <t>Safety</t>
        </is>
      </c>
      <c r="F243" s="4">
        <f>IFERROR(INDEX(Tbl_KPIMaster[Category],MATCH($G243,Tbl_KPIMaster[KPI],0)),"")</f>
        <v/>
      </c>
      <c r="G243" s="4" t="inlineStr">
        <is>
          <t>Safety Incidents (LTI)</t>
        </is>
      </c>
      <c r="H243" s="4">
        <f>IFERROR(INDEX(Tbl_KPIMaster[Unit],MATCH($G243,Tbl_KPIMaster[KPI],0)),"")</f>
        <v/>
      </c>
      <c r="I243" s="5">
        <f>IFERROR(INDEX(Tbl_KPIMaster[Maximum Target],MATCH($G243,Tbl_KPIMaster[KPI],0)),"")</f>
        <v/>
      </c>
      <c r="J243" s="5" t="n">
        <v>1</v>
      </c>
      <c r="K243" s="4">
        <f>IFERROR(INDEX(Tbl_KPIMaster[Tolerance],MATCH($G243,Tbl_KPIMaster[KPI],0)),"")</f>
        <v/>
      </c>
      <c r="L243" s="4">
        <f>IFERROR(INDEX(Tbl_KPIMaster[Owner],MATCH($G243,Tbl_KPIMaster[KPI],0)),"")</f>
        <v/>
      </c>
      <c r="M243" s="6" t="inlineStr">
        <is>
          <t>Awaiting spares</t>
        </is>
      </c>
      <c r="N243" s="4" t="inlineStr">
        <is>
          <t>Engineering support needed</t>
        </is>
      </c>
      <c r="O243" s="4" t="inlineStr">
        <is>
          <t>Low</t>
        </is>
      </c>
      <c r="P243" s="4" t="inlineStr">
        <is>
          <t>Open</t>
        </is>
      </c>
      <c r="Q243" s="5">
        <f>IFERROR(IF(INDEX(Tbl_KPIMaster[Direction],MATCH($G243,Tbl_KPIMaster[KPI],0))="Lower is Better",IF($J243=0,1,IF($I243=0,0,$I243/$J243)),IF($I243=0,1,$J243/$I243)),0)</f>
        <v/>
      </c>
      <c r="R243" s="4">
        <f>IF(OR($I243="",$J243=""),"",$J243-$I243)</f>
        <v/>
      </c>
      <c r="S243" s="4">
        <f>IFERROR(IF(INDEX(Tbl_KPIMaster[Direction],MATCH($G243,Tbl_KPIMaster[KPI],0))="Lower is Better",IF($J243&lt;=$I243,"Green",IF($J243&lt;=$I243+IF($I243=0,$K243,$I243*$K243),"Amber","Red")),IF($J243&gt;=$I243,"Green",IF($J243&gt;=$I243-IF($I243=0,$K243,$I243*$K243),"Amber","Red"))),"")</f>
        <v/>
      </c>
      <c r="T243" s="6" t="inlineStr"/>
    </row>
    <row r="244">
      <c r="A244" s="7" t="n">
        <v>46142</v>
      </c>
      <c r="B244" s="8">
        <f>IF($A244="","",TEXT($A244,"mmm-yyyy"))</f>
        <v/>
      </c>
      <c r="C244" s="8">
        <f>IF($A244="","","W"&amp;WEEKNUM($A244,2))</f>
        <v/>
      </c>
      <c r="D244" s="8">
        <f>IF($A244="","",TEXT($A244,"ddd"))</f>
        <v/>
      </c>
      <c r="E244" s="8" t="inlineStr">
        <is>
          <t>Safety</t>
        </is>
      </c>
      <c r="F244" s="8">
        <f>IFERROR(INDEX(Tbl_KPIMaster[Category],MATCH($G244,Tbl_KPIMaster[KPI],0)),"")</f>
        <v/>
      </c>
      <c r="G244" s="8" t="inlineStr">
        <is>
          <t>Near Miss Reports</t>
        </is>
      </c>
      <c r="H244" s="8">
        <f>IFERROR(INDEX(Tbl_KPIMaster[Unit],MATCH($G244,Tbl_KPIMaster[KPI],0)),"")</f>
        <v/>
      </c>
      <c r="I244" s="9">
        <f>IFERROR(INDEX(Tbl_KPIMaster[Maximum Target],MATCH($G244,Tbl_KPIMaster[KPI],0)),"")</f>
        <v/>
      </c>
      <c r="J244" s="9" t="n">
        <v>2</v>
      </c>
      <c r="K244" s="8">
        <f>IFERROR(INDEX(Tbl_KPIMaster[Tolerance],MATCH($G244,Tbl_KPIMaster[KPI],0)),"")</f>
        <v/>
      </c>
      <c r="L244" s="8">
        <f>IFERROR(INDEX(Tbl_KPIMaster[Owner],MATCH($G244,Tbl_KPIMaster[KPI],0)),"")</f>
        <v/>
      </c>
      <c r="M244" s="10" t="inlineStr">
        <is>
          <t>Awaiting spares</t>
        </is>
      </c>
      <c r="N244" s="8" t="inlineStr">
        <is>
          <t>Engineering support needed</t>
        </is>
      </c>
      <c r="O244" s="8" t="inlineStr">
        <is>
          <t>Medium</t>
        </is>
      </c>
      <c r="P244" s="8" t="inlineStr">
        <is>
          <t>Closed</t>
        </is>
      </c>
      <c r="Q244" s="9">
        <f>IFERROR(IF(INDEX(Tbl_KPIMaster[Direction],MATCH($G244,Tbl_KPIMaster[KPI],0))="Lower is Better",IF($J244=0,1,IF($I244=0,0,$I244/$J244)),IF($I244=0,1,$J244/$I244)),0)</f>
        <v/>
      </c>
      <c r="R244" s="8">
        <f>IF(OR($I244="",$J244=""),"",$J244-$I244)</f>
        <v/>
      </c>
      <c r="S244" s="8">
        <f>IFERROR(IF(INDEX(Tbl_KPIMaster[Direction],MATCH($G244,Tbl_KPIMaster[KPI],0))="Lower is Better",IF($J244&lt;=$I244,"Green",IF($J244&lt;=$I244+IF($I244=0,$K244,$I244*$K244),"Amber","Red")),IF($J244&gt;=$I244,"Green",IF($J244&gt;=$I244-IF($I244=0,$K244,$I244*$K244),"Amber","Red"))),"")</f>
        <v/>
      </c>
      <c r="T244" s="10" t="inlineStr"/>
    </row>
    <row r="245">
      <c r="A245" s="3" t="n">
        <v>46142</v>
      </c>
      <c r="B245" s="4">
        <f>IF($A245="","",TEXT($A245,"mmm-yyyy"))</f>
        <v/>
      </c>
      <c r="C245" s="4">
        <f>IF($A245="","","W"&amp;WEEKNUM($A245,2))</f>
        <v/>
      </c>
      <c r="D245" s="4">
        <f>IF($A245="","",TEXT($A245,"ddd"))</f>
        <v/>
      </c>
      <c r="E245" s="4" t="inlineStr">
        <is>
          <t>Production</t>
        </is>
      </c>
      <c r="F245" s="4">
        <f>IFERROR(INDEX(Tbl_KPIMaster[Category],MATCH($G245,Tbl_KPIMaster[KPI],0)),"")</f>
        <v/>
      </c>
      <c r="G245" s="4" t="inlineStr">
        <is>
          <t>Production Output</t>
        </is>
      </c>
      <c r="H245" s="4">
        <f>IFERROR(INDEX(Tbl_KPIMaster[Unit],MATCH($G245,Tbl_KPIMaster[KPI],0)),"")</f>
        <v/>
      </c>
      <c r="I245" s="5">
        <f>IFERROR(INDEX(Tbl_KPIMaster[Maximum Target],MATCH($G245,Tbl_KPIMaster[KPI],0)),"")</f>
        <v/>
      </c>
      <c r="J245" s="5" t="n">
        <v>1119.74</v>
      </c>
      <c r="K245" s="4">
        <f>IFERROR(INDEX(Tbl_KPIMaster[Tolerance],MATCH($G245,Tbl_KPIMaster[KPI],0)),"")</f>
        <v/>
      </c>
      <c r="L245" s="4">
        <f>IFERROR(INDEX(Tbl_KPIMaster[Owner],MATCH($G245,Tbl_KPIMaster[KPI],0)),"")</f>
        <v/>
      </c>
      <c r="M245" s="6" t="inlineStr">
        <is>
          <t>Line changeover impact</t>
        </is>
      </c>
      <c r="N245" s="4" t="inlineStr"/>
      <c r="O245" s="4" t="inlineStr">
        <is>
          <t>Low</t>
        </is>
      </c>
      <c r="P245" s="4" t="inlineStr">
        <is>
          <t>Open</t>
        </is>
      </c>
      <c r="Q245" s="5">
        <f>IFERROR(IF(INDEX(Tbl_KPIMaster[Direction],MATCH($G245,Tbl_KPIMaster[KPI],0))="Lower is Better",IF($J245=0,1,IF($I245=0,0,$I245/$J245)),IF($I245=0,1,$J245/$I245)),0)</f>
        <v/>
      </c>
      <c r="R245" s="4">
        <f>IF(OR($I245="",$J245=""),"",$J245-$I245)</f>
        <v/>
      </c>
      <c r="S245" s="4">
        <f>IFERROR(IF(INDEX(Tbl_KPIMaster[Direction],MATCH($G245,Tbl_KPIMaster[KPI],0))="Lower is Better",IF($J245&lt;=$I245,"Green",IF($J245&lt;=$I245+IF($I245=0,$K245,$I245*$K245),"Amber","Red")),IF($J245&gt;=$I245,"Green",IF($J245&gt;=$I245-IF($I245=0,$K245,$I245*$K245),"Amber","Red"))),"")</f>
        <v/>
      </c>
      <c r="T245" s="6" t="inlineStr"/>
    </row>
    <row r="246">
      <c r="A246" s="7" t="n">
        <v>46142</v>
      </c>
      <c r="B246" s="8">
        <f>IF($A246="","",TEXT($A246,"mmm-yyyy"))</f>
        <v/>
      </c>
      <c r="C246" s="8">
        <f>IF($A246="","","W"&amp;WEEKNUM($A246,2))</f>
        <v/>
      </c>
      <c r="D246" s="8">
        <f>IF($A246="","",TEXT($A246,"ddd"))</f>
        <v/>
      </c>
      <c r="E246" s="8" t="inlineStr">
        <is>
          <t>Production</t>
        </is>
      </c>
      <c r="F246" s="8">
        <f>IFERROR(INDEX(Tbl_KPIMaster[Category],MATCH($G246,Tbl_KPIMaster[KPI],0)),"")</f>
        <v/>
      </c>
      <c r="G246" s="8" t="inlineStr">
        <is>
          <t>OEE %</t>
        </is>
      </c>
      <c r="H246" s="8">
        <f>IFERROR(INDEX(Tbl_KPIMaster[Unit],MATCH($G246,Tbl_KPIMaster[KPI],0)),"")</f>
        <v/>
      </c>
      <c r="I246" s="9">
        <f>IFERROR(INDEX(Tbl_KPIMaster[Maximum Target],MATCH($G246,Tbl_KPIMaster[KPI],0)),"")</f>
        <v/>
      </c>
      <c r="J246" s="9" t="n">
        <v>0.8193</v>
      </c>
      <c r="K246" s="8">
        <f>IFERROR(INDEX(Tbl_KPIMaster[Tolerance],MATCH($G246,Tbl_KPIMaster[KPI],0)),"")</f>
        <v/>
      </c>
      <c r="L246" s="8">
        <f>IFERROR(INDEX(Tbl_KPIMaster[Owner],MATCH($G246,Tbl_KPIMaster[KPI],0)),"")</f>
        <v/>
      </c>
      <c r="M246" s="10" t="inlineStr">
        <is>
          <t>Line changeover impact</t>
        </is>
      </c>
      <c r="N246" s="8" t="inlineStr">
        <is>
          <t>Procurement follow-up</t>
        </is>
      </c>
      <c r="O246" s="8" t="inlineStr">
        <is>
          <t>Low</t>
        </is>
      </c>
      <c r="P246" s="8" t="inlineStr">
        <is>
          <t>Closed</t>
        </is>
      </c>
      <c r="Q246" s="9">
        <f>IFERROR(IF(INDEX(Tbl_KPIMaster[Direction],MATCH($G246,Tbl_KPIMaster[KPI],0))="Lower is Better",IF($J246=0,1,IF($I246=0,0,$I246/$J246)),IF($I246=0,1,$J246/$I246)),0)</f>
        <v/>
      </c>
      <c r="R246" s="8">
        <f>IF(OR($I246="",$J246=""),"",$J246-$I246)</f>
        <v/>
      </c>
      <c r="S246" s="8">
        <f>IFERROR(IF(INDEX(Tbl_KPIMaster[Direction],MATCH($G246,Tbl_KPIMaster[KPI],0))="Lower is Better",IF($J246&lt;=$I246,"Green",IF($J246&lt;=$I246+IF($I246=0,$K246,$I246*$K246),"Amber","Red")),IF($J246&gt;=$I246,"Green",IF($J246&gt;=$I246-IF($I246=0,$K246,$I246*$K246),"Amber","Red"))),"")</f>
        <v/>
      </c>
      <c r="T246" s="10" t="inlineStr"/>
    </row>
    <row r="247">
      <c r="A247" s="3" t="n">
        <v>46142</v>
      </c>
      <c r="B247" s="4">
        <f>IF($A247="","",TEXT($A247,"mmm-yyyy"))</f>
        <v/>
      </c>
      <c r="C247" s="4">
        <f>IF($A247="","","W"&amp;WEEKNUM($A247,2))</f>
        <v/>
      </c>
      <c r="D247" s="4">
        <f>IF($A247="","",TEXT($A247,"ddd"))</f>
        <v/>
      </c>
      <c r="E247" s="4" t="inlineStr">
        <is>
          <t>Quality</t>
        </is>
      </c>
      <c r="F247" s="4">
        <f>IFERROR(INDEX(Tbl_KPIMaster[Category],MATCH($G247,Tbl_KPIMaster[KPI],0)),"")</f>
        <v/>
      </c>
      <c r="G247" s="4" t="inlineStr">
        <is>
          <t>Defect Rate %</t>
        </is>
      </c>
      <c r="H247" s="4">
        <f>IFERROR(INDEX(Tbl_KPIMaster[Unit],MATCH($G247,Tbl_KPIMaster[KPI],0)),"")</f>
        <v/>
      </c>
      <c r="I247" s="5">
        <f>IFERROR(INDEX(Tbl_KPIMaster[Maximum Target],MATCH($G247,Tbl_KPIMaster[KPI],0)),"")</f>
        <v/>
      </c>
      <c r="J247" s="5" t="n">
        <v>0</v>
      </c>
      <c r="K247" s="4">
        <f>IFERROR(INDEX(Tbl_KPIMaster[Tolerance],MATCH($G247,Tbl_KPIMaster[KPI],0)),"")</f>
        <v/>
      </c>
      <c r="L247" s="4">
        <f>IFERROR(INDEX(Tbl_KPIMaster[Owner],MATCH($G247,Tbl_KPIMaster[KPI],0)),"")</f>
        <v/>
      </c>
      <c r="M247" s="6" t="inlineStr">
        <is>
          <t>Preventive check done</t>
        </is>
      </c>
      <c r="N247" s="4" t="inlineStr">
        <is>
          <t>Engineering support needed</t>
        </is>
      </c>
      <c r="O247" s="4" t="inlineStr">
        <is>
          <t>High</t>
        </is>
      </c>
      <c r="P247" s="4" t="inlineStr">
        <is>
          <t>Closed</t>
        </is>
      </c>
      <c r="Q247" s="5">
        <f>IFERROR(IF(INDEX(Tbl_KPIMaster[Direction],MATCH($G247,Tbl_KPIMaster[KPI],0))="Lower is Better",IF($J247=0,1,IF($I247=0,0,$I247/$J247)),IF($I247=0,1,$J247/$I247)),0)</f>
        <v/>
      </c>
      <c r="R247" s="4">
        <f>IF(OR($I247="",$J247=""),"",$J247-$I247)</f>
        <v/>
      </c>
      <c r="S247" s="4">
        <f>IFERROR(IF(INDEX(Tbl_KPIMaster[Direction],MATCH($G247,Tbl_KPIMaster[KPI],0))="Lower is Better",IF($J247&lt;=$I247,"Green",IF($J247&lt;=$I247+IF($I247=0,$K247,$I247*$K247),"Amber","Red")),IF($J247&gt;=$I247,"Green",IF($J247&gt;=$I247-IF($I247=0,$K247,$I247*$K247),"Amber","Red"))),"")</f>
        <v/>
      </c>
      <c r="T247" s="6" t="inlineStr"/>
    </row>
    <row r="248">
      <c r="A248" s="7" t="n">
        <v>46142</v>
      </c>
      <c r="B248" s="8">
        <f>IF($A248="","",TEXT($A248,"mmm-yyyy"))</f>
        <v/>
      </c>
      <c r="C248" s="8">
        <f>IF($A248="","","W"&amp;WEEKNUM($A248,2))</f>
        <v/>
      </c>
      <c r="D248" s="8">
        <f>IF($A248="","",TEXT($A248,"ddd"))</f>
        <v/>
      </c>
      <c r="E248" s="8" t="inlineStr">
        <is>
          <t>Quality</t>
        </is>
      </c>
      <c r="F248" s="8">
        <f>IFERROR(INDEX(Tbl_KPIMaster[Category],MATCH($G248,Tbl_KPIMaster[KPI],0)),"")</f>
        <v/>
      </c>
      <c r="G248" s="8" t="inlineStr">
        <is>
          <t>Customer Complaints</t>
        </is>
      </c>
      <c r="H248" s="8">
        <f>IFERROR(INDEX(Tbl_KPIMaster[Unit],MATCH($G248,Tbl_KPIMaster[KPI],0)),"")</f>
        <v/>
      </c>
      <c r="I248" s="9">
        <f>IFERROR(INDEX(Tbl_KPIMaster[Maximum Target],MATCH($G248,Tbl_KPIMaster[KPI],0)),"")</f>
        <v/>
      </c>
      <c r="J248" s="9" t="n">
        <v>0</v>
      </c>
      <c r="K248" s="8">
        <f>IFERROR(INDEX(Tbl_KPIMaster[Tolerance],MATCH($G248,Tbl_KPIMaster[KPI],0)),"")</f>
        <v/>
      </c>
      <c r="L248" s="8">
        <f>IFERROR(INDEX(Tbl_KPIMaster[Owner],MATCH($G248,Tbl_KPIMaster[KPI],0)),"")</f>
        <v/>
      </c>
      <c r="M248" s="10" t="inlineStr">
        <is>
          <t>Manpower shortage</t>
        </is>
      </c>
      <c r="N248" s="8" t="inlineStr">
        <is>
          <t>Engineering support needed</t>
        </is>
      </c>
      <c r="O248" s="8" t="inlineStr">
        <is>
          <t>Medium</t>
        </is>
      </c>
      <c r="P248" s="8" t="inlineStr">
        <is>
          <t>Closed</t>
        </is>
      </c>
      <c r="Q248" s="9">
        <f>IFERROR(IF(INDEX(Tbl_KPIMaster[Direction],MATCH($G248,Tbl_KPIMaster[KPI],0))="Lower is Better",IF($J248=0,1,IF($I248=0,0,$I248/$J248)),IF($I248=0,1,$J248/$I248)),0)</f>
        <v/>
      </c>
      <c r="R248" s="8">
        <f>IF(OR($I248="",$J248=""),"",$J248-$I248)</f>
        <v/>
      </c>
      <c r="S248" s="8">
        <f>IFERROR(IF(INDEX(Tbl_KPIMaster[Direction],MATCH($G248,Tbl_KPIMaster[KPI],0))="Lower is Better",IF($J248&lt;=$I248,"Green",IF($J248&lt;=$I248+IF($I248=0,$K248,$I248*$K248),"Amber","Red")),IF($J248&gt;=$I248,"Green",IF($J248&gt;=$I248-IF($I248=0,$K248,$I248*$K248),"Amber","Red"))),"")</f>
        <v/>
      </c>
      <c r="T248" s="10" t="inlineStr"/>
    </row>
    <row r="249">
      <c r="A249" s="3" t="n">
        <v>46142</v>
      </c>
      <c r="B249" s="4">
        <f>IF($A249="","",TEXT($A249,"mmm-yyyy"))</f>
        <v/>
      </c>
      <c r="C249" s="4">
        <f>IF($A249="","","W"&amp;WEEKNUM($A249,2))</f>
        <v/>
      </c>
      <c r="D249" s="4">
        <f>IF($A249="","",TEXT($A249,"ddd"))</f>
        <v/>
      </c>
      <c r="E249" s="4" t="inlineStr">
        <is>
          <t>Maintenance</t>
        </is>
      </c>
      <c r="F249" s="4">
        <f>IFERROR(INDEX(Tbl_KPIMaster[Category],MATCH($G249,Tbl_KPIMaster[KPI],0)),"")</f>
        <v/>
      </c>
      <c r="G249" s="4" t="inlineStr">
        <is>
          <t>Unplanned Downtime</t>
        </is>
      </c>
      <c r="H249" s="4">
        <f>IFERROR(INDEX(Tbl_KPIMaster[Unit],MATCH($G249,Tbl_KPIMaster[KPI],0)),"")</f>
        <v/>
      </c>
      <c r="I249" s="5">
        <f>IFERROR(INDEX(Tbl_KPIMaster[Maximum Target],MATCH($G249,Tbl_KPIMaster[KPI],0)),"")</f>
        <v/>
      </c>
      <c r="J249" s="5" t="n">
        <v>0.45</v>
      </c>
      <c r="K249" s="4">
        <f>IFERROR(INDEX(Tbl_KPIMaster[Tolerance],MATCH($G249,Tbl_KPIMaster[KPI],0)),"")</f>
        <v/>
      </c>
      <c r="L249" s="4">
        <f>IFERROR(INDEX(Tbl_KPIMaster[Owner],MATCH($G249,Tbl_KPIMaster[KPI],0)),"")</f>
        <v/>
      </c>
      <c r="M249" s="6" t="inlineStr">
        <is>
          <t>Within normal range</t>
        </is>
      </c>
      <c r="N249" s="4" t="inlineStr"/>
      <c r="O249" s="4" t="inlineStr">
        <is>
          <t>Low</t>
        </is>
      </c>
      <c r="P249" s="4" t="inlineStr">
        <is>
          <t>Open</t>
        </is>
      </c>
      <c r="Q249" s="5">
        <f>IFERROR(IF(INDEX(Tbl_KPIMaster[Direction],MATCH($G249,Tbl_KPIMaster[KPI],0))="Lower is Better",IF($J249=0,1,IF($I249=0,0,$I249/$J249)),IF($I249=0,1,$J249/$I249)),0)</f>
        <v/>
      </c>
      <c r="R249" s="4">
        <f>IF(OR($I249="",$J249=""),"",$J249-$I249)</f>
        <v/>
      </c>
      <c r="S249" s="4">
        <f>IFERROR(IF(INDEX(Tbl_KPIMaster[Direction],MATCH($G249,Tbl_KPIMaster[KPI],0))="Lower is Better",IF($J249&lt;=$I249,"Green",IF($J249&lt;=$I249+IF($I249=0,$K249,$I249*$K249),"Amber","Red")),IF($J249&gt;=$I249,"Green",IF($J249&gt;=$I249-IF($I249=0,$K249,$I249*$K249),"Amber","Red"))),"")</f>
        <v/>
      </c>
      <c r="T249" s="6" t="inlineStr"/>
    </row>
    <row r="250">
      <c r="A250" s="7" t="n">
        <v>46142</v>
      </c>
      <c r="B250" s="8">
        <f>IF($A250="","",TEXT($A250,"mmm-yyyy"))</f>
        <v/>
      </c>
      <c r="C250" s="8">
        <f>IF($A250="","","W"&amp;WEEKNUM($A250,2))</f>
        <v/>
      </c>
      <c r="D250" s="8">
        <f>IF($A250="","",TEXT($A250,"ddd"))</f>
        <v/>
      </c>
      <c r="E250" s="8" t="inlineStr">
        <is>
          <t>Maintenance</t>
        </is>
      </c>
      <c r="F250" s="8">
        <f>IFERROR(INDEX(Tbl_KPIMaster[Category],MATCH($G250,Tbl_KPIMaster[KPI],0)),"")</f>
        <v/>
      </c>
      <c r="G250" s="8" t="inlineStr">
        <is>
          <t>PM Compliance %</t>
        </is>
      </c>
      <c r="H250" s="8">
        <f>IFERROR(INDEX(Tbl_KPIMaster[Unit],MATCH($G250,Tbl_KPIMaster[KPI],0)),"")</f>
        <v/>
      </c>
      <c r="I250" s="9">
        <f>IFERROR(INDEX(Tbl_KPIMaster[Maximum Target],MATCH($G250,Tbl_KPIMaster[KPI],0)),"")</f>
        <v/>
      </c>
      <c r="J250" s="9" t="n">
        <v>1.0197</v>
      </c>
      <c r="K250" s="8">
        <f>IFERROR(INDEX(Tbl_KPIMaster[Tolerance],MATCH($G250,Tbl_KPIMaster[KPI],0)),"")</f>
        <v/>
      </c>
      <c r="L250" s="8">
        <f>IFERROR(INDEX(Tbl_KPIMaster[Owner],MATCH($G250,Tbl_KPIMaster[KPI],0)),"")</f>
        <v/>
      </c>
      <c r="M250" s="10" t="inlineStr">
        <is>
          <t>Weather impact</t>
        </is>
      </c>
      <c r="N250" s="8" t="inlineStr">
        <is>
          <t>Management approval pending</t>
        </is>
      </c>
      <c r="O250" s="8" t="inlineStr">
        <is>
          <t>High</t>
        </is>
      </c>
      <c r="P250" s="8" t="inlineStr">
        <is>
          <t>Closed</t>
        </is>
      </c>
      <c r="Q250" s="9">
        <f>IFERROR(IF(INDEX(Tbl_KPIMaster[Direction],MATCH($G250,Tbl_KPIMaster[KPI],0))="Lower is Better",IF($J250=0,1,IF($I250=0,0,$I250/$J250)),IF($I250=0,1,$J250/$I250)),0)</f>
        <v/>
      </c>
      <c r="R250" s="8">
        <f>IF(OR($I250="",$J250=""),"",$J250-$I250)</f>
        <v/>
      </c>
      <c r="S250" s="8">
        <f>IFERROR(IF(INDEX(Tbl_KPIMaster[Direction],MATCH($G250,Tbl_KPIMaster[KPI],0))="Lower is Better",IF($J250&lt;=$I250,"Green",IF($J250&lt;=$I250+IF($I250=0,$K250,$I250*$K250),"Amber","Red")),IF($J250&gt;=$I250,"Green",IF($J250&gt;=$I250-IF($I250=0,$K250,$I250*$K250),"Amber","Red"))),"")</f>
        <v/>
      </c>
      <c r="T250" s="10" t="inlineStr"/>
    </row>
    <row r="251">
      <c r="A251" s="3" t="n">
        <v>46142</v>
      </c>
      <c r="B251" s="4">
        <f>IF($A251="","",TEXT($A251,"mmm-yyyy"))</f>
        <v/>
      </c>
      <c r="C251" s="4">
        <f>IF($A251="","","W"&amp;WEEKNUM($A251,2))</f>
        <v/>
      </c>
      <c r="D251" s="4">
        <f>IF($A251="","",TEXT($A251,"ddd"))</f>
        <v/>
      </c>
      <c r="E251" s="4" t="inlineStr">
        <is>
          <t>Utilities</t>
        </is>
      </c>
      <c r="F251" s="4">
        <f>IFERROR(INDEX(Tbl_KPIMaster[Category],MATCH($G251,Tbl_KPIMaster[KPI],0)),"")</f>
        <v/>
      </c>
      <c r="G251" s="4" t="inlineStr">
        <is>
          <t>Power Consumption</t>
        </is>
      </c>
      <c r="H251" s="4">
        <f>IFERROR(INDEX(Tbl_KPIMaster[Unit],MATCH($G251,Tbl_KPIMaster[KPI],0)),"")</f>
        <v/>
      </c>
      <c r="I251" s="5">
        <f>IFERROR(INDEX(Tbl_KPIMaster[Maximum Target],MATCH($G251,Tbl_KPIMaster[KPI],0)),"")</f>
        <v/>
      </c>
      <c r="J251" s="5" t="n">
        <v>4274.13</v>
      </c>
      <c r="K251" s="4">
        <f>IFERROR(INDEX(Tbl_KPIMaster[Tolerance],MATCH($G251,Tbl_KPIMaster[KPI],0)),"")</f>
        <v/>
      </c>
      <c r="L251" s="4">
        <f>IFERROR(INDEX(Tbl_KPIMaster[Owner],MATCH($G251,Tbl_KPIMaster[KPI],0)),"")</f>
        <v/>
      </c>
      <c r="M251" s="6" t="inlineStr"/>
      <c r="N251" s="4" t="inlineStr"/>
      <c r="O251" s="4" t="inlineStr">
        <is>
          <t>High</t>
        </is>
      </c>
      <c r="P251" s="4" t="inlineStr">
        <is>
          <t>Closed</t>
        </is>
      </c>
      <c r="Q251" s="5">
        <f>IFERROR(IF(INDEX(Tbl_KPIMaster[Direction],MATCH($G251,Tbl_KPIMaster[KPI],0))="Lower is Better",IF($J251=0,1,IF($I251=0,0,$I251/$J251)),IF($I251=0,1,$J251/$I251)),0)</f>
        <v/>
      </c>
      <c r="R251" s="4">
        <f>IF(OR($I251="",$J251=""),"",$J251-$I251)</f>
        <v/>
      </c>
      <c r="S251" s="4">
        <f>IFERROR(IF(INDEX(Tbl_KPIMaster[Direction],MATCH($G251,Tbl_KPIMaster[KPI],0))="Lower is Better",IF($J251&lt;=$I251,"Green",IF($J251&lt;=$I251+IF($I251=0,$K251,$I251*$K251),"Amber","Red")),IF($J251&gt;=$I251,"Green",IF($J251&gt;=$I251-IF($I251=0,$K251,$I251*$K251),"Amber","Red"))),"")</f>
        <v/>
      </c>
      <c r="T251" s="6" t="inlineStr"/>
    </row>
    <row r="252">
      <c r="A252" s="7" t="n">
        <v>46142</v>
      </c>
      <c r="B252" s="8">
        <f>IF($A252="","",TEXT($A252,"mmm-yyyy"))</f>
        <v/>
      </c>
      <c r="C252" s="8">
        <f>IF($A252="","","W"&amp;WEEKNUM($A252,2))</f>
        <v/>
      </c>
      <c r="D252" s="8">
        <f>IF($A252="","",TEXT($A252,"ddd"))</f>
        <v/>
      </c>
      <c r="E252" s="8" t="inlineStr">
        <is>
          <t>Utilities</t>
        </is>
      </c>
      <c r="F252" s="8">
        <f>IFERROR(INDEX(Tbl_KPIMaster[Category],MATCH($G252,Tbl_KPIMaster[KPI],0)),"")</f>
        <v/>
      </c>
      <c r="G252" s="8" t="inlineStr">
        <is>
          <t>Water Consumption</t>
        </is>
      </c>
      <c r="H252" s="8">
        <f>IFERROR(INDEX(Tbl_KPIMaster[Unit],MATCH($G252,Tbl_KPIMaster[KPI],0)),"")</f>
        <v/>
      </c>
      <c r="I252" s="9">
        <f>IFERROR(INDEX(Tbl_KPIMaster[Maximum Target],MATCH($G252,Tbl_KPIMaster[KPI],0)),"")</f>
        <v/>
      </c>
      <c r="J252" s="9" t="n">
        <v>55.8</v>
      </c>
      <c r="K252" s="8">
        <f>IFERROR(INDEX(Tbl_KPIMaster[Tolerance],MATCH($G252,Tbl_KPIMaster[KPI],0)),"")</f>
        <v/>
      </c>
      <c r="L252" s="8">
        <f>IFERROR(INDEX(Tbl_KPIMaster[Owner],MATCH($G252,Tbl_KPIMaster[KPI],0)),"")</f>
        <v/>
      </c>
      <c r="M252" s="10" t="inlineStr">
        <is>
          <t>Within normal range</t>
        </is>
      </c>
      <c r="N252" s="8" t="inlineStr">
        <is>
          <t>Management approval pending</t>
        </is>
      </c>
      <c r="O252" s="8" t="inlineStr">
        <is>
          <t>High</t>
        </is>
      </c>
      <c r="P252" s="8" t="inlineStr">
        <is>
          <t>Closed</t>
        </is>
      </c>
      <c r="Q252" s="9">
        <f>IFERROR(IF(INDEX(Tbl_KPIMaster[Direction],MATCH($G252,Tbl_KPIMaster[KPI],0))="Lower is Better",IF($J252=0,1,IF($I252=0,0,$I252/$J252)),IF($I252=0,1,$J252/$I252)),0)</f>
        <v/>
      </c>
      <c r="R252" s="8">
        <f>IF(OR($I252="",$J252=""),"",$J252-$I252)</f>
        <v/>
      </c>
      <c r="S252" s="8">
        <f>IFERROR(IF(INDEX(Tbl_KPIMaster[Direction],MATCH($G252,Tbl_KPIMaster[KPI],0))="Lower is Better",IF($J252&lt;=$I252,"Green",IF($J252&lt;=$I252+IF($I252=0,$K252,$I252*$K252),"Amber","Red")),IF($J252&gt;=$I252,"Green",IF($J252&gt;=$I252-IF($I252=0,$K252,$I252*$K252),"Amber","Red"))),"")</f>
        <v/>
      </c>
      <c r="T252" s="10" t="inlineStr"/>
    </row>
    <row r="253">
      <c r="A253" s="3" t="n">
        <v>46142</v>
      </c>
      <c r="B253" s="4">
        <f>IF($A253="","",TEXT($A253,"mmm-yyyy"))</f>
        <v/>
      </c>
      <c r="C253" s="4">
        <f>IF($A253="","","W"&amp;WEEKNUM($A253,2))</f>
        <v/>
      </c>
      <c r="D253" s="4">
        <f>IF($A253="","",TEXT($A253,"ddd"))</f>
        <v/>
      </c>
      <c r="E253" s="4" t="inlineStr">
        <is>
          <t>Warehouse</t>
        </is>
      </c>
      <c r="F253" s="4">
        <f>IFERROR(INDEX(Tbl_KPIMaster[Category],MATCH($G253,Tbl_KPIMaster[KPI],0)),"")</f>
        <v/>
      </c>
      <c r="G253" s="4" t="inlineStr">
        <is>
          <t>On-Time Dispatch %</t>
        </is>
      </c>
      <c r="H253" s="4">
        <f>IFERROR(INDEX(Tbl_KPIMaster[Unit],MATCH($G253,Tbl_KPIMaster[KPI],0)),"")</f>
        <v/>
      </c>
      <c r="I253" s="5">
        <f>IFERROR(INDEX(Tbl_KPIMaster[Maximum Target],MATCH($G253,Tbl_KPIMaster[KPI],0)),"")</f>
        <v/>
      </c>
      <c r="J253" s="5" t="n">
        <v>1.096</v>
      </c>
      <c r="K253" s="4">
        <f>IFERROR(INDEX(Tbl_KPIMaster[Tolerance],MATCH($G253,Tbl_KPIMaster[KPI],0)),"")</f>
        <v/>
      </c>
      <c r="L253" s="4">
        <f>IFERROR(INDEX(Tbl_KPIMaster[Owner],MATCH($G253,Tbl_KPIMaster[KPI],0)),"")</f>
        <v/>
      </c>
      <c r="M253" s="6" t="inlineStr">
        <is>
          <t>Preventive check done</t>
        </is>
      </c>
      <c r="N253" s="4" t="inlineStr">
        <is>
          <t>Engineering support needed</t>
        </is>
      </c>
      <c r="O253" s="4" t="inlineStr">
        <is>
          <t>Medium</t>
        </is>
      </c>
      <c r="P253" s="4" t="inlineStr">
        <is>
          <t>Closed</t>
        </is>
      </c>
      <c r="Q253" s="5">
        <f>IFERROR(IF(INDEX(Tbl_KPIMaster[Direction],MATCH($G253,Tbl_KPIMaster[KPI],0))="Lower is Better",IF($J253=0,1,IF($I253=0,0,$I253/$J253)),IF($I253=0,1,$J253/$I253)),0)</f>
        <v/>
      </c>
      <c r="R253" s="4">
        <f>IF(OR($I253="",$J253=""),"",$J253-$I253)</f>
        <v/>
      </c>
      <c r="S253" s="4">
        <f>IFERROR(IF(INDEX(Tbl_KPIMaster[Direction],MATCH($G253,Tbl_KPIMaster[KPI],0))="Lower is Better",IF($J253&lt;=$I253,"Green",IF($J253&lt;=$I253+IF($I253=0,$K253,$I253*$K253),"Amber","Red")),IF($J253&gt;=$I253,"Green",IF($J253&gt;=$I253-IF($I253=0,$K253,$I253*$K253),"Amber","Red"))),"")</f>
        <v/>
      </c>
      <c r="T253" s="6" t="inlineStr"/>
    </row>
    <row r="254">
      <c r="A254" s="7" t="n">
        <v>46142</v>
      </c>
      <c r="B254" s="8">
        <f>IF($A254="","",TEXT($A254,"mmm-yyyy"))</f>
        <v/>
      </c>
      <c r="C254" s="8">
        <f>IF($A254="","","W"&amp;WEEKNUM($A254,2))</f>
        <v/>
      </c>
      <c r="D254" s="8">
        <f>IF($A254="","",TEXT($A254,"ddd"))</f>
        <v/>
      </c>
      <c r="E254" s="8" t="inlineStr">
        <is>
          <t>Warehouse</t>
        </is>
      </c>
      <c r="F254" s="8">
        <f>IFERROR(INDEX(Tbl_KPIMaster[Category],MATCH($G254,Tbl_KPIMaster[KPI],0)),"")</f>
        <v/>
      </c>
      <c r="G254" s="8" t="inlineStr">
        <is>
          <t>Inventory Accuracy %</t>
        </is>
      </c>
      <c r="H254" s="8">
        <f>IFERROR(INDEX(Tbl_KPIMaster[Unit],MATCH($G254,Tbl_KPIMaster[KPI],0)),"")</f>
        <v/>
      </c>
      <c r="I254" s="9">
        <f>IFERROR(INDEX(Tbl_KPIMaster[Maximum Target],MATCH($G254,Tbl_KPIMaster[KPI],0)),"")</f>
        <v/>
      </c>
      <c r="J254" s="9" t="n">
        <v>0.9998</v>
      </c>
      <c r="K254" s="8">
        <f>IFERROR(INDEX(Tbl_KPIMaster[Tolerance],MATCH($G254,Tbl_KPIMaster[KPI],0)),"")</f>
        <v/>
      </c>
      <c r="L254" s="8">
        <f>IFERROR(INDEX(Tbl_KPIMaster[Owner],MATCH($G254,Tbl_KPIMaster[KPI],0)),"")</f>
        <v/>
      </c>
      <c r="M254" s="10" t="inlineStr">
        <is>
          <t>Within normal range</t>
        </is>
      </c>
      <c r="N254" s="8" t="inlineStr">
        <is>
          <t>Management approval pending</t>
        </is>
      </c>
      <c r="O254" s="8" t="inlineStr">
        <is>
          <t>Low</t>
        </is>
      </c>
      <c r="P254" s="8" t="inlineStr">
        <is>
          <t>Closed</t>
        </is>
      </c>
      <c r="Q254" s="9">
        <f>IFERROR(IF(INDEX(Tbl_KPIMaster[Direction],MATCH($G254,Tbl_KPIMaster[KPI],0))="Lower is Better",IF($J254=0,1,IF($I254=0,0,$I254/$J254)),IF($I254=0,1,$J254/$I254)),0)</f>
        <v/>
      </c>
      <c r="R254" s="8">
        <f>IF(OR($I254="",$J254=""),"",$J254-$I254)</f>
        <v/>
      </c>
      <c r="S254" s="8">
        <f>IFERROR(IF(INDEX(Tbl_KPIMaster[Direction],MATCH($G254,Tbl_KPIMaster[KPI],0))="Lower is Better",IF($J254&lt;=$I254,"Green",IF($J254&lt;=$I254+IF($I254=0,$K254,$I254*$K254),"Amber","Red")),IF($J254&gt;=$I254,"Green",IF($J254&gt;=$I254-IF($I254=0,$K254,$I254*$K254),"Amber","Red"))),"")</f>
        <v/>
      </c>
      <c r="T254" s="10" t="inlineStr"/>
    </row>
    <row r="255">
      <c r="A255" s="3" t="n">
        <v>46142</v>
      </c>
      <c r="B255" s="4">
        <f>IF($A255="","",TEXT($A255,"mmm-yyyy"))</f>
        <v/>
      </c>
      <c r="C255" s="4">
        <f>IF($A255="","","W"&amp;WEEKNUM($A255,2))</f>
        <v/>
      </c>
      <c r="D255" s="4">
        <f>IF($A255="","",TEXT($A255,"ddd"))</f>
        <v/>
      </c>
      <c r="E255" s="4" t="inlineStr">
        <is>
          <t>HR</t>
        </is>
      </c>
      <c r="F255" s="4">
        <f>IFERROR(INDEX(Tbl_KPIMaster[Category],MATCH($G255,Tbl_KPIMaster[KPI],0)),"")</f>
        <v/>
      </c>
      <c r="G255" s="4" t="inlineStr">
        <is>
          <t>Absenteeism %</t>
        </is>
      </c>
      <c r="H255" s="4">
        <f>IFERROR(INDEX(Tbl_KPIMaster[Unit],MATCH($G255,Tbl_KPIMaster[KPI],0)),"")</f>
        <v/>
      </c>
      <c r="I255" s="5">
        <f>IFERROR(INDEX(Tbl_KPIMaster[Maximum Target],MATCH($G255,Tbl_KPIMaster[KPI],0)),"")</f>
        <v/>
      </c>
      <c r="J255" s="5" t="n">
        <v>0.4213</v>
      </c>
      <c r="K255" s="4">
        <f>IFERROR(INDEX(Tbl_KPIMaster[Tolerance],MATCH($G255,Tbl_KPIMaster[KPI],0)),"")</f>
        <v/>
      </c>
      <c r="L255" s="4">
        <f>IFERROR(INDEX(Tbl_KPIMaster[Owner],MATCH($G255,Tbl_KPIMaster[KPI],0)),"")</f>
        <v/>
      </c>
      <c r="M255" s="6" t="inlineStr"/>
      <c r="N255" s="4" t="inlineStr">
        <is>
          <t>Engineering support needed</t>
        </is>
      </c>
      <c r="O255" s="4" t="inlineStr">
        <is>
          <t>Low</t>
        </is>
      </c>
      <c r="P255" s="4" t="inlineStr">
        <is>
          <t>Closed</t>
        </is>
      </c>
      <c r="Q255" s="5">
        <f>IFERROR(IF(INDEX(Tbl_KPIMaster[Direction],MATCH($G255,Tbl_KPIMaster[KPI],0))="Lower is Better",IF($J255=0,1,IF($I255=0,0,$I255/$J255)),IF($I255=0,1,$J255/$I255)),0)</f>
        <v/>
      </c>
      <c r="R255" s="4">
        <f>IF(OR($I255="",$J255=""),"",$J255-$I255)</f>
        <v/>
      </c>
      <c r="S255" s="4">
        <f>IFERROR(IF(INDEX(Tbl_KPIMaster[Direction],MATCH($G255,Tbl_KPIMaster[KPI],0))="Lower is Better",IF($J255&lt;=$I255,"Green",IF($J255&lt;=$I255+IF($I255=0,$K255,$I255*$K255),"Amber","Red")),IF($J255&gt;=$I255,"Green",IF($J255&gt;=$I255-IF($I255=0,$K255,$I255*$K255),"Amber","Red"))),"")</f>
        <v/>
      </c>
      <c r="T255" s="6" t="inlineStr"/>
    </row>
    <row r="256">
      <c r="A256" s="7" t="n">
        <v>46142</v>
      </c>
      <c r="B256" s="8">
        <f>IF($A256="","",TEXT($A256,"mmm-yyyy"))</f>
        <v/>
      </c>
      <c r="C256" s="8">
        <f>IF($A256="","","W"&amp;WEEKNUM($A256,2))</f>
        <v/>
      </c>
      <c r="D256" s="8">
        <f>IF($A256="","",TEXT($A256,"ddd"))</f>
        <v/>
      </c>
      <c r="E256" s="8" t="inlineStr">
        <is>
          <t>HR</t>
        </is>
      </c>
      <c r="F256" s="8">
        <f>IFERROR(INDEX(Tbl_KPIMaster[Category],MATCH($G256,Tbl_KPIMaster[KPI],0)),"")</f>
        <v/>
      </c>
      <c r="G256" s="8" t="inlineStr">
        <is>
          <t>Training Hours</t>
        </is>
      </c>
      <c r="H256" s="8">
        <f>IFERROR(INDEX(Tbl_KPIMaster[Unit],MATCH($G256,Tbl_KPIMaster[KPI],0)),"")</f>
        <v/>
      </c>
      <c r="I256" s="9">
        <f>IFERROR(INDEX(Tbl_KPIMaster[Maximum Target],MATCH($G256,Tbl_KPIMaster[KPI],0)),"")</f>
        <v/>
      </c>
      <c r="J256" s="9" t="n">
        <v>1.9</v>
      </c>
      <c r="K256" s="8">
        <f>IFERROR(INDEX(Tbl_KPIMaster[Tolerance],MATCH($G256,Tbl_KPIMaster[KPI],0)),"")</f>
        <v/>
      </c>
      <c r="L256" s="8">
        <f>IFERROR(INDEX(Tbl_KPIMaster[Owner],MATCH($G256,Tbl_KPIMaster[KPI],0)),"")</f>
        <v/>
      </c>
      <c r="M256" s="10" t="inlineStr">
        <is>
          <t>Preventive check done</t>
        </is>
      </c>
      <c r="N256" s="8" t="inlineStr">
        <is>
          <t>Procurement follow-up</t>
        </is>
      </c>
      <c r="O256" s="8" t="inlineStr">
        <is>
          <t>Low</t>
        </is>
      </c>
      <c r="P256" s="8" t="inlineStr">
        <is>
          <t>Open</t>
        </is>
      </c>
      <c r="Q256" s="9">
        <f>IFERROR(IF(INDEX(Tbl_KPIMaster[Direction],MATCH($G256,Tbl_KPIMaster[KPI],0))="Lower is Better",IF($J256=0,1,IF($I256=0,0,$I256/$J256)),IF($I256=0,1,$J256/$I256)),0)</f>
        <v/>
      </c>
      <c r="R256" s="8">
        <f>IF(OR($I256="",$J256=""),"",$J256-$I256)</f>
        <v/>
      </c>
      <c r="S256" s="8">
        <f>IFERROR(IF(INDEX(Tbl_KPIMaster[Direction],MATCH($G256,Tbl_KPIMaster[KPI],0))="Lower is Better",IF($J256&lt;=$I256,"Green",IF($J256&lt;=$I256+IF($I256=0,$K256,$I256*$K256),"Amber","Red")),IF($J256&gt;=$I256,"Green",IF($J256&gt;=$I256-IF($I256=0,$K256,$I256*$K256),"Amber","Red"))),"")</f>
        <v/>
      </c>
      <c r="T256" s="10" t="inlineStr"/>
    </row>
    <row r="257">
      <c r="A257" s="3" t="n">
        <v>46142</v>
      </c>
      <c r="B257" s="4">
        <f>IF($A257="","",TEXT($A257,"mmm-yyyy"))</f>
        <v/>
      </c>
      <c r="C257" s="4">
        <f>IF($A257="","","W"&amp;WEEKNUM($A257,2))</f>
        <v/>
      </c>
      <c r="D257" s="4">
        <f>IF($A257="","",TEXT($A257,"ddd"))</f>
        <v/>
      </c>
      <c r="E257" s="4" t="inlineStr">
        <is>
          <t>Engineering</t>
        </is>
      </c>
      <c r="F257" s="4">
        <f>IFERROR(INDEX(Tbl_KPIMaster[Category],MATCH($G257,Tbl_KPIMaster[KPI],0)),"")</f>
        <v/>
      </c>
      <c r="G257" s="4" t="inlineStr">
        <is>
          <t>Project Milestone Adherence %</t>
        </is>
      </c>
      <c r="H257" s="4">
        <f>IFERROR(INDEX(Tbl_KPIMaster[Unit],MATCH($G257,Tbl_KPIMaster[KPI],0)),"")</f>
        <v/>
      </c>
      <c r="I257" s="5">
        <f>IFERROR(INDEX(Tbl_KPIMaster[Maximum Target],MATCH($G257,Tbl_KPIMaster[KPI],0)),"")</f>
        <v/>
      </c>
      <c r="J257" s="5" t="n">
        <v>0.893</v>
      </c>
      <c r="K257" s="4">
        <f>IFERROR(INDEX(Tbl_KPIMaster[Tolerance],MATCH($G257,Tbl_KPIMaster[KPI],0)),"")</f>
        <v/>
      </c>
      <c r="L257" s="4">
        <f>IFERROR(INDEX(Tbl_KPIMaster[Owner],MATCH($G257,Tbl_KPIMaster[KPI],0)),"")</f>
        <v/>
      </c>
      <c r="M257" s="6" t="inlineStr">
        <is>
          <t>Within normal range</t>
        </is>
      </c>
      <c r="N257" s="4" t="inlineStr"/>
      <c r="O257" s="4" t="inlineStr">
        <is>
          <t>Medium</t>
        </is>
      </c>
      <c r="P257" s="4" t="inlineStr">
        <is>
          <t>Open</t>
        </is>
      </c>
      <c r="Q257" s="5">
        <f>IFERROR(IF(INDEX(Tbl_KPIMaster[Direction],MATCH($G257,Tbl_KPIMaster[KPI],0))="Lower is Better",IF($J257=0,1,IF($I257=0,0,$I257/$J257)),IF($I257=0,1,$J257/$I257)),0)</f>
        <v/>
      </c>
      <c r="R257" s="4">
        <f>IF(OR($I257="",$J257=""),"",$J257-$I257)</f>
        <v/>
      </c>
      <c r="S257" s="4">
        <f>IFERROR(IF(INDEX(Tbl_KPIMaster[Direction],MATCH($G257,Tbl_KPIMaster[KPI],0))="Lower is Better",IF($J257&lt;=$I257,"Green",IF($J257&lt;=$I257+IF($I257=0,$K257,$I257*$K257),"Amber","Red")),IF($J257&gt;=$I257,"Green",IF($J257&gt;=$I257-IF($I257=0,$K257,$I257*$K257),"Amber","Red"))),"")</f>
        <v/>
      </c>
      <c r="T257" s="6" t="inlineStr"/>
    </row>
    <row r="258">
      <c r="A258" s="7" t="n">
        <v>46142</v>
      </c>
      <c r="B258" s="8">
        <f>IF($A258="","",TEXT($A258,"mmm-yyyy"))</f>
        <v/>
      </c>
      <c r="C258" s="8">
        <f>IF($A258="","","W"&amp;WEEKNUM($A258,2))</f>
        <v/>
      </c>
      <c r="D258" s="8">
        <f>IF($A258="","",TEXT($A258,"ddd"))</f>
        <v/>
      </c>
      <c r="E258" s="8" t="inlineStr">
        <is>
          <t>Engineering</t>
        </is>
      </c>
      <c r="F258" s="8">
        <f>IFERROR(INDEX(Tbl_KPIMaster[Category],MATCH($G258,Tbl_KPIMaster[KPI],0)),"")</f>
        <v/>
      </c>
      <c r="G258" s="8" t="inlineStr">
        <is>
          <t>Breakdown Resolution Time</t>
        </is>
      </c>
      <c r="H258" s="8">
        <f>IFERROR(INDEX(Tbl_KPIMaster[Unit],MATCH($G258,Tbl_KPIMaster[KPI],0)),"")</f>
        <v/>
      </c>
      <c r="I258" s="9">
        <f>IFERROR(INDEX(Tbl_KPIMaster[Maximum Target],MATCH($G258,Tbl_KPIMaster[KPI],0)),"")</f>
        <v/>
      </c>
      <c r="J258" s="9" t="n">
        <v>0.24</v>
      </c>
      <c r="K258" s="8">
        <f>IFERROR(INDEX(Tbl_KPIMaster[Tolerance],MATCH($G258,Tbl_KPIMaster[KPI],0)),"")</f>
        <v/>
      </c>
      <c r="L258" s="8">
        <f>IFERROR(INDEX(Tbl_KPIMaster[Owner],MATCH($G258,Tbl_KPIMaster[KPI],0)),"")</f>
        <v/>
      </c>
      <c r="M258" s="10" t="inlineStr">
        <is>
          <t>Equipment breakdown</t>
        </is>
      </c>
      <c r="N258" s="8" t="inlineStr"/>
      <c r="O258" s="8" t="inlineStr">
        <is>
          <t>Low</t>
        </is>
      </c>
      <c r="P258" s="8" t="inlineStr">
        <is>
          <t>Closed</t>
        </is>
      </c>
      <c r="Q258" s="9">
        <f>IFERROR(IF(INDEX(Tbl_KPIMaster[Direction],MATCH($G258,Tbl_KPIMaster[KPI],0))="Lower is Better",IF($J258=0,1,IF($I258=0,0,$I258/$J258)),IF($I258=0,1,$J258/$I258)),0)</f>
        <v/>
      </c>
      <c r="R258" s="8">
        <f>IF(OR($I258="",$J258=""),"",$J258-$I258)</f>
        <v/>
      </c>
      <c r="S258" s="8">
        <f>IFERROR(IF(INDEX(Tbl_KPIMaster[Direction],MATCH($G258,Tbl_KPIMaster[KPI],0))="Lower is Better",IF($J258&lt;=$I258,"Green",IF($J258&lt;=$I258+IF($I258=0,$K258,$I258*$K258),"Amber","Red")),IF($J258&gt;=$I258,"Green",IF($J258&gt;=$I258-IF($I258=0,$K258,$I258*$K258),"Amber","Red"))),"")</f>
        <v/>
      </c>
      <c r="T258" s="10" t="inlineStr"/>
    </row>
    <row r="259">
      <c r="A259" s="3" t="n">
        <v>46142</v>
      </c>
      <c r="B259" s="4">
        <f>IF($A259="","",TEXT($A259,"mmm-yyyy"))</f>
        <v/>
      </c>
      <c r="C259" s="4">
        <f>IF($A259="","","W"&amp;WEEKNUM($A259,2))</f>
        <v/>
      </c>
      <c r="D259" s="4">
        <f>IF($A259="","",TEXT($A259,"ddd"))</f>
        <v/>
      </c>
      <c r="E259" s="4" t="inlineStr">
        <is>
          <t>Cost</t>
        </is>
      </c>
      <c r="F259" s="4">
        <f>IFERROR(INDEX(Tbl_KPIMaster[Category],MATCH($G259,Tbl_KPIMaster[KPI],0)),"")</f>
        <v/>
      </c>
      <c r="G259" s="4" t="inlineStr">
        <is>
          <t>Cost per Unit</t>
        </is>
      </c>
      <c r="H259" s="4">
        <f>IFERROR(INDEX(Tbl_KPIMaster[Unit],MATCH($G259,Tbl_KPIMaster[KPI],0)),"")</f>
        <v/>
      </c>
      <c r="I259" s="5">
        <f>IFERROR(INDEX(Tbl_KPIMaster[Maximum Target],MATCH($G259,Tbl_KPIMaster[KPI],0)),"")</f>
        <v/>
      </c>
      <c r="J259" s="5" t="n">
        <v>34.19</v>
      </c>
      <c r="K259" s="4">
        <f>IFERROR(INDEX(Tbl_KPIMaster[Tolerance],MATCH($G259,Tbl_KPIMaster[KPI],0)),"")</f>
        <v/>
      </c>
      <c r="L259" s="4">
        <f>IFERROR(INDEX(Tbl_KPIMaster[Owner],MATCH($G259,Tbl_KPIMaster[KPI],0)),"")</f>
        <v/>
      </c>
      <c r="M259" s="6" t="inlineStr">
        <is>
          <t>Vendor delay</t>
        </is>
      </c>
      <c r="N259" s="4" t="inlineStr">
        <is>
          <t>Engineering support needed</t>
        </is>
      </c>
      <c r="O259" s="4" t="inlineStr">
        <is>
          <t>Low</t>
        </is>
      </c>
      <c r="P259" s="4" t="inlineStr">
        <is>
          <t>Open</t>
        </is>
      </c>
      <c r="Q259" s="5">
        <f>IFERROR(IF(INDEX(Tbl_KPIMaster[Direction],MATCH($G259,Tbl_KPIMaster[KPI],0))="Lower is Better",IF($J259=0,1,IF($I259=0,0,$I259/$J259)),IF($I259=0,1,$J259/$I259)),0)</f>
        <v/>
      </c>
      <c r="R259" s="4">
        <f>IF(OR($I259="",$J259=""),"",$J259-$I259)</f>
        <v/>
      </c>
      <c r="S259" s="4">
        <f>IFERROR(IF(INDEX(Tbl_KPIMaster[Direction],MATCH($G259,Tbl_KPIMaster[KPI],0))="Lower is Better",IF($J259&lt;=$I259,"Green",IF($J259&lt;=$I259+IF($I259=0,$K259,$I259*$K259),"Amber","Red")),IF($J259&gt;=$I259,"Green",IF($J259&gt;=$I259-IF($I259=0,$K259,$I259*$K259),"Amber","Red"))),"")</f>
        <v/>
      </c>
      <c r="T259" s="6" t="inlineStr"/>
    </row>
    <row r="260">
      <c r="A260" s="7" t="n">
        <v>46142</v>
      </c>
      <c r="B260" s="8">
        <f>IF($A260="","",TEXT($A260,"mmm-yyyy"))</f>
        <v/>
      </c>
      <c r="C260" s="8">
        <f>IF($A260="","","W"&amp;WEEKNUM($A260,2))</f>
        <v/>
      </c>
      <c r="D260" s="8">
        <f>IF($A260="","",TEXT($A260,"ddd"))</f>
        <v/>
      </c>
      <c r="E260" s="8" t="inlineStr">
        <is>
          <t>Cost</t>
        </is>
      </c>
      <c r="F260" s="8">
        <f>IFERROR(INDEX(Tbl_KPIMaster[Category],MATCH($G260,Tbl_KPIMaster[KPI],0)),"")</f>
        <v/>
      </c>
      <c r="G260" s="8" t="inlineStr">
        <is>
          <t>Budget Variance %</t>
        </is>
      </c>
      <c r="H260" s="8">
        <f>IFERROR(INDEX(Tbl_KPIMaster[Unit],MATCH($G260,Tbl_KPIMaster[KPI],0)),"")</f>
        <v/>
      </c>
      <c r="I260" s="9">
        <f>IFERROR(INDEX(Tbl_KPIMaster[Maximum Target],MATCH($G260,Tbl_KPIMaster[KPI],0)),"")</f>
        <v/>
      </c>
      <c r="J260" s="9" t="n">
        <v>0.5749</v>
      </c>
      <c r="K260" s="8">
        <f>IFERROR(INDEX(Tbl_KPIMaster[Tolerance],MATCH($G260,Tbl_KPIMaster[KPI],0)),"")</f>
        <v/>
      </c>
      <c r="L260" s="8">
        <f>IFERROR(INDEX(Tbl_KPIMaster[Owner],MATCH($G260,Tbl_KPIMaster[KPI],0)),"")</f>
        <v/>
      </c>
      <c r="M260" s="10" t="inlineStr"/>
      <c r="N260" s="8" t="inlineStr"/>
      <c r="O260" s="8" t="inlineStr">
        <is>
          <t>Low</t>
        </is>
      </c>
      <c r="P260" s="8" t="inlineStr">
        <is>
          <t>Open</t>
        </is>
      </c>
      <c r="Q260" s="9">
        <f>IFERROR(IF(INDEX(Tbl_KPIMaster[Direction],MATCH($G260,Tbl_KPIMaster[KPI],0))="Lower is Better",IF($J260=0,1,IF($I260=0,0,$I260/$J260)),IF($I260=0,1,$J260/$I260)),0)</f>
        <v/>
      </c>
      <c r="R260" s="8">
        <f>IF(OR($I260="",$J260=""),"",$J260-$I260)</f>
        <v/>
      </c>
      <c r="S260" s="8">
        <f>IFERROR(IF(INDEX(Tbl_KPIMaster[Direction],MATCH($G260,Tbl_KPIMaster[KPI],0))="Lower is Better",IF($J260&lt;=$I260,"Green",IF($J260&lt;=$I260+IF($I260=0,$K260,$I260*$K260),"Amber","Red")),IF($J260&gt;=$I260,"Green",IF($J260&gt;=$I260-IF($I260=0,$K260,$I260*$K260),"Amber","Red"))),"")</f>
        <v/>
      </c>
      <c r="T260" s="10" t="inlineStr"/>
    </row>
    <row r="261">
      <c r="A261" s="3" t="n">
        <v>46142</v>
      </c>
      <c r="B261" s="4">
        <f>IF($A261="","",TEXT($A261,"mmm-yyyy"))</f>
        <v/>
      </c>
      <c r="C261" s="4">
        <f>IF($A261="","","W"&amp;WEEKNUM($A261,2))</f>
        <v/>
      </c>
      <c r="D261" s="4">
        <f>IF($A261="","",TEXT($A261,"ddd"))</f>
        <v/>
      </c>
      <c r="E261" s="4" t="inlineStr">
        <is>
          <t>Energy</t>
        </is>
      </c>
      <c r="F261" s="4">
        <f>IFERROR(INDEX(Tbl_KPIMaster[Category],MATCH($G261,Tbl_KPIMaster[KPI],0)),"")</f>
        <v/>
      </c>
      <c r="G261" s="4" t="inlineStr">
        <is>
          <t>Energy Intensity (kWh/unit)</t>
        </is>
      </c>
      <c r="H261" s="4">
        <f>IFERROR(INDEX(Tbl_KPIMaster[Unit],MATCH($G261,Tbl_KPIMaster[KPI],0)),"")</f>
        <v/>
      </c>
      <c r="I261" s="5">
        <f>IFERROR(INDEX(Tbl_KPIMaster[Maximum Target],MATCH($G261,Tbl_KPIMaster[KPI],0)),"")</f>
        <v/>
      </c>
      <c r="J261" s="5" t="n">
        <v>4.08</v>
      </c>
      <c r="K261" s="4">
        <f>IFERROR(INDEX(Tbl_KPIMaster[Tolerance],MATCH($G261,Tbl_KPIMaster[KPI],0)),"")</f>
        <v/>
      </c>
      <c r="L261" s="4">
        <f>IFERROR(INDEX(Tbl_KPIMaster[Owner],MATCH($G261,Tbl_KPIMaster[KPI],0)),"")</f>
        <v/>
      </c>
      <c r="M261" s="6" t="inlineStr">
        <is>
          <t>Weather impact</t>
        </is>
      </c>
      <c r="N261" s="4" t="inlineStr"/>
      <c r="O261" s="4" t="inlineStr">
        <is>
          <t>Low</t>
        </is>
      </c>
      <c r="P261" s="4" t="inlineStr">
        <is>
          <t>Closed</t>
        </is>
      </c>
      <c r="Q261" s="5">
        <f>IFERROR(IF(INDEX(Tbl_KPIMaster[Direction],MATCH($G261,Tbl_KPIMaster[KPI],0))="Lower is Better",IF($J261=0,1,IF($I261=0,0,$I261/$J261)),IF($I261=0,1,$J261/$I261)),0)</f>
        <v/>
      </c>
      <c r="R261" s="4">
        <f>IF(OR($I261="",$J261=""),"",$J261-$I261)</f>
        <v/>
      </c>
      <c r="S261" s="4">
        <f>IFERROR(IF(INDEX(Tbl_KPIMaster[Direction],MATCH($G261,Tbl_KPIMaster[KPI],0))="Lower is Better",IF($J261&lt;=$I261,"Green",IF($J261&lt;=$I261+IF($I261=0,$K261,$I261*$K261),"Amber","Red")),IF($J261&gt;=$I261,"Green",IF($J261&gt;=$I261-IF($I261=0,$K261,$I261*$K261),"Amber","Red"))),"")</f>
        <v/>
      </c>
      <c r="T261" s="6" t="inlineStr"/>
    </row>
    <row r="262">
      <c r="A262" s="7" t="n">
        <v>46142</v>
      </c>
      <c r="B262" s="8">
        <f>IF($A262="","",TEXT($A262,"mmm-yyyy"))</f>
        <v/>
      </c>
      <c r="C262" s="8">
        <f>IF($A262="","","W"&amp;WEEKNUM($A262,2))</f>
        <v/>
      </c>
      <c r="D262" s="8">
        <f>IF($A262="","",TEXT($A262,"ddd"))</f>
        <v/>
      </c>
      <c r="E262" s="8" t="inlineStr">
        <is>
          <t>Energy</t>
        </is>
      </c>
      <c r="F262" s="8">
        <f>IFERROR(INDEX(Tbl_KPIMaster[Category],MATCH($G262,Tbl_KPIMaster[KPI],0)),"")</f>
        <v/>
      </c>
      <c r="G262" s="8" t="inlineStr">
        <is>
          <t>Renewable Energy Share %</t>
        </is>
      </c>
      <c r="H262" s="8">
        <f>IFERROR(INDEX(Tbl_KPIMaster[Unit],MATCH($G262,Tbl_KPIMaster[KPI],0)),"")</f>
        <v/>
      </c>
      <c r="I262" s="9">
        <f>IFERROR(INDEX(Tbl_KPIMaster[Maximum Target],MATCH($G262,Tbl_KPIMaster[KPI],0)),"")</f>
        <v/>
      </c>
      <c r="J262" s="9" t="n">
        <v>0.2529</v>
      </c>
      <c r="K262" s="8">
        <f>IFERROR(INDEX(Tbl_KPIMaster[Tolerance],MATCH($G262,Tbl_KPIMaster[KPI],0)),"")</f>
        <v/>
      </c>
      <c r="L262" s="8">
        <f>IFERROR(INDEX(Tbl_KPIMaster[Owner],MATCH($G262,Tbl_KPIMaster[KPI],0)),"")</f>
        <v/>
      </c>
      <c r="M262" s="10" t="inlineStr">
        <is>
          <t>Weather impact</t>
        </is>
      </c>
      <c r="N262" s="8" t="inlineStr">
        <is>
          <t>Management approval pending</t>
        </is>
      </c>
      <c r="O262" s="8" t="inlineStr">
        <is>
          <t>Medium</t>
        </is>
      </c>
      <c r="P262" s="8" t="inlineStr">
        <is>
          <t>In Progress</t>
        </is>
      </c>
      <c r="Q262" s="9">
        <f>IFERROR(IF(INDEX(Tbl_KPIMaster[Direction],MATCH($G262,Tbl_KPIMaster[KPI],0))="Lower is Better",IF($J262=0,1,IF($I262=0,0,$I262/$J262)),IF($I262=0,1,$J262/$I262)),0)</f>
        <v/>
      </c>
      <c r="R262" s="8">
        <f>IF(OR($I262="",$J262=""),"",$J262-$I262)</f>
        <v/>
      </c>
      <c r="S262" s="8">
        <f>IFERROR(IF(INDEX(Tbl_KPIMaster[Direction],MATCH($G262,Tbl_KPIMaster[KPI],0))="Lower is Better",IF($J262&lt;=$I262,"Green",IF($J262&lt;=$I262+IF($I262=0,$K262,$I262*$K262),"Amber","Red")),IF($J262&gt;=$I262,"Green",IF($J262&gt;=$I262-IF($I262=0,$K262,$I262*$K262),"Amber","Red"))),"")</f>
        <v/>
      </c>
      <c r="T262" s="10" t="inlineStr"/>
    </row>
    <row r="263">
      <c r="A263" s="3" t="n">
        <v>46143</v>
      </c>
      <c r="B263" s="4">
        <f>IF($A263="","",TEXT($A263,"mmm-yyyy"))</f>
        <v/>
      </c>
      <c r="C263" s="4">
        <f>IF($A263="","","W"&amp;WEEKNUM($A263,2))</f>
        <v/>
      </c>
      <c r="D263" s="4">
        <f>IF($A263="","",TEXT($A263,"ddd"))</f>
        <v/>
      </c>
      <c r="E263" s="4" t="inlineStr">
        <is>
          <t>Safety</t>
        </is>
      </c>
      <c r="F263" s="4">
        <f>IFERROR(INDEX(Tbl_KPIMaster[Category],MATCH($G263,Tbl_KPIMaster[KPI],0)),"")</f>
        <v/>
      </c>
      <c r="G263" s="4" t="inlineStr">
        <is>
          <t>Safety Incidents (LTI)</t>
        </is>
      </c>
      <c r="H263" s="4">
        <f>IFERROR(INDEX(Tbl_KPIMaster[Unit],MATCH($G263,Tbl_KPIMaster[KPI],0)),"")</f>
        <v/>
      </c>
      <c r="I263" s="5">
        <f>IFERROR(INDEX(Tbl_KPIMaster[Maximum Target],MATCH($G263,Tbl_KPIMaster[KPI],0)),"")</f>
        <v/>
      </c>
      <c r="J263" s="5" t="n">
        <v>0</v>
      </c>
      <c r="K263" s="4">
        <f>IFERROR(INDEX(Tbl_KPIMaster[Tolerance],MATCH($G263,Tbl_KPIMaster[KPI],0)),"")</f>
        <v/>
      </c>
      <c r="L263" s="4">
        <f>IFERROR(INDEX(Tbl_KPIMaster[Owner],MATCH($G263,Tbl_KPIMaster[KPI],0)),"")</f>
        <v/>
      </c>
      <c r="M263" s="6" t="inlineStr">
        <is>
          <t>New operator training effect</t>
        </is>
      </c>
      <c r="N263" s="4" t="inlineStr">
        <is>
          <t>Management approval pending</t>
        </is>
      </c>
      <c r="O263" s="4" t="inlineStr">
        <is>
          <t>Low</t>
        </is>
      </c>
      <c r="P263" s="4" t="inlineStr">
        <is>
          <t>Open</t>
        </is>
      </c>
      <c r="Q263" s="5">
        <f>IFERROR(IF(INDEX(Tbl_KPIMaster[Direction],MATCH($G263,Tbl_KPIMaster[KPI],0))="Lower is Better",IF($J263=0,1,IF($I263=0,0,$I263/$J263)),IF($I263=0,1,$J263/$I263)),0)</f>
        <v/>
      </c>
      <c r="R263" s="4">
        <f>IF(OR($I263="",$J263=""),"",$J263-$I263)</f>
        <v/>
      </c>
      <c r="S263" s="4">
        <f>IFERROR(IF(INDEX(Tbl_KPIMaster[Direction],MATCH($G263,Tbl_KPIMaster[KPI],0))="Lower is Better",IF($J263&lt;=$I263,"Green",IF($J263&lt;=$I263+IF($I263=0,$K263,$I263*$K263),"Amber","Red")),IF($J263&gt;=$I263,"Green",IF($J263&gt;=$I263-IF($I263=0,$K263,$I263*$K263),"Amber","Red"))),"")</f>
        <v/>
      </c>
      <c r="T263" s="6" t="inlineStr"/>
    </row>
    <row r="264">
      <c r="A264" s="7" t="n">
        <v>46143</v>
      </c>
      <c r="B264" s="8">
        <f>IF($A264="","",TEXT($A264,"mmm-yyyy"))</f>
        <v/>
      </c>
      <c r="C264" s="8">
        <f>IF($A264="","","W"&amp;WEEKNUM($A264,2))</f>
        <v/>
      </c>
      <c r="D264" s="8">
        <f>IF($A264="","",TEXT($A264,"ddd"))</f>
        <v/>
      </c>
      <c r="E264" s="8" t="inlineStr">
        <is>
          <t>Safety</t>
        </is>
      </c>
      <c r="F264" s="8">
        <f>IFERROR(INDEX(Tbl_KPIMaster[Category],MATCH($G264,Tbl_KPIMaster[KPI],0)),"")</f>
        <v/>
      </c>
      <c r="G264" s="8" t="inlineStr">
        <is>
          <t>Near Miss Reports</t>
        </is>
      </c>
      <c r="H264" s="8">
        <f>IFERROR(INDEX(Tbl_KPIMaster[Unit],MATCH($G264,Tbl_KPIMaster[KPI],0)),"")</f>
        <v/>
      </c>
      <c r="I264" s="9">
        <f>IFERROR(INDEX(Tbl_KPIMaster[Maximum Target],MATCH($G264,Tbl_KPIMaster[KPI],0)),"")</f>
        <v/>
      </c>
      <c r="J264" s="9" t="n">
        <v>2</v>
      </c>
      <c r="K264" s="8">
        <f>IFERROR(INDEX(Tbl_KPIMaster[Tolerance],MATCH($G264,Tbl_KPIMaster[KPI],0)),"")</f>
        <v/>
      </c>
      <c r="L264" s="8">
        <f>IFERROR(INDEX(Tbl_KPIMaster[Owner],MATCH($G264,Tbl_KPIMaster[KPI],0)),"")</f>
        <v/>
      </c>
      <c r="M264" s="10" t="inlineStr">
        <is>
          <t>Awaiting spares</t>
        </is>
      </c>
      <c r="N264" s="8" t="inlineStr">
        <is>
          <t>Management approval pending</t>
        </is>
      </c>
      <c r="O264" s="8" t="inlineStr">
        <is>
          <t>Low</t>
        </is>
      </c>
      <c r="P264" s="8" t="inlineStr">
        <is>
          <t>In Progress</t>
        </is>
      </c>
      <c r="Q264" s="9">
        <f>IFERROR(IF(INDEX(Tbl_KPIMaster[Direction],MATCH($G264,Tbl_KPIMaster[KPI],0))="Lower is Better",IF($J264=0,1,IF($I264=0,0,$I264/$J264)),IF($I264=0,1,$J264/$I264)),0)</f>
        <v/>
      </c>
      <c r="R264" s="8">
        <f>IF(OR($I264="",$J264=""),"",$J264-$I264)</f>
        <v/>
      </c>
      <c r="S264" s="8">
        <f>IFERROR(IF(INDEX(Tbl_KPIMaster[Direction],MATCH($G264,Tbl_KPIMaster[KPI],0))="Lower is Better",IF($J264&lt;=$I264,"Green",IF($J264&lt;=$I264+IF($I264=0,$K264,$I264*$K264),"Amber","Red")),IF($J264&gt;=$I264,"Green",IF($J264&gt;=$I264-IF($I264=0,$K264,$I264*$K264),"Amber","Red"))),"")</f>
        <v/>
      </c>
      <c r="T264" s="10" t="inlineStr"/>
    </row>
    <row r="265">
      <c r="A265" s="3" t="n">
        <v>46143</v>
      </c>
      <c r="B265" s="4">
        <f>IF($A265="","",TEXT($A265,"mmm-yyyy"))</f>
        <v/>
      </c>
      <c r="C265" s="4">
        <f>IF($A265="","","W"&amp;WEEKNUM($A265,2))</f>
        <v/>
      </c>
      <c r="D265" s="4">
        <f>IF($A265="","",TEXT($A265,"ddd"))</f>
        <v/>
      </c>
      <c r="E265" s="4" t="inlineStr">
        <is>
          <t>Production</t>
        </is>
      </c>
      <c r="F265" s="4">
        <f>IFERROR(INDEX(Tbl_KPIMaster[Category],MATCH($G265,Tbl_KPIMaster[KPI],0)),"")</f>
        <v/>
      </c>
      <c r="G265" s="4" t="inlineStr">
        <is>
          <t>Production Output</t>
        </is>
      </c>
      <c r="H265" s="4">
        <f>IFERROR(INDEX(Tbl_KPIMaster[Unit],MATCH($G265,Tbl_KPIMaster[KPI],0)),"")</f>
        <v/>
      </c>
      <c r="I265" s="5">
        <f>IFERROR(INDEX(Tbl_KPIMaster[Maximum Target],MATCH($G265,Tbl_KPIMaster[KPI],0)),"")</f>
        <v/>
      </c>
      <c r="J265" s="5" t="n">
        <v>1007.8</v>
      </c>
      <c r="K265" s="4">
        <f>IFERROR(INDEX(Tbl_KPIMaster[Tolerance],MATCH($G265,Tbl_KPIMaster[KPI],0)),"")</f>
        <v/>
      </c>
      <c r="L265" s="4">
        <f>IFERROR(INDEX(Tbl_KPIMaster[Owner],MATCH($G265,Tbl_KPIMaster[KPI],0)),"")</f>
        <v/>
      </c>
      <c r="M265" s="6" t="inlineStr">
        <is>
          <t>New operator training effect</t>
        </is>
      </c>
      <c r="N265" s="4" t="inlineStr">
        <is>
          <t>Management approval pending</t>
        </is>
      </c>
      <c r="O265" s="4" t="inlineStr">
        <is>
          <t>Low</t>
        </is>
      </c>
      <c r="P265" s="4" t="inlineStr">
        <is>
          <t>Closed</t>
        </is>
      </c>
      <c r="Q265" s="5">
        <f>IFERROR(IF(INDEX(Tbl_KPIMaster[Direction],MATCH($G265,Tbl_KPIMaster[KPI],0))="Lower is Better",IF($J265=0,1,IF($I265=0,0,$I265/$J265)),IF($I265=0,1,$J265/$I265)),0)</f>
        <v/>
      </c>
      <c r="R265" s="4">
        <f>IF(OR($I265="",$J265=""),"",$J265-$I265)</f>
        <v/>
      </c>
      <c r="S265" s="4">
        <f>IFERROR(IF(INDEX(Tbl_KPIMaster[Direction],MATCH($G265,Tbl_KPIMaster[KPI],0))="Lower is Better",IF($J265&lt;=$I265,"Green",IF($J265&lt;=$I265+IF($I265=0,$K265,$I265*$K265),"Amber","Red")),IF($J265&gt;=$I265,"Green",IF($J265&gt;=$I265-IF($I265=0,$K265,$I265*$K265),"Amber","Red"))),"")</f>
        <v/>
      </c>
      <c r="T265" s="6" t="inlineStr"/>
    </row>
    <row r="266">
      <c r="A266" s="7" t="n">
        <v>46143</v>
      </c>
      <c r="B266" s="8">
        <f>IF($A266="","",TEXT($A266,"mmm-yyyy"))</f>
        <v/>
      </c>
      <c r="C266" s="8">
        <f>IF($A266="","","W"&amp;WEEKNUM($A266,2))</f>
        <v/>
      </c>
      <c r="D266" s="8">
        <f>IF($A266="","",TEXT($A266,"ddd"))</f>
        <v/>
      </c>
      <c r="E266" s="8" t="inlineStr">
        <is>
          <t>Production</t>
        </is>
      </c>
      <c r="F266" s="8">
        <f>IFERROR(INDEX(Tbl_KPIMaster[Category],MATCH($G266,Tbl_KPIMaster[KPI],0)),"")</f>
        <v/>
      </c>
      <c r="G266" s="8" t="inlineStr">
        <is>
          <t>OEE %</t>
        </is>
      </c>
      <c r="H266" s="8">
        <f>IFERROR(INDEX(Tbl_KPIMaster[Unit],MATCH($G266,Tbl_KPIMaster[KPI],0)),"")</f>
        <v/>
      </c>
      <c r="I266" s="9">
        <f>IFERROR(INDEX(Tbl_KPIMaster[Maximum Target],MATCH($G266,Tbl_KPIMaster[KPI],0)),"")</f>
        <v/>
      </c>
      <c r="J266" s="9" t="n">
        <v>0.6007</v>
      </c>
      <c r="K266" s="8">
        <f>IFERROR(INDEX(Tbl_KPIMaster[Tolerance],MATCH($G266,Tbl_KPIMaster[KPI],0)),"")</f>
        <v/>
      </c>
      <c r="L266" s="8">
        <f>IFERROR(INDEX(Tbl_KPIMaster[Owner],MATCH($G266,Tbl_KPIMaster[KPI],0)),"")</f>
        <v/>
      </c>
      <c r="M266" s="10" t="inlineStr">
        <is>
          <t>New operator training effect</t>
        </is>
      </c>
      <c r="N266" s="8" t="inlineStr"/>
      <c r="O266" s="8" t="inlineStr">
        <is>
          <t>Medium</t>
        </is>
      </c>
      <c r="P266" s="8" t="inlineStr">
        <is>
          <t>Closed</t>
        </is>
      </c>
      <c r="Q266" s="9">
        <f>IFERROR(IF(INDEX(Tbl_KPIMaster[Direction],MATCH($G266,Tbl_KPIMaster[KPI],0))="Lower is Better",IF($J266=0,1,IF($I266=0,0,$I266/$J266)),IF($I266=0,1,$J266/$I266)),0)</f>
        <v/>
      </c>
      <c r="R266" s="8">
        <f>IF(OR($I266="",$J266=""),"",$J266-$I266)</f>
        <v/>
      </c>
      <c r="S266" s="8">
        <f>IFERROR(IF(INDEX(Tbl_KPIMaster[Direction],MATCH($G266,Tbl_KPIMaster[KPI],0))="Lower is Better",IF($J266&lt;=$I266,"Green",IF($J266&lt;=$I266+IF($I266=0,$K266,$I266*$K266),"Amber","Red")),IF($J266&gt;=$I266,"Green",IF($J266&gt;=$I266-IF($I266=0,$K266,$I266*$K266),"Amber","Red"))),"")</f>
        <v/>
      </c>
      <c r="T266" s="10" t="inlineStr"/>
    </row>
    <row r="267">
      <c r="A267" s="3" t="n">
        <v>46143</v>
      </c>
      <c r="B267" s="4">
        <f>IF($A267="","",TEXT($A267,"mmm-yyyy"))</f>
        <v/>
      </c>
      <c r="C267" s="4">
        <f>IF($A267="","","W"&amp;WEEKNUM($A267,2))</f>
        <v/>
      </c>
      <c r="D267" s="4">
        <f>IF($A267="","",TEXT($A267,"ddd"))</f>
        <v/>
      </c>
      <c r="E267" s="4" t="inlineStr">
        <is>
          <t>Quality</t>
        </is>
      </c>
      <c r="F267" s="4">
        <f>IFERROR(INDEX(Tbl_KPIMaster[Category],MATCH($G267,Tbl_KPIMaster[KPI],0)),"")</f>
        <v/>
      </c>
      <c r="G267" s="4" t="inlineStr">
        <is>
          <t>Defect Rate %</t>
        </is>
      </c>
      <c r="H267" s="4">
        <f>IFERROR(INDEX(Tbl_KPIMaster[Unit],MATCH($G267,Tbl_KPIMaster[KPI],0)),"")</f>
        <v/>
      </c>
      <c r="I267" s="5">
        <f>IFERROR(INDEX(Tbl_KPIMaster[Maximum Target],MATCH($G267,Tbl_KPIMaster[KPI],0)),"")</f>
        <v/>
      </c>
      <c r="J267" s="5" t="n">
        <v>0.3738</v>
      </c>
      <c r="K267" s="4">
        <f>IFERROR(INDEX(Tbl_KPIMaster[Tolerance],MATCH($G267,Tbl_KPIMaster[KPI],0)),"")</f>
        <v/>
      </c>
      <c r="L267" s="4">
        <f>IFERROR(INDEX(Tbl_KPIMaster[Owner],MATCH($G267,Tbl_KPIMaster[KPI],0)),"")</f>
        <v/>
      </c>
      <c r="M267" s="6" t="inlineStr">
        <is>
          <t>Awaiting spares</t>
        </is>
      </c>
      <c r="N267" s="4" t="inlineStr">
        <is>
          <t>Management approval pending</t>
        </is>
      </c>
      <c r="O267" s="4" t="inlineStr">
        <is>
          <t>Low</t>
        </is>
      </c>
      <c r="P267" s="4" t="inlineStr">
        <is>
          <t>In Progress</t>
        </is>
      </c>
      <c r="Q267" s="5">
        <f>IFERROR(IF(INDEX(Tbl_KPIMaster[Direction],MATCH($G267,Tbl_KPIMaster[KPI],0))="Lower is Better",IF($J267=0,1,IF($I267=0,0,$I267/$J267)),IF($I267=0,1,$J267/$I267)),0)</f>
        <v/>
      </c>
      <c r="R267" s="4">
        <f>IF(OR($I267="",$J267=""),"",$J267-$I267)</f>
        <v/>
      </c>
      <c r="S267" s="4">
        <f>IFERROR(IF(INDEX(Tbl_KPIMaster[Direction],MATCH($G267,Tbl_KPIMaster[KPI],0))="Lower is Better",IF($J267&lt;=$I267,"Green",IF($J267&lt;=$I267+IF($I267=0,$K267,$I267*$K267),"Amber","Red")),IF($J267&gt;=$I267,"Green",IF($J267&gt;=$I267-IF($I267=0,$K267,$I267*$K267),"Amber","Red"))),"")</f>
        <v/>
      </c>
      <c r="T267" s="6" t="inlineStr"/>
    </row>
    <row r="268">
      <c r="A268" s="7" t="n">
        <v>46143</v>
      </c>
      <c r="B268" s="8">
        <f>IF($A268="","",TEXT($A268,"mmm-yyyy"))</f>
        <v/>
      </c>
      <c r="C268" s="8">
        <f>IF($A268="","","W"&amp;WEEKNUM($A268,2))</f>
        <v/>
      </c>
      <c r="D268" s="8">
        <f>IF($A268="","",TEXT($A268,"ddd"))</f>
        <v/>
      </c>
      <c r="E268" s="8" t="inlineStr">
        <is>
          <t>Quality</t>
        </is>
      </c>
      <c r="F268" s="8">
        <f>IFERROR(INDEX(Tbl_KPIMaster[Category],MATCH($G268,Tbl_KPIMaster[KPI],0)),"")</f>
        <v/>
      </c>
      <c r="G268" s="8" t="inlineStr">
        <is>
          <t>Customer Complaints</t>
        </is>
      </c>
      <c r="H268" s="8">
        <f>IFERROR(INDEX(Tbl_KPIMaster[Unit],MATCH($G268,Tbl_KPIMaster[KPI],0)),"")</f>
        <v/>
      </c>
      <c r="I268" s="9">
        <f>IFERROR(INDEX(Tbl_KPIMaster[Maximum Target],MATCH($G268,Tbl_KPIMaster[KPI],0)),"")</f>
        <v/>
      </c>
      <c r="J268" s="9" t="n">
        <v>0</v>
      </c>
      <c r="K268" s="8">
        <f>IFERROR(INDEX(Tbl_KPIMaster[Tolerance],MATCH($G268,Tbl_KPIMaster[KPI],0)),"")</f>
        <v/>
      </c>
      <c r="L268" s="8">
        <f>IFERROR(INDEX(Tbl_KPIMaster[Owner],MATCH($G268,Tbl_KPIMaster[KPI],0)),"")</f>
        <v/>
      </c>
      <c r="M268" s="10" t="inlineStr">
        <is>
          <t>Equipment breakdown</t>
        </is>
      </c>
      <c r="N268" s="8" t="inlineStr">
        <is>
          <t>Procurement follow-up</t>
        </is>
      </c>
      <c r="O268" s="8" t="inlineStr">
        <is>
          <t>Low</t>
        </is>
      </c>
      <c r="P268" s="8" t="inlineStr">
        <is>
          <t>Closed</t>
        </is>
      </c>
      <c r="Q268" s="9">
        <f>IFERROR(IF(INDEX(Tbl_KPIMaster[Direction],MATCH($G268,Tbl_KPIMaster[KPI],0))="Lower is Better",IF($J268=0,1,IF($I268=0,0,$I268/$J268)),IF($I268=0,1,$J268/$I268)),0)</f>
        <v/>
      </c>
      <c r="R268" s="8">
        <f>IF(OR($I268="",$J268=""),"",$J268-$I268)</f>
        <v/>
      </c>
      <c r="S268" s="8">
        <f>IFERROR(IF(INDEX(Tbl_KPIMaster[Direction],MATCH($G268,Tbl_KPIMaster[KPI],0))="Lower is Better",IF($J268&lt;=$I268,"Green",IF($J268&lt;=$I268+IF($I268=0,$K268,$I268*$K268),"Amber","Red")),IF($J268&gt;=$I268,"Green",IF($J268&gt;=$I268-IF($I268=0,$K268,$I268*$K268),"Amber","Red"))),"")</f>
        <v/>
      </c>
      <c r="T268" s="10" t="inlineStr"/>
    </row>
    <row r="269">
      <c r="A269" s="3" t="n">
        <v>46143</v>
      </c>
      <c r="B269" s="4">
        <f>IF($A269="","",TEXT($A269,"mmm-yyyy"))</f>
        <v/>
      </c>
      <c r="C269" s="4">
        <f>IF($A269="","","W"&amp;WEEKNUM($A269,2))</f>
        <v/>
      </c>
      <c r="D269" s="4">
        <f>IF($A269="","",TEXT($A269,"ddd"))</f>
        <v/>
      </c>
      <c r="E269" s="4" t="inlineStr">
        <is>
          <t>Maintenance</t>
        </is>
      </c>
      <c r="F269" s="4">
        <f>IFERROR(INDEX(Tbl_KPIMaster[Category],MATCH($G269,Tbl_KPIMaster[KPI],0)),"")</f>
        <v/>
      </c>
      <c r="G269" s="4" t="inlineStr">
        <is>
          <t>Unplanned Downtime</t>
        </is>
      </c>
      <c r="H269" s="4">
        <f>IFERROR(INDEX(Tbl_KPIMaster[Unit],MATCH($G269,Tbl_KPIMaster[KPI],0)),"")</f>
        <v/>
      </c>
      <c r="I269" s="5">
        <f>IFERROR(INDEX(Tbl_KPIMaster[Maximum Target],MATCH($G269,Tbl_KPIMaster[KPI],0)),"")</f>
        <v/>
      </c>
      <c r="J269" s="5" t="n">
        <v>0.16</v>
      </c>
      <c r="K269" s="4">
        <f>IFERROR(INDEX(Tbl_KPIMaster[Tolerance],MATCH($G269,Tbl_KPIMaster[KPI],0)),"")</f>
        <v/>
      </c>
      <c r="L269" s="4">
        <f>IFERROR(INDEX(Tbl_KPIMaster[Owner],MATCH($G269,Tbl_KPIMaster[KPI],0)),"")</f>
        <v/>
      </c>
      <c r="M269" s="6" t="inlineStr">
        <is>
          <t>New operator training effect</t>
        </is>
      </c>
      <c r="N269" s="4" t="inlineStr"/>
      <c r="O269" s="4" t="inlineStr">
        <is>
          <t>High</t>
        </is>
      </c>
      <c r="P269" s="4" t="inlineStr">
        <is>
          <t>Closed</t>
        </is>
      </c>
      <c r="Q269" s="5">
        <f>IFERROR(IF(INDEX(Tbl_KPIMaster[Direction],MATCH($G269,Tbl_KPIMaster[KPI],0))="Lower is Better",IF($J269=0,1,IF($I269=0,0,$I269/$J269)),IF($I269=0,1,$J269/$I269)),0)</f>
        <v/>
      </c>
      <c r="R269" s="4">
        <f>IF(OR($I269="",$J269=""),"",$J269-$I269)</f>
        <v/>
      </c>
      <c r="S269" s="4">
        <f>IFERROR(IF(INDEX(Tbl_KPIMaster[Direction],MATCH($G269,Tbl_KPIMaster[KPI],0))="Lower is Better",IF($J269&lt;=$I269,"Green",IF($J269&lt;=$I269+IF($I269=0,$K269,$I269*$K269),"Amber","Red")),IF($J269&gt;=$I269,"Green",IF($J269&gt;=$I269-IF($I269=0,$K269,$I269*$K269),"Amber","Red"))),"")</f>
        <v/>
      </c>
      <c r="T269" s="6" t="inlineStr"/>
    </row>
    <row r="270">
      <c r="A270" s="7" t="n">
        <v>46143</v>
      </c>
      <c r="B270" s="8">
        <f>IF($A270="","",TEXT($A270,"mmm-yyyy"))</f>
        <v/>
      </c>
      <c r="C270" s="8">
        <f>IF($A270="","","W"&amp;WEEKNUM($A270,2))</f>
        <v/>
      </c>
      <c r="D270" s="8">
        <f>IF($A270="","",TEXT($A270,"ddd"))</f>
        <v/>
      </c>
      <c r="E270" s="8" t="inlineStr">
        <is>
          <t>Maintenance</t>
        </is>
      </c>
      <c r="F270" s="8">
        <f>IFERROR(INDEX(Tbl_KPIMaster[Category],MATCH($G270,Tbl_KPIMaster[KPI],0)),"")</f>
        <v/>
      </c>
      <c r="G270" s="8" t="inlineStr">
        <is>
          <t>PM Compliance %</t>
        </is>
      </c>
      <c r="H270" s="8">
        <f>IFERROR(INDEX(Tbl_KPIMaster[Unit],MATCH($G270,Tbl_KPIMaster[KPI],0)),"")</f>
        <v/>
      </c>
      <c r="I270" s="9">
        <f>IFERROR(INDEX(Tbl_KPIMaster[Maximum Target],MATCH($G270,Tbl_KPIMaster[KPI],0)),"")</f>
        <v/>
      </c>
      <c r="J270" s="9" t="n">
        <v>1.1823</v>
      </c>
      <c r="K270" s="8">
        <f>IFERROR(INDEX(Tbl_KPIMaster[Tolerance],MATCH($G270,Tbl_KPIMaster[KPI],0)),"")</f>
        <v/>
      </c>
      <c r="L270" s="8">
        <f>IFERROR(INDEX(Tbl_KPIMaster[Owner],MATCH($G270,Tbl_KPIMaster[KPI],0)),"")</f>
        <v/>
      </c>
      <c r="M270" s="10" t="inlineStr">
        <is>
          <t>New operator training effect</t>
        </is>
      </c>
      <c r="N270" s="8" t="inlineStr"/>
      <c r="O270" s="8" t="inlineStr">
        <is>
          <t>Medium</t>
        </is>
      </c>
      <c r="P270" s="8" t="inlineStr">
        <is>
          <t>Closed</t>
        </is>
      </c>
      <c r="Q270" s="9">
        <f>IFERROR(IF(INDEX(Tbl_KPIMaster[Direction],MATCH($G270,Tbl_KPIMaster[KPI],0))="Lower is Better",IF($J270=0,1,IF($I270=0,0,$I270/$J270)),IF($I270=0,1,$J270/$I270)),0)</f>
        <v/>
      </c>
      <c r="R270" s="8">
        <f>IF(OR($I270="",$J270=""),"",$J270-$I270)</f>
        <v/>
      </c>
      <c r="S270" s="8">
        <f>IFERROR(IF(INDEX(Tbl_KPIMaster[Direction],MATCH($G270,Tbl_KPIMaster[KPI],0))="Lower is Better",IF($J270&lt;=$I270,"Green",IF($J270&lt;=$I270+IF($I270=0,$K270,$I270*$K270),"Amber","Red")),IF($J270&gt;=$I270,"Green",IF($J270&gt;=$I270-IF($I270=0,$K270,$I270*$K270),"Amber","Red"))),"")</f>
        <v/>
      </c>
      <c r="T270" s="10" t="inlineStr"/>
    </row>
    <row r="271">
      <c r="A271" s="3" t="n">
        <v>46143</v>
      </c>
      <c r="B271" s="4">
        <f>IF($A271="","",TEXT($A271,"mmm-yyyy"))</f>
        <v/>
      </c>
      <c r="C271" s="4">
        <f>IF($A271="","","W"&amp;WEEKNUM($A271,2))</f>
        <v/>
      </c>
      <c r="D271" s="4">
        <f>IF($A271="","",TEXT($A271,"ddd"))</f>
        <v/>
      </c>
      <c r="E271" s="4" t="inlineStr">
        <is>
          <t>Utilities</t>
        </is>
      </c>
      <c r="F271" s="4">
        <f>IFERROR(INDEX(Tbl_KPIMaster[Category],MATCH($G271,Tbl_KPIMaster[KPI],0)),"")</f>
        <v/>
      </c>
      <c r="G271" s="4" t="inlineStr">
        <is>
          <t>Power Consumption</t>
        </is>
      </c>
      <c r="H271" s="4">
        <f>IFERROR(INDEX(Tbl_KPIMaster[Unit],MATCH($G271,Tbl_KPIMaster[KPI],0)),"")</f>
        <v/>
      </c>
      <c r="I271" s="5">
        <f>IFERROR(INDEX(Tbl_KPIMaster[Maximum Target],MATCH($G271,Tbl_KPIMaster[KPI],0)),"")</f>
        <v/>
      </c>
      <c r="J271" s="5" t="n">
        <v>3377.31</v>
      </c>
      <c r="K271" s="4">
        <f>IFERROR(INDEX(Tbl_KPIMaster[Tolerance],MATCH($G271,Tbl_KPIMaster[KPI],0)),"")</f>
        <v/>
      </c>
      <c r="L271" s="4">
        <f>IFERROR(INDEX(Tbl_KPIMaster[Owner],MATCH($G271,Tbl_KPIMaster[KPI],0)),"")</f>
        <v/>
      </c>
      <c r="M271" s="6" t="inlineStr">
        <is>
          <t>Vendor delay</t>
        </is>
      </c>
      <c r="N271" s="4" t="inlineStr"/>
      <c r="O271" s="4" t="inlineStr">
        <is>
          <t>Medium</t>
        </is>
      </c>
      <c r="P271" s="4" t="inlineStr">
        <is>
          <t>Closed</t>
        </is>
      </c>
      <c r="Q271" s="5">
        <f>IFERROR(IF(INDEX(Tbl_KPIMaster[Direction],MATCH($G271,Tbl_KPIMaster[KPI],0))="Lower is Better",IF($J271=0,1,IF($I271=0,0,$I271/$J271)),IF($I271=0,1,$J271/$I271)),0)</f>
        <v/>
      </c>
      <c r="R271" s="4">
        <f>IF(OR($I271="",$J271=""),"",$J271-$I271)</f>
        <v/>
      </c>
      <c r="S271" s="4">
        <f>IFERROR(IF(INDEX(Tbl_KPIMaster[Direction],MATCH($G271,Tbl_KPIMaster[KPI],0))="Lower is Better",IF($J271&lt;=$I271,"Green",IF($J271&lt;=$I271+IF($I271=0,$K271,$I271*$K271),"Amber","Red")),IF($J271&gt;=$I271,"Green",IF($J271&gt;=$I271-IF($I271=0,$K271,$I271*$K271),"Amber","Red"))),"")</f>
        <v/>
      </c>
      <c r="T271" s="6" t="inlineStr"/>
    </row>
    <row r="272">
      <c r="A272" s="7" t="n">
        <v>46143</v>
      </c>
      <c r="B272" s="8">
        <f>IF($A272="","",TEXT($A272,"mmm-yyyy"))</f>
        <v/>
      </c>
      <c r="C272" s="8">
        <f>IF($A272="","","W"&amp;WEEKNUM($A272,2))</f>
        <v/>
      </c>
      <c r="D272" s="8">
        <f>IF($A272="","",TEXT($A272,"ddd"))</f>
        <v/>
      </c>
      <c r="E272" s="8" t="inlineStr">
        <is>
          <t>Utilities</t>
        </is>
      </c>
      <c r="F272" s="8">
        <f>IFERROR(INDEX(Tbl_KPIMaster[Category],MATCH($G272,Tbl_KPIMaster[KPI],0)),"")</f>
        <v/>
      </c>
      <c r="G272" s="8" t="inlineStr">
        <is>
          <t>Water Consumption</t>
        </is>
      </c>
      <c r="H272" s="8">
        <f>IFERROR(INDEX(Tbl_KPIMaster[Unit],MATCH($G272,Tbl_KPIMaster[KPI],0)),"")</f>
        <v/>
      </c>
      <c r="I272" s="9">
        <f>IFERROR(INDEX(Tbl_KPIMaster[Maximum Target],MATCH($G272,Tbl_KPIMaster[KPI],0)),"")</f>
        <v/>
      </c>
      <c r="J272" s="9" t="n">
        <v>65.54000000000001</v>
      </c>
      <c r="K272" s="8">
        <f>IFERROR(INDEX(Tbl_KPIMaster[Tolerance],MATCH($G272,Tbl_KPIMaster[KPI],0)),"")</f>
        <v/>
      </c>
      <c r="L272" s="8">
        <f>IFERROR(INDEX(Tbl_KPIMaster[Owner],MATCH($G272,Tbl_KPIMaster[KPI],0)),"")</f>
        <v/>
      </c>
      <c r="M272" s="10" t="inlineStr">
        <is>
          <t>Equipment breakdown</t>
        </is>
      </c>
      <c r="N272" s="8" t="inlineStr"/>
      <c r="O272" s="8" t="inlineStr">
        <is>
          <t>Low</t>
        </is>
      </c>
      <c r="P272" s="8" t="inlineStr">
        <is>
          <t>Closed</t>
        </is>
      </c>
      <c r="Q272" s="9">
        <f>IFERROR(IF(INDEX(Tbl_KPIMaster[Direction],MATCH($G272,Tbl_KPIMaster[KPI],0))="Lower is Better",IF($J272=0,1,IF($I272=0,0,$I272/$J272)),IF($I272=0,1,$J272/$I272)),0)</f>
        <v/>
      </c>
      <c r="R272" s="8">
        <f>IF(OR($I272="",$J272=""),"",$J272-$I272)</f>
        <v/>
      </c>
      <c r="S272" s="8">
        <f>IFERROR(IF(INDEX(Tbl_KPIMaster[Direction],MATCH($G272,Tbl_KPIMaster[KPI],0))="Lower is Better",IF($J272&lt;=$I272,"Green",IF($J272&lt;=$I272+IF($I272=0,$K272,$I272*$K272),"Amber","Red")),IF($J272&gt;=$I272,"Green",IF($J272&gt;=$I272-IF($I272=0,$K272,$I272*$K272),"Amber","Red"))),"")</f>
        <v/>
      </c>
      <c r="T272" s="10" t="inlineStr"/>
    </row>
    <row r="273">
      <c r="A273" s="3" t="n">
        <v>46143</v>
      </c>
      <c r="B273" s="4">
        <f>IF($A273="","",TEXT($A273,"mmm-yyyy"))</f>
        <v/>
      </c>
      <c r="C273" s="4">
        <f>IF($A273="","","W"&amp;WEEKNUM($A273,2))</f>
        <v/>
      </c>
      <c r="D273" s="4">
        <f>IF($A273="","",TEXT($A273,"ddd"))</f>
        <v/>
      </c>
      <c r="E273" s="4" t="inlineStr">
        <is>
          <t>Warehouse</t>
        </is>
      </c>
      <c r="F273" s="4">
        <f>IFERROR(INDEX(Tbl_KPIMaster[Category],MATCH($G273,Tbl_KPIMaster[KPI],0)),"")</f>
        <v/>
      </c>
      <c r="G273" s="4" t="inlineStr">
        <is>
          <t>On-Time Dispatch %</t>
        </is>
      </c>
      <c r="H273" s="4">
        <f>IFERROR(INDEX(Tbl_KPIMaster[Unit],MATCH($G273,Tbl_KPIMaster[KPI],0)),"")</f>
        <v/>
      </c>
      <c r="I273" s="5">
        <f>IFERROR(INDEX(Tbl_KPIMaster[Maximum Target],MATCH($G273,Tbl_KPIMaster[KPI],0)),"")</f>
        <v/>
      </c>
      <c r="J273" s="5" t="n">
        <v>1.0349</v>
      </c>
      <c r="K273" s="4">
        <f>IFERROR(INDEX(Tbl_KPIMaster[Tolerance],MATCH($G273,Tbl_KPIMaster[KPI],0)),"")</f>
        <v/>
      </c>
      <c r="L273" s="4">
        <f>IFERROR(INDEX(Tbl_KPIMaster[Owner],MATCH($G273,Tbl_KPIMaster[KPI],0)),"")</f>
        <v/>
      </c>
      <c r="M273" s="6" t="inlineStr">
        <is>
          <t>Weather impact</t>
        </is>
      </c>
      <c r="N273" s="4" t="inlineStr">
        <is>
          <t>Engineering support needed</t>
        </is>
      </c>
      <c r="O273" s="4" t="inlineStr">
        <is>
          <t>Low</t>
        </is>
      </c>
      <c r="P273" s="4" t="inlineStr">
        <is>
          <t>Open</t>
        </is>
      </c>
      <c r="Q273" s="5">
        <f>IFERROR(IF(INDEX(Tbl_KPIMaster[Direction],MATCH($G273,Tbl_KPIMaster[KPI],0))="Lower is Better",IF($J273=0,1,IF($I273=0,0,$I273/$J273)),IF($I273=0,1,$J273/$I273)),0)</f>
        <v/>
      </c>
      <c r="R273" s="4">
        <f>IF(OR($I273="",$J273=""),"",$J273-$I273)</f>
        <v/>
      </c>
      <c r="S273" s="4">
        <f>IFERROR(IF(INDEX(Tbl_KPIMaster[Direction],MATCH($G273,Tbl_KPIMaster[KPI],0))="Lower is Better",IF($J273&lt;=$I273,"Green",IF($J273&lt;=$I273+IF($I273=0,$K273,$I273*$K273),"Amber","Red")),IF($J273&gt;=$I273,"Green",IF($J273&gt;=$I273-IF($I273=0,$K273,$I273*$K273),"Amber","Red"))),"")</f>
        <v/>
      </c>
      <c r="T273" s="6" t="inlineStr"/>
    </row>
    <row r="274">
      <c r="A274" s="7" t="n">
        <v>46143</v>
      </c>
      <c r="B274" s="8">
        <f>IF($A274="","",TEXT($A274,"mmm-yyyy"))</f>
        <v/>
      </c>
      <c r="C274" s="8">
        <f>IF($A274="","","W"&amp;WEEKNUM($A274,2))</f>
        <v/>
      </c>
      <c r="D274" s="8">
        <f>IF($A274="","",TEXT($A274,"ddd"))</f>
        <v/>
      </c>
      <c r="E274" s="8" t="inlineStr">
        <is>
          <t>Warehouse</t>
        </is>
      </c>
      <c r="F274" s="8">
        <f>IFERROR(INDEX(Tbl_KPIMaster[Category],MATCH($G274,Tbl_KPIMaster[KPI],0)),"")</f>
        <v/>
      </c>
      <c r="G274" s="8" t="inlineStr">
        <is>
          <t>Inventory Accuracy %</t>
        </is>
      </c>
      <c r="H274" s="8">
        <f>IFERROR(INDEX(Tbl_KPIMaster[Unit],MATCH($G274,Tbl_KPIMaster[KPI],0)),"")</f>
        <v/>
      </c>
      <c r="I274" s="9">
        <f>IFERROR(INDEX(Tbl_KPIMaster[Maximum Target],MATCH($G274,Tbl_KPIMaster[KPI],0)),"")</f>
        <v/>
      </c>
      <c r="J274" s="9" t="n">
        <v>0.9676</v>
      </c>
      <c r="K274" s="8">
        <f>IFERROR(INDEX(Tbl_KPIMaster[Tolerance],MATCH($G274,Tbl_KPIMaster[KPI],0)),"")</f>
        <v/>
      </c>
      <c r="L274" s="8">
        <f>IFERROR(INDEX(Tbl_KPIMaster[Owner],MATCH($G274,Tbl_KPIMaster[KPI],0)),"")</f>
        <v/>
      </c>
      <c r="M274" s="10" t="inlineStr">
        <is>
          <t>Weather impact</t>
        </is>
      </c>
      <c r="N274" s="8" t="inlineStr"/>
      <c r="O274" s="8" t="inlineStr">
        <is>
          <t>Medium</t>
        </is>
      </c>
      <c r="P274" s="8" t="inlineStr">
        <is>
          <t>Closed</t>
        </is>
      </c>
      <c r="Q274" s="9">
        <f>IFERROR(IF(INDEX(Tbl_KPIMaster[Direction],MATCH($G274,Tbl_KPIMaster[KPI],0))="Lower is Better",IF($J274=0,1,IF($I274=0,0,$I274/$J274)),IF($I274=0,1,$J274/$I274)),0)</f>
        <v/>
      </c>
      <c r="R274" s="8">
        <f>IF(OR($I274="",$J274=""),"",$J274-$I274)</f>
        <v/>
      </c>
      <c r="S274" s="8">
        <f>IFERROR(IF(INDEX(Tbl_KPIMaster[Direction],MATCH($G274,Tbl_KPIMaster[KPI],0))="Lower is Better",IF($J274&lt;=$I274,"Green",IF($J274&lt;=$I274+IF($I274=0,$K274,$I274*$K274),"Amber","Red")),IF($J274&gt;=$I274,"Green",IF($J274&gt;=$I274-IF($I274=0,$K274,$I274*$K274),"Amber","Red"))),"")</f>
        <v/>
      </c>
      <c r="T274" s="10" t="inlineStr"/>
    </row>
    <row r="275">
      <c r="A275" s="3" t="n">
        <v>46143</v>
      </c>
      <c r="B275" s="4">
        <f>IF($A275="","",TEXT($A275,"mmm-yyyy"))</f>
        <v/>
      </c>
      <c r="C275" s="4">
        <f>IF($A275="","","W"&amp;WEEKNUM($A275,2))</f>
        <v/>
      </c>
      <c r="D275" s="4">
        <f>IF($A275="","",TEXT($A275,"ddd"))</f>
        <v/>
      </c>
      <c r="E275" s="4" t="inlineStr">
        <is>
          <t>HR</t>
        </is>
      </c>
      <c r="F275" s="4">
        <f>IFERROR(INDEX(Tbl_KPIMaster[Category],MATCH($G275,Tbl_KPIMaster[KPI],0)),"")</f>
        <v/>
      </c>
      <c r="G275" s="4" t="inlineStr">
        <is>
          <t>Absenteeism %</t>
        </is>
      </c>
      <c r="H275" s="4">
        <f>IFERROR(INDEX(Tbl_KPIMaster[Unit],MATCH($G275,Tbl_KPIMaster[KPI],0)),"")</f>
        <v/>
      </c>
      <c r="I275" s="5">
        <f>IFERROR(INDEX(Tbl_KPIMaster[Maximum Target],MATCH($G275,Tbl_KPIMaster[KPI],0)),"")</f>
        <v/>
      </c>
      <c r="J275" s="5" t="n">
        <v>0</v>
      </c>
      <c r="K275" s="4">
        <f>IFERROR(INDEX(Tbl_KPIMaster[Tolerance],MATCH($G275,Tbl_KPIMaster[KPI],0)),"")</f>
        <v/>
      </c>
      <c r="L275" s="4">
        <f>IFERROR(INDEX(Tbl_KPIMaster[Owner],MATCH($G275,Tbl_KPIMaster[KPI],0)),"")</f>
        <v/>
      </c>
      <c r="M275" s="6" t="inlineStr"/>
      <c r="N275" s="4" t="inlineStr"/>
      <c r="O275" s="4" t="inlineStr">
        <is>
          <t>Low</t>
        </is>
      </c>
      <c r="P275" s="4" t="inlineStr">
        <is>
          <t>Closed</t>
        </is>
      </c>
      <c r="Q275" s="5">
        <f>IFERROR(IF(INDEX(Tbl_KPIMaster[Direction],MATCH($G275,Tbl_KPIMaster[KPI],0))="Lower is Better",IF($J275=0,1,IF($I275=0,0,$I275/$J275)),IF($I275=0,1,$J275/$I275)),0)</f>
        <v/>
      </c>
      <c r="R275" s="4">
        <f>IF(OR($I275="",$J275=""),"",$J275-$I275)</f>
        <v/>
      </c>
      <c r="S275" s="4">
        <f>IFERROR(IF(INDEX(Tbl_KPIMaster[Direction],MATCH($G275,Tbl_KPIMaster[KPI],0))="Lower is Better",IF($J275&lt;=$I275,"Green",IF($J275&lt;=$I275+IF($I275=0,$K275,$I275*$K275),"Amber","Red")),IF($J275&gt;=$I275,"Green",IF($J275&gt;=$I275-IF($I275=0,$K275,$I275*$K275),"Amber","Red"))),"")</f>
        <v/>
      </c>
      <c r="T275" s="6" t="inlineStr"/>
    </row>
    <row r="276">
      <c r="A276" s="7" t="n">
        <v>46143</v>
      </c>
      <c r="B276" s="8">
        <f>IF($A276="","",TEXT($A276,"mmm-yyyy"))</f>
        <v/>
      </c>
      <c r="C276" s="8">
        <f>IF($A276="","","W"&amp;WEEKNUM($A276,2))</f>
        <v/>
      </c>
      <c r="D276" s="8">
        <f>IF($A276="","",TEXT($A276,"ddd"))</f>
        <v/>
      </c>
      <c r="E276" s="8" t="inlineStr">
        <is>
          <t>HR</t>
        </is>
      </c>
      <c r="F276" s="8">
        <f>IFERROR(INDEX(Tbl_KPIMaster[Category],MATCH($G276,Tbl_KPIMaster[KPI],0)),"")</f>
        <v/>
      </c>
      <c r="G276" s="8" t="inlineStr">
        <is>
          <t>Training Hours</t>
        </is>
      </c>
      <c r="H276" s="8">
        <f>IFERROR(INDEX(Tbl_KPIMaster[Unit],MATCH($G276,Tbl_KPIMaster[KPI],0)),"")</f>
        <v/>
      </c>
      <c r="I276" s="9">
        <f>IFERROR(INDEX(Tbl_KPIMaster[Maximum Target],MATCH($G276,Tbl_KPIMaster[KPI],0)),"")</f>
        <v/>
      </c>
      <c r="J276" s="9" t="n">
        <v>1.46</v>
      </c>
      <c r="K276" s="8">
        <f>IFERROR(INDEX(Tbl_KPIMaster[Tolerance],MATCH($G276,Tbl_KPIMaster[KPI],0)),"")</f>
        <v/>
      </c>
      <c r="L276" s="8">
        <f>IFERROR(INDEX(Tbl_KPIMaster[Owner],MATCH($G276,Tbl_KPIMaster[KPI],0)),"")</f>
        <v/>
      </c>
      <c r="M276" s="10" t="inlineStr">
        <is>
          <t>Line changeover impact</t>
        </is>
      </c>
      <c r="N276" s="8" t="inlineStr"/>
      <c r="O276" s="8" t="inlineStr">
        <is>
          <t>High</t>
        </is>
      </c>
      <c r="P276" s="8" t="inlineStr">
        <is>
          <t>Closed</t>
        </is>
      </c>
      <c r="Q276" s="9">
        <f>IFERROR(IF(INDEX(Tbl_KPIMaster[Direction],MATCH($G276,Tbl_KPIMaster[KPI],0))="Lower is Better",IF($J276=0,1,IF($I276=0,0,$I276/$J276)),IF($I276=0,1,$J276/$I276)),0)</f>
        <v/>
      </c>
      <c r="R276" s="8">
        <f>IF(OR($I276="",$J276=""),"",$J276-$I276)</f>
        <v/>
      </c>
      <c r="S276" s="8">
        <f>IFERROR(IF(INDEX(Tbl_KPIMaster[Direction],MATCH($G276,Tbl_KPIMaster[KPI],0))="Lower is Better",IF($J276&lt;=$I276,"Green",IF($J276&lt;=$I276+IF($I276=0,$K276,$I276*$K276),"Amber","Red")),IF($J276&gt;=$I276,"Green",IF($J276&gt;=$I276-IF($I276=0,$K276,$I276*$K276),"Amber","Red"))),"")</f>
        <v/>
      </c>
      <c r="T276" s="10" t="inlineStr"/>
    </row>
    <row r="277">
      <c r="A277" s="3" t="n">
        <v>46143</v>
      </c>
      <c r="B277" s="4">
        <f>IF($A277="","",TEXT($A277,"mmm-yyyy"))</f>
        <v/>
      </c>
      <c r="C277" s="4">
        <f>IF($A277="","","W"&amp;WEEKNUM($A277,2))</f>
        <v/>
      </c>
      <c r="D277" s="4">
        <f>IF($A277="","",TEXT($A277,"ddd"))</f>
        <v/>
      </c>
      <c r="E277" s="4" t="inlineStr">
        <is>
          <t>Engineering</t>
        </is>
      </c>
      <c r="F277" s="4">
        <f>IFERROR(INDEX(Tbl_KPIMaster[Category],MATCH($G277,Tbl_KPIMaster[KPI],0)),"")</f>
        <v/>
      </c>
      <c r="G277" s="4" t="inlineStr">
        <is>
          <t>Project Milestone Adherence %</t>
        </is>
      </c>
      <c r="H277" s="4">
        <f>IFERROR(INDEX(Tbl_KPIMaster[Unit],MATCH($G277,Tbl_KPIMaster[KPI],0)),"")</f>
        <v/>
      </c>
      <c r="I277" s="5">
        <f>IFERROR(INDEX(Tbl_KPIMaster[Maximum Target],MATCH($G277,Tbl_KPIMaster[KPI],0)),"")</f>
        <v/>
      </c>
      <c r="J277" s="5" t="n">
        <v>1.1051</v>
      </c>
      <c r="K277" s="4">
        <f>IFERROR(INDEX(Tbl_KPIMaster[Tolerance],MATCH($G277,Tbl_KPIMaster[KPI],0)),"")</f>
        <v/>
      </c>
      <c r="L277" s="4">
        <f>IFERROR(INDEX(Tbl_KPIMaster[Owner],MATCH($G277,Tbl_KPIMaster[KPI],0)),"")</f>
        <v/>
      </c>
      <c r="M277" s="6" t="inlineStr">
        <is>
          <t>Within normal range</t>
        </is>
      </c>
      <c r="N277" s="4" t="inlineStr"/>
      <c r="O277" s="4" t="inlineStr">
        <is>
          <t>Low</t>
        </is>
      </c>
      <c r="P277" s="4" t="inlineStr">
        <is>
          <t>Closed</t>
        </is>
      </c>
      <c r="Q277" s="5">
        <f>IFERROR(IF(INDEX(Tbl_KPIMaster[Direction],MATCH($G277,Tbl_KPIMaster[KPI],0))="Lower is Better",IF($J277=0,1,IF($I277=0,0,$I277/$J277)),IF($I277=0,1,$J277/$I277)),0)</f>
        <v/>
      </c>
      <c r="R277" s="4">
        <f>IF(OR($I277="",$J277=""),"",$J277-$I277)</f>
        <v/>
      </c>
      <c r="S277" s="4">
        <f>IFERROR(IF(INDEX(Tbl_KPIMaster[Direction],MATCH($G277,Tbl_KPIMaster[KPI],0))="Lower is Better",IF($J277&lt;=$I277,"Green",IF($J277&lt;=$I277+IF($I277=0,$K277,$I277*$K277),"Amber","Red")),IF($J277&gt;=$I277,"Green",IF($J277&gt;=$I277-IF($I277=0,$K277,$I277*$K277),"Amber","Red"))),"")</f>
        <v/>
      </c>
      <c r="T277" s="6" t="inlineStr"/>
    </row>
    <row r="278">
      <c r="A278" s="7" t="n">
        <v>46143</v>
      </c>
      <c r="B278" s="8">
        <f>IF($A278="","",TEXT($A278,"mmm-yyyy"))</f>
        <v/>
      </c>
      <c r="C278" s="8">
        <f>IF($A278="","","W"&amp;WEEKNUM($A278,2))</f>
        <v/>
      </c>
      <c r="D278" s="8">
        <f>IF($A278="","",TEXT($A278,"ddd"))</f>
        <v/>
      </c>
      <c r="E278" s="8" t="inlineStr">
        <is>
          <t>Engineering</t>
        </is>
      </c>
      <c r="F278" s="8">
        <f>IFERROR(INDEX(Tbl_KPIMaster[Category],MATCH($G278,Tbl_KPIMaster[KPI],0)),"")</f>
        <v/>
      </c>
      <c r="G278" s="8" t="inlineStr">
        <is>
          <t>Breakdown Resolution Time</t>
        </is>
      </c>
      <c r="H278" s="8">
        <f>IFERROR(INDEX(Tbl_KPIMaster[Unit],MATCH($G278,Tbl_KPIMaster[KPI],0)),"")</f>
        <v/>
      </c>
      <c r="I278" s="9">
        <f>IFERROR(INDEX(Tbl_KPIMaster[Maximum Target],MATCH($G278,Tbl_KPIMaster[KPI],0)),"")</f>
        <v/>
      </c>
      <c r="J278" s="9" t="n">
        <v>0.35</v>
      </c>
      <c r="K278" s="8">
        <f>IFERROR(INDEX(Tbl_KPIMaster[Tolerance],MATCH($G278,Tbl_KPIMaster[KPI],0)),"")</f>
        <v/>
      </c>
      <c r="L278" s="8">
        <f>IFERROR(INDEX(Tbl_KPIMaster[Owner],MATCH($G278,Tbl_KPIMaster[KPI],0)),"")</f>
        <v/>
      </c>
      <c r="M278" s="10" t="inlineStr">
        <is>
          <t>Within normal range</t>
        </is>
      </c>
      <c r="N278" s="8" t="inlineStr">
        <is>
          <t>Procurement follow-up</t>
        </is>
      </c>
      <c r="O278" s="8" t="inlineStr">
        <is>
          <t>Medium</t>
        </is>
      </c>
      <c r="P278" s="8" t="inlineStr">
        <is>
          <t>Closed</t>
        </is>
      </c>
      <c r="Q278" s="9">
        <f>IFERROR(IF(INDEX(Tbl_KPIMaster[Direction],MATCH($G278,Tbl_KPIMaster[KPI],0))="Lower is Better",IF($J278=0,1,IF($I278=0,0,$I278/$J278)),IF($I278=0,1,$J278/$I278)),0)</f>
        <v/>
      </c>
      <c r="R278" s="8">
        <f>IF(OR($I278="",$J278=""),"",$J278-$I278)</f>
        <v/>
      </c>
      <c r="S278" s="8">
        <f>IFERROR(IF(INDEX(Tbl_KPIMaster[Direction],MATCH($G278,Tbl_KPIMaster[KPI],0))="Lower is Better",IF($J278&lt;=$I278,"Green",IF($J278&lt;=$I278+IF($I278=0,$K278,$I278*$K278),"Amber","Red")),IF($J278&gt;=$I278,"Green",IF($J278&gt;=$I278-IF($I278=0,$K278,$I278*$K278),"Amber","Red"))),"")</f>
        <v/>
      </c>
      <c r="T278" s="10" t="inlineStr"/>
    </row>
    <row r="279">
      <c r="A279" s="3" t="n">
        <v>46143</v>
      </c>
      <c r="B279" s="4">
        <f>IF($A279="","",TEXT($A279,"mmm-yyyy"))</f>
        <v/>
      </c>
      <c r="C279" s="4">
        <f>IF($A279="","","W"&amp;WEEKNUM($A279,2))</f>
        <v/>
      </c>
      <c r="D279" s="4">
        <f>IF($A279="","",TEXT($A279,"ddd"))</f>
        <v/>
      </c>
      <c r="E279" s="4" t="inlineStr">
        <is>
          <t>Cost</t>
        </is>
      </c>
      <c r="F279" s="4">
        <f>IFERROR(INDEX(Tbl_KPIMaster[Category],MATCH($G279,Tbl_KPIMaster[KPI],0)),"")</f>
        <v/>
      </c>
      <c r="G279" s="4" t="inlineStr">
        <is>
          <t>Cost per Unit</t>
        </is>
      </c>
      <c r="H279" s="4">
        <f>IFERROR(INDEX(Tbl_KPIMaster[Unit],MATCH($G279,Tbl_KPIMaster[KPI],0)),"")</f>
        <v/>
      </c>
      <c r="I279" s="5">
        <f>IFERROR(INDEX(Tbl_KPIMaster[Maximum Target],MATCH($G279,Tbl_KPIMaster[KPI],0)),"")</f>
        <v/>
      </c>
      <c r="J279" s="5" t="n">
        <v>43.29</v>
      </c>
      <c r="K279" s="4">
        <f>IFERROR(INDEX(Tbl_KPIMaster[Tolerance],MATCH($G279,Tbl_KPIMaster[KPI],0)),"")</f>
        <v/>
      </c>
      <c r="L279" s="4">
        <f>IFERROR(INDEX(Tbl_KPIMaster[Owner],MATCH($G279,Tbl_KPIMaster[KPI],0)),"")</f>
        <v/>
      </c>
      <c r="M279" s="6" t="inlineStr">
        <is>
          <t>New operator training effect</t>
        </is>
      </c>
      <c r="N279" s="4" t="inlineStr">
        <is>
          <t>Procurement follow-up</t>
        </is>
      </c>
      <c r="O279" s="4" t="inlineStr">
        <is>
          <t>Medium</t>
        </is>
      </c>
      <c r="P279" s="4" t="inlineStr">
        <is>
          <t>Closed</t>
        </is>
      </c>
      <c r="Q279" s="5">
        <f>IFERROR(IF(INDEX(Tbl_KPIMaster[Direction],MATCH($G279,Tbl_KPIMaster[KPI],0))="Lower is Better",IF($J279=0,1,IF($I279=0,0,$I279/$J279)),IF($I279=0,1,$J279/$I279)),0)</f>
        <v/>
      </c>
      <c r="R279" s="4">
        <f>IF(OR($I279="",$J279=""),"",$J279-$I279)</f>
        <v/>
      </c>
      <c r="S279" s="4">
        <f>IFERROR(IF(INDEX(Tbl_KPIMaster[Direction],MATCH($G279,Tbl_KPIMaster[KPI],0))="Lower is Better",IF($J279&lt;=$I279,"Green",IF($J279&lt;=$I279+IF($I279=0,$K279,$I279*$K279),"Amber","Red")),IF($J279&gt;=$I279,"Green",IF($J279&gt;=$I279-IF($I279=0,$K279,$I279*$K279),"Amber","Red"))),"")</f>
        <v/>
      </c>
      <c r="T279" s="6" t="inlineStr"/>
    </row>
    <row r="280">
      <c r="A280" s="7" t="n">
        <v>46143</v>
      </c>
      <c r="B280" s="8">
        <f>IF($A280="","",TEXT($A280,"mmm-yyyy"))</f>
        <v/>
      </c>
      <c r="C280" s="8">
        <f>IF($A280="","","W"&amp;WEEKNUM($A280,2))</f>
        <v/>
      </c>
      <c r="D280" s="8">
        <f>IF($A280="","",TEXT($A280,"ddd"))</f>
        <v/>
      </c>
      <c r="E280" s="8" t="inlineStr">
        <is>
          <t>Cost</t>
        </is>
      </c>
      <c r="F280" s="8">
        <f>IFERROR(INDEX(Tbl_KPIMaster[Category],MATCH($G280,Tbl_KPIMaster[KPI],0)),"")</f>
        <v/>
      </c>
      <c r="G280" s="8" t="inlineStr">
        <is>
          <t>Budget Variance %</t>
        </is>
      </c>
      <c r="H280" s="8">
        <f>IFERROR(INDEX(Tbl_KPIMaster[Unit],MATCH($G280,Tbl_KPIMaster[KPI],0)),"")</f>
        <v/>
      </c>
      <c r="I280" s="9">
        <f>IFERROR(INDEX(Tbl_KPIMaster[Maximum Target],MATCH($G280,Tbl_KPIMaster[KPI],0)),"")</f>
        <v/>
      </c>
      <c r="J280" s="9" t="n">
        <v>0</v>
      </c>
      <c r="K280" s="8">
        <f>IFERROR(INDEX(Tbl_KPIMaster[Tolerance],MATCH($G280,Tbl_KPIMaster[KPI],0)),"")</f>
        <v/>
      </c>
      <c r="L280" s="8">
        <f>IFERROR(INDEX(Tbl_KPIMaster[Owner],MATCH($G280,Tbl_KPIMaster[KPI],0)),"")</f>
        <v/>
      </c>
      <c r="M280" s="10" t="inlineStr">
        <is>
          <t>Within normal range</t>
        </is>
      </c>
      <c r="N280" s="8" t="inlineStr"/>
      <c r="O280" s="8" t="inlineStr">
        <is>
          <t>Low</t>
        </is>
      </c>
      <c r="P280" s="8" t="inlineStr">
        <is>
          <t>Open</t>
        </is>
      </c>
      <c r="Q280" s="9">
        <f>IFERROR(IF(INDEX(Tbl_KPIMaster[Direction],MATCH($G280,Tbl_KPIMaster[KPI],0))="Lower is Better",IF($J280=0,1,IF($I280=0,0,$I280/$J280)),IF($I280=0,1,$J280/$I280)),0)</f>
        <v/>
      </c>
      <c r="R280" s="8">
        <f>IF(OR($I280="",$J280=""),"",$J280-$I280)</f>
        <v/>
      </c>
      <c r="S280" s="8">
        <f>IFERROR(IF(INDEX(Tbl_KPIMaster[Direction],MATCH($G280,Tbl_KPIMaster[KPI],0))="Lower is Better",IF($J280&lt;=$I280,"Green",IF($J280&lt;=$I280+IF($I280=0,$K280,$I280*$K280),"Amber","Red")),IF($J280&gt;=$I280,"Green",IF($J280&gt;=$I280-IF($I280=0,$K280,$I280*$K280),"Amber","Red"))),"")</f>
        <v/>
      </c>
      <c r="T280" s="10" t="inlineStr"/>
    </row>
    <row r="281">
      <c r="A281" s="3" t="n">
        <v>46143</v>
      </c>
      <c r="B281" s="4">
        <f>IF($A281="","",TEXT($A281,"mmm-yyyy"))</f>
        <v/>
      </c>
      <c r="C281" s="4">
        <f>IF($A281="","","W"&amp;WEEKNUM($A281,2))</f>
        <v/>
      </c>
      <c r="D281" s="4">
        <f>IF($A281="","",TEXT($A281,"ddd"))</f>
        <v/>
      </c>
      <c r="E281" s="4" t="inlineStr">
        <is>
          <t>Energy</t>
        </is>
      </c>
      <c r="F281" s="4">
        <f>IFERROR(INDEX(Tbl_KPIMaster[Category],MATCH($G281,Tbl_KPIMaster[KPI],0)),"")</f>
        <v/>
      </c>
      <c r="G281" s="4" t="inlineStr">
        <is>
          <t>Energy Intensity (kWh/unit)</t>
        </is>
      </c>
      <c r="H281" s="4">
        <f>IFERROR(INDEX(Tbl_KPIMaster[Unit],MATCH($G281,Tbl_KPIMaster[KPI],0)),"")</f>
        <v/>
      </c>
      <c r="I281" s="5">
        <f>IFERROR(INDEX(Tbl_KPIMaster[Maximum Target],MATCH($G281,Tbl_KPIMaster[KPI],0)),"")</f>
        <v/>
      </c>
      <c r="J281" s="5" t="n">
        <v>4.83</v>
      </c>
      <c r="K281" s="4">
        <f>IFERROR(INDEX(Tbl_KPIMaster[Tolerance],MATCH($G281,Tbl_KPIMaster[KPI],0)),"")</f>
        <v/>
      </c>
      <c r="L281" s="4">
        <f>IFERROR(INDEX(Tbl_KPIMaster[Owner],MATCH($G281,Tbl_KPIMaster[KPI],0)),"")</f>
        <v/>
      </c>
      <c r="M281" s="6" t="inlineStr">
        <is>
          <t>Within normal range</t>
        </is>
      </c>
      <c r="N281" s="4" t="inlineStr"/>
      <c r="O281" s="4" t="inlineStr">
        <is>
          <t>Medium</t>
        </is>
      </c>
      <c r="P281" s="4" t="inlineStr">
        <is>
          <t>In Progress</t>
        </is>
      </c>
      <c r="Q281" s="5">
        <f>IFERROR(IF(INDEX(Tbl_KPIMaster[Direction],MATCH($G281,Tbl_KPIMaster[KPI],0))="Lower is Better",IF($J281=0,1,IF($I281=0,0,$I281/$J281)),IF($I281=0,1,$J281/$I281)),0)</f>
        <v/>
      </c>
      <c r="R281" s="4">
        <f>IF(OR($I281="",$J281=""),"",$J281-$I281)</f>
        <v/>
      </c>
      <c r="S281" s="4">
        <f>IFERROR(IF(INDEX(Tbl_KPIMaster[Direction],MATCH($G281,Tbl_KPIMaster[KPI],0))="Lower is Better",IF($J281&lt;=$I281,"Green",IF($J281&lt;=$I281+IF($I281=0,$K281,$I281*$K281),"Amber","Red")),IF($J281&gt;=$I281,"Green",IF($J281&gt;=$I281-IF($I281=0,$K281,$I281*$K281),"Amber","Red"))),"")</f>
        <v/>
      </c>
      <c r="T281" s="6" t="inlineStr"/>
    </row>
    <row r="282">
      <c r="A282" s="7" t="n">
        <v>46143</v>
      </c>
      <c r="B282" s="8">
        <f>IF($A282="","",TEXT($A282,"mmm-yyyy"))</f>
        <v/>
      </c>
      <c r="C282" s="8">
        <f>IF($A282="","","W"&amp;WEEKNUM($A282,2))</f>
        <v/>
      </c>
      <c r="D282" s="8">
        <f>IF($A282="","",TEXT($A282,"ddd"))</f>
        <v/>
      </c>
      <c r="E282" s="8" t="inlineStr">
        <is>
          <t>Energy</t>
        </is>
      </c>
      <c r="F282" s="8">
        <f>IFERROR(INDEX(Tbl_KPIMaster[Category],MATCH($G282,Tbl_KPIMaster[KPI],0)),"")</f>
        <v/>
      </c>
      <c r="G282" s="8" t="inlineStr">
        <is>
          <t>Renewable Energy Share %</t>
        </is>
      </c>
      <c r="H282" s="8">
        <f>IFERROR(INDEX(Tbl_KPIMaster[Unit],MATCH($G282,Tbl_KPIMaster[KPI],0)),"")</f>
        <v/>
      </c>
      <c r="I282" s="9">
        <f>IFERROR(INDEX(Tbl_KPIMaster[Maximum Target],MATCH($G282,Tbl_KPIMaster[KPI],0)),"")</f>
        <v/>
      </c>
      <c r="J282" s="9" t="n">
        <v>0.2447</v>
      </c>
      <c r="K282" s="8">
        <f>IFERROR(INDEX(Tbl_KPIMaster[Tolerance],MATCH($G282,Tbl_KPIMaster[KPI],0)),"")</f>
        <v/>
      </c>
      <c r="L282" s="8">
        <f>IFERROR(INDEX(Tbl_KPIMaster[Owner],MATCH($G282,Tbl_KPIMaster[KPI],0)),"")</f>
        <v/>
      </c>
      <c r="M282" s="10" t="inlineStr">
        <is>
          <t>Line changeover impact</t>
        </is>
      </c>
      <c r="N282" s="8" t="inlineStr">
        <is>
          <t>Engineering support needed</t>
        </is>
      </c>
      <c r="O282" s="8" t="inlineStr">
        <is>
          <t>High</t>
        </is>
      </c>
      <c r="P282" s="8" t="inlineStr">
        <is>
          <t>Closed</t>
        </is>
      </c>
      <c r="Q282" s="9">
        <f>IFERROR(IF(INDEX(Tbl_KPIMaster[Direction],MATCH($G282,Tbl_KPIMaster[KPI],0))="Lower is Better",IF($J282=0,1,IF($I282=0,0,$I282/$J282)),IF($I282=0,1,$J282/$I282)),0)</f>
        <v/>
      </c>
      <c r="R282" s="8">
        <f>IF(OR($I282="",$J282=""),"",$J282-$I282)</f>
        <v/>
      </c>
      <c r="S282" s="8">
        <f>IFERROR(IF(INDEX(Tbl_KPIMaster[Direction],MATCH($G282,Tbl_KPIMaster[KPI],0))="Lower is Better",IF($J282&lt;=$I282,"Green",IF($J282&lt;=$I282+IF($I282=0,$K282,$I282*$K282),"Amber","Red")),IF($J282&gt;=$I282,"Green",IF($J282&gt;=$I282-IF($I282=0,$K282,$I282*$K282),"Amber","Red"))),"")</f>
        <v/>
      </c>
      <c r="T282" s="10" t="inlineStr"/>
    </row>
    <row r="283">
      <c r="A283" s="3" t="n">
        <v>46144</v>
      </c>
      <c r="B283" s="4">
        <f>IF($A283="","",TEXT($A283,"mmm-yyyy"))</f>
        <v/>
      </c>
      <c r="C283" s="4">
        <f>IF($A283="","","W"&amp;WEEKNUM($A283,2))</f>
        <v/>
      </c>
      <c r="D283" s="4">
        <f>IF($A283="","",TEXT($A283,"ddd"))</f>
        <v/>
      </c>
      <c r="E283" s="4" t="inlineStr">
        <is>
          <t>Safety</t>
        </is>
      </c>
      <c r="F283" s="4">
        <f>IFERROR(INDEX(Tbl_KPIMaster[Category],MATCH($G283,Tbl_KPIMaster[KPI],0)),"")</f>
        <v/>
      </c>
      <c r="G283" s="4" t="inlineStr">
        <is>
          <t>Safety Incidents (LTI)</t>
        </is>
      </c>
      <c r="H283" s="4">
        <f>IFERROR(INDEX(Tbl_KPIMaster[Unit],MATCH($G283,Tbl_KPIMaster[KPI],0)),"")</f>
        <v/>
      </c>
      <c r="I283" s="5">
        <f>IFERROR(INDEX(Tbl_KPIMaster[Maximum Target],MATCH($G283,Tbl_KPIMaster[KPI],0)),"")</f>
        <v/>
      </c>
      <c r="J283" s="5" t="n">
        <v>0</v>
      </c>
      <c r="K283" s="4">
        <f>IFERROR(INDEX(Tbl_KPIMaster[Tolerance],MATCH($G283,Tbl_KPIMaster[KPI],0)),"")</f>
        <v/>
      </c>
      <c r="L283" s="4">
        <f>IFERROR(INDEX(Tbl_KPIMaster[Owner],MATCH($G283,Tbl_KPIMaster[KPI],0)),"")</f>
        <v/>
      </c>
      <c r="M283" s="6" t="inlineStr">
        <is>
          <t>Weather impact</t>
        </is>
      </c>
      <c r="N283" s="4" t="inlineStr">
        <is>
          <t>Management approval pending</t>
        </is>
      </c>
      <c r="O283" s="4" t="inlineStr">
        <is>
          <t>High</t>
        </is>
      </c>
      <c r="P283" s="4" t="inlineStr">
        <is>
          <t>Closed</t>
        </is>
      </c>
      <c r="Q283" s="5">
        <f>IFERROR(IF(INDEX(Tbl_KPIMaster[Direction],MATCH($G283,Tbl_KPIMaster[KPI],0))="Lower is Better",IF($J283=0,1,IF($I283=0,0,$I283/$J283)),IF($I283=0,1,$J283/$I283)),0)</f>
        <v/>
      </c>
      <c r="R283" s="4">
        <f>IF(OR($I283="",$J283=""),"",$J283-$I283)</f>
        <v/>
      </c>
      <c r="S283" s="4">
        <f>IFERROR(IF(INDEX(Tbl_KPIMaster[Direction],MATCH($G283,Tbl_KPIMaster[KPI],0))="Lower is Better",IF($J283&lt;=$I283,"Green",IF($J283&lt;=$I283+IF($I283=0,$K283,$I283*$K283),"Amber","Red")),IF($J283&gt;=$I283,"Green",IF($J283&gt;=$I283-IF($I283=0,$K283,$I283*$K283),"Amber","Red"))),"")</f>
        <v/>
      </c>
      <c r="T283" s="6" t="inlineStr"/>
    </row>
    <row r="284">
      <c r="A284" s="7" t="n">
        <v>46144</v>
      </c>
      <c r="B284" s="8">
        <f>IF($A284="","",TEXT($A284,"mmm-yyyy"))</f>
        <v/>
      </c>
      <c r="C284" s="8">
        <f>IF($A284="","","W"&amp;WEEKNUM($A284,2))</f>
        <v/>
      </c>
      <c r="D284" s="8">
        <f>IF($A284="","",TEXT($A284,"ddd"))</f>
        <v/>
      </c>
      <c r="E284" s="8" t="inlineStr">
        <is>
          <t>Safety</t>
        </is>
      </c>
      <c r="F284" s="8">
        <f>IFERROR(INDEX(Tbl_KPIMaster[Category],MATCH($G284,Tbl_KPIMaster[KPI],0)),"")</f>
        <v/>
      </c>
      <c r="G284" s="8" t="inlineStr">
        <is>
          <t>Near Miss Reports</t>
        </is>
      </c>
      <c r="H284" s="8">
        <f>IFERROR(INDEX(Tbl_KPIMaster[Unit],MATCH($G284,Tbl_KPIMaster[KPI],0)),"")</f>
        <v/>
      </c>
      <c r="I284" s="9">
        <f>IFERROR(INDEX(Tbl_KPIMaster[Maximum Target],MATCH($G284,Tbl_KPIMaster[KPI],0)),"")</f>
        <v/>
      </c>
      <c r="J284" s="9" t="n">
        <v>2</v>
      </c>
      <c r="K284" s="8">
        <f>IFERROR(INDEX(Tbl_KPIMaster[Tolerance],MATCH($G284,Tbl_KPIMaster[KPI],0)),"")</f>
        <v/>
      </c>
      <c r="L284" s="8">
        <f>IFERROR(INDEX(Tbl_KPIMaster[Owner],MATCH($G284,Tbl_KPIMaster[KPI],0)),"")</f>
        <v/>
      </c>
      <c r="M284" s="10" t="inlineStr">
        <is>
          <t>Awaiting spares</t>
        </is>
      </c>
      <c r="N284" s="8" t="inlineStr">
        <is>
          <t>Management approval pending</t>
        </is>
      </c>
      <c r="O284" s="8" t="inlineStr">
        <is>
          <t>Low</t>
        </is>
      </c>
      <c r="P284" s="8" t="inlineStr">
        <is>
          <t>Open</t>
        </is>
      </c>
      <c r="Q284" s="9">
        <f>IFERROR(IF(INDEX(Tbl_KPIMaster[Direction],MATCH($G284,Tbl_KPIMaster[KPI],0))="Lower is Better",IF($J284=0,1,IF($I284=0,0,$I284/$J284)),IF($I284=0,1,$J284/$I284)),0)</f>
        <v/>
      </c>
      <c r="R284" s="8">
        <f>IF(OR($I284="",$J284=""),"",$J284-$I284)</f>
        <v/>
      </c>
      <c r="S284" s="8">
        <f>IFERROR(IF(INDEX(Tbl_KPIMaster[Direction],MATCH($G284,Tbl_KPIMaster[KPI],0))="Lower is Better",IF($J284&lt;=$I284,"Green",IF($J284&lt;=$I284+IF($I284=0,$K284,$I284*$K284),"Amber","Red")),IF($J284&gt;=$I284,"Green",IF($J284&gt;=$I284-IF($I284=0,$K284,$I284*$K284),"Amber","Red"))),"")</f>
        <v/>
      </c>
      <c r="T284" s="10" t="inlineStr"/>
    </row>
    <row r="285">
      <c r="A285" s="3" t="n">
        <v>46144</v>
      </c>
      <c r="B285" s="4">
        <f>IF($A285="","",TEXT($A285,"mmm-yyyy"))</f>
        <v/>
      </c>
      <c r="C285" s="4">
        <f>IF($A285="","","W"&amp;WEEKNUM($A285,2))</f>
        <v/>
      </c>
      <c r="D285" s="4">
        <f>IF($A285="","",TEXT($A285,"ddd"))</f>
        <v/>
      </c>
      <c r="E285" s="4" t="inlineStr">
        <is>
          <t>Production</t>
        </is>
      </c>
      <c r="F285" s="4">
        <f>IFERROR(INDEX(Tbl_KPIMaster[Category],MATCH($G285,Tbl_KPIMaster[KPI],0)),"")</f>
        <v/>
      </c>
      <c r="G285" s="4" t="inlineStr">
        <is>
          <t>Production Output</t>
        </is>
      </c>
      <c r="H285" s="4">
        <f>IFERROR(INDEX(Tbl_KPIMaster[Unit],MATCH($G285,Tbl_KPIMaster[KPI],0)),"")</f>
        <v/>
      </c>
      <c r="I285" s="5">
        <f>IFERROR(INDEX(Tbl_KPIMaster[Maximum Target],MATCH($G285,Tbl_KPIMaster[KPI],0)),"")</f>
        <v/>
      </c>
      <c r="J285" s="5" t="n">
        <v>1024.88</v>
      </c>
      <c r="K285" s="4">
        <f>IFERROR(INDEX(Tbl_KPIMaster[Tolerance],MATCH($G285,Tbl_KPIMaster[KPI],0)),"")</f>
        <v/>
      </c>
      <c r="L285" s="4">
        <f>IFERROR(INDEX(Tbl_KPIMaster[Owner],MATCH($G285,Tbl_KPIMaster[KPI],0)),"")</f>
        <v/>
      </c>
      <c r="M285" s="6" t="inlineStr">
        <is>
          <t>Weather impact</t>
        </is>
      </c>
      <c r="N285" s="4" t="inlineStr"/>
      <c r="O285" s="4" t="inlineStr">
        <is>
          <t>Medium</t>
        </is>
      </c>
      <c r="P285" s="4" t="inlineStr">
        <is>
          <t>In Progress</t>
        </is>
      </c>
      <c r="Q285" s="5">
        <f>IFERROR(IF(INDEX(Tbl_KPIMaster[Direction],MATCH($G285,Tbl_KPIMaster[KPI],0))="Lower is Better",IF($J285=0,1,IF($I285=0,0,$I285/$J285)),IF($I285=0,1,$J285/$I285)),0)</f>
        <v/>
      </c>
      <c r="R285" s="4">
        <f>IF(OR($I285="",$J285=""),"",$J285-$I285)</f>
        <v/>
      </c>
      <c r="S285" s="4">
        <f>IFERROR(IF(INDEX(Tbl_KPIMaster[Direction],MATCH($G285,Tbl_KPIMaster[KPI],0))="Lower is Better",IF($J285&lt;=$I285,"Green",IF($J285&lt;=$I285+IF($I285=0,$K285,$I285*$K285),"Amber","Red")),IF($J285&gt;=$I285,"Green",IF($J285&gt;=$I285-IF($I285=0,$K285,$I285*$K285),"Amber","Red"))),"")</f>
        <v/>
      </c>
      <c r="T285" s="6" t="inlineStr"/>
    </row>
    <row r="286">
      <c r="A286" s="7" t="n">
        <v>46144</v>
      </c>
      <c r="B286" s="8">
        <f>IF($A286="","",TEXT($A286,"mmm-yyyy"))</f>
        <v/>
      </c>
      <c r="C286" s="8">
        <f>IF($A286="","","W"&amp;WEEKNUM($A286,2))</f>
        <v/>
      </c>
      <c r="D286" s="8">
        <f>IF($A286="","",TEXT($A286,"ddd"))</f>
        <v/>
      </c>
      <c r="E286" s="8" t="inlineStr">
        <is>
          <t>Production</t>
        </is>
      </c>
      <c r="F286" s="8">
        <f>IFERROR(INDEX(Tbl_KPIMaster[Category],MATCH($G286,Tbl_KPIMaster[KPI],0)),"")</f>
        <v/>
      </c>
      <c r="G286" s="8" t="inlineStr">
        <is>
          <t>OEE %</t>
        </is>
      </c>
      <c r="H286" s="8">
        <f>IFERROR(INDEX(Tbl_KPIMaster[Unit],MATCH($G286,Tbl_KPIMaster[KPI],0)),"")</f>
        <v/>
      </c>
      <c r="I286" s="9">
        <f>IFERROR(INDEX(Tbl_KPIMaster[Maximum Target],MATCH($G286,Tbl_KPIMaster[KPI],0)),"")</f>
        <v/>
      </c>
      <c r="J286" s="9" t="n">
        <v>0.8067</v>
      </c>
      <c r="K286" s="8">
        <f>IFERROR(INDEX(Tbl_KPIMaster[Tolerance],MATCH($G286,Tbl_KPIMaster[KPI],0)),"")</f>
        <v/>
      </c>
      <c r="L286" s="8">
        <f>IFERROR(INDEX(Tbl_KPIMaster[Owner],MATCH($G286,Tbl_KPIMaster[KPI],0)),"")</f>
        <v/>
      </c>
      <c r="M286" s="10" t="inlineStr">
        <is>
          <t>Line changeover impact</t>
        </is>
      </c>
      <c r="N286" s="8" t="inlineStr"/>
      <c r="O286" s="8" t="inlineStr">
        <is>
          <t>High</t>
        </is>
      </c>
      <c r="P286" s="8" t="inlineStr">
        <is>
          <t>Closed</t>
        </is>
      </c>
      <c r="Q286" s="9">
        <f>IFERROR(IF(INDEX(Tbl_KPIMaster[Direction],MATCH($G286,Tbl_KPIMaster[KPI],0))="Lower is Better",IF($J286=0,1,IF($I286=0,0,$I286/$J286)),IF($I286=0,1,$J286/$I286)),0)</f>
        <v/>
      </c>
      <c r="R286" s="8">
        <f>IF(OR($I286="",$J286=""),"",$J286-$I286)</f>
        <v/>
      </c>
      <c r="S286" s="8">
        <f>IFERROR(IF(INDEX(Tbl_KPIMaster[Direction],MATCH($G286,Tbl_KPIMaster[KPI],0))="Lower is Better",IF($J286&lt;=$I286,"Green",IF($J286&lt;=$I286+IF($I286=0,$K286,$I286*$K286),"Amber","Red")),IF($J286&gt;=$I286,"Green",IF($J286&gt;=$I286-IF($I286=0,$K286,$I286*$K286),"Amber","Red"))),"")</f>
        <v/>
      </c>
      <c r="T286" s="10" t="inlineStr"/>
    </row>
    <row r="287">
      <c r="A287" s="3" t="n">
        <v>46144</v>
      </c>
      <c r="B287" s="4">
        <f>IF($A287="","",TEXT($A287,"mmm-yyyy"))</f>
        <v/>
      </c>
      <c r="C287" s="4">
        <f>IF($A287="","","W"&amp;WEEKNUM($A287,2))</f>
        <v/>
      </c>
      <c r="D287" s="4">
        <f>IF($A287="","",TEXT($A287,"ddd"))</f>
        <v/>
      </c>
      <c r="E287" s="4" t="inlineStr">
        <is>
          <t>Quality</t>
        </is>
      </c>
      <c r="F287" s="4">
        <f>IFERROR(INDEX(Tbl_KPIMaster[Category],MATCH($G287,Tbl_KPIMaster[KPI],0)),"")</f>
        <v/>
      </c>
      <c r="G287" s="4" t="inlineStr">
        <is>
          <t>Defect Rate %</t>
        </is>
      </c>
      <c r="H287" s="4">
        <f>IFERROR(INDEX(Tbl_KPIMaster[Unit],MATCH($G287,Tbl_KPIMaster[KPI],0)),"")</f>
        <v/>
      </c>
      <c r="I287" s="5">
        <f>IFERROR(INDEX(Tbl_KPIMaster[Maximum Target],MATCH($G287,Tbl_KPIMaster[KPI],0)),"")</f>
        <v/>
      </c>
      <c r="J287" s="5" t="n">
        <v>0.372</v>
      </c>
      <c r="K287" s="4">
        <f>IFERROR(INDEX(Tbl_KPIMaster[Tolerance],MATCH($G287,Tbl_KPIMaster[KPI],0)),"")</f>
        <v/>
      </c>
      <c r="L287" s="4">
        <f>IFERROR(INDEX(Tbl_KPIMaster[Owner],MATCH($G287,Tbl_KPIMaster[KPI],0)),"")</f>
        <v/>
      </c>
      <c r="M287" s="6" t="inlineStr">
        <is>
          <t>Manpower shortage</t>
        </is>
      </c>
      <c r="N287" s="4" t="inlineStr">
        <is>
          <t>Procurement follow-up</t>
        </is>
      </c>
      <c r="O287" s="4" t="inlineStr">
        <is>
          <t>Low</t>
        </is>
      </c>
      <c r="P287" s="4" t="inlineStr">
        <is>
          <t>Closed</t>
        </is>
      </c>
      <c r="Q287" s="5">
        <f>IFERROR(IF(INDEX(Tbl_KPIMaster[Direction],MATCH($G287,Tbl_KPIMaster[KPI],0))="Lower is Better",IF($J287=0,1,IF($I287=0,0,$I287/$J287)),IF($I287=0,1,$J287/$I287)),0)</f>
        <v/>
      </c>
      <c r="R287" s="4">
        <f>IF(OR($I287="",$J287=""),"",$J287-$I287)</f>
        <v/>
      </c>
      <c r="S287" s="4">
        <f>IFERROR(IF(INDEX(Tbl_KPIMaster[Direction],MATCH($G287,Tbl_KPIMaster[KPI],0))="Lower is Better",IF($J287&lt;=$I287,"Green",IF($J287&lt;=$I287+IF($I287=0,$K287,$I287*$K287),"Amber","Red")),IF($J287&gt;=$I287,"Green",IF($J287&gt;=$I287-IF($I287=0,$K287,$I287*$K287),"Amber","Red"))),"")</f>
        <v/>
      </c>
      <c r="T287" s="6" t="inlineStr"/>
    </row>
    <row r="288">
      <c r="A288" s="7" t="n">
        <v>46144</v>
      </c>
      <c r="B288" s="8">
        <f>IF($A288="","",TEXT($A288,"mmm-yyyy"))</f>
        <v/>
      </c>
      <c r="C288" s="8">
        <f>IF($A288="","","W"&amp;WEEKNUM($A288,2))</f>
        <v/>
      </c>
      <c r="D288" s="8">
        <f>IF($A288="","",TEXT($A288,"ddd"))</f>
        <v/>
      </c>
      <c r="E288" s="8" t="inlineStr">
        <is>
          <t>Quality</t>
        </is>
      </c>
      <c r="F288" s="8">
        <f>IFERROR(INDEX(Tbl_KPIMaster[Category],MATCH($G288,Tbl_KPIMaster[KPI],0)),"")</f>
        <v/>
      </c>
      <c r="G288" s="8" t="inlineStr">
        <is>
          <t>Customer Complaints</t>
        </is>
      </c>
      <c r="H288" s="8">
        <f>IFERROR(INDEX(Tbl_KPIMaster[Unit],MATCH($G288,Tbl_KPIMaster[KPI],0)),"")</f>
        <v/>
      </c>
      <c r="I288" s="9">
        <f>IFERROR(INDEX(Tbl_KPIMaster[Maximum Target],MATCH($G288,Tbl_KPIMaster[KPI],0)),"")</f>
        <v/>
      </c>
      <c r="J288" s="9" t="n">
        <v>0</v>
      </c>
      <c r="K288" s="8">
        <f>IFERROR(INDEX(Tbl_KPIMaster[Tolerance],MATCH($G288,Tbl_KPIMaster[KPI],0)),"")</f>
        <v/>
      </c>
      <c r="L288" s="8">
        <f>IFERROR(INDEX(Tbl_KPIMaster[Owner],MATCH($G288,Tbl_KPIMaster[KPI],0)),"")</f>
        <v/>
      </c>
      <c r="M288" s="10" t="inlineStr"/>
      <c r="N288" s="8" t="inlineStr"/>
      <c r="O288" s="8" t="inlineStr">
        <is>
          <t>Medium</t>
        </is>
      </c>
      <c r="P288" s="8" t="inlineStr">
        <is>
          <t>In Progress</t>
        </is>
      </c>
      <c r="Q288" s="9">
        <f>IFERROR(IF(INDEX(Tbl_KPIMaster[Direction],MATCH($G288,Tbl_KPIMaster[KPI],0))="Lower is Better",IF($J288=0,1,IF($I288=0,0,$I288/$J288)),IF($I288=0,1,$J288/$I288)),0)</f>
        <v/>
      </c>
      <c r="R288" s="8">
        <f>IF(OR($I288="",$J288=""),"",$J288-$I288)</f>
        <v/>
      </c>
      <c r="S288" s="8">
        <f>IFERROR(IF(INDEX(Tbl_KPIMaster[Direction],MATCH($G288,Tbl_KPIMaster[KPI],0))="Lower is Better",IF($J288&lt;=$I288,"Green",IF($J288&lt;=$I288+IF($I288=0,$K288,$I288*$K288),"Amber","Red")),IF($J288&gt;=$I288,"Green",IF($J288&gt;=$I288-IF($I288=0,$K288,$I288*$K288),"Amber","Red"))),"")</f>
        <v/>
      </c>
      <c r="T288" s="10" t="inlineStr"/>
    </row>
    <row r="289">
      <c r="A289" s="3" t="n">
        <v>46144</v>
      </c>
      <c r="B289" s="4">
        <f>IF($A289="","",TEXT($A289,"mmm-yyyy"))</f>
        <v/>
      </c>
      <c r="C289" s="4">
        <f>IF($A289="","","W"&amp;WEEKNUM($A289,2))</f>
        <v/>
      </c>
      <c r="D289" s="4">
        <f>IF($A289="","",TEXT($A289,"ddd"))</f>
        <v/>
      </c>
      <c r="E289" s="4" t="inlineStr">
        <is>
          <t>Maintenance</t>
        </is>
      </c>
      <c r="F289" s="4">
        <f>IFERROR(INDEX(Tbl_KPIMaster[Category],MATCH($G289,Tbl_KPIMaster[KPI],0)),"")</f>
        <v/>
      </c>
      <c r="G289" s="4" t="inlineStr">
        <is>
          <t>Unplanned Downtime</t>
        </is>
      </c>
      <c r="H289" s="4">
        <f>IFERROR(INDEX(Tbl_KPIMaster[Unit],MATCH($G289,Tbl_KPIMaster[KPI],0)),"")</f>
        <v/>
      </c>
      <c r="I289" s="5">
        <f>IFERROR(INDEX(Tbl_KPIMaster[Maximum Target],MATCH($G289,Tbl_KPIMaster[KPI],0)),"")</f>
        <v/>
      </c>
      <c r="J289" s="5" t="n">
        <v>0.39</v>
      </c>
      <c r="K289" s="4">
        <f>IFERROR(INDEX(Tbl_KPIMaster[Tolerance],MATCH($G289,Tbl_KPIMaster[KPI],0)),"")</f>
        <v/>
      </c>
      <c r="L289" s="4">
        <f>IFERROR(INDEX(Tbl_KPIMaster[Owner],MATCH($G289,Tbl_KPIMaster[KPI],0)),"")</f>
        <v/>
      </c>
      <c r="M289" s="6" t="inlineStr">
        <is>
          <t>Weather impact</t>
        </is>
      </c>
      <c r="N289" s="4" t="inlineStr">
        <is>
          <t>Management approval pending</t>
        </is>
      </c>
      <c r="O289" s="4" t="inlineStr">
        <is>
          <t>Medium</t>
        </is>
      </c>
      <c r="P289" s="4" t="inlineStr">
        <is>
          <t>Open</t>
        </is>
      </c>
      <c r="Q289" s="5">
        <f>IFERROR(IF(INDEX(Tbl_KPIMaster[Direction],MATCH($G289,Tbl_KPIMaster[KPI],0))="Lower is Better",IF($J289=0,1,IF($I289=0,0,$I289/$J289)),IF($I289=0,1,$J289/$I289)),0)</f>
        <v/>
      </c>
      <c r="R289" s="4">
        <f>IF(OR($I289="",$J289=""),"",$J289-$I289)</f>
        <v/>
      </c>
      <c r="S289" s="4">
        <f>IFERROR(IF(INDEX(Tbl_KPIMaster[Direction],MATCH($G289,Tbl_KPIMaster[KPI],0))="Lower is Better",IF($J289&lt;=$I289,"Green",IF($J289&lt;=$I289+IF($I289=0,$K289,$I289*$K289),"Amber","Red")),IF($J289&gt;=$I289,"Green",IF($J289&gt;=$I289-IF($I289=0,$K289,$I289*$K289),"Amber","Red"))),"")</f>
        <v/>
      </c>
      <c r="T289" s="6" t="inlineStr"/>
    </row>
    <row r="290">
      <c r="A290" s="7" t="n">
        <v>46144</v>
      </c>
      <c r="B290" s="8">
        <f>IF($A290="","",TEXT($A290,"mmm-yyyy"))</f>
        <v/>
      </c>
      <c r="C290" s="8">
        <f>IF($A290="","","W"&amp;WEEKNUM($A290,2))</f>
        <v/>
      </c>
      <c r="D290" s="8">
        <f>IF($A290="","",TEXT($A290,"ddd"))</f>
        <v/>
      </c>
      <c r="E290" s="8" t="inlineStr">
        <is>
          <t>Maintenance</t>
        </is>
      </c>
      <c r="F290" s="8">
        <f>IFERROR(INDEX(Tbl_KPIMaster[Category],MATCH($G290,Tbl_KPIMaster[KPI],0)),"")</f>
        <v/>
      </c>
      <c r="G290" s="8" t="inlineStr">
        <is>
          <t>PM Compliance %</t>
        </is>
      </c>
      <c r="H290" s="8">
        <f>IFERROR(INDEX(Tbl_KPIMaster[Unit],MATCH($G290,Tbl_KPIMaster[KPI],0)),"")</f>
        <v/>
      </c>
      <c r="I290" s="9">
        <f>IFERROR(INDEX(Tbl_KPIMaster[Maximum Target],MATCH($G290,Tbl_KPIMaster[KPI],0)),"")</f>
        <v/>
      </c>
      <c r="J290" s="9" t="n">
        <v>0.9795</v>
      </c>
      <c r="K290" s="8">
        <f>IFERROR(INDEX(Tbl_KPIMaster[Tolerance],MATCH($G290,Tbl_KPIMaster[KPI],0)),"")</f>
        <v/>
      </c>
      <c r="L290" s="8">
        <f>IFERROR(INDEX(Tbl_KPIMaster[Owner],MATCH($G290,Tbl_KPIMaster[KPI],0)),"")</f>
        <v/>
      </c>
      <c r="M290" s="10" t="inlineStr"/>
      <c r="N290" s="8" t="inlineStr">
        <is>
          <t>Procurement follow-up</t>
        </is>
      </c>
      <c r="O290" s="8" t="inlineStr">
        <is>
          <t>Low</t>
        </is>
      </c>
      <c r="P290" s="8" t="inlineStr">
        <is>
          <t>Closed</t>
        </is>
      </c>
      <c r="Q290" s="9">
        <f>IFERROR(IF(INDEX(Tbl_KPIMaster[Direction],MATCH($G290,Tbl_KPIMaster[KPI],0))="Lower is Better",IF($J290=0,1,IF($I290=0,0,$I290/$J290)),IF($I290=0,1,$J290/$I290)),0)</f>
        <v/>
      </c>
      <c r="R290" s="8">
        <f>IF(OR($I290="",$J290=""),"",$J290-$I290)</f>
        <v/>
      </c>
      <c r="S290" s="8">
        <f>IFERROR(IF(INDEX(Tbl_KPIMaster[Direction],MATCH($G290,Tbl_KPIMaster[KPI],0))="Lower is Better",IF($J290&lt;=$I290,"Green",IF($J290&lt;=$I290+IF($I290=0,$K290,$I290*$K290),"Amber","Red")),IF($J290&gt;=$I290,"Green",IF($J290&gt;=$I290-IF($I290=0,$K290,$I290*$K290),"Amber","Red"))),"")</f>
        <v/>
      </c>
      <c r="T290" s="10" t="inlineStr"/>
    </row>
    <row r="291">
      <c r="A291" s="3" t="n">
        <v>46144</v>
      </c>
      <c r="B291" s="4">
        <f>IF($A291="","",TEXT($A291,"mmm-yyyy"))</f>
        <v/>
      </c>
      <c r="C291" s="4">
        <f>IF($A291="","","W"&amp;WEEKNUM($A291,2))</f>
        <v/>
      </c>
      <c r="D291" s="4">
        <f>IF($A291="","",TEXT($A291,"ddd"))</f>
        <v/>
      </c>
      <c r="E291" s="4" t="inlineStr">
        <is>
          <t>Utilities</t>
        </is>
      </c>
      <c r="F291" s="4">
        <f>IFERROR(INDEX(Tbl_KPIMaster[Category],MATCH($G291,Tbl_KPIMaster[KPI],0)),"")</f>
        <v/>
      </c>
      <c r="G291" s="4" t="inlineStr">
        <is>
          <t>Power Consumption</t>
        </is>
      </c>
      <c r="H291" s="4">
        <f>IFERROR(INDEX(Tbl_KPIMaster[Unit],MATCH($G291,Tbl_KPIMaster[KPI],0)),"")</f>
        <v/>
      </c>
      <c r="I291" s="5">
        <f>IFERROR(INDEX(Tbl_KPIMaster[Maximum Target],MATCH($G291,Tbl_KPIMaster[KPI],0)),"")</f>
        <v/>
      </c>
      <c r="J291" s="5" t="n">
        <v>3489.38</v>
      </c>
      <c r="K291" s="4">
        <f>IFERROR(INDEX(Tbl_KPIMaster[Tolerance],MATCH($G291,Tbl_KPIMaster[KPI],0)),"")</f>
        <v/>
      </c>
      <c r="L291" s="4">
        <f>IFERROR(INDEX(Tbl_KPIMaster[Owner],MATCH($G291,Tbl_KPIMaster[KPI],0)),"")</f>
        <v/>
      </c>
      <c r="M291" s="6" t="inlineStr"/>
      <c r="N291" s="4" t="inlineStr">
        <is>
          <t>Engineering support needed</t>
        </is>
      </c>
      <c r="O291" s="4" t="inlineStr">
        <is>
          <t>High</t>
        </is>
      </c>
      <c r="P291" s="4" t="inlineStr">
        <is>
          <t>Closed</t>
        </is>
      </c>
      <c r="Q291" s="5">
        <f>IFERROR(IF(INDEX(Tbl_KPIMaster[Direction],MATCH($G291,Tbl_KPIMaster[KPI],0))="Lower is Better",IF($J291=0,1,IF($I291=0,0,$I291/$J291)),IF($I291=0,1,$J291/$I291)),0)</f>
        <v/>
      </c>
      <c r="R291" s="4">
        <f>IF(OR($I291="",$J291=""),"",$J291-$I291)</f>
        <v/>
      </c>
      <c r="S291" s="4">
        <f>IFERROR(IF(INDEX(Tbl_KPIMaster[Direction],MATCH($G291,Tbl_KPIMaster[KPI],0))="Lower is Better",IF($J291&lt;=$I291,"Green",IF($J291&lt;=$I291+IF($I291=0,$K291,$I291*$K291),"Amber","Red")),IF($J291&gt;=$I291,"Green",IF($J291&gt;=$I291-IF($I291=0,$K291,$I291*$K291),"Amber","Red"))),"")</f>
        <v/>
      </c>
      <c r="T291" s="6" t="inlineStr"/>
    </row>
    <row r="292">
      <c r="A292" s="7" t="n">
        <v>46144</v>
      </c>
      <c r="B292" s="8">
        <f>IF($A292="","",TEXT($A292,"mmm-yyyy"))</f>
        <v/>
      </c>
      <c r="C292" s="8">
        <f>IF($A292="","","W"&amp;WEEKNUM($A292,2))</f>
        <v/>
      </c>
      <c r="D292" s="8">
        <f>IF($A292="","",TEXT($A292,"ddd"))</f>
        <v/>
      </c>
      <c r="E292" s="8" t="inlineStr">
        <is>
          <t>Utilities</t>
        </is>
      </c>
      <c r="F292" s="8">
        <f>IFERROR(INDEX(Tbl_KPIMaster[Category],MATCH($G292,Tbl_KPIMaster[KPI],0)),"")</f>
        <v/>
      </c>
      <c r="G292" s="8" t="inlineStr">
        <is>
          <t>Water Consumption</t>
        </is>
      </c>
      <c r="H292" s="8">
        <f>IFERROR(INDEX(Tbl_KPIMaster[Unit],MATCH($G292,Tbl_KPIMaster[KPI],0)),"")</f>
        <v/>
      </c>
      <c r="I292" s="9">
        <f>IFERROR(INDEX(Tbl_KPIMaster[Maximum Target],MATCH($G292,Tbl_KPIMaster[KPI],0)),"")</f>
        <v/>
      </c>
      <c r="J292" s="9" t="n">
        <v>50.66</v>
      </c>
      <c r="K292" s="8">
        <f>IFERROR(INDEX(Tbl_KPIMaster[Tolerance],MATCH($G292,Tbl_KPIMaster[KPI],0)),"")</f>
        <v/>
      </c>
      <c r="L292" s="8">
        <f>IFERROR(INDEX(Tbl_KPIMaster[Owner],MATCH($G292,Tbl_KPIMaster[KPI],0)),"")</f>
        <v/>
      </c>
      <c r="M292" s="10" t="inlineStr">
        <is>
          <t>Vendor delay</t>
        </is>
      </c>
      <c r="N292" s="8" t="inlineStr">
        <is>
          <t>Procurement follow-up</t>
        </is>
      </c>
      <c r="O292" s="8" t="inlineStr">
        <is>
          <t>Low</t>
        </is>
      </c>
      <c r="P292" s="8" t="inlineStr">
        <is>
          <t>Closed</t>
        </is>
      </c>
      <c r="Q292" s="9">
        <f>IFERROR(IF(INDEX(Tbl_KPIMaster[Direction],MATCH($G292,Tbl_KPIMaster[KPI],0))="Lower is Better",IF($J292=0,1,IF($I292=0,0,$I292/$J292)),IF($I292=0,1,$J292/$I292)),0)</f>
        <v/>
      </c>
      <c r="R292" s="8">
        <f>IF(OR($I292="",$J292=""),"",$J292-$I292)</f>
        <v/>
      </c>
      <c r="S292" s="8">
        <f>IFERROR(IF(INDEX(Tbl_KPIMaster[Direction],MATCH($G292,Tbl_KPIMaster[KPI],0))="Lower is Better",IF($J292&lt;=$I292,"Green",IF($J292&lt;=$I292+IF($I292=0,$K292,$I292*$K292),"Amber","Red")),IF($J292&gt;=$I292,"Green",IF($J292&gt;=$I292-IF($I292=0,$K292,$I292*$K292),"Amber","Red"))),"")</f>
        <v/>
      </c>
      <c r="T292" s="10" t="inlineStr"/>
    </row>
    <row r="293">
      <c r="A293" s="3" t="n">
        <v>46144</v>
      </c>
      <c r="B293" s="4">
        <f>IF($A293="","",TEXT($A293,"mmm-yyyy"))</f>
        <v/>
      </c>
      <c r="C293" s="4">
        <f>IF($A293="","","W"&amp;WEEKNUM($A293,2))</f>
        <v/>
      </c>
      <c r="D293" s="4">
        <f>IF($A293="","",TEXT($A293,"ddd"))</f>
        <v/>
      </c>
      <c r="E293" s="4" t="inlineStr">
        <is>
          <t>Warehouse</t>
        </is>
      </c>
      <c r="F293" s="4">
        <f>IFERROR(INDEX(Tbl_KPIMaster[Category],MATCH($G293,Tbl_KPIMaster[KPI],0)),"")</f>
        <v/>
      </c>
      <c r="G293" s="4" t="inlineStr">
        <is>
          <t>On-Time Dispatch %</t>
        </is>
      </c>
      <c r="H293" s="4">
        <f>IFERROR(INDEX(Tbl_KPIMaster[Unit],MATCH($G293,Tbl_KPIMaster[KPI],0)),"")</f>
        <v/>
      </c>
      <c r="I293" s="5">
        <f>IFERROR(INDEX(Tbl_KPIMaster[Maximum Target],MATCH($G293,Tbl_KPIMaster[KPI],0)),"")</f>
        <v/>
      </c>
      <c r="J293" s="5" t="n">
        <v>1.1122</v>
      </c>
      <c r="K293" s="4">
        <f>IFERROR(INDEX(Tbl_KPIMaster[Tolerance],MATCH($G293,Tbl_KPIMaster[KPI],0)),"")</f>
        <v/>
      </c>
      <c r="L293" s="4">
        <f>IFERROR(INDEX(Tbl_KPIMaster[Owner],MATCH($G293,Tbl_KPIMaster[KPI],0)),"")</f>
        <v/>
      </c>
      <c r="M293" s="6" t="inlineStr">
        <is>
          <t>Vendor delay</t>
        </is>
      </c>
      <c r="N293" s="4" t="inlineStr">
        <is>
          <t>Procurement follow-up</t>
        </is>
      </c>
      <c r="O293" s="4" t="inlineStr">
        <is>
          <t>High</t>
        </is>
      </c>
      <c r="P293" s="4" t="inlineStr">
        <is>
          <t>Closed</t>
        </is>
      </c>
      <c r="Q293" s="5">
        <f>IFERROR(IF(INDEX(Tbl_KPIMaster[Direction],MATCH($G293,Tbl_KPIMaster[KPI],0))="Lower is Better",IF($J293=0,1,IF($I293=0,0,$I293/$J293)),IF($I293=0,1,$J293/$I293)),0)</f>
        <v/>
      </c>
      <c r="R293" s="4">
        <f>IF(OR($I293="",$J293=""),"",$J293-$I293)</f>
        <v/>
      </c>
      <c r="S293" s="4">
        <f>IFERROR(IF(INDEX(Tbl_KPIMaster[Direction],MATCH($G293,Tbl_KPIMaster[KPI],0))="Lower is Better",IF($J293&lt;=$I293,"Green",IF($J293&lt;=$I293+IF($I293=0,$K293,$I293*$K293),"Amber","Red")),IF($J293&gt;=$I293,"Green",IF($J293&gt;=$I293-IF($I293=0,$K293,$I293*$K293),"Amber","Red"))),"")</f>
        <v/>
      </c>
      <c r="T293" s="6" t="inlineStr"/>
    </row>
    <row r="294">
      <c r="A294" s="7" t="n">
        <v>46144</v>
      </c>
      <c r="B294" s="8">
        <f>IF($A294="","",TEXT($A294,"mmm-yyyy"))</f>
        <v/>
      </c>
      <c r="C294" s="8">
        <f>IF($A294="","","W"&amp;WEEKNUM($A294,2))</f>
        <v/>
      </c>
      <c r="D294" s="8">
        <f>IF($A294="","",TEXT($A294,"ddd"))</f>
        <v/>
      </c>
      <c r="E294" s="8" t="inlineStr">
        <is>
          <t>Warehouse</t>
        </is>
      </c>
      <c r="F294" s="8">
        <f>IFERROR(INDEX(Tbl_KPIMaster[Category],MATCH($G294,Tbl_KPIMaster[KPI],0)),"")</f>
        <v/>
      </c>
      <c r="G294" s="8" t="inlineStr">
        <is>
          <t>Inventory Accuracy %</t>
        </is>
      </c>
      <c r="H294" s="8">
        <f>IFERROR(INDEX(Tbl_KPIMaster[Unit],MATCH($G294,Tbl_KPIMaster[KPI],0)),"")</f>
        <v/>
      </c>
      <c r="I294" s="9">
        <f>IFERROR(INDEX(Tbl_KPIMaster[Maximum Target],MATCH($G294,Tbl_KPIMaster[KPI],0)),"")</f>
        <v/>
      </c>
      <c r="J294" s="9" t="n">
        <v>0.8021</v>
      </c>
      <c r="K294" s="8">
        <f>IFERROR(INDEX(Tbl_KPIMaster[Tolerance],MATCH($G294,Tbl_KPIMaster[KPI],0)),"")</f>
        <v/>
      </c>
      <c r="L294" s="8">
        <f>IFERROR(INDEX(Tbl_KPIMaster[Owner],MATCH($G294,Tbl_KPIMaster[KPI],0)),"")</f>
        <v/>
      </c>
      <c r="M294" s="10" t="inlineStr">
        <is>
          <t>Awaiting spares</t>
        </is>
      </c>
      <c r="N294" s="8" t="inlineStr"/>
      <c r="O294" s="8" t="inlineStr">
        <is>
          <t>Medium</t>
        </is>
      </c>
      <c r="P294" s="8" t="inlineStr">
        <is>
          <t>In Progress</t>
        </is>
      </c>
      <c r="Q294" s="9">
        <f>IFERROR(IF(INDEX(Tbl_KPIMaster[Direction],MATCH($G294,Tbl_KPIMaster[KPI],0))="Lower is Better",IF($J294=0,1,IF($I294=0,0,$I294/$J294)),IF($I294=0,1,$J294/$I294)),0)</f>
        <v/>
      </c>
      <c r="R294" s="8">
        <f>IF(OR($I294="",$J294=""),"",$J294-$I294)</f>
        <v/>
      </c>
      <c r="S294" s="8">
        <f>IFERROR(IF(INDEX(Tbl_KPIMaster[Direction],MATCH($G294,Tbl_KPIMaster[KPI],0))="Lower is Better",IF($J294&lt;=$I294,"Green",IF($J294&lt;=$I294+IF($I294=0,$K294,$I294*$K294),"Amber","Red")),IF($J294&gt;=$I294,"Green",IF($J294&gt;=$I294-IF($I294=0,$K294,$I294*$K294),"Amber","Red"))),"")</f>
        <v/>
      </c>
      <c r="T294" s="10" t="inlineStr"/>
    </row>
    <row r="295">
      <c r="A295" s="3" t="n">
        <v>46144</v>
      </c>
      <c r="B295" s="4">
        <f>IF($A295="","",TEXT($A295,"mmm-yyyy"))</f>
        <v/>
      </c>
      <c r="C295" s="4">
        <f>IF($A295="","","W"&amp;WEEKNUM($A295,2))</f>
        <v/>
      </c>
      <c r="D295" s="4">
        <f>IF($A295="","",TEXT($A295,"ddd"))</f>
        <v/>
      </c>
      <c r="E295" s="4" t="inlineStr">
        <is>
          <t>HR</t>
        </is>
      </c>
      <c r="F295" s="4">
        <f>IFERROR(INDEX(Tbl_KPIMaster[Category],MATCH($G295,Tbl_KPIMaster[KPI],0)),"")</f>
        <v/>
      </c>
      <c r="G295" s="4" t="inlineStr">
        <is>
          <t>Absenteeism %</t>
        </is>
      </c>
      <c r="H295" s="4">
        <f>IFERROR(INDEX(Tbl_KPIMaster[Unit],MATCH($G295,Tbl_KPIMaster[KPI],0)),"")</f>
        <v/>
      </c>
      <c r="I295" s="5">
        <f>IFERROR(INDEX(Tbl_KPIMaster[Maximum Target],MATCH($G295,Tbl_KPIMaster[KPI],0)),"")</f>
        <v/>
      </c>
      <c r="J295" s="5" t="n">
        <v>0.0215</v>
      </c>
      <c r="K295" s="4">
        <f>IFERROR(INDEX(Tbl_KPIMaster[Tolerance],MATCH($G295,Tbl_KPIMaster[KPI],0)),"")</f>
        <v/>
      </c>
      <c r="L295" s="4">
        <f>IFERROR(INDEX(Tbl_KPIMaster[Owner],MATCH($G295,Tbl_KPIMaster[KPI],0)),"")</f>
        <v/>
      </c>
      <c r="M295" s="6" t="inlineStr">
        <is>
          <t>Awaiting spares</t>
        </is>
      </c>
      <c r="N295" s="4" t="inlineStr">
        <is>
          <t>Engineering support needed</t>
        </is>
      </c>
      <c r="O295" s="4" t="inlineStr">
        <is>
          <t>Medium</t>
        </is>
      </c>
      <c r="P295" s="4" t="inlineStr">
        <is>
          <t>Closed</t>
        </is>
      </c>
      <c r="Q295" s="5">
        <f>IFERROR(IF(INDEX(Tbl_KPIMaster[Direction],MATCH($G295,Tbl_KPIMaster[KPI],0))="Lower is Better",IF($J295=0,1,IF($I295=0,0,$I295/$J295)),IF($I295=0,1,$J295/$I295)),0)</f>
        <v/>
      </c>
      <c r="R295" s="4">
        <f>IF(OR($I295="",$J295=""),"",$J295-$I295)</f>
        <v/>
      </c>
      <c r="S295" s="4">
        <f>IFERROR(IF(INDEX(Tbl_KPIMaster[Direction],MATCH($G295,Tbl_KPIMaster[KPI],0))="Lower is Better",IF($J295&lt;=$I295,"Green",IF($J295&lt;=$I295+IF($I295=0,$K295,$I295*$K295),"Amber","Red")),IF($J295&gt;=$I295,"Green",IF($J295&gt;=$I295-IF($I295=0,$K295,$I295*$K295),"Amber","Red"))),"")</f>
        <v/>
      </c>
      <c r="T295" s="6" t="inlineStr"/>
    </row>
    <row r="296">
      <c r="A296" s="7" t="n">
        <v>46144</v>
      </c>
      <c r="B296" s="8">
        <f>IF($A296="","",TEXT($A296,"mmm-yyyy"))</f>
        <v/>
      </c>
      <c r="C296" s="8">
        <f>IF($A296="","","W"&amp;WEEKNUM($A296,2))</f>
        <v/>
      </c>
      <c r="D296" s="8">
        <f>IF($A296="","",TEXT($A296,"ddd"))</f>
        <v/>
      </c>
      <c r="E296" s="8" t="inlineStr">
        <is>
          <t>HR</t>
        </is>
      </c>
      <c r="F296" s="8">
        <f>IFERROR(INDEX(Tbl_KPIMaster[Category],MATCH($G296,Tbl_KPIMaster[KPI],0)),"")</f>
        <v/>
      </c>
      <c r="G296" s="8" t="inlineStr">
        <is>
          <t>Training Hours</t>
        </is>
      </c>
      <c r="H296" s="8">
        <f>IFERROR(INDEX(Tbl_KPIMaster[Unit],MATCH($G296,Tbl_KPIMaster[KPI],0)),"")</f>
        <v/>
      </c>
      <c r="I296" s="9">
        <f>IFERROR(INDEX(Tbl_KPIMaster[Maximum Target],MATCH($G296,Tbl_KPIMaster[KPI],0)),"")</f>
        <v/>
      </c>
      <c r="J296" s="9" t="n">
        <v>2.27</v>
      </c>
      <c r="K296" s="8">
        <f>IFERROR(INDEX(Tbl_KPIMaster[Tolerance],MATCH($G296,Tbl_KPIMaster[KPI],0)),"")</f>
        <v/>
      </c>
      <c r="L296" s="8">
        <f>IFERROR(INDEX(Tbl_KPIMaster[Owner],MATCH($G296,Tbl_KPIMaster[KPI],0)),"")</f>
        <v/>
      </c>
      <c r="M296" s="10" t="inlineStr">
        <is>
          <t>Awaiting spares</t>
        </is>
      </c>
      <c r="N296" s="8" t="inlineStr">
        <is>
          <t>Procurement follow-up</t>
        </is>
      </c>
      <c r="O296" s="8" t="inlineStr">
        <is>
          <t>Low</t>
        </is>
      </c>
      <c r="P296" s="8" t="inlineStr">
        <is>
          <t>Closed</t>
        </is>
      </c>
      <c r="Q296" s="9">
        <f>IFERROR(IF(INDEX(Tbl_KPIMaster[Direction],MATCH($G296,Tbl_KPIMaster[KPI],0))="Lower is Better",IF($J296=0,1,IF($I296=0,0,$I296/$J296)),IF($I296=0,1,$J296/$I296)),0)</f>
        <v/>
      </c>
      <c r="R296" s="8">
        <f>IF(OR($I296="",$J296=""),"",$J296-$I296)</f>
        <v/>
      </c>
      <c r="S296" s="8">
        <f>IFERROR(IF(INDEX(Tbl_KPIMaster[Direction],MATCH($G296,Tbl_KPIMaster[KPI],0))="Lower is Better",IF($J296&lt;=$I296,"Green",IF($J296&lt;=$I296+IF($I296=0,$K296,$I296*$K296),"Amber","Red")),IF($J296&gt;=$I296,"Green",IF($J296&gt;=$I296-IF($I296=0,$K296,$I296*$K296),"Amber","Red"))),"")</f>
        <v/>
      </c>
      <c r="T296" s="10" t="inlineStr"/>
    </row>
    <row r="297">
      <c r="A297" s="3" t="n">
        <v>46144</v>
      </c>
      <c r="B297" s="4">
        <f>IF($A297="","",TEXT($A297,"mmm-yyyy"))</f>
        <v/>
      </c>
      <c r="C297" s="4">
        <f>IF($A297="","","W"&amp;WEEKNUM($A297,2))</f>
        <v/>
      </c>
      <c r="D297" s="4">
        <f>IF($A297="","",TEXT($A297,"ddd"))</f>
        <v/>
      </c>
      <c r="E297" s="4" t="inlineStr">
        <is>
          <t>Engineering</t>
        </is>
      </c>
      <c r="F297" s="4">
        <f>IFERROR(INDEX(Tbl_KPIMaster[Category],MATCH($G297,Tbl_KPIMaster[KPI],0)),"")</f>
        <v/>
      </c>
      <c r="G297" s="4" t="inlineStr">
        <is>
          <t>Project Milestone Adherence %</t>
        </is>
      </c>
      <c r="H297" s="4">
        <f>IFERROR(INDEX(Tbl_KPIMaster[Unit],MATCH($G297,Tbl_KPIMaster[KPI],0)),"")</f>
        <v/>
      </c>
      <c r="I297" s="5">
        <f>IFERROR(INDEX(Tbl_KPIMaster[Maximum Target],MATCH($G297,Tbl_KPIMaster[KPI],0)),"")</f>
        <v/>
      </c>
      <c r="J297" s="5" t="n">
        <v>1.1688</v>
      </c>
      <c r="K297" s="4">
        <f>IFERROR(INDEX(Tbl_KPIMaster[Tolerance],MATCH($G297,Tbl_KPIMaster[KPI],0)),"")</f>
        <v/>
      </c>
      <c r="L297" s="4">
        <f>IFERROR(INDEX(Tbl_KPIMaster[Owner],MATCH($G297,Tbl_KPIMaster[KPI],0)),"")</f>
        <v/>
      </c>
      <c r="M297" s="6" t="inlineStr">
        <is>
          <t>Process improvement in progress</t>
        </is>
      </c>
      <c r="N297" s="4" t="inlineStr">
        <is>
          <t>Procurement follow-up</t>
        </is>
      </c>
      <c r="O297" s="4" t="inlineStr">
        <is>
          <t>High</t>
        </is>
      </c>
      <c r="P297" s="4" t="inlineStr">
        <is>
          <t>Closed</t>
        </is>
      </c>
      <c r="Q297" s="5">
        <f>IFERROR(IF(INDEX(Tbl_KPIMaster[Direction],MATCH($G297,Tbl_KPIMaster[KPI],0))="Lower is Better",IF($J297=0,1,IF($I297=0,0,$I297/$J297)),IF($I297=0,1,$J297/$I297)),0)</f>
        <v/>
      </c>
      <c r="R297" s="4">
        <f>IF(OR($I297="",$J297=""),"",$J297-$I297)</f>
        <v/>
      </c>
      <c r="S297" s="4">
        <f>IFERROR(IF(INDEX(Tbl_KPIMaster[Direction],MATCH($G297,Tbl_KPIMaster[KPI],0))="Lower is Better",IF($J297&lt;=$I297,"Green",IF($J297&lt;=$I297+IF($I297=0,$K297,$I297*$K297),"Amber","Red")),IF($J297&gt;=$I297,"Green",IF($J297&gt;=$I297-IF($I297=0,$K297,$I297*$K297),"Amber","Red"))),"")</f>
        <v/>
      </c>
      <c r="T297" s="6" t="inlineStr"/>
    </row>
    <row r="298">
      <c r="A298" s="7" t="n">
        <v>46144</v>
      </c>
      <c r="B298" s="8">
        <f>IF($A298="","",TEXT($A298,"mmm-yyyy"))</f>
        <v/>
      </c>
      <c r="C298" s="8">
        <f>IF($A298="","","W"&amp;WEEKNUM($A298,2))</f>
        <v/>
      </c>
      <c r="D298" s="8">
        <f>IF($A298="","",TEXT($A298,"ddd"))</f>
        <v/>
      </c>
      <c r="E298" s="8" t="inlineStr">
        <is>
          <t>Engineering</t>
        </is>
      </c>
      <c r="F298" s="8">
        <f>IFERROR(INDEX(Tbl_KPIMaster[Category],MATCH($G298,Tbl_KPIMaster[KPI],0)),"")</f>
        <v/>
      </c>
      <c r="G298" s="8" t="inlineStr">
        <is>
          <t>Breakdown Resolution Time</t>
        </is>
      </c>
      <c r="H298" s="8">
        <f>IFERROR(INDEX(Tbl_KPIMaster[Unit],MATCH($G298,Tbl_KPIMaster[KPI],0)),"")</f>
        <v/>
      </c>
      <c r="I298" s="9">
        <f>IFERROR(INDEX(Tbl_KPIMaster[Maximum Target],MATCH($G298,Tbl_KPIMaster[KPI],0)),"")</f>
        <v/>
      </c>
      <c r="J298" s="9" t="n">
        <v>0.17</v>
      </c>
      <c r="K298" s="8">
        <f>IFERROR(INDEX(Tbl_KPIMaster[Tolerance],MATCH($G298,Tbl_KPIMaster[KPI],0)),"")</f>
        <v/>
      </c>
      <c r="L298" s="8">
        <f>IFERROR(INDEX(Tbl_KPIMaster[Owner],MATCH($G298,Tbl_KPIMaster[KPI],0)),"")</f>
        <v/>
      </c>
      <c r="M298" s="10" t="inlineStr">
        <is>
          <t>New operator training effect</t>
        </is>
      </c>
      <c r="N298" s="8" t="inlineStr">
        <is>
          <t>Engineering support needed</t>
        </is>
      </c>
      <c r="O298" s="8" t="inlineStr">
        <is>
          <t>High</t>
        </is>
      </c>
      <c r="P298" s="8" t="inlineStr">
        <is>
          <t>Closed</t>
        </is>
      </c>
      <c r="Q298" s="9">
        <f>IFERROR(IF(INDEX(Tbl_KPIMaster[Direction],MATCH($G298,Tbl_KPIMaster[KPI],0))="Lower is Better",IF($J298=0,1,IF($I298=0,0,$I298/$J298)),IF($I298=0,1,$J298/$I298)),0)</f>
        <v/>
      </c>
      <c r="R298" s="8">
        <f>IF(OR($I298="",$J298=""),"",$J298-$I298)</f>
        <v/>
      </c>
      <c r="S298" s="8">
        <f>IFERROR(IF(INDEX(Tbl_KPIMaster[Direction],MATCH($G298,Tbl_KPIMaster[KPI],0))="Lower is Better",IF($J298&lt;=$I298,"Green",IF($J298&lt;=$I298+IF($I298=0,$K298,$I298*$K298),"Amber","Red")),IF($J298&gt;=$I298,"Green",IF($J298&gt;=$I298-IF($I298=0,$K298,$I298*$K298),"Amber","Red"))),"")</f>
        <v/>
      </c>
      <c r="T298" s="10" t="inlineStr"/>
    </row>
    <row r="299">
      <c r="A299" s="3" t="n">
        <v>46144</v>
      </c>
      <c r="B299" s="4">
        <f>IF($A299="","",TEXT($A299,"mmm-yyyy"))</f>
        <v/>
      </c>
      <c r="C299" s="4">
        <f>IF($A299="","","W"&amp;WEEKNUM($A299,2))</f>
        <v/>
      </c>
      <c r="D299" s="4">
        <f>IF($A299="","",TEXT($A299,"ddd"))</f>
        <v/>
      </c>
      <c r="E299" s="4" t="inlineStr">
        <is>
          <t>Cost</t>
        </is>
      </c>
      <c r="F299" s="4">
        <f>IFERROR(INDEX(Tbl_KPIMaster[Category],MATCH($G299,Tbl_KPIMaster[KPI],0)),"")</f>
        <v/>
      </c>
      <c r="G299" s="4" t="inlineStr">
        <is>
          <t>Cost per Unit</t>
        </is>
      </c>
      <c r="H299" s="4">
        <f>IFERROR(INDEX(Tbl_KPIMaster[Unit],MATCH($G299,Tbl_KPIMaster[KPI],0)),"")</f>
        <v/>
      </c>
      <c r="I299" s="5">
        <f>IFERROR(INDEX(Tbl_KPIMaster[Maximum Target],MATCH($G299,Tbl_KPIMaster[KPI],0)),"")</f>
        <v/>
      </c>
      <c r="J299" s="5" t="n">
        <v>41.3</v>
      </c>
      <c r="K299" s="4">
        <f>IFERROR(INDEX(Tbl_KPIMaster[Tolerance],MATCH($G299,Tbl_KPIMaster[KPI],0)),"")</f>
        <v/>
      </c>
      <c r="L299" s="4">
        <f>IFERROR(INDEX(Tbl_KPIMaster[Owner],MATCH($G299,Tbl_KPIMaster[KPI],0)),"")</f>
        <v/>
      </c>
      <c r="M299" s="6" t="inlineStr">
        <is>
          <t>Within normal range</t>
        </is>
      </c>
      <c r="N299" s="4" t="inlineStr"/>
      <c r="O299" s="4" t="inlineStr">
        <is>
          <t>Medium</t>
        </is>
      </c>
      <c r="P299" s="4" t="inlineStr">
        <is>
          <t>Closed</t>
        </is>
      </c>
      <c r="Q299" s="5">
        <f>IFERROR(IF(INDEX(Tbl_KPIMaster[Direction],MATCH($G299,Tbl_KPIMaster[KPI],0))="Lower is Better",IF($J299=0,1,IF($I299=0,0,$I299/$J299)),IF($I299=0,1,$J299/$I299)),0)</f>
        <v/>
      </c>
      <c r="R299" s="4">
        <f>IF(OR($I299="",$J299=""),"",$J299-$I299)</f>
        <v/>
      </c>
      <c r="S299" s="4">
        <f>IFERROR(IF(INDEX(Tbl_KPIMaster[Direction],MATCH($G299,Tbl_KPIMaster[KPI],0))="Lower is Better",IF($J299&lt;=$I299,"Green",IF($J299&lt;=$I299+IF($I299=0,$K299,$I299*$K299),"Amber","Red")),IF($J299&gt;=$I299,"Green",IF($J299&gt;=$I299-IF($I299=0,$K299,$I299*$K299),"Amber","Red"))),"")</f>
        <v/>
      </c>
      <c r="T299" s="6" t="inlineStr"/>
    </row>
    <row r="300">
      <c r="A300" s="7" t="n">
        <v>46144</v>
      </c>
      <c r="B300" s="8">
        <f>IF($A300="","",TEXT($A300,"mmm-yyyy"))</f>
        <v/>
      </c>
      <c r="C300" s="8">
        <f>IF($A300="","","W"&amp;WEEKNUM($A300,2))</f>
        <v/>
      </c>
      <c r="D300" s="8">
        <f>IF($A300="","",TEXT($A300,"ddd"))</f>
        <v/>
      </c>
      <c r="E300" s="8" t="inlineStr">
        <is>
          <t>Cost</t>
        </is>
      </c>
      <c r="F300" s="8">
        <f>IFERROR(INDEX(Tbl_KPIMaster[Category],MATCH($G300,Tbl_KPIMaster[KPI],0)),"")</f>
        <v/>
      </c>
      <c r="G300" s="8" t="inlineStr">
        <is>
          <t>Budget Variance %</t>
        </is>
      </c>
      <c r="H300" s="8">
        <f>IFERROR(INDEX(Tbl_KPIMaster[Unit],MATCH($G300,Tbl_KPIMaster[KPI],0)),"")</f>
        <v/>
      </c>
      <c r="I300" s="9">
        <f>IFERROR(INDEX(Tbl_KPIMaster[Maximum Target],MATCH($G300,Tbl_KPIMaster[KPI],0)),"")</f>
        <v/>
      </c>
      <c r="J300" s="9" t="n">
        <v>0</v>
      </c>
      <c r="K300" s="8">
        <f>IFERROR(INDEX(Tbl_KPIMaster[Tolerance],MATCH($G300,Tbl_KPIMaster[KPI],0)),"")</f>
        <v/>
      </c>
      <c r="L300" s="8">
        <f>IFERROR(INDEX(Tbl_KPIMaster[Owner],MATCH($G300,Tbl_KPIMaster[KPI],0)),"")</f>
        <v/>
      </c>
      <c r="M300" s="10" t="inlineStr">
        <is>
          <t>Preventive check done</t>
        </is>
      </c>
      <c r="N300" s="8" t="inlineStr"/>
      <c r="O300" s="8" t="inlineStr">
        <is>
          <t>Low</t>
        </is>
      </c>
      <c r="P300" s="8" t="inlineStr">
        <is>
          <t>Closed</t>
        </is>
      </c>
      <c r="Q300" s="9">
        <f>IFERROR(IF(INDEX(Tbl_KPIMaster[Direction],MATCH($G300,Tbl_KPIMaster[KPI],0))="Lower is Better",IF($J300=0,1,IF($I300=0,0,$I300/$J300)),IF($I300=0,1,$J300/$I300)),0)</f>
        <v/>
      </c>
      <c r="R300" s="8">
        <f>IF(OR($I300="",$J300=""),"",$J300-$I300)</f>
        <v/>
      </c>
      <c r="S300" s="8">
        <f>IFERROR(IF(INDEX(Tbl_KPIMaster[Direction],MATCH($G300,Tbl_KPIMaster[KPI],0))="Lower is Better",IF($J300&lt;=$I300,"Green",IF($J300&lt;=$I300+IF($I300=0,$K300,$I300*$K300),"Amber","Red")),IF($J300&gt;=$I300,"Green",IF($J300&gt;=$I300-IF($I300=0,$K300,$I300*$K300),"Amber","Red"))),"")</f>
        <v/>
      </c>
      <c r="T300" s="10" t="inlineStr"/>
    </row>
    <row r="301">
      <c r="A301" s="3" t="n">
        <v>46144</v>
      </c>
      <c r="B301" s="4">
        <f>IF($A301="","",TEXT($A301,"mmm-yyyy"))</f>
        <v/>
      </c>
      <c r="C301" s="4">
        <f>IF($A301="","","W"&amp;WEEKNUM($A301,2))</f>
        <v/>
      </c>
      <c r="D301" s="4">
        <f>IF($A301="","",TEXT($A301,"ddd"))</f>
        <v/>
      </c>
      <c r="E301" s="4" t="inlineStr">
        <is>
          <t>Energy</t>
        </is>
      </c>
      <c r="F301" s="4">
        <f>IFERROR(INDEX(Tbl_KPIMaster[Category],MATCH($G301,Tbl_KPIMaster[KPI],0)),"")</f>
        <v/>
      </c>
      <c r="G301" s="4" t="inlineStr">
        <is>
          <t>Energy Intensity (kWh/unit)</t>
        </is>
      </c>
      <c r="H301" s="4">
        <f>IFERROR(INDEX(Tbl_KPIMaster[Unit],MATCH($G301,Tbl_KPIMaster[KPI],0)),"")</f>
        <v/>
      </c>
      <c r="I301" s="5">
        <f>IFERROR(INDEX(Tbl_KPIMaster[Maximum Target],MATCH($G301,Tbl_KPIMaster[KPI],0)),"")</f>
        <v/>
      </c>
      <c r="J301" s="5" t="n">
        <v>3.99</v>
      </c>
      <c r="K301" s="4">
        <f>IFERROR(INDEX(Tbl_KPIMaster[Tolerance],MATCH($G301,Tbl_KPIMaster[KPI],0)),"")</f>
        <v/>
      </c>
      <c r="L301" s="4">
        <f>IFERROR(INDEX(Tbl_KPIMaster[Owner],MATCH($G301,Tbl_KPIMaster[KPI],0)),"")</f>
        <v/>
      </c>
      <c r="M301" s="6" t="inlineStr">
        <is>
          <t>Awaiting spares</t>
        </is>
      </c>
      <c r="N301" s="4" t="inlineStr"/>
      <c r="O301" s="4" t="inlineStr">
        <is>
          <t>Medium</t>
        </is>
      </c>
      <c r="P301" s="4" t="inlineStr">
        <is>
          <t>In Progress</t>
        </is>
      </c>
      <c r="Q301" s="5">
        <f>IFERROR(IF(INDEX(Tbl_KPIMaster[Direction],MATCH($G301,Tbl_KPIMaster[KPI],0))="Lower is Better",IF($J301=0,1,IF($I301=0,0,$I301/$J301)),IF($I301=0,1,$J301/$I301)),0)</f>
        <v/>
      </c>
      <c r="R301" s="4">
        <f>IF(OR($I301="",$J301=""),"",$J301-$I301)</f>
        <v/>
      </c>
      <c r="S301" s="4">
        <f>IFERROR(IF(INDEX(Tbl_KPIMaster[Direction],MATCH($G301,Tbl_KPIMaster[KPI],0))="Lower is Better",IF($J301&lt;=$I301,"Green",IF($J301&lt;=$I301+IF($I301=0,$K301,$I301*$K301),"Amber","Red")),IF($J301&gt;=$I301,"Green",IF($J301&gt;=$I301-IF($I301=0,$K301,$I301*$K301),"Amber","Red"))),"")</f>
        <v/>
      </c>
      <c r="T301" s="6" t="inlineStr"/>
    </row>
    <row r="302">
      <c r="A302" s="7" t="n">
        <v>46144</v>
      </c>
      <c r="B302" s="8">
        <f>IF($A302="","",TEXT($A302,"mmm-yyyy"))</f>
        <v/>
      </c>
      <c r="C302" s="8">
        <f>IF($A302="","","W"&amp;WEEKNUM($A302,2))</f>
        <v/>
      </c>
      <c r="D302" s="8">
        <f>IF($A302="","",TEXT($A302,"ddd"))</f>
        <v/>
      </c>
      <c r="E302" s="8" t="inlineStr">
        <is>
          <t>Energy</t>
        </is>
      </c>
      <c r="F302" s="8">
        <f>IFERROR(INDEX(Tbl_KPIMaster[Category],MATCH($G302,Tbl_KPIMaster[KPI],0)),"")</f>
        <v/>
      </c>
      <c r="G302" s="8" t="inlineStr">
        <is>
          <t>Renewable Energy Share %</t>
        </is>
      </c>
      <c r="H302" s="8">
        <f>IFERROR(INDEX(Tbl_KPIMaster[Unit],MATCH($G302,Tbl_KPIMaster[KPI],0)),"")</f>
        <v/>
      </c>
      <c r="I302" s="9">
        <f>IFERROR(INDEX(Tbl_KPIMaster[Maximum Target],MATCH($G302,Tbl_KPIMaster[KPI],0)),"")</f>
        <v/>
      </c>
      <c r="J302" s="9" t="n">
        <v>0.2542</v>
      </c>
      <c r="K302" s="8">
        <f>IFERROR(INDEX(Tbl_KPIMaster[Tolerance],MATCH($G302,Tbl_KPIMaster[KPI],0)),"")</f>
        <v/>
      </c>
      <c r="L302" s="8">
        <f>IFERROR(INDEX(Tbl_KPIMaster[Owner],MATCH($G302,Tbl_KPIMaster[KPI],0)),"")</f>
        <v/>
      </c>
      <c r="M302" s="10" t="inlineStr">
        <is>
          <t>Preventive check done</t>
        </is>
      </c>
      <c r="N302" s="8" t="inlineStr">
        <is>
          <t>Procurement follow-up</t>
        </is>
      </c>
      <c r="O302" s="8" t="inlineStr">
        <is>
          <t>Medium</t>
        </is>
      </c>
      <c r="P302" s="8" t="inlineStr">
        <is>
          <t>Closed</t>
        </is>
      </c>
      <c r="Q302" s="9">
        <f>IFERROR(IF(INDEX(Tbl_KPIMaster[Direction],MATCH($G302,Tbl_KPIMaster[KPI],0))="Lower is Better",IF($J302=0,1,IF($I302=0,0,$I302/$J302)),IF($I302=0,1,$J302/$I302)),0)</f>
        <v/>
      </c>
      <c r="R302" s="8">
        <f>IF(OR($I302="",$J302=""),"",$J302-$I302)</f>
        <v/>
      </c>
      <c r="S302" s="8">
        <f>IFERROR(IF(INDEX(Tbl_KPIMaster[Direction],MATCH($G302,Tbl_KPIMaster[KPI],0))="Lower is Better",IF($J302&lt;=$I302,"Green",IF($J302&lt;=$I302+IF($I302=0,$K302,$I302*$K302),"Amber","Red")),IF($J302&gt;=$I302,"Green",IF($J302&gt;=$I302-IF($I302=0,$K302,$I302*$K302),"Amber","Red"))),"")</f>
        <v/>
      </c>
      <c r="T302" s="10" t="inlineStr"/>
    </row>
    <row r="303">
      <c r="A303" s="3" t="n">
        <v>46145</v>
      </c>
      <c r="B303" s="4">
        <f>IF($A303="","",TEXT($A303,"mmm-yyyy"))</f>
        <v/>
      </c>
      <c r="C303" s="4">
        <f>IF($A303="","","W"&amp;WEEKNUM($A303,2))</f>
        <v/>
      </c>
      <c r="D303" s="4">
        <f>IF($A303="","",TEXT($A303,"ddd"))</f>
        <v/>
      </c>
      <c r="E303" s="4" t="inlineStr">
        <is>
          <t>Safety</t>
        </is>
      </c>
      <c r="F303" s="4">
        <f>IFERROR(INDEX(Tbl_KPIMaster[Category],MATCH($G303,Tbl_KPIMaster[KPI],0)),"")</f>
        <v/>
      </c>
      <c r="G303" s="4" t="inlineStr">
        <is>
          <t>Safety Incidents (LTI)</t>
        </is>
      </c>
      <c r="H303" s="4">
        <f>IFERROR(INDEX(Tbl_KPIMaster[Unit],MATCH($G303,Tbl_KPIMaster[KPI],0)),"")</f>
        <v/>
      </c>
      <c r="I303" s="5">
        <f>IFERROR(INDEX(Tbl_KPIMaster[Maximum Target],MATCH($G303,Tbl_KPIMaster[KPI],0)),"")</f>
        <v/>
      </c>
      <c r="J303" s="5" t="n">
        <v>1</v>
      </c>
      <c r="K303" s="4">
        <f>IFERROR(INDEX(Tbl_KPIMaster[Tolerance],MATCH($G303,Tbl_KPIMaster[KPI],0)),"")</f>
        <v/>
      </c>
      <c r="L303" s="4">
        <f>IFERROR(INDEX(Tbl_KPIMaster[Owner],MATCH($G303,Tbl_KPIMaster[KPI],0)),"")</f>
        <v/>
      </c>
      <c r="M303" s="6" t="inlineStr">
        <is>
          <t>Equipment breakdown</t>
        </is>
      </c>
      <c r="N303" s="4" t="inlineStr"/>
      <c r="O303" s="4" t="inlineStr">
        <is>
          <t>Low</t>
        </is>
      </c>
      <c r="P303" s="4" t="inlineStr">
        <is>
          <t>Closed</t>
        </is>
      </c>
      <c r="Q303" s="5">
        <f>IFERROR(IF(INDEX(Tbl_KPIMaster[Direction],MATCH($G303,Tbl_KPIMaster[KPI],0))="Lower is Better",IF($J303=0,1,IF($I303=0,0,$I303/$J303)),IF($I303=0,1,$J303/$I303)),0)</f>
        <v/>
      </c>
      <c r="R303" s="4">
        <f>IF(OR($I303="",$J303=""),"",$J303-$I303)</f>
        <v/>
      </c>
      <c r="S303" s="4">
        <f>IFERROR(IF(INDEX(Tbl_KPIMaster[Direction],MATCH($G303,Tbl_KPIMaster[KPI],0))="Lower is Better",IF($J303&lt;=$I303,"Green",IF($J303&lt;=$I303+IF($I303=0,$K303,$I303*$K303),"Amber","Red")),IF($J303&gt;=$I303,"Green",IF($J303&gt;=$I303-IF($I303=0,$K303,$I303*$K303),"Amber","Red"))),"")</f>
        <v/>
      </c>
      <c r="T303" s="6" t="inlineStr"/>
    </row>
    <row r="304">
      <c r="A304" s="7" t="n">
        <v>46145</v>
      </c>
      <c r="B304" s="8">
        <f>IF($A304="","",TEXT($A304,"mmm-yyyy"))</f>
        <v/>
      </c>
      <c r="C304" s="8">
        <f>IF($A304="","","W"&amp;WEEKNUM($A304,2))</f>
        <v/>
      </c>
      <c r="D304" s="8">
        <f>IF($A304="","",TEXT($A304,"ddd"))</f>
        <v/>
      </c>
      <c r="E304" s="8" t="inlineStr">
        <is>
          <t>Safety</t>
        </is>
      </c>
      <c r="F304" s="8">
        <f>IFERROR(INDEX(Tbl_KPIMaster[Category],MATCH($G304,Tbl_KPIMaster[KPI],0)),"")</f>
        <v/>
      </c>
      <c r="G304" s="8" t="inlineStr">
        <is>
          <t>Near Miss Reports</t>
        </is>
      </c>
      <c r="H304" s="8">
        <f>IFERROR(INDEX(Tbl_KPIMaster[Unit],MATCH($G304,Tbl_KPIMaster[KPI],0)),"")</f>
        <v/>
      </c>
      <c r="I304" s="9">
        <f>IFERROR(INDEX(Tbl_KPIMaster[Maximum Target],MATCH($G304,Tbl_KPIMaster[KPI],0)),"")</f>
        <v/>
      </c>
      <c r="J304" s="9" t="n">
        <v>2</v>
      </c>
      <c r="K304" s="8">
        <f>IFERROR(INDEX(Tbl_KPIMaster[Tolerance],MATCH($G304,Tbl_KPIMaster[KPI],0)),"")</f>
        <v/>
      </c>
      <c r="L304" s="8">
        <f>IFERROR(INDEX(Tbl_KPIMaster[Owner],MATCH($G304,Tbl_KPIMaster[KPI],0)),"")</f>
        <v/>
      </c>
      <c r="M304" s="10" t="inlineStr">
        <is>
          <t>Vendor delay</t>
        </is>
      </c>
      <c r="N304" s="8" t="inlineStr"/>
      <c r="O304" s="8" t="inlineStr">
        <is>
          <t>Low</t>
        </is>
      </c>
      <c r="P304" s="8" t="inlineStr">
        <is>
          <t>In Progress</t>
        </is>
      </c>
      <c r="Q304" s="9">
        <f>IFERROR(IF(INDEX(Tbl_KPIMaster[Direction],MATCH($G304,Tbl_KPIMaster[KPI],0))="Lower is Better",IF($J304=0,1,IF($I304=0,0,$I304/$J304)),IF($I304=0,1,$J304/$I304)),0)</f>
        <v/>
      </c>
      <c r="R304" s="8">
        <f>IF(OR($I304="",$J304=""),"",$J304-$I304)</f>
        <v/>
      </c>
      <c r="S304" s="8">
        <f>IFERROR(IF(INDEX(Tbl_KPIMaster[Direction],MATCH($G304,Tbl_KPIMaster[KPI],0))="Lower is Better",IF($J304&lt;=$I304,"Green",IF($J304&lt;=$I304+IF($I304=0,$K304,$I304*$K304),"Amber","Red")),IF($J304&gt;=$I304,"Green",IF($J304&gt;=$I304-IF($I304=0,$K304,$I304*$K304),"Amber","Red"))),"")</f>
        <v/>
      </c>
      <c r="T304" s="10" t="inlineStr"/>
    </row>
    <row r="305">
      <c r="A305" s="3" t="n">
        <v>46145</v>
      </c>
      <c r="B305" s="4">
        <f>IF($A305="","",TEXT($A305,"mmm-yyyy"))</f>
        <v/>
      </c>
      <c r="C305" s="4">
        <f>IF($A305="","","W"&amp;WEEKNUM($A305,2))</f>
        <v/>
      </c>
      <c r="D305" s="4">
        <f>IF($A305="","",TEXT($A305,"ddd"))</f>
        <v/>
      </c>
      <c r="E305" s="4" t="inlineStr">
        <is>
          <t>Production</t>
        </is>
      </c>
      <c r="F305" s="4">
        <f>IFERROR(INDEX(Tbl_KPIMaster[Category],MATCH($G305,Tbl_KPIMaster[KPI],0)),"")</f>
        <v/>
      </c>
      <c r="G305" s="4" t="inlineStr">
        <is>
          <t>Production Output</t>
        </is>
      </c>
      <c r="H305" s="4">
        <f>IFERROR(INDEX(Tbl_KPIMaster[Unit],MATCH($G305,Tbl_KPIMaster[KPI],0)),"")</f>
        <v/>
      </c>
      <c r="I305" s="5">
        <f>IFERROR(INDEX(Tbl_KPIMaster[Maximum Target],MATCH($G305,Tbl_KPIMaster[KPI],0)),"")</f>
        <v/>
      </c>
      <c r="J305" s="5" t="n">
        <v>915.17</v>
      </c>
      <c r="K305" s="4">
        <f>IFERROR(INDEX(Tbl_KPIMaster[Tolerance],MATCH($G305,Tbl_KPIMaster[KPI],0)),"")</f>
        <v/>
      </c>
      <c r="L305" s="4">
        <f>IFERROR(INDEX(Tbl_KPIMaster[Owner],MATCH($G305,Tbl_KPIMaster[KPI],0)),"")</f>
        <v/>
      </c>
      <c r="M305" s="6" t="inlineStr">
        <is>
          <t>Manpower shortage</t>
        </is>
      </c>
      <c r="N305" s="4" t="inlineStr"/>
      <c r="O305" s="4" t="inlineStr">
        <is>
          <t>Low</t>
        </is>
      </c>
      <c r="P305" s="4" t="inlineStr">
        <is>
          <t>Closed</t>
        </is>
      </c>
      <c r="Q305" s="5">
        <f>IFERROR(IF(INDEX(Tbl_KPIMaster[Direction],MATCH($G305,Tbl_KPIMaster[KPI],0))="Lower is Better",IF($J305=0,1,IF($I305=0,0,$I305/$J305)),IF($I305=0,1,$J305/$I305)),0)</f>
        <v/>
      </c>
      <c r="R305" s="4">
        <f>IF(OR($I305="",$J305=""),"",$J305-$I305)</f>
        <v/>
      </c>
      <c r="S305" s="4">
        <f>IFERROR(IF(INDEX(Tbl_KPIMaster[Direction],MATCH($G305,Tbl_KPIMaster[KPI],0))="Lower is Better",IF($J305&lt;=$I305,"Green",IF($J305&lt;=$I305+IF($I305=0,$K305,$I305*$K305),"Amber","Red")),IF($J305&gt;=$I305,"Green",IF($J305&gt;=$I305-IF($I305=0,$K305,$I305*$K305),"Amber","Red"))),"")</f>
        <v/>
      </c>
      <c r="T305" s="6" t="inlineStr"/>
    </row>
    <row r="306">
      <c r="A306" s="7" t="n">
        <v>46145</v>
      </c>
      <c r="B306" s="8">
        <f>IF($A306="","",TEXT($A306,"mmm-yyyy"))</f>
        <v/>
      </c>
      <c r="C306" s="8">
        <f>IF($A306="","","W"&amp;WEEKNUM($A306,2))</f>
        <v/>
      </c>
      <c r="D306" s="8">
        <f>IF($A306="","",TEXT($A306,"ddd"))</f>
        <v/>
      </c>
      <c r="E306" s="8" t="inlineStr">
        <is>
          <t>Production</t>
        </is>
      </c>
      <c r="F306" s="8">
        <f>IFERROR(INDEX(Tbl_KPIMaster[Category],MATCH($G306,Tbl_KPIMaster[KPI],0)),"")</f>
        <v/>
      </c>
      <c r="G306" s="8" t="inlineStr">
        <is>
          <t>OEE %</t>
        </is>
      </c>
      <c r="H306" s="8">
        <f>IFERROR(INDEX(Tbl_KPIMaster[Unit],MATCH($G306,Tbl_KPIMaster[KPI],0)),"")</f>
        <v/>
      </c>
      <c r="I306" s="9">
        <f>IFERROR(INDEX(Tbl_KPIMaster[Maximum Target],MATCH($G306,Tbl_KPIMaster[KPI],0)),"")</f>
        <v/>
      </c>
      <c r="J306" s="9" t="n">
        <v>0.7559</v>
      </c>
      <c r="K306" s="8">
        <f>IFERROR(INDEX(Tbl_KPIMaster[Tolerance],MATCH($G306,Tbl_KPIMaster[KPI],0)),"")</f>
        <v/>
      </c>
      <c r="L306" s="8">
        <f>IFERROR(INDEX(Tbl_KPIMaster[Owner],MATCH($G306,Tbl_KPIMaster[KPI],0)),"")</f>
        <v/>
      </c>
      <c r="M306" s="10" t="inlineStr">
        <is>
          <t>Equipment breakdown</t>
        </is>
      </c>
      <c r="N306" s="8" t="inlineStr">
        <is>
          <t>Engineering support needed</t>
        </is>
      </c>
      <c r="O306" s="8" t="inlineStr">
        <is>
          <t>Medium</t>
        </is>
      </c>
      <c r="P306" s="8" t="inlineStr">
        <is>
          <t>Closed</t>
        </is>
      </c>
      <c r="Q306" s="9">
        <f>IFERROR(IF(INDEX(Tbl_KPIMaster[Direction],MATCH($G306,Tbl_KPIMaster[KPI],0))="Lower is Better",IF($J306=0,1,IF($I306=0,0,$I306/$J306)),IF($I306=0,1,$J306/$I306)),0)</f>
        <v/>
      </c>
      <c r="R306" s="8">
        <f>IF(OR($I306="",$J306=""),"",$J306-$I306)</f>
        <v/>
      </c>
      <c r="S306" s="8">
        <f>IFERROR(IF(INDEX(Tbl_KPIMaster[Direction],MATCH($G306,Tbl_KPIMaster[KPI],0))="Lower is Better",IF($J306&lt;=$I306,"Green",IF($J306&lt;=$I306+IF($I306=0,$K306,$I306*$K306),"Amber","Red")),IF($J306&gt;=$I306,"Green",IF($J306&gt;=$I306-IF($I306=0,$K306,$I306*$K306),"Amber","Red"))),"")</f>
        <v/>
      </c>
      <c r="T306" s="10" t="inlineStr"/>
    </row>
    <row r="307">
      <c r="A307" s="3" t="n">
        <v>46145</v>
      </c>
      <c r="B307" s="4">
        <f>IF($A307="","",TEXT($A307,"mmm-yyyy"))</f>
        <v/>
      </c>
      <c r="C307" s="4">
        <f>IF($A307="","","W"&amp;WEEKNUM($A307,2))</f>
        <v/>
      </c>
      <c r="D307" s="4">
        <f>IF($A307="","",TEXT($A307,"ddd"))</f>
        <v/>
      </c>
      <c r="E307" s="4" t="inlineStr">
        <is>
          <t>Quality</t>
        </is>
      </c>
      <c r="F307" s="4">
        <f>IFERROR(INDEX(Tbl_KPIMaster[Category],MATCH($G307,Tbl_KPIMaster[KPI],0)),"")</f>
        <v/>
      </c>
      <c r="G307" s="4" t="inlineStr">
        <is>
          <t>Defect Rate %</t>
        </is>
      </c>
      <c r="H307" s="4">
        <f>IFERROR(INDEX(Tbl_KPIMaster[Unit],MATCH($G307,Tbl_KPIMaster[KPI],0)),"")</f>
        <v/>
      </c>
      <c r="I307" s="5">
        <f>IFERROR(INDEX(Tbl_KPIMaster[Maximum Target],MATCH($G307,Tbl_KPIMaster[KPI],0)),"")</f>
        <v/>
      </c>
      <c r="J307" s="5" t="n">
        <v>0.3404</v>
      </c>
      <c r="K307" s="4">
        <f>IFERROR(INDEX(Tbl_KPIMaster[Tolerance],MATCH($G307,Tbl_KPIMaster[KPI],0)),"")</f>
        <v/>
      </c>
      <c r="L307" s="4">
        <f>IFERROR(INDEX(Tbl_KPIMaster[Owner],MATCH($G307,Tbl_KPIMaster[KPI],0)),"")</f>
        <v/>
      </c>
      <c r="M307" s="6" t="inlineStr">
        <is>
          <t>Line changeover impact</t>
        </is>
      </c>
      <c r="N307" s="4" t="inlineStr">
        <is>
          <t>Management approval pending</t>
        </is>
      </c>
      <c r="O307" s="4" t="inlineStr">
        <is>
          <t>Low</t>
        </is>
      </c>
      <c r="P307" s="4" t="inlineStr">
        <is>
          <t>Closed</t>
        </is>
      </c>
      <c r="Q307" s="5">
        <f>IFERROR(IF(INDEX(Tbl_KPIMaster[Direction],MATCH($G307,Tbl_KPIMaster[KPI],0))="Lower is Better",IF($J307=0,1,IF($I307=0,0,$I307/$J307)),IF($I307=0,1,$J307/$I307)),0)</f>
        <v/>
      </c>
      <c r="R307" s="4">
        <f>IF(OR($I307="",$J307=""),"",$J307-$I307)</f>
        <v/>
      </c>
      <c r="S307" s="4">
        <f>IFERROR(IF(INDEX(Tbl_KPIMaster[Direction],MATCH($G307,Tbl_KPIMaster[KPI],0))="Lower is Better",IF($J307&lt;=$I307,"Green",IF($J307&lt;=$I307+IF($I307=0,$K307,$I307*$K307),"Amber","Red")),IF($J307&gt;=$I307,"Green",IF($J307&gt;=$I307-IF($I307=0,$K307,$I307*$K307),"Amber","Red"))),"")</f>
        <v/>
      </c>
      <c r="T307" s="6" t="inlineStr"/>
    </row>
    <row r="308">
      <c r="A308" s="7" t="n">
        <v>46145</v>
      </c>
      <c r="B308" s="8">
        <f>IF($A308="","",TEXT($A308,"mmm-yyyy"))</f>
        <v/>
      </c>
      <c r="C308" s="8">
        <f>IF($A308="","","W"&amp;WEEKNUM($A308,2))</f>
        <v/>
      </c>
      <c r="D308" s="8">
        <f>IF($A308="","",TEXT($A308,"ddd"))</f>
        <v/>
      </c>
      <c r="E308" s="8" t="inlineStr">
        <is>
          <t>Quality</t>
        </is>
      </c>
      <c r="F308" s="8">
        <f>IFERROR(INDEX(Tbl_KPIMaster[Category],MATCH($G308,Tbl_KPIMaster[KPI],0)),"")</f>
        <v/>
      </c>
      <c r="G308" s="8" t="inlineStr">
        <is>
          <t>Customer Complaints</t>
        </is>
      </c>
      <c r="H308" s="8">
        <f>IFERROR(INDEX(Tbl_KPIMaster[Unit],MATCH($G308,Tbl_KPIMaster[KPI],0)),"")</f>
        <v/>
      </c>
      <c r="I308" s="9">
        <f>IFERROR(INDEX(Tbl_KPIMaster[Maximum Target],MATCH($G308,Tbl_KPIMaster[KPI],0)),"")</f>
        <v/>
      </c>
      <c r="J308" s="9" t="n">
        <v>2</v>
      </c>
      <c r="K308" s="8">
        <f>IFERROR(INDEX(Tbl_KPIMaster[Tolerance],MATCH($G308,Tbl_KPIMaster[KPI],0)),"")</f>
        <v/>
      </c>
      <c r="L308" s="8">
        <f>IFERROR(INDEX(Tbl_KPIMaster[Owner],MATCH($G308,Tbl_KPIMaster[KPI],0)),"")</f>
        <v/>
      </c>
      <c r="M308" s="10" t="inlineStr">
        <is>
          <t>New operator training effect</t>
        </is>
      </c>
      <c r="N308" s="8" t="inlineStr">
        <is>
          <t>Management approval pending</t>
        </is>
      </c>
      <c r="O308" s="8" t="inlineStr">
        <is>
          <t>Medium</t>
        </is>
      </c>
      <c r="P308" s="8" t="inlineStr">
        <is>
          <t>In Progress</t>
        </is>
      </c>
      <c r="Q308" s="9">
        <f>IFERROR(IF(INDEX(Tbl_KPIMaster[Direction],MATCH($G308,Tbl_KPIMaster[KPI],0))="Lower is Better",IF($J308=0,1,IF($I308=0,0,$I308/$J308)),IF($I308=0,1,$J308/$I308)),0)</f>
        <v/>
      </c>
      <c r="R308" s="8">
        <f>IF(OR($I308="",$J308=""),"",$J308-$I308)</f>
        <v/>
      </c>
      <c r="S308" s="8">
        <f>IFERROR(IF(INDEX(Tbl_KPIMaster[Direction],MATCH($G308,Tbl_KPIMaster[KPI],0))="Lower is Better",IF($J308&lt;=$I308,"Green",IF($J308&lt;=$I308+IF($I308=0,$K308,$I308*$K308),"Amber","Red")),IF($J308&gt;=$I308,"Green",IF($J308&gt;=$I308-IF($I308=0,$K308,$I308*$K308),"Amber","Red"))),"")</f>
        <v/>
      </c>
      <c r="T308" s="10" t="inlineStr"/>
    </row>
    <row r="309">
      <c r="A309" s="3" t="n">
        <v>46145</v>
      </c>
      <c r="B309" s="4">
        <f>IF($A309="","",TEXT($A309,"mmm-yyyy"))</f>
        <v/>
      </c>
      <c r="C309" s="4">
        <f>IF($A309="","","W"&amp;WEEKNUM($A309,2))</f>
        <v/>
      </c>
      <c r="D309" s="4">
        <f>IF($A309="","",TEXT($A309,"ddd"))</f>
        <v/>
      </c>
      <c r="E309" s="4" t="inlineStr">
        <is>
          <t>Maintenance</t>
        </is>
      </c>
      <c r="F309" s="4">
        <f>IFERROR(INDEX(Tbl_KPIMaster[Category],MATCH($G309,Tbl_KPIMaster[KPI],0)),"")</f>
        <v/>
      </c>
      <c r="G309" s="4" t="inlineStr">
        <is>
          <t>Unplanned Downtime</t>
        </is>
      </c>
      <c r="H309" s="4">
        <f>IFERROR(INDEX(Tbl_KPIMaster[Unit],MATCH($G309,Tbl_KPIMaster[KPI],0)),"")</f>
        <v/>
      </c>
      <c r="I309" s="5">
        <f>IFERROR(INDEX(Tbl_KPIMaster[Maximum Target],MATCH($G309,Tbl_KPIMaster[KPI],0)),"")</f>
        <v/>
      </c>
      <c r="J309" s="5" t="n">
        <v>0</v>
      </c>
      <c r="K309" s="4">
        <f>IFERROR(INDEX(Tbl_KPIMaster[Tolerance],MATCH($G309,Tbl_KPIMaster[KPI],0)),"")</f>
        <v/>
      </c>
      <c r="L309" s="4">
        <f>IFERROR(INDEX(Tbl_KPIMaster[Owner],MATCH($G309,Tbl_KPIMaster[KPI],0)),"")</f>
        <v/>
      </c>
      <c r="M309" s="6" t="inlineStr">
        <is>
          <t>Line changeover impact</t>
        </is>
      </c>
      <c r="N309" s="4" t="inlineStr">
        <is>
          <t>Procurement follow-up</t>
        </is>
      </c>
      <c r="O309" s="4" t="inlineStr">
        <is>
          <t>Medium</t>
        </is>
      </c>
      <c r="P309" s="4" t="inlineStr">
        <is>
          <t>Closed</t>
        </is>
      </c>
      <c r="Q309" s="5">
        <f>IFERROR(IF(INDEX(Tbl_KPIMaster[Direction],MATCH($G309,Tbl_KPIMaster[KPI],0))="Lower is Better",IF($J309=0,1,IF($I309=0,0,$I309/$J309)),IF($I309=0,1,$J309/$I309)),0)</f>
        <v/>
      </c>
      <c r="R309" s="4">
        <f>IF(OR($I309="",$J309=""),"",$J309-$I309)</f>
        <v/>
      </c>
      <c r="S309" s="4">
        <f>IFERROR(IF(INDEX(Tbl_KPIMaster[Direction],MATCH($G309,Tbl_KPIMaster[KPI],0))="Lower is Better",IF($J309&lt;=$I309,"Green",IF($J309&lt;=$I309+IF($I309=0,$K309,$I309*$K309),"Amber","Red")),IF($J309&gt;=$I309,"Green",IF($J309&gt;=$I309-IF($I309=0,$K309,$I309*$K309),"Amber","Red"))),"")</f>
        <v/>
      </c>
      <c r="T309" s="6" t="inlineStr"/>
    </row>
    <row r="310">
      <c r="A310" s="7" t="n">
        <v>46145</v>
      </c>
      <c r="B310" s="8">
        <f>IF($A310="","",TEXT($A310,"mmm-yyyy"))</f>
        <v/>
      </c>
      <c r="C310" s="8">
        <f>IF($A310="","","W"&amp;WEEKNUM($A310,2))</f>
        <v/>
      </c>
      <c r="D310" s="8">
        <f>IF($A310="","",TEXT($A310,"ddd"))</f>
        <v/>
      </c>
      <c r="E310" s="8" t="inlineStr">
        <is>
          <t>Maintenance</t>
        </is>
      </c>
      <c r="F310" s="8">
        <f>IFERROR(INDEX(Tbl_KPIMaster[Category],MATCH($G310,Tbl_KPIMaster[KPI],0)),"")</f>
        <v/>
      </c>
      <c r="G310" s="8" t="inlineStr">
        <is>
          <t>PM Compliance %</t>
        </is>
      </c>
      <c r="H310" s="8">
        <f>IFERROR(INDEX(Tbl_KPIMaster[Unit],MATCH($G310,Tbl_KPIMaster[KPI],0)),"")</f>
        <v/>
      </c>
      <c r="I310" s="9">
        <f>IFERROR(INDEX(Tbl_KPIMaster[Maximum Target],MATCH($G310,Tbl_KPIMaster[KPI],0)),"")</f>
        <v/>
      </c>
      <c r="J310" s="9" t="n">
        <v>1.0247</v>
      </c>
      <c r="K310" s="8">
        <f>IFERROR(INDEX(Tbl_KPIMaster[Tolerance],MATCH($G310,Tbl_KPIMaster[KPI],0)),"")</f>
        <v/>
      </c>
      <c r="L310" s="8">
        <f>IFERROR(INDEX(Tbl_KPIMaster[Owner],MATCH($G310,Tbl_KPIMaster[KPI],0)),"")</f>
        <v/>
      </c>
      <c r="M310" s="10" t="inlineStr">
        <is>
          <t>Equipment breakdown</t>
        </is>
      </c>
      <c r="N310" s="8" t="inlineStr">
        <is>
          <t>Engineering support needed</t>
        </is>
      </c>
      <c r="O310" s="8" t="inlineStr">
        <is>
          <t>Low</t>
        </is>
      </c>
      <c r="P310" s="8" t="inlineStr">
        <is>
          <t>Closed</t>
        </is>
      </c>
      <c r="Q310" s="9">
        <f>IFERROR(IF(INDEX(Tbl_KPIMaster[Direction],MATCH($G310,Tbl_KPIMaster[KPI],0))="Lower is Better",IF($J310=0,1,IF($I310=0,0,$I310/$J310)),IF($I310=0,1,$J310/$I310)),0)</f>
        <v/>
      </c>
      <c r="R310" s="8">
        <f>IF(OR($I310="",$J310=""),"",$J310-$I310)</f>
        <v/>
      </c>
      <c r="S310" s="8">
        <f>IFERROR(IF(INDEX(Tbl_KPIMaster[Direction],MATCH($G310,Tbl_KPIMaster[KPI],0))="Lower is Better",IF($J310&lt;=$I310,"Green",IF($J310&lt;=$I310+IF($I310=0,$K310,$I310*$K310),"Amber","Red")),IF($J310&gt;=$I310,"Green",IF($J310&gt;=$I310-IF($I310=0,$K310,$I310*$K310),"Amber","Red"))),"")</f>
        <v/>
      </c>
      <c r="T310" s="10" t="inlineStr"/>
    </row>
    <row r="311">
      <c r="A311" s="3" t="n">
        <v>46145</v>
      </c>
      <c r="B311" s="4">
        <f>IF($A311="","",TEXT($A311,"mmm-yyyy"))</f>
        <v/>
      </c>
      <c r="C311" s="4">
        <f>IF($A311="","","W"&amp;WEEKNUM($A311,2))</f>
        <v/>
      </c>
      <c r="D311" s="4">
        <f>IF($A311="","",TEXT($A311,"ddd"))</f>
        <v/>
      </c>
      <c r="E311" s="4" t="inlineStr">
        <is>
          <t>Utilities</t>
        </is>
      </c>
      <c r="F311" s="4">
        <f>IFERROR(INDEX(Tbl_KPIMaster[Category],MATCH($G311,Tbl_KPIMaster[KPI],0)),"")</f>
        <v/>
      </c>
      <c r="G311" s="4" t="inlineStr">
        <is>
          <t>Power Consumption</t>
        </is>
      </c>
      <c r="H311" s="4">
        <f>IFERROR(INDEX(Tbl_KPIMaster[Unit],MATCH($G311,Tbl_KPIMaster[KPI],0)),"")</f>
        <v/>
      </c>
      <c r="I311" s="5">
        <f>IFERROR(INDEX(Tbl_KPIMaster[Maximum Target],MATCH($G311,Tbl_KPIMaster[KPI],0)),"")</f>
        <v/>
      </c>
      <c r="J311" s="5" t="n">
        <v>3636.49</v>
      </c>
      <c r="K311" s="4">
        <f>IFERROR(INDEX(Tbl_KPIMaster[Tolerance],MATCH($G311,Tbl_KPIMaster[KPI],0)),"")</f>
        <v/>
      </c>
      <c r="L311" s="4">
        <f>IFERROR(INDEX(Tbl_KPIMaster[Owner],MATCH($G311,Tbl_KPIMaster[KPI],0)),"")</f>
        <v/>
      </c>
      <c r="M311" s="6" t="inlineStr">
        <is>
          <t>Awaiting spares</t>
        </is>
      </c>
      <c r="N311" s="4" t="inlineStr"/>
      <c r="O311" s="4" t="inlineStr">
        <is>
          <t>High</t>
        </is>
      </c>
      <c r="P311" s="4" t="inlineStr">
        <is>
          <t>Closed</t>
        </is>
      </c>
      <c r="Q311" s="5">
        <f>IFERROR(IF(INDEX(Tbl_KPIMaster[Direction],MATCH($G311,Tbl_KPIMaster[KPI],0))="Lower is Better",IF($J311=0,1,IF($I311=0,0,$I311/$J311)),IF($I311=0,1,$J311/$I311)),0)</f>
        <v/>
      </c>
      <c r="R311" s="4">
        <f>IF(OR($I311="",$J311=""),"",$J311-$I311)</f>
        <v/>
      </c>
      <c r="S311" s="4">
        <f>IFERROR(IF(INDEX(Tbl_KPIMaster[Direction],MATCH($G311,Tbl_KPIMaster[KPI],0))="Lower is Better",IF($J311&lt;=$I311,"Green",IF($J311&lt;=$I311+IF($I311=0,$K311,$I311*$K311),"Amber","Red")),IF($J311&gt;=$I311,"Green",IF($J311&gt;=$I311-IF($I311=0,$K311,$I311*$K311),"Amber","Red"))),"")</f>
        <v/>
      </c>
      <c r="T311" s="6" t="inlineStr"/>
    </row>
    <row r="312">
      <c r="A312" s="7" t="n">
        <v>46145</v>
      </c>
      <c r="B312" s="8">
        <f>IF($A312="","",TEXT($A312,"mmm-yyyy"))</f>
        <v/>
      </c>
      <c r="C312" s="8">
        <f>IF($A312="","","W"&amp;WEEKNUM($A312,2))</f>
        <v/>
      </c>
      <c r="D312" s="8">
        <f>IF($A312="","",TEXT($A312,"ddd"))</f>
        <v/>
      </c>
      <c r="E312" s="8" t="inlineStr">
        <is>
          <t>Utilities</t>
        </is>
      </c>
      <c r="F312" s="8">
        <f>IFERROR(INDEX(Tbl_KPIMaster[Category],MATCH($G312,Tbl_KPIMaster[KPI],0)),"")</f>
        <v/>
      </c>
      <c r="G312" s="8" t="inlineStr">
        <is>
          <t>Water Consumption</t>
        </is>
      </c>
      <c r="H312" s="8">
        <f>IFERROR(INDEX(Tbl_KPIMaster[Unit],MATCH($G312,Tbl_KPIMaster[KPI],0)),"")</f>
        <v/>
      </c>
      <c r="I312" s="9">
        <f>IFERROR(INDEX(Tbl_KPIMaster[Maximum Target],MATCH($G312,Tbl_KPIMaster[KPI],0)),"")</f>
        <v/>
      </c>
      <c r="J312" s="9" t="n">
        <v>58.17</v>
      </c>
      <c r="K312" s="8">
        <f>IFERROR(INDEX(Tbl_KPIMaster[Tolerance],MATCH($G312,Tbl_KPIMaster[KPI],0)),"")</f>
        <v/>
      </c>
      <c r="L312" s="8">
        <f>IFERROR(INDEX(Tbl_KPIMaster[Owner],MATCH($G312,Tbl_KPIMaster[KPI],0)),"")</f>
        <v/>
      </c>
      <c r="M312" s="10" t="inlineStr">
        <is>
          <t>Line changeover impact</t>
        </is>
      </c>
      <c r="N312" s="8" t="inlineStr"/>
      <c r="O312" s="8" t="inlineStr">
        <is>
          <t>Medium</t>
        </is>
      </c>
      <c r="P312" s="8" t="inlineStr">
        <is>
          <t>In Progress</t>
        </is>
      </c>
      <c r="Q312" s="9">
        <f>IFERROR(IF(INDEX(Tbl_KPIMaster[Direction],MATCH($G312,Tbl_KPIMaster[KPI],0))="Lower is Better",IF($J312=0,1,IF($I312=0,0,$I312/$J312)),IF($I312=0,1,$J312/$I312)),0)</f>
        <v/>
      </c>
      <c r="R312" s="8">
        <f>IF(OR($I312="",$J312=""),"",$J312-$I312)</f>
        <v/>
      </c>
      <c r="S312" s="8">
        <f>IFERROR(IF(INDEX(Tbl_KPIMaster[Direction],MATCH($G312,Tbl_KPIMaster[KPI],0))="Lower is Better",IF($J312&lt;=$I312,"Green",IF($J312&lt;=$I312+IF($I312=0,$K312,$I312*$K312),"Amber","Red")),IF($J312&gt;=$I312,"Green",IF($J312&gt;=$I312-IF($I312=0,$K312,$I312*$K312),"Amber","Red"))),"")</f>
        <v/>
      </c>
      <c r="T312" s="10" t="inlineStr"/>
    </row>
    <row r="313">
      <c r="A313" s="3" t="n">
        <v>46145</v>
      </c>
      <c r="B313" s="4">
        <f>IF($A313="","",TEXT($A313,"mmm-yyyy"))</f>
        <v/>
      </c>
      <c r="C313" s="4">
        <f>IF($A313="","","W"&amp;WEEKNUM($A313,2))</f>
        <v/>
      </c>
      <c r="D313" s="4">
        <f>IF($A313="","",TEXT($A313,"ddd"))</f>
        <v/>
      </c>
      <c r="E313" s="4" t="inlineStr">
        <is>
          <t>Warehouse</t>
        </is>
      </c>
      <c r="F313" s="4">
        <f>IFERROR(INDEX(Tbl_KPIMaster[Category],MATCH($G313,Tbl_KPIMaster[KPI],0)),"")</f>
        <v/>
      </c>
      <c r="G313" s="4" t="inlineStr">
        <is>
          <t>On-Time Dispatch %</t>
        </is>
      </c>
      <c r="H313" s="4">
        <f>IFERROR(INDEX(Tbl_KPIMaster[Unit],MATCH($G313,Tbl_KPIMaster[KPI],0)),"")</f>
        <v/>
      </c>
      <c r="I313" s="5">
        <f>IFERROR(INDEX(Tbl_KPIMaster[Maximum Target],MATCH($G313,Tbl_KPIMaster[KPI],0)),"")</f>
        <v/>
      </c>
      <c r="J313" s="5" t="n">
        <v>1.0359</v>
      </c>
      <c r="K313" s="4">
        <f>IFERROR(INDEX(Tbl_KPIMaster[Tolerance],MATCH($G313,Tbl_KPIMaster[KPI],0)),"")</f>
        <v/>
      </c>
      <c r="L313" s="4">
        <f>IFERROR(INDEX(Tbl_KPIMaster[Owner],MATCH($G313,Tbl_KPIMaster[KPI],0)),"")</f>
        <v/>
      </c>
      <c r="M313" s="6" t="inlineStr">
        <is>
          <t>Within normal range</t>
        </is>
      </c>
      <c r="N313" s="4" t="inlineStr">
        <is>
          <t>Management approval pending</t>
        </is>
      </c>
      <c r="O313" s="4" t="inlineStr">
        <is>
          <t>Medium</t>
        </is>
      </c>
      <c r="P313" s="4" t="inlineStr">
        <is>
          <t>Closed</t>
        </is>
      </c>
      <c r="Q313" s="5">
        <f>IFERROR(IF(INDEX(Tbl_KPIMaster[Direction],MATCH($G313,Tbl_KPIMaster[KPI],0))="Lower is Better",IF($J313=0,1,IF($I313=0,0,$I313/$J313)),IF($I313=0,1,$J313/$I313)),0)</f>
        <v/>
      </c>
      <c r="R313" s="4">
        <f>IF(OR($I313="",$J313=""),"",$J313-$I313)</f>
        <v/>
      </c>
      <c r="S313" s="4">
        <f>IFERROR(IF(INDEX(Tbl_KPIMaster[Direction],MATCH($G313,Tbl_KPIMaster[KPI],0))="Lower is Better",IF($J313&lt;=$I313,"Green",IF($J313&lt;=$I313+IF($I313=0,$K313,$I313*$K313),"Amber","Red")),IF($J313&gt;=$I313,"Green",IF($J313&gt;=$I313-IF($I313=0,$K313,$I313*$K313),"Amber","Red"))),"")</f>
        <v/>
      </c>
      <c r="T313" s="6" t="inlineStr"/>
    </row>
    <row r="314">
      <c r="A314" s="7" t="n">
        <v>46145</v>
      </c>
      <c r="B314" s="8">
        <f>IF($A314="","",TEXT($A314,"mmm-yyyy"))</f>
        <v/>
      </c>
      <c r="C314" s="8">
        <f>IF($A314="","","W"&amp;WEEKNUM($A314,2))</f>
        <v/>
      </c>
      <c r="D314" s="8">
        <f>IF($A314="","",TEXT($A314,"ddd"))</f>
        <v/>
      </c>
      <c r="E314" s="8" t="inlineStr">
        <is>
          <t>Warehouse</t>
        </is>
      </c>
      <c r="F314" s="8">
        <f>IFERROR(INDEX(Tbl_KPIMaster[Category],MATCH($G314,Tbl_KPIMaster[KPI],0)),"")</f>
        <v/>
      </c>
      <c r="G314" s="8" t="inlineStr">
        <is>
          <t>Inventory Accuracy %</t>
        </is>
      </c>
      <c r="H314" s="8">
        <f>IFERROR(INDEX(Tbl_KPIMaster[Unit],MATCH($G314,Tbl_KPIMaster[KPI],0)),"")</f>
        <v/>
      </c>
      <c r="I314" s="9">
        <f>IFERROR(INDEX(Tbl_KPIMaster[Maximum Target],MATCH($G314,Tbl_KPIMaster[KPI],0)),"")</f>
        <v/>
      </c>
      <c r="J314" s="9" t="n">
        <v>0.9271</v>
      </c>
      <c r="K314" s="8">
        <f>IFERROR(INDEX(Tbl_KPIMaster[Tolerance],MATCH($G314,Tbl_KPIMaster[KPI],0)),"")</f>
        <v/>
      </c>
      <c r="L314" s="8">
        <f>IFERROR(INDEX(Tbl_KPIMaster[Owner],MATCH($G314,Tbl_KPIMaster[KPI],0)),"")</f>
        <v/>
      </c>
      <c r="M314" s="10" t="inlineStr">
        <is>
          <t>Preventive check done</t>
        </is>
      </c>
      <c r="N314" s="8" t="inlineStr">
        <is>
          <t>Procurement follow-up</t>
        </is>
      </c>
      <c r="O314" s="8" t="inlineStr">
        <is>
          <t>Low</t>
        </is>
      </c>
      <c r="P314" s="8" t="inlineStr">
        <is>
          <t>Closed</t>
        </is>
      </c>
      <c r="Q314" s="9">
        <f>IFERROR(IF(INDEX(Tbl_KPIMaster[Direction],MATCH($G314,Tbl_KPIMaster[KPI],0))="Lower is Better",IF($J314=0,1,IF($I314=0,0,$I314/$J314)),IF($I314=0,1,$J314/$I314)),0)</f>
        <v/>
      </c>
      <c r="R314" s="8">
        <f>IF(OR($I314="",$J314=""),"",$J314-$I314)</f>
        <v/>
      </c>
      <c r="S314" s="8">
        <f>IFERROR(IF(INDEX(Tbl_KPIMaster[Direction],MATCH($G314,Tbl_KPIMaster[KPI],0))="Lower is Better",IF($J314&lt;=$I314,"Green",IF($J314&lt;=$I314+IF($I314=0,$K314,$I314*$K314),"Amber","Red")),IF($J314&gt;=$I314,"Green",IF($J314&gt;=$I314-IF($I314=0,$K314,$I314*$K314),"Amber","Red"))),"")</f>
        <v/>
      </c>
      <c r="T314" s="10" t="inlineStr"/>
    </row>
    <row r="315">
      <c r="A315" s="3" t="n">
        <v>46145</v>
      </c>
      <c r="B315" s="4">
        <f>IF($A315="","",TEXT($A315,"mmm-yyyy"))</f>
        <v/>
      </c>
      <c r="C315" s="4">
        <f>IF($A315="","","W"&amp;WEEKNUM($A315,2))</f>
        <v/>
      </c>
      <c r="D315" s="4">
        <f>IF($A315="","",TEXT($A315,"ddd"))</f>
        <v/>
      </c>
      <c r="E315" s="4" t="inlineStr">
        <is>
          <t>HR</t>
        </is>
      </c>
      <c r="F315" s="4">
        <f>IFERROR(INDEX(Tbl_KPIMaster[Category],MATCH($G315,Tbl_KPIMaster[KPI],0)),"")</f>
        <v/>
      </c>
      <c r="G315" s="4" t="inlineStr">
        <is>
          <t>Absenteeism %</t>
        </is>
      </c>
      <c r="H315" s="4">
        <f>IFERROR(INDEX(Tbl_KPIMaster[Unit],MATCH($G315,Tbl_KPIMaster[KPI],0)),"")</f>
        <v/>
      </c>
      <c r="I315" s="5">
        <f>IFERROR(INDEX(Tbl_KPIMaster[Maximum Target],MATCH($G315,Tbl_KPIMaster[KPI],0)),"")</f>
        <v/>
      </c>
      <c r="J315" s="5" t="n">
        <v>0.0245</v>
      </c>
      <c r="K315" s="4">
        <f>IFERROR(INDEX(Tbl_KPIMaster[Tolerance],MATCH($G315,Tbl_KPIMaster[KPI],0)),"")</f>
        <v/>
      </c>
      <c r="L315" s="4">
        <f>IFERROR(INDEX(Tbl_KPIMaster[Owner],MATCH($G315,Tbl_KPIMaster[KPI],0)),"")</f>
        <v/>
      </c>
      <c r="M315" s="6" t="inlineStr">
        <is>
          <t>Vendor delay</t>
        </is>
      </c>
      <c r="N315" s="4" t="inlineStr"/>
      <c r="O315" s="4" t="inlineStr">
        <is>
          <t>Medium</t>
        </is>
      </c>
      <c r="P315" s="4" t="inlineStr">
        <is>
          <t>Closed</t>
        </is>
      </c>
      <c r="Q315" s="5">
        <f>IFERROR(IF(INDEX(Tbl_KPIMaster[Direction],MATCH($G315,Tbl_KPIMaster[KPI],0))="Lower is Better",IF($J315=0,1,IF($I315=0,0,$I315/$J315)),IF($I315=0,1,$J315/$I315)),0)</f>
        <v/>
      </c>
      <c r="R315" s="4">
        <f>IF(OR($I315="",$J315=""),"",$J315-$I315)</f>
        <v/>
      </c>
      <c r="S315" s="4">
        <f>IFERROR(IF(INDEX(Tbl_KPIMaster[Direction],MATCH($G315,Tbl_KPIMaster[KPI],0))="Lower is Better",IF($J315&lt;=$I315,"Green",IF($J315&lt;=$I315+IF($I315=0,$K315,$I315*$K315),"Amber","Red")),IF($J315&gt;=$I315,"Green",IF($J315&gt;=$I315-IF($I315=0,$K315,$I315*$K315),"Amber","Red"))),"")</f>
        <v/>
      </c>
      <c r="T315" s="6" t="inlineStr"/>
    </row>
    <row r="316">
      <c r="A316" s="7" t="n">
        <v>46145</v>
      </c>
      <c r="B316" s="8">
        <f>IF($A316="","",TEXT($A316,"mmm-yyyy"))</f>
        <v/>
      </c>
      <c r="C316" s="8">
        <f>IF($A316="","","W"&amp;WEEKNUM($A316,2))</f>
        <v/>
      </c>
      <c r="D316" s="8">
        <f>IF($A316="","",TEXT($A316,"ddd"))</f>
        <v/>
      </c>
      <c r="E316" s="8" t="inlineStr">
        <is>
          <t>HR</t>
        </is>
      </c>
      <c r="F316" s="8">
        <f>IFERROR(INDEX(Tbl_KPIMaster[Category],MATCH($G316,Tbl_KPIMaster[KPI],0)),"")</f>
        <v/>
      </c>
      <c r="G316" s="8" t="inlineStr">
        <is>
          <t>Training Hours</t>
        </is>
      </c>
      <c r="H316" s="8">
        <f>IFERROR(INDEX(Tbl_KPIMaster[Unit],MATCH($G316,Tbl_KPIMaster[KPI],0)),"")</f>
        <v/>
      </c>
      <c r="I316" s="9">
        <f>IFERROR(INDEX(Tbl_KPIMaster[Maximum Target],MATCH($G316,Tbl_KPIMaster[KPI],0)),"")</f>
        <v/>
      </c>
      <c r="J316" s="9" t="n">
        <v>1.85</v>
      </c>
      <c r="K316" s="8">
        <f>IFERROR(INDEX(Tbl_KPIMaster[Tolerance],MATCH($G316,Tbl_KPIMaster[KPI],0)),"")</f>
        <v/>
      </c>
      <c r="L316" s="8">
        <f>IFERROR(INDEX(Tbl_KPIMaster[Owner],MATCH($G316,Tbl_KPIMaster[KPI],0)),"")</f>
        <v/>
      </c>
      <c r="M316" s="10" t="inlineStr">
        <is>
          <t>Within normal range</t>
        </is>
      </c>
      <c r="N316" s="8" t="inlineStr">
        <is>
          <t>Management approval pending</t>
        </is>
      </c>
      <c r="O316" s="8" t="inlineStr">
        <is>
          <t>Medium</t>
        </is>
      </c>
      <c r="P316" s="8" t="inlineStr">
        <is>
          <t>Closed</t>
        </is>
      </c>
      <c r="Q316" s="9">
        <f>IFERROR(IF(INDEX(Tbl_KPIMaster[Direction],MATCH($G316,Tbl_KPIMaster[KPI],0))="Lower is Better",IF($J316=0,1,IF($I316=0,0,$I316/$J316)),IF($I316=0,1,$J316/$I316)),0)</f>
        <v/>
      </c>
      <c r="R316" s="8">
        <f>IF(OR($I316="",$J316=""),"",$J316-$I316)</f>
        <v/>
      </c>
      <c r="S316" s="8">
        <f>IFERROR(IF(INDEX(Tbl_KPIMaster[Direction],MATCH($G316,Tbl_KPIMaster[KPI],0))="Lower is Better",IF($J316&lt;=$I316,"Green",IF($J316&lt;=$I316+IF($I316=0,$K316,$I316*$K316),"Amber","Red")),IF($J316&gt;=$I316,"Green",IF($J316&gt;=$I316-IF($I316=0,$K316,$I316*$K316),"Amber","Red"))),"")</f>
        <v/>
      </c>
      <c r="T316" s="10" t="inlineStr"/>
    </row>
    <row r="317">
      <c r="A317" s="3" t="n">
        <v>46145</v>
      </c>
      <c r="B317" s="4">
        <f>IF($A317="","",TEXT($A317,"mmm-yyyy"))</f>
        <v/>
      </c>
      <c r="C317" s="4">
        <f>IF($A317="","","W"&amp;WEEKNUM($A317,2))</f>
        <v/>
      </c>
      <c r="D317" s="4">
        <f>IF($A317="","",TEXT($A317,"ddd"))</f>
        <v/>
      </c>
      <c r="E317" s="4" t="inlineStr">
        <is>
          <t>Engineering</t>
        </is>
      </c>
      <c r="F317" s="4">
        <f>IFERROR(INDEX(Tbl_KPIMaster[Category],MATCH($G317,Tbl_KPIMaster[KPI],0)),"")</f>
        <v/>
      </c>
      <c r="G317" s="4" t="inlineStr">
        <is>
          <t>Project Milestone Adherence %</t>
        </is>
      </c>
      <c r="H317" s="4">
        <f>IFERROR(INDEX(Tbl_KPIMaster[Unit],MATCH($G317,Tbl_KPIMaster[KPI],0)),"")</f>
        <v/>
      </c>
      <c r="I317" s="5">
        <f>IFERROR(INDEX(Tbl_KPIMaster[Maximum Target],MATCH($G317,Tbl_KPIMaster[KPI],0)),"")</f>
        <v/>
      </c>
      <c r="J317" s="5" t="n">
        <v>0.9003</v>
      </c>
      <c r="K317" s="4">
        <f>IFERROR(INDEX(Tbl_KPIMaster[Tolerance],MATCH($G317,Tbl_KPIMaster[KPI],0)),"")</f>
        <v/>
      </c>
      <c r="L317" s="4">
        <f>IFERROR(INDEX(Tbl_KPIMaster[Owner],MATCH($G317,Tbl_KPIMaster[KPI],0)),"")</f>
        <v/>
      </c>
      <c r="M317" s="6" t="inlineStr">
        <is>
          <t>New operator training effect</t>
        </is>
      </c>
      <c r="N317" s="4" t="inlineStr">
        <is>
          <t>Procurement follow-up</t>
        </is>
      </c>
      <c r="O317" s="4" t="inlineStr">
        <is>
          <t>Medium</t>
        </is>
      </c>
      <c r="P317" s="4" t="inlineStr">
        <is>
          <t>Closed</t>
        </is>
      </c>
      <c r="Q317" s="5">
        <f>IFERROR(IF(INDEX(Tbl_KPIMaster[Direction],MATCH($G317,Tbl_KPIMaster[KPI],0))="Lower is Better",IF($J317=0,1,IF($I317=0,0,$I317/$J317)),IF($I317=0,1,$J317/$I317)),0)</f>
        <v/>
      </c>
      <c r="R317" s="4">
        <f>IF(OR($I317="",$J317=""),"",$J317-$I317)</f>
        <v/>
      </c>
      <c r="S317" s="4">
        <f>IFERROR(IF(INDEX(Tbl_KPIMaster[Direction],MATCH($G317,Tbl_KPIMaster[KPI],0))="Lower is Better",IF($J317&lt;=$I317,"Green",IF($J317&lt;=$I317+IF($I317=0,$K317,$I317*$K317),"Amber","Red")),IF($J317&gt;=$I317,"Green",IF($J317&gt;=$I317-IF($I317=0,$K317,$I317*$K317),"Amber","Red"))),"")</f>
        <v/>
      </c>
      <c r="T317" s="6" t="inlineStr"/>
    </row>
    <row r="318">
      <c r="A318" s="7" t="n">
        <v>46145</v>
      </c>
      <c r="B318" s="8">
        <f>IF($A318="","",TEXT($A318,"mmm-yyyy"))</f>
        <v/>
      </c>
      <c r="C318" s="8">
        <f>IF($A318="","","W"&amp;WEEKNUM($A318,2))</f>
        <v/>
      </c>
      <c r="D318" s="8">
        <f>IF($A318="","",TEXT($A318,"ddd"))</f>
        <v/>
      </c>
      <c r="E318" s="8" t="inlineStr">
        <is>
          <t>Engineering</t>
        </is>
      </c>
      <c r="F318" s="8">
        <f>IFERROR(INDEX(Tbl_KPIMaster[Category],MATCH($G318,Tbl_KPIMaster[KPI],0)),"")</f>
        <v/>
      </c>
      <c r="G318" s="8" t="inlineStr">
        <is>
          <t>Breakdown Resolution Time</t>
        </is>
      </c>
      <c r="H318" s="8">
        <f>IFERROR(INDEX(Tbl_KPIMaster[Unit],MATCH($G318,Tbl_KPIMaster[KPI],0)),"")</f>
        <v/>
      </c>
      <c r="I318" s="9">
        <f>IFERROR(INDEX(Tbl_KPIMaster[Maximum Target],MATCH($G318,Tbl_KPIMaster[KPI],0)),"")</f>
        <v/>
      </c>
      <c r="J318" s="9" t="n">
        <v>0</v>
      </c>
      <c r="K318" s="8">
        <f>IFERROR(INDEX(Tbl_KPIMaster[Tolerance],MATCH($G318,Tbl_KPIMaster[KPI],0)),"")</f>
        <v/>
      </c>
      <c r="L318" s="8">
        <f>IFERROR(INDEX(Tbl_KPIMaster[Owner],MATCH($G318,Tbl_KPIMaster[KPI],0)),"")</f>
        <v/>
      </c>
      <c r="M318" s="10" t="inlineStr">
        <is>
          <t>Process improvement in progress</t>
        </is>
      </c>
      <c r="N318" s="8" t="inlineStr"/>
      <c r="O318" s="8" t="inlineStr">
        <is>
          <t>Medium</t>
        </is>
      </c>
      <c r="P318" s="8" t="inlineStr">
        <is>
          <t>Closed</t>
        </is>
      </c>
      <c r="Q318" s="9">
        <f>IFERROR(IF(INDEX(Tbl_KPIMaster[Direction],MATCH($G318,Tbl_KPIMaster[KPI],0))="Lower is Better",IF($J318=0,1,IF($I318=0,0,$I318/$J318)),IF($I318=0,1,$J318/$I318)),0)</f>
        <v/>
      </c>
      <c r="R318" s="8">
        <f>IF(OR($I318="",$J318=""),"",$J318-$I318)</f>
        <v/>
      </c>
      <c r="S318" s="8">
        <f>IFERROR(IF(INDEX(Tbl_KPIMaster[Direction],MATCH($G318,Tbl_KPIMaster[KPI],0))="Lower is Better",IF($J318&lt;=$I318,"Green",IF($J318&lt;=$I318+IF($I318=0,$K318,$I318*$K318),"Amber","Red")),IF($J318&gt;=$I318,"Green",IF($J318&gt;=$I318-IF($I318=0,$K318,$I318*$K318),"Amber","Red"))),"")</f>
        <v/>
      </c>
      <c r="T318" s="10" t="inlineStr"/>
    </row>
    <row r="319">
      <c r="A319" s="3" t="n">
        <v>46145</v>
      </c>
      <c r="B319" s="4">
        <f>IF($A319="","",TEXT($A319,"mmm-yyyy"))</f>
        <v/>
      </c>
      <c r="C319" s="4">
        <f>IF($A319="","","W"&amp;WEEKNUM($A319,2))</f>
        <v/>
      </c>
      <c r="D319" s="4">
        <f>IF($A319="","",TEXT($A319,"ddd"))</f>
        <v/>
      </c>
      <c r="E319" s="4" t="inlineStr">
        <is>
          <t>Cost</t>
        </is>
      </c>
      <c r="F319" s="4">
        <f>IFERROR(INDEX(Tbl_KPIMaster[Category],MATCH($G319,Tbl_KPIMaster[KPI],0)),"")</f>
        <v/>
      </c>
      <c r="G319" s="4" t="inlineStr">
        <is>
          <t>Cost per Unit</t>
        </is>
      </c>
      <c r="H319" s="4">
        <f>IFERROR(INDEX(Tbl_KPIMaster[Unit],MATCH($G319,Tbl_KPIMaster[KPI],0)),"")</f>
        <v/>
      </c>
      <c r="I319" s="5">
        <f>IFERROR(INDEX(Tbl_KPIMaster[Maximum Target],MATCH($G319,Tbl_KPIMaster[KPI],0)),"")</f>
        <v/>
      </c>
      <c r="J319" s="5" t="n">
        <v>42.55</v>
      </c>
      <c r="K319" s="4">
        <f>IFERROR(INDEX(Tbl_KPIMaster[Tolerance],MATCH($G319,Tbl_KPIMaster[KPI],0)),"")</f>
        <v/>
      </c>
      <c r="L319" s="4">
        <f>IFERROR(INDEX(Tbl_KPIMaster[Owner],MATCH($G319,Tbl_KPIMaster[KPI],0)),"")</f>
        <v/>
      </c>
      <c r="M319" s="6" t="inlineStr">
        <is>
          <t>Awaiting spares</t>
        </is>
      </c>
      <c r="N319" s="4" t="inlineStr"/>
      <c r="O319" s="4" t="inlineStr">
        <is>
          <t>Low</t>
        </is>
      </c>
      <c r="P319" s="4" t="inlineStr">
        <is>
          <t>Open</t>
        </is>
      </c>
      <c r="Q319" s="5">
        <f>IFERROR(IF(INDEX(Tbl_KPIMaster[Direction],MATCH($G319,Tbl_KPIMaster[KPI],0))="Lower is Better",IF($J319=0,1,IF($I319=0,0,$I319/$J319)),IF($I319=0,1,$J319/$I319)),0)</f>
        <v/>
      </c>
      <c r="R319" s="4">
        <f>IF(OR($I319="",$J319=""),"",$J319-$I319)</f>
        <v/>
      </c>
      <c r="S319" s="4">
        <f>IFERROR(IF(INDEX(Tbl_KPIMaster[Direction],MATCH($G319,Tbl_KPIMaster[KPI],0))="Lower is Better",IF($J319&lt;=$I319,"Green",IF($J319&lt;=$I319+IF($I319=0,$K319,$I319*$K319),"Amber","Red")),IF($J319&gt;=$I319,"Green",IF($J319&gt;=$I319-IF($I319=0,$K319,$I319*$K319),"Amber","Red"))),"")</f>
        <v/>
      </c>
      <c r="T319" s="6" t="inlineStr"/>
    </row>
    <row r="320">
      <c r="A320" s="7" t="n">
        <v>46145</v>
      </c>
      <c r="B320" s="8">
        <f>IF($A320="","",TEXT($A320,"mmm-yyyy"))</f>
        <v/>
      </c>
      <c r="C320" s="8">
        <f>IF($A320="","","W"&amp;WEEKNUM($A320,2))</f>
        <v/>
      </c>
      <c r="D320" s="8">
        <f>IF($A320="","",TEXT($A320,"ddd"))</f>
        <v/>
      </c>
      <c r="E320" s="8" t="inlineStr">
        <is>
          <t>Cost</t>
        </is>
      </c>
      <c r="F320" s="8">
        <f>IFERROR(INDEX(Tbl_KPIMaster[Category],MATCH($G320,Tbl_KPIMaster[KPI],0)),"")</f>
        <v/>
      </c>
      <c r="G320" s="8" t="inlineStr">
        <is>
          <t>Budget Variance %</t>
        </is>
      </c>
      <c r="H320" s="8">
        <f>IFERROR(INDEX(Tbl_KPIMaster[Unit],MATCH($G320,Tbl_KPIMaster[KPI],0)),"")</f>
        <v/>
      </c>
      <c r="I320" s="9">
        <f>IFERROR(INDEX(Tbl_KPIMaster[Maximum Target],MATCH($G320,Tbl_KPIMaster[KPI],0)),"")</f>
        <v/>
      </c>
      <c r="J320" s="9" t="n">
        <v>0.194</v>
      </c>
      <c r="K320" s="8">
        <f>IFERROR(INDEX(Tbl_KPIMaster[Tolerance],MATCH($G320,Tbl_KPIMaster[KPI],0)),"")</f>
        <v/>
      </c>
      <c r="L320" s="8">
        <f>IFERROR(INDEX(Tbl_KPIMaster[Owner],MATCH($G320,Tbl_KPIMaster[KPI],0)),"")</f>
        <v/>
      </c>
      <c r="M320" s="10" t="inlineStr">
        <is>
          <t>Weather impact</t>
        </is>
      </c>
      <c r="N320" s="8" t="inlineStr">
        <is>
          <t>Engineering support needed</t>
        </is>
      </c>
      <c r="O320" s="8" t="inlineStr">
        <is>
          <t>Low</t>
        </is>
      </c>
      <c r="P320" s="8" t="inlineStr">
        <is>
          <t>Closed</t>
        </is>
      </c>
      <c r="Q320" s="9">
        <f>IFERROR(IF(INDEX(Tbl_KPIMaster[Direction],MATCH($G320,Tbl_KPIMaster[KPI],0))="Lower is Better",IF($J320=0,1,IF($I320=0,0,$I320/$J320)),IF($I320=0,1,$J320/$I320)),0)</f>
        <v/>
      </c>
      <c r="R320" s="8">
        <f>IF(OR($I320="",$J320=""),"",$J320-$I320)</f>
        <v/>
      </c>
      <c r="S320" s="8">
        <f>IFERROR(IF(INDEX(Tbl_KPIMaster[Direction],MATCH($G320,Tbl_KPIMaster[KPI],0))="Lower is Better",IF($J320&lt;=$I320,"Green",IF($J320&lt;=$I320+IF($I320=0,$K320,$I320*$K320),"Amber","Red")),IF($J320&gt;=$I320,"Green",IF($J320&gt;=$I320-IF($I320=0,$K320,$I320*$K320),"Amber","Red"))),"")</f>
        <v/>
      </c>
      <c r="T320" s="10" t="inlineStr"/>
    </row>
    <row r="321">
      <c r="A321" s="3" t="n">
        <v>46145</v>
      </c>
      <c r="B321" s="4">
        <f>IF($A321="","",TEXT($A321,"mmm-yyyy"))</f>
        <v/>
      </c>
      <c r="C321" s="4">
        <f>IF($A321="","","W"&amp;WEEKNUM($A321,2))</f>
        <v/>
      </c>
      <c r="D321" s="4">
        <f>IF($A321="","",TEXT($A321,"ddd"))</f>
        <v/>
      </c>
      <c r="E321" s="4" t="inlineStr">
        <is>
          <t>Energy</t>
        </is>
      </c>
      <c r="F321" s="4">
        <f>IFERROR(INDEX(Tbl_KPIMaster[Category],MATCH($G321,Tbl_KPIMaster[KPI],0)),"")</f>
        <v/>
      </c>
      <c r="G321" s="4" t="inlineStr">
        <is>
          <t>Energy Intensity (kWh/unit)</t>
        </is>
      </c>
      <c r="H321" s="4">
        <f>IFERROR(INDEX(Tbl_KPIMaster[Unit],MATCH($G321,Tbl_KPIMaster[KPI],0)),"")</f>
        <v/>
      </c>
      <c r="I321" s="5">
        <f>IFERROR(INDEX(Tbl_KPIMaster[Maximum Target],MATCH($G321,Tbl_KPIMaster[KPI],0)),"")</f>
        <v/>
      </c>
      <c r="J321" s="5" t="n">
        <v>4.59</v>
      </c>
      <c r="K321" s="4">
        <f>IFERROR(INDEX(Tbl_KPIMaster[Tolerance],MATCH($G321,Tbl_KPIMaster[KPI],0)),"")</f>
        <v/>
      </c>
      <c r="L321" s="4">
        <f>IFERROR(INDEX(Tbl_KPIMaster[Owner],MATCH($G321,Tbl_KPIMaster[KPI],0)),"")</f>
        <v/>
      </c>
      <c r="M321" s="6" t="inlineStr">
        <is>
          <t>Process improvement in progress</t>
        </is>
      </c>
      <c r="N321" s="4" t="inlineStr">
        <is>
          <t>Management approval pending</t>
        </is>
      </c>
      <c r="O321" s="4" t="inlineStr">
        <is>
          <t>Low</t>
        </is>
      </c>
      <c r="P321" s="4" t="inlineStr">
        <is>
          <t>Closed</t>
        </is>
      </c>
      <c r="Q321" s="5">
        <f>IFERROR(IF(INDEX(Tbl_KPIMaster[Direction],MATCH($G321,Tbl_KPIMaster[KPI],0))="Lower is Better",IF($J321=0,1,IF($I321=0,0,$I321/$J321)),IF($I321=0,1,$J321/$I321)),0)</f>
        <v/>
      </c>
      <c r="R321" s="4">
        <f>IF(OR($I321="",$J321=""),"",$J321-$I321)</f>
        <v/>
      </c>
      <c r="S321" s="4">
        <f>IFERROR(IF(INDEX(Tbl_KPIMaster[Direction],MATCH($G321,Tbl_KPIMaster[KPI],0))="Lower is Better",IF($J321&lt;=$I321,"Green",IF($J321&lt;=$I321+IF($I321=0,$K321,$I321*$K321),"Amber","Red")),IF($J321&gt;=$I321,"Green",IF($J321&gt;=$I321-IF($I321=0,$K321,$I321*$K321),"Amber","Red"))),"")</f>
        <v/>
      </c>
      <c r="T321" s="6" t="inlineStr"/>
    </row>
    <row r="322">
      <c r="A322" s="7" t="n">
        <v>46145</v>
      </c>
      <c r="B322" s="8">
        <f>IF($A322="","",TEXT($A322,"mmm-yyyy"))</f>
        <v/>
      </c>
      <c r="C322" s="8">
        <f>IF($A322="","","W"&amp;WEEKNUM($A322,2))</f>
        <v/>
      </c>
      <c r="D322" s="8">
        <f>IF($A322="","",TEXT($A322,"ddd"))</f>
        <v/>
      </c>
      <c r="E322" s="8" t="inlineStr">
        <is>
          <t>Energy</t>
        </is>
      </c>
      <c r="F322" s="8">
        <f>IFERROR(INDEX(Tbl_KPIMaster[Category],MATCH($G322,Tbl_KPIMaster[KPI],0)),"")</f>
        <v/>
      </c>
      <c r="G322" s="8" t="inlineStr">
        <is>
          <t>Renewable Energy Share %</t>
        </is>
      </c>
      <c r="H322" s="8">
        <f>IFERROR(INDEX(Tbl_KPIMaster[Unit],MATCH($G322,Tbl_KPIMaster[KPI],0)),"")</f>
        <v/>
      </c>
      <c r="I322" s="9">
        <f>IFERROR(INDEX(Tbl_KPIMaster[Maximum Target],MATCH($G322,Tbl_KPIMaster[KPI],0)),"")</f>
        <v/>
      </c>
      <c r="J322" s="9" t="n">
        <v>0.2533</v>
      </c>
      <c r="K322" s="8">
        <f>IFERROR(INDEX(Tbl_KPIMaster[Tolerance],MATCH($G322,Tbl_KPIMaster[KPI],0)),"")</f>
        <v/>
      </c>
      <c r="L322" s="8">
        <f>IFERROR(INDEX(Tbl_KPIMaster[Owner],MATCH($G322,Tbl_KPIMaster[KPI],0)),"")</f>
        <v/>
      </c>
      <c r="M322" s="10" t="inlineStr">
        <is>
          <t>Weather impact</t>
        </is>
      </c>
      <c r="N322" s="8" t="inlineStr"/>
      <c r="O322" s="8" t="inlineStr">
        <is>
          <t>Low</t>
        </is>
      </c>
      <c r="P322" s="8" t="inlineStr">
        <is>
          <t>Open</t>
        </is>
      </c>
      <c r="Q322" s="9">
        <f>IFERROR(IF(INDEX(Tbl_KPIMaster[Direction],MATCH($G322,Tbl_KPIMaster[KPI],0))="Lower is Better",IF($J322=0,1,IF($I322=0,0,$I322/$J322)),IF($I322=0,1,$J322/$I322)),0)</f>
        <v/>
      </c>
      <c r="R322" s="8">
        <f>IF(OR($I322="",$J322=""),"",$J322-$I322)</f>
        <v/>
      </c>
      <c r="S322" s="8">
        <f>IFERROR(IF(INDEX(Tbl_KPIMaster[Direction],MATCH($G322,Tbl_KPIMaster[KPI],0))="Lower is Better",IF($J322&lt;=$I322,"Green",IF($J322&lt;=$I322+IF($I322=0,$K322,$I322*$K322),"Amber","Red")),IF($J322&gt;=$I322,"Green",IF($J322&gt;=$I322-IF($I322=0,$K322,$I322*$K322),"Amber","Red"))),"")</f>
        <v/>
      </c>
      <c r="T322" s="10" t="inlineStr"/>
    </row>
    <row r="323">
      <c r="A323" s="3" t="n">
        <v>46146</v>
      </c>
      <c r="B323" s="4">
        <f>IF($A323="","",TEXT($A323,"mmm-yyyy"))</f>
        <v/>
      </c>
      <c r="C323" s="4">
        <f>IF($A323="","","W"&amp;WEEKNUM($A323,2))</f>
        <v/>
      </c>
      <c r="D323" s="4">
        <f>IF($A323="","",TEXT($A323,"ddd"))</f>
        <v/>
      </c>
      <c r="E323" s="4" t="inlineStr">
        <is>
          <t>Safety</t>
        </is>
      </c>
      <c r="F323" s="4">
        <f>IFERROR(INDEX(Tbl_KPIMaster[Category],MATCH($G323,Tbl_KPIMaster[KPI],0)),"")</f>
        <v/>
      </c>
      <c r="G323" s="4" t="inlineStr">
        <is>
          <t>Safety Incidents (LTI)</t>
        </is>
      </c>
      <c r="H323" s="4">
        <f>IFERROR(INDEX(Tbl_KPIMaster[Unit],MATCH($G323,Tbl_KPIMaster[KPI],0)),"")</f>
        <v/>
      </c>
      <c r="I323" s="5">
        <f>IFERROR(INDEX(Tbl_KPIMaster[Maximum Target],MATCH($G323,Tbl_KPIMaster[KPI],0)),"")</f>
        <v/>
      </c>
      <c r="J323" s="5" t="n">
        <v>0</v>
      </c>
      <c r="K323" s="4">
        <f>IFERROR(INDEX(Tbl_KPIMaster[Tolerance],MATCH($G323,Tbl_KPIMaster[KPI],0)),"")</f>
        <v/>
      </c>
      <c r="L323" s="4">
        <f>IFERROR(INDEX(Tbl_KPIMaster[Owner],MATCH($G323,Tbl_KPIMaster[KPI],0)),"")</f>
        <v/>
      </c>
      <c r="M323" s="6" t="inlineStr">
        <is>
          <t>Manpower shortage</t>
        </is>
      </c>
      <c r="N323" s="4" t="inlineStr">
        <is>
          <t>Procurement follow-up</t>
        </is>
      </c>
      <c r="O323" s="4" t="inlineStr">
        <is>
          <t>Medium</t>
        </is>
      </c>
      <c r="P323" s="4" t="inlineStr">
        <is>
          <t>Open</t>
        </is>
      </c>
      <c r="Q323" s="5">
        <f>IFERROR(IF(INDEX(Tbl_KPIMaster[Direction],MATCH($G323,Tbl_KPIMaster[KPI],0))="Lower is Better",IF($J323=0,1,IF($I323=0,0,$I323/$J323)),IF($I323=0,1,$J323/$I323)),0)</f>
        <v/>
      </c>
      <c r="R323" s="4">
        <f>IF(OR($I323="",$J323=""),"",$J323-$I323)</f>
        <v/>
      </c>
      <c r="S323" s="4">
        <f>IFERROR(IF(INDEX(Tbl_KPIMaster[Direction],MATCH($G323,Tbl_KPIMaster[KPI],0))="Lower is Better",IF($J323&lt;=$I323,"Green",IF($J323&lt;=$I323+IF($I323=0,$K323,$I323*$K323),"Amber","Red")),IF($J323&gt;=$I323,"Green",IF($J323&gt;=$I323-IF($I323=0,$K323,$I323*$K323),"Amber","Red"))),"")</f>
        <v/>
      </c>
      <c r="T323" s="6" t="inlineStr"/>
    </row>
    <row r="324">
      <c r="A324" s="7" t="n">
        <v>46146</v>
      </c>
      <c r="B324" s="8">
        <f>IF($A324="","",TEXT($A324,"mmm-yyyy"))</f>
        <v/>
      </c>
      <c r="C324" s="8">
        <f>IF($A324="","","W"&amp;WEEKNUM($A324,2))</f>
        <v/>
      </c>
      <c r="D324" s="8">
        <f>IF($A324="","",TEXT($A324,"ddd"))</f>
        <v/>
      </c>
      <c r="E324" s="8" t="inlineStr">
        <is>
          <t>Safety</t>
        </is>
      </c>
      <c r="F324" s="8">
        <f>IFERROR(INDEX(Tbl_KPIMaster[Category],MATCH($G324,Tbl_KPIMaster[KPI],0)),"")</f>
        <v/>
      </c>
      <c r="G324" s="8" t="inlineStr">
        <is>
          <t>Near Miss Reports</t>
        </is>
      </c>
      <c r="H324" s="8">
        <f>IFERROR(INDEX(Tbl_KPIMaster[Unit],MATCH($G324,Tbl_KPIMaster[KPI],0)),"")</f>
        <v/>
      </c>
      <c r="I324" s="9">
        <f>IFERROR(INDEX(Tbl_KPIMaster[Maximum Target],MATCH($G324,Tbl_KPIMaster[KPI],0)),"")</f>
        <v/>
      </c>
      <c r="J324" s="9" t="n">
        <v>2</v>
      </c>
      <c r="K324" s="8">
        <f>IFERROR(INDEX(Tbl_KPIMaster[Tolerance],MATCH($G324,Tbl_KPIMaster[KPI],0)),"")</f>
        <v/>
      </c>
      <c r="L324" s="8">
        <f>IFERROR(INDEX(Tbl_KPIMaster[Owner],MATCH($G324,Tbl_KPIMaster[KPI],0)),"")</f>
        <v/>
      </c>
      <c r="M324" s="10" t="inlineStr">
        <is>
          <t>Manpower shortage</t>
        </is>
      </c>
      <c r="N324" s="8" t="inlineStr"/>
      <c r="O324" s="8" t="inlineStr">
        <is>
          <t>Low</t>
        </is>
      </c>
      <c r="P324" s="8" t="inlineStr">
        <is>
          <t>Open</t>
        </is>
      </c>
      <c r="Q324" s="9">
        <f>IFERROR(IF(INDEX(Tbl_KPIMaster[Direction],MATCH($G324,Tbl_KPIMaster[KPI],0))="Lower is Better",IF($J324=0,1,IF($I324=0,0,$I324/$J324)),IF($I324=0,1,$J324/$I324)),0)</f>
        <v/>
      </c>
      <c r="R324" s="8">
        <f>IF(OR($I324="",$J324=""),"",$J324-$I324)</f>
        <v/>
      </c>
      <c r="S324" s="8">
        <f>IFERROR(IF(INDEX(Tbl_KPIMaster[Direction],MATCH($G324,Tbl_KPIMaster[KPI],0))="Lower is Better",IF($J324&lt;=$I324,"Green",IF($J324&lt;=$I324+IF($I324=0,$K324,$I324*$K324),"Amber","Red")),IF($J324&gt;=$I324,"Green",IF($J324&gt;=$I324-IF($I324=0,$K324,$I324*$K324),"Amber","Red"))),"")</f>
        <v/>
      </c>
      <c r="T324" s="10" t="inlineStr"/>
    </row>
    <row r="325">
      <c r="A325" s="3" t="n">
        <v>46146</v>
      </c>
      <c r="B325" s="4">
        <f>IF($A325="","",TEXT($A325,"mmm-yyyy"))</f>
        <v/>
      </c>
      <c r="C325" s="4">
        <f>IF($A325="","","W"&amp;WEEKNUM($A325,2))</f>
        <v/>
      </c>
      <c r="D325" s="4">
        <f>IF($A325="","",TEXT($A325,"ddd"))</f>
        <v/>
      </c>
      <c r="E325" s="4" t="inlineStr">
        <is>
          <t>Production</t>
        </is>
      </c>
      <c r="F325" s="4">
        <f>IFERROR(INDEX(Tbl_KPIMaster[Category],MATCH($G325,Tbl_KPIMaster[KPI],0)),"")</f>
        <v/>
      </c>
      <c r="G325" s="4" t="inlineStr">
        <is>
          <t>Production Output</t>
        </is>
      </c>
      <c r="H325" s="4">
        <f>IFERROR(INDEX(Tbl_KPIMaster[Unit],MATCH($G325,Tbl_KPIMaster[KPI],0)),"")</f>
        <v/>
      </c>
      <c r="I325" s="5">
        <f>IFERROR(INDEX(Tbl_KPIMaster[Maximum Target],MATCH($G325,Tbl_KPIMaster[KPI],0)),"")</f>
        <v/>
      </c>
      <c r="J325" s="5" t="n">
        <v>756.75</v>
      </c>
      <c r="K325" s="4">
        <f>IFERROR(INDEX(Tbl_KPIMaster[Tolerance],MATCH($G325,Tbl_KPIMaster[KPI],0)),"")</f>
        <v/>
      </c>
      <c r="L325" s="4">
        <f>IFERROR(INDEX(Tbl_KPIMaster[Owner],MATCH($G325,Tbl_KPIMaster[KPI],0)),"")</f>
        <v/>
      </c>
      <c r="M325" s="6" t="inlineStr">
        <is>
          <t>Awaiting spares</t>
        </is>
      </c>
      <c r="N325" s="4" t="inlineStr">
        <is>
          <t>Management approval pending</t>
        </is>
      </c>
      <c r="O325" s="4" t="inlineStr">
        <is>
          <t>High</t>
        </is>
      </c>
      <c r="P325" s="4" t="inlineStr">
        <is>
          <t>Closed</t>
        </is>
      </c>
      <c r="Q325" s="5">
        <f>IFERROR(IF(INDEX(Tbl_KPIMaster[Direction],MATCH($G325,Tbl_KPIMaster[KPI],0))="Lower is Better",IF($J325=0,1,IF($I325=0,0,$I325/$J325)),IF($I325=0,1,$J325/$I325)),0)</f>
        <v/>
      </c>
      <c r="R325" s="4">
        <f>IF(OR($I325="",$J325=""),"",$J325-$I325)</f>
        <v/>
      </c>
      <c r="S325" s="4">
        <f>IFERROR(IF(INDEX(Tbl_KPIMaster[Direction],MATCH($G325,Tbl_KPIMaster[KPI],0))="Lower is Better",IF($J325&lt;=$I325,"Green",IF($J325&lt;=$I325+IF($I325=0,$K325,$I325*$K325),"Amber","Red")),IF($J325&gt;=$I325,"Green",IF($J325&gt;=$I325-IF($I325=0,$K325,$I325*$K325),"Amber","Red"))),"")</f>
        <v/>
      </c>
      <c r="T325" s="6" t="inlineStr"/>
    </row>
    <row r="326">
      <c r="A326" s="7" t="n">
        <v>46146</v>
      </c>
      <c r="B326" s="8">
        <f>IF($A326="","",TEXT($A326,"mmm-yyyy"))</f>
        <v/>
      </c>
      <c r="C326" s="8">
        <f>IF($A326="","","W"&amp;WEEKNUM($A326,2))</f>
        <v/>
      </c>
      <c r="D326" s="8">
        <f>IF($A326="","",TEXT($A326,"ddd"))</f>
        <v/>
      </c>
      <c r="E326" s="8" t="inlineStr">
        <is>
          <t>Production</t>
        </is>
      </c>
      <c r="F326" s="8">
        <f>IFERROR(INDEX(Tbl_KPIMaster[Category],MATCH($G326,Tbl_KPIMaster[KPI],0)),"")</f>
        <v/>
      </c>
      <c r="G326" s="8" t="inlineStr">
        <is>
          <t>OEE %</t>
        </is>
      </c>
      <c r="H326" s="8">
        <f>IFERROR(INDEX(Tbl_KPIMaster[Unit],MATCH($G326,Tbl_KPIMaster[KPI],0)),"")</f>
        <v/>
      </c>
      <c r="I326" s="9">
        <f>IFERROR(INDEX(Tbl_KPIMaster[Maximum Target],MATCH($G326,Tbl_KPIMaster[KPI],0)),"")</f>
        <v/>
      </c>
      <c r="J326" s="9" t="n">
        <v>0.8619</v>
      </c>
      <c r="K326" s="8">
        <f>IFERROR(INDEX(Tbl_KPIMaster[Tolerance],MATCH($G326,Tbl_KPIMaster[KPI],0)),"")</f>
        <v/>
      </c>
      <c r="L326" s="8">
        <f>IFERROR(INDEX(Tbl_KPIMaster[Owner],MATCH($G326,Tbl_KPIMaster[KPI],0)),"")</f>
        <v/>
      </c>
      <c r="M326" s="10" t="inlineStr"/>
      <c r="N326" s="8" t="inlineStr">
        <is>
          <t>Engineering support needed</t>
        </is>
      </c>
      <c r="O326" s="8" t="inlineStr">
        <is>
          <t>Low</t>
        </is>
      </c>
      <c r="P326" s="8" t="inlineStr">
        <is>
          <t>Closed</t>
        </is>
      </c>
      <c r="Q326" s="9">
        <f>IFERROR(IF(INDEX(Tbl_KPIMaster[Direction],MATCH($G326,Tbl_KPIMaster[KPI],0))="Lower is Better",IF($J326=0,1,IF($I326=0,0,$I326/$J326)),IF($I326=0,1,$J326/$I326)),0)</f>
        <v/>
      </c>
      <c r="R326" s="8">
        <f>IF(OR($I326="",$J326=""),"",$J326-$I326)</f>
        <v/>
      </c>
      <c r="S326" s="8">
        <f>IFERROR(IF(INDEX(Tbl_KPIMaster[Direction],MATCH($G326,Tbl_KPIMaster[KPI],0))="Lower is Better",IF($J326&lt;=$I326,"Green",IF($J326&lt;=$I326+IF($I326=0,$K326,$I326*$K326),"Amber","Red")),IF($J326&gt;=$I326,"Green",IF($J326&gt;=$I326-IF($I326=0,$K326,$I326*$K326),"Amber","Red"))),"")</f>
        <v/>
      </c>
      <c r="T326" s="10" t="inlineStr"/>
    </row>
    <row r="327">
      <c r="A327" s="3" t="n">
        <v>46146</v>
      </c>
      <c r="B327" s="4">
        <f>IF($A327="","",TEXT($A327,"mmm-yyyy"))</f>
        <v/>
      </c>
      <c r="C327" s="4">
        <f>IF($A327="","","W"&amp;WEEKNUM($A327,2))</f>
        <v/>
      </c>
      <c r="D327" s="4">
        <f>IF($A327="","",TEXT($A327,"ddd"))</f>
        <v/>
      </c>
      <c r="E327" s="4" t="inlineStr">
        <is>
          <t>Quality</t>
        </is>
      </c>
      <c r="F327" s="4">
        <f>IFERROR(INDEX(Tbl_KPIMaster[Category],MATCH($G327,Tbl_KPIMaster[KPI],0)),"")</f>
        <v/>
      </c>
      <c r="G327" s="4" t="inlineStr">
        <is>
          <t>Defect Rate %</t>
        </is>
      </c>
      <c r="H327" s="4">
        <f>IFERROR(INDEX(Tbl_KPIMaster[Unit],MATCH($G327,Tbl_KPIMaster[KPI],0)),"")</f>
        <v/>
      </c>
      <c r="I327" s="5">
        <f>IFERROR(INDEX(Tbl_KPIMaster[Maximum Target],MATCH($G327,Tbl_KPIMaster[KPI],0)),"")</f>
        <v/>
      </c>
      <c r="J327" s="5" t="n">
        <v>0</v>
      </c>
      <c r="K327" s="4">
        <f>IFERROR(INDEX(Tbl_KPIMaster[Tolerance],MATCH($G327,Tbl_KPIMaster[KPI],0)),"")</f>
        <v/>
      </c>
      <c r="L327" s="4">
        <f>IFERROR(INDEX(Tbl_KPIMaster[Owner],MATCH($G327,Tbl_KPIMaster[KPI],0)),"")</f>
        <v/>
      </c>
      <c r="M327" s="6" t="inlineStr">
        <is>
          <t>Awaiting spares</t>
        </is>
      </c>
      <c r="N327" s="4" t="inlineStr"/>
      <c r="O327" s="4" t="inlineStr">
        <is>
          <t>Medium</t>
        </is>
      </c>
      <c r="P327" s="4" t="inlineStr">
        <is>
          <t>Closed</t>
        </is>
      </c>
      <c r="Q327" s="5">
        <f>IFERROR(IF(INDEX(Tbl_KPIMaster[Direction],MATCH($G327,Tbl_KPIMaster[KPI],0))="Lower is Better",IF($J327=0,1,IF($I327=0,0,$I327/$J327)),IF($I327=0,1,$J327/$I327)),0)</f>
        <v/>
      </c>
      <c r="R327" s="4">
        <f>IF(OR($I327="",$J327=""),"",$J327-$I327)</f>
        <v/>
      </c>
      <c r="S327" s="4">
        <f>IFERROR(IF(INDEX(Tbl_KPIMaster[Direction],MATCH($G327,Tbl_KPIMaster[KPI],0))="Lower is Better",IF($J327&lt;=$I327,"Green",IF($J327&lt;=$I327+IF($I327=0,$K327,$I327*$K327),"Amber","Red")),IF($J327&gt;=$I327,"Green",IF($J327&gt;=$I327-IF($I327=0,$K327,$I327*$K327),"Amber","Red"))),"")</f>
        <v/>
      </c>
      <c r="T327" s="6" t="inlineStr"/>
    </row>
    <row r="328">
      <c r="A328" s="7" t="n">
        <v>46146</v>
      </c>
      <c r="B328" s="8">
        <f>IF($A328="","",TEXT($A328,"mmm-yyyy"))</f>
        <v/>
      </c>
      <c r="C328" s="8">
        <f>IF($A328="","","W"&amp;WEEKNUM($A328,2))</f>
        <v/>
      </c>
      <c r="D328" s="8">
        <f>IF($A328="","",TEXT($A328,"ddd"))</f>
        <v/>
      </c>
      <c r="E328" s="8" t="inlineStr">
        <is>
          <t>Quality</t>
        </is>
      </c>
      <c r="F328" s="8">
        <f>IFERROR(INDEX(Tbl_KPIMaster[Category],MATCH($G328,Tbl_KPIMaster[KPI],0)),"")</f>
        <v/>
      </c>
      <c r="G328" s="8" t="inlineStr">
        <is>
          <t>Customer Complaints</t>
        </is>
      </c>
      <c r="H328" s="8">
        <f>IFERROR(INDEX(Tbl_KPIMaster[Unit],MATCH($G328,Tbl_KPIMaster[KPI],0)),"")</f>
        <v/>
      </c>
      <c r="I328" s="9">
        <f>IFERROR(INDEX(Tbl_KPIMaster[Maximum Target],MATCH($G328,Tbl_KPIMaster[KPI],0)),"")</f>
        <v/>
      </c>
      <c r="J328" s="9" t="n">
        <v>1</v>
      </c>
      <c r="K328" s="8">
        <f>IFERROR(INDEX(Tbl_KPIMaster[Tolerance],MATCH($G328,Tbl_KPIMaster[KPI],0)),"")</f>
        <v/>
      </c>
      <c r="L328" s="8">
        <f>IFERROR(INDEX(Tbl_KPIMaster[Owner],MATCH($G328,Tbl_KPIMaster[KPI],0)),"")</f>
        <v/>
      </c>
      <c r="M328" s="10" t="inlineStr">
        <is>
          <t>Preventive check done</t>
        </is>
      </c>
      <c r="N328" s="8" t="inlineStr"/>
      <c r="O328" s="8" t="inlineStr">
        <is>
          <t>High</t>
        </is>
      </c>
      <c r="P328" s="8" t="inlineStr">
        <is>
          <t>Open</t>
        </is>
      </c>
      <c r="Q328" s="9">
        <f>IFERROR(IF(INDEX(Tbl_KPIMaster[Direction],MATCH($G328,Tbl_KPIMaster[KPI],0))="Lower is Better",IF($J328=0,1,IF($I328=0,0,$I328/$J328)),IF($I328=0,1,$J328/$I328)),0)</f>
        <v/>
      </c>
      <c r="R328" s="8">
        <f>IF(OR($I328="",$J328=""),"",$J328-$I328)</f>
        <v/>
      </c>
      <c r="S328" s="8">
        <f>IFERROR(IF(INDEX(Tbl_KPIMaster[Direction],MATCH($G328,Tbl_KPIMaster[KPI],0))="Lower is Better",IF($J328&lt;=$I328,"Green",IF($J328&lt;=$I328+IF($I328=0,$K328,$I328*$K328),"Amber","Red")),IF($J328&gt;=$I328,"Green",IF($J328&gt;=$I328-IF($I328=0,$K328,$I328*$K328),"Amber","Red"))),"")</f>
        <v/>
      </c>
      <c r="T328" s="10" t="inlineStr"/>
    </row>
    <row r="329">
      <c r="A329" s="3" t="n">
        <v>46146</v>
      </c>
      <c r="B329" s="4">
        <f>IF($A329="","",TEXT($A329,"mmm-yyyy"))</f>
        <v/>
      </c>
      <c r="C329" s="4">
        <f>IF($A329="","","W"&amp;WEEKNUM($A329,2))</f>
        <v/>
      </c>
      <c r="D329" s="4">
        <f>IF($A329="","",TEXT($A329,"ddd"))</f>
        <v/>
      </c>
      <c r="E329" s="4" t="inlineStr">
        <is>
          <t>Maintenance</t>
        </is>
      </c>
      <c r="F329" s="4">
        <f>IFERROR(INDEX(Tbl_KPIMaster[Category],MATCH($G329,Tbl_KPIMaster[KPI],0)),"")</f>
        <v/>
      </c>
      <c r="G329" s="4" t="inlineStr">
        <is>
          <t>Unplanned Downtime</t>
        </is>
      </c>
      <c r="H329" s="4">
        <f>IFERROR(INDEX(Tbl_KPIMaster[Unit],MATCH($G329,Tbl_KPIMaster[KPI],0)),"")</f>
        <v/>
      </c>
      <c r="I329" s="5">
        <f>IFERROR(INDEX(Tbl_KPIMaster[Maximum Target],MATCH($G329,Tbl_KPIMaster[KPI],0)),"")</f>
        <v/>
      </c>
      <c r="J329" s="5" t="n">
        <v>0</v>
      </c>
      <c r="K329" s="4">
        <f>IFERROR(INDEX(Tbl_KPIMaster[Tolerance],MATCH($G329,Tbl_KPIMaster[KPI],0)),"")</f>
        <v/>
      </c>
      <c r="L329" s="4">
        <f>IFERROR(INDEX(Tbl_KPIMaster[Owner],MATCH($G329,Tbl_KPIMaster[KPI],0)),"")</f>
        <v/>
      </c>
      <c r="M329" s="6" t="inlineStr">
        <is>
          <t>New operator training effect</t>
        </is>
      </c>
      <c r="N329" s="4" t="inlineStr">
        <is>
          <t>Procurement follow-up</t>
        </is>
      </c>
      <c r="O329" s="4" t="inlineStr">
        <is>
          <t>Low</t>
        </is>
      </c>
      <c r="P329" s="4" t="inlineStr">
        <is>
          <t>Closed</t>
        </is>
      </c>
      <c r="Q329" s="5">
        <f>IFERROR(IF(INDEX(Tbl_KPIMaster[Direction],MATCH($G329,Tbl_KPIMaster[KPI],0))="Lower is Better",IF($J329=0,1,IF($I329=0,0,$I329/$J329)),IF($I329=0,1,$J329/$I329)),0)</f>
        <v/>
      </c>
      <c r="R329" s="4">
        <f>IF(OR($I329="",$J329=""),"",$J329-$I329)</f>
        <v/>
      </c>
      <c r="S329" s="4">
        <f>IFERROR(IF(INDEX(Tbl_KPIMaster[Direction],MATCH($G329,Tbl_KPIMaster[KPI],0))="Lower is Better",IF($J329&lt;=$I329,"Green",IF($J329&lt;=$I329+IF($I329=0,$K329,$I329*$K329),"Amber","Red")),IF($J329&gt;=$I329,"Green",IF($J329&gt;=$I329-IF($I329=0,$K329,$I329*$K329),"Amber","Red"))),"")</f>
        <v/>
      </c>
      <c r="T329" s="6" t="inlineStr"/>
    </row>
    <row r="330">
      <c r="A330" s="7" t="n">
        <v>46146</v>
      </c>
      <c r="B330" s="8">
        <f>IF($A330="","",TEXT($A330,"mmm-yyyy"))</f>
        <v/>
      </c>
      <c r="C330" s="8">
        <f>IF($A330="","","W"&amp;WEEKNUM($A330,2))</f>
        <v/>
      </c>
      <c r="D330" s="8">
        <f>IF($A330="","",TEXT($A330,"ddd"))</f>
        <v/>
      </c>
      <c r="E330" s="8" t="inlineStr">
        <is>
          <t>Maintenance</t>
        </is>
      </c>
      <c r="F330" s="8">
        <f>IFERROR(INDEX(Tbl_KPIMaster[Category],MATCH($G330,Tbl_KPIMaster[KPI],0)),"")</f>
        <v/>
      </c>
      <c r="G330" s="8" t="inlineStr">
        <is>
          <t>PM Compliance %</t>
        </is>
      </c>
      <c r="H330" s="8">
        <f>IFERROR(INDEX(Tbl_KPIMaster[Unit],MATCH($G330,Tbl_KPIMaster[KPI],0)),"")</f>
        <v/>
      </c>
      <c r="I330" s="9">
        <f>IFERROR(INDEX(Tbl_KPIMaster[Maximum Target],MATCH($G330,Tbl_KPIMaster[KPI],0)),"")</f>
        <v/>
      </c>
      <c r="J330" s="9" t="n">
        <v>1.0311</v>
      </c>
      <c r="K330" s="8">
        <f>IFERROR(INDEX(Tbl_KPIMaster[Tolerance],MATCH($G330,Tbl_KPIMaster[KPI],0)),"")</f>
        <v/>
      </c>
      <c r="L330" s="8">
        <f>IFERROR(INDEX(Tbl_KPIMaster[Owner],MATCH($G330,Tbl_KPIMaster[KPI],0)),"")</f>
        <v/>
      </c>
      <c r="M330" s="10" t="inlineStr">
        <is>
          <t>Manpower shortage</t>
        </is>
      </c>
      <c r="N330" s="8" t="inlineStr"/>
      <c r="O330" s="8" t="inlineStr">
        <is>
          <t>Medium</t>
        </is>
      </c>
      <c r="P330" s="8" t="inlineStr">
        <is>
          <t>Closed</t>
        </is>
      </c>
      <c r="Q330" s="9">
        <f>IFERROR(IF(INDEX(Tbl_KPIMaster[Direction],MATCH($G330,Tbl_KPIMaster[KPI],0))="Lower is Better",IF($J330=0,1,IF($I330=0,0,$I330/$J330)),IF($I330=0,1,$J330/$I330)),0)</f>
        <v/>
      </c>
      <c r="R330" s="8">
        <f>IF(OR($I330="",$J330=""),"",$J330-$I330)</f>
        <v/>
      </c>
      <c r="S330" s="8">
        <f>IFERROR(IF(INDEX(Tbl_KPIMaster[Direction],MATCH($G330,Tbl_KPIMaster[KPI],0))="Lower is Better",IF($J330&lt;=$I330,"Green",IF($J330&lt;=$I330+IF($I330=0,$K330,$I330*$K330),"Amber","Red")),IF($J330&gt;=$I330,"Green",IF($J330&gt;=$I330-IF($I330=0,$K330,$I330*$K330),"Amber","Red"))),"")</f>
        <v/>
      </c>
      <c r="T330" s="10" t="inlineStr"/>
    </row>
    <row r="331">
      <c r="A331" s="3" t="n">
        <v>46146</v>
      </c>
      <c r="B331" s="4">
        <f>IF($A331="","",TEXT($A331,"mmm-yyyy"))</f>
        <v/>
      </c>
      <c r="C331" s="4">
        <f>IF($A331="","","W"&amp;WEEKNUM($A331,2))</f>
        <v/>
      </c>
      <c r="D331" s="4">
        <f>IF($A331="","",TEXT($A331,"ddd"))</f>
        <v/>
      </c>
      <c r="E331" s="4" t="inlineStr">
        <is>
          <t>Utilities</t>
        </is>
      </c>
      <c r="F331" s="4">
        <f>IFERROR(INDEX(Tbl_KPIMaster[Category],MATCH($G331,Tbl_KPIMaster[KPI],0)),"")</f>
        <v/>
      </c>
      <c r="G331" s="4" t="inlineStr">
        <is>
          <t>Power Consumption</t>
        </is>
      </c>
      <c r="H331" s="4">
        <f>IFERROR(INDEX(Tbl_KPIMaster[Unit],MATCH($G331,Tbl_KPIMaster[KPI],0)),"")</f>
        <v/>
      </c>
      <c r="I331" s="5">
        <f>IFERROR(INDEX(Tbl_KPIMaster[Maximum Target],MATCH($G331,Tbl_KPIMaster[KPI],0)),"")</f>
        <v/>
      </c>
      <c r="J331" s="5" t="n">
        <v>4273.7</v>
      </c>
      <c r="K331" s="4">
        <f>IFERROR(INDEX(Tbl_KPIMaster[Tolerance],MATCH($G331,Tbl_KPIMaster[KPI],0)),"")</f>
        <v/>
      </c>
      <c r="L331" s="4">
        <f>IFERROR(INDEX(Tbl_KPIMaster[Owner],MATCH($G331,Tbl_KPIMaster[KPI],0)),"")</f>
        <v/>
      </c>
      <c r="M331" s="6" t="inlineStr">
        <is>
          <t>Line changeover impact</t>
        </is>
      </c>
      <c r="N331" s="4" t="inlineStr"/>
      <c r="O331" s="4" t="inlineStr">
        <is>
          <t>Medium</t>
        </is>
      </c>
      <c r="P331" s="4" t="inlineStr">
        <is>
          <t>Closed</t>
        </is>
      </c>
      <c r="Q331" s="5">
        <f>IFERROR(IF(INDEX(Tbl_KPIMaster[Direction],MATCH($G331,Tbl_KPIMaster[KPI],0))="Lower is Better",IF($J331=0,1,IF($I331=0,0,$I331/$J331)),IF($I331=0,1,$J331/$I331)),0)</f>
        <v/>
      </c>
      <c r="R331" s="4">
        <f>IF(OR($I331="",$J331=""),"",$J331-$I331)</f>
        <v/>
      </c>
      <c r="S331" s="4">
        <f>IFERROR(IF(INDEX(Tbl_KPIMaster[Direction],MATCH($G331,Tbl_KPIMaster[KPI],0))="Lower is Better",IF($J331&lt;=$I331,"Green",IF($J331&lt;=$I331+IF($I331=0,$K331,$I331*$K331),"Amber","Red")),IF($J331&gt;=$I331,"Green",IF($J331&gt;=$I331-IF($I331=0,$K331,$I331*$K331),"Amber","Red"))),"")</f>
        <v/>
      </c>
      <c r="T331" s="6" t="inlineStr"/>
    </row>
    <row r="332">
      <c r="A332" s="7" t="n">
        <v>46146</v>
      </c>
      <c r="B332" s="8">
        <f>IF($A332="","",TEXT($A332,"mmm-yyyy"))</f>
        <v/>
      </c>
      <c r="C332" s="8">
        <f>IF($A332="","","W"&amp;WEEKNUM($A332,2))</f>
        <v/>
      </c>
      <c r="D332" s="8">
        <f>IF($A332="","",TEXT($A332,"ddd"))</f>
        <v/>
      </c>
      <c r="E332" s="8" t="inlineStr">
        <is>
          <t>Utilities</t>
        </is>
      </c>
      <c r="F332" s="8">
        <f>IFERROR(INDEX(Tbl_KPIMaster[Category],MATCH($G332,Tbl_KPIMaster[KPI],0)),"")</f>
        <v/>
      </c>
      <c r="G332" s="8" t="inlineStr">
        <is>
          <t>Water Consumption</t>
        </is>
      </c>
      <c r="H332" s="8">
        <f>IFERROR(INDEX(Tbl_KPIMaster[Unit],MATCH($G332,Tbl_KPIMaster[KPI],0)),"")</f>
        <v/>
      </c>
      <c r="I332" s="9">
        <f>IFERROR(INDEX(Tbl_KPIMaster[Maximum Target],MATCH($G332,Tbl_KPIMaster[KPI],0)),"")</f>
        <v/>
      </c>
      <c r="J332" s="9" t="n">
        <v>48.55</v>
      </c>
      <c r="K332" s="8">
        <f>IFERROR(INDEX(Tbl_KPIMaster[Tolerance],MATCH($G332,Tbl_KPIMaster[KPI],0)),"")</f>
        <v/>
      </c>
      <c r="L332" s="8">
        <f>IFERROR(INDEX(Tbl_KPIMaster[Owner],MATCH($G332,Tbl_KPIMaster[KPI],0)),"")</f>
        <v/>
      </c>
      <c r="M332" s="10" t="inlineStr">
        <is>
          <t>Equipment breakdown</t>
        </is>
      </c>
      <c r="N332" s="8" t="inlineStr"/>
      <c r="O332" s="8" t="inlineStr">
        <is>
          <t>High</t>
        </is>
      </c>
      <c r="P332" s="8" t="inlineStr">
        <is>
          <t>In Progress</t>
        </is>
      </c>
      <c r="Q332" s="9">
        <f>IFERROR(IF(INDEX(Tbl_KPIMaster[Direction],MATCH($G332,Tbl_KPIMaster[KPI],0))="Lower is Better",IF($J332=0,1,IF($I332=0,0,$I332/$J332)),IF($I332=0,1,$J332/$I332)),0)</f>
        <v/>
      </c>
      <c r="R332" s="8">
        <f>IF(OR($I332="",$J332=""),"",$J332-$I332)</f>
        <v/>
      </c>
      <c r="S332" s="8">
        <f>IFERROR(IF(INDEX(Tbl_KPIMaster[Direction],MATCH($G332,Tbl_KPIMaster[KPI],0))="Lower is Better",IF($J332&lt;=$I332,"Green",IF($J332&lt;=$I332+IF($I332=0,$K332,$I332*$K332),"Amber","Red")),IF($J332&gt;=$I332,"Green",IF($J332&gt;=$I332-IF($I332=0,$K332,$I332*$K332),"Amber","Red"))),"")</f>
        <v/>
      </c>
      <c r="T332" s="10" t="inlineStr"/>
    </row>
    <row r="333">
      <c r="A333" s="3" t="n">
        <v>46146</v>
      </c>
      <c r="B333" s="4">
        <f>IF($A333="","",TEXT($A333,"mmm-yyyy"))</f>
        <v/>
      </c>
      <c r="C333" s="4">
        <f>IF($A333="","","W"&amp;WEEKNUM($A333,2))</f>
        <v/>
      </c>
      <c r="D333" s="4">
        <f>IF($A333="","",TEXT($A333,"ddd"))</f>
        <v/>
      </c>
      <c r="E333" s="4" t="inlineStr">
        <is>
          <t>Warehouse</t>
        </is>
      </c>
      <c r="F333" s="4">
        <f>IFERROR(INDEX(Tbl_KPIMaster[Category],MATCH($G333,Tbl_KPIMaster[KPI],0)),"")</f>
        <v/>
      </c>
      <c r="G333" s="4" t="inlineStr">
        <is>
          <t>On-Time Dispatch %</t>
        </is>
      </c>
      <c r="H333" s="4">
        <f>IFERROR(INDEX(Tbl_KPIMaster[Unit],MATCH($G333,Tbl_KPIMaster[KPI],0)),"")</f>
        <v/>
      </c>
      <c r="I333" s="5">
        <f>IFERROR(INDEX(Tbl_KPIMaster[Maximum Target],MATCH($G333,Tbl_KPIMaster[KPI],0)),"")</f>
        <v/>
      </c>
      <c r="J333" s="5" t="n">
        <v>0.8552999999999999</v>
      </c>
      <c r="K333" s="4">
        <f>IFERROR(INDEX(Tbl_KPIMaster[Tolerance],MATCH($G333,Tbl_KPIMaster[KPI],0)),"")</f>
        <v/>
      </c>
      <c r="L333" s="4">
        <f>IFERROR(INDEX(Tbl_KPIMaster[Owner],MATCH($G333,Tbl_KPIMaster[KPI],0)),"")</f>
        <v/>
      </c>
      <c r="M333" s="6" t="inlineStr">
        <is>
          <t>Within normal range</t>
        </is>
      </c>
      <c r="N333" s="4" t="inlineStr"/>
      <c r="O333" s="4" t="inlineStr">
        <is>
          <t>Medium</t>
        </is>
      </c>
      <c r="P333" s="4" t="inlineStr">
        <is>
          <t>Closed</t>
        </is>
      </c>
      <c r="Q333" s="5">
        <f>IFERROR(IF(INDEX(Tbl_KPIMaster[Direction],MATCH($G333,Tbl_KPIMaster[KPI],0))="Lower is Better",IF($J333=0,1,IF($I333=0,0,$I333/$J333)),IF($I333=0,1,$J333/$I333)),0)</f>
        <v/>
      </c>
      <c r="R333" s="4">
        <f>IF(OR($I333="",$J333=""),"",$J333-$I333)</f>
        <v/>
      </c>
      <c r="S333" s="4">
        <f>IFERROR(IF(INDEX(Tbl_KPIMaster[Direction],MATCH($G333,Tbl_KPIMaster[KPI],0))="Lower is Better",IF($J333&lt;=$I333,"Green",IF($J333&lt;=$I333+IF($I333=0,$K333,$I333*$K333),"Amber","Red")),IF($J333&gt;=$I333,"Green",IF($J333&gt;=$I333-IF($I333=0,$K333,$I333*$K333),"Amber","Red"))),"")</f>
        <v/>
      </c>
      <c r="T333" s="6" t="inlineStr"/>
    </row>
    <row r="334">
      <c r="A334" s="7" t="n">
        <v>46146</v>
      </c>
      <c r="B334" s="8">
        <f>IF($A334="","",TEXT($A334,"mmm-yyyy"))</f>
        <v/>
      </c>
      <c r="C334" s="8">
        <f>IF($A334="","","W"&amp;WEEKNUM($A334,2))</f>
        <v/>
      </c>
      <c r="D334" s="8">
        <f>IF($A334="","",TEXT($A334,"ddd"))</f>
        <v/>
      </c>
      <c r="E334" s="8" t="inlineStr">
        <is>
          <t>Warehouse</t>
        </is>
      </c>
      <c r="F334" s="8">
        <f>IFERROR(INDEX(Tbl_KPIMaster[Category],MATCH($G334,Tbl_KPIMaster[KPI],0)),"")</f>
        <v/>
      </c>
      <c r="G334" s="8" t="inlineStr">
        <is>
          <t>Inventory Accuracy %</t>
        </is>
      </c>
      <c r="H334" s="8">
        <f>IFERROR(INDEX(Tbl_KPIMaster[Unit],MATCH($G334,Tbl_KPIMaster[KPI],0)),"")</f>
        <v/>
      </c>
      <c r="I334" s="9">
        <f>IFERROR(INDEX(Tbl_KPIMaster[Maximum Target],MATCH($G334,Tbl_KPIMaster[KPI],0)),"")</f>
        <v/>
      </c>
      <c r="J334" s="9" t="n">
        <v>0.6256</v>
      </c>
      <c r="K334" s="8">
        <f>IFERROR(INDEX(Tbl_KPIMaster[Tolerance],MATCH($G334,Tbl_KPIMaster[KPI],0)),"")</f>
        <v/>
      </c>
      <c r="L334" s="8">
        <f>IFERROR(INDEX(Tbl_KPIMaster[Owner],MATCH($G334,Tbl_KPIMaster[KPI],0)),"")</f>
        <v/>
      </c>
      <c r="M334" s="10" t="inlineStr">
        <is>
          <t>New operator training effect</t>
        </is>
      </c>
      <c r="N334" s="8" t="inlineStr">
        <is>
          <t>Engineering support needed</t>
        </is>
      </c>
      <c r="O334" s="8" t="inlineStr">
        <is>
          <t>Low</t>
        </is>
      </c>
      <c r="P334" s="8" t="inlineStr">
        <is>
          <t>Closed</t>
        </is>
      </c>
      <c r="Q334" s="9">
        <f>IFERROR(IF(INDEX(Tbl_KPIMaster[Direction],MATCH($G334,Tbl_KPIMaster[KPI],0))="Lower is Better",IF($J334=0,1,IF($I334=0,0,$I334/$J334)),IF($I334=0,1,$J334/$I334)),0)</f>
        <v/>
      </c>
      <c r="R334" s="8">
        <f>IF(OR($I334="",$J334=""),"",$J334-$I334)</f>
        <v/>
      </c>
      <c r="S334" s="8">
        <f>IFERROR(IF(INDEX(Tbl_KPIMaster[Direction],MATCH($G334,Tbl_KPIMaster[KPI],0))="Lower is Better",IF($J334&lt;=$I334,"Green",IF($J334&lt;=$I334+IF($I334=0,$K334,$I334*$K334),"Amber","Red")),IF($J334&gt;=$I334,"Green",IF($J334&gt;=$I334-IF($I334=0,$K334,$I334*$K334),"Amber","Red"))),"")</f>
        <v/>
      </c>
      <c r="T334" s="10" t="inlineStr"/>
    </row>
    <row r="335">
      <c r="A335" s="3" t="n">
        <v>46146</v>
      </c>
      <c r="B335" s="4">
        <f>IF($A335="","",TEXT($A335,"mmm-yyyy"))</f>
        <v/>
      </c>
      <c r="C335" s="4">
        <f>IF($A335="","","W"&amp;WEEKNUM($A335,2))</f>
        <v/>
      </c>
      <c r="D335" s="4">
        <f>IF($A335="","",TEXT($A335,"ddd"))</f>
        <v/>
      </c>
      <c r="E335" s="4" t="inlineStr">
        <is>
          <t>HR</t>
        </is>
      </c>
      <c r="F335" s="4">
        <f>IFERROR(INDEX(Tbl_KPIMaster[Category],MATCH($G335,Tbl_KPIMaster[KPI],0)),"")</f>
        <v/>
      </c>
      <c r="G335" s="4" t="inlineStr">
        <is>
          <t>Absenteeism %</t>
        </is>
      </c>
      <c r="H335" s="4">
        <f>IFERROR(INDEX(Tbl_KPIMaster[Unit],MATCH($G335,Tbl_KPIMaster[KPI],0)),"")</f>
        <v/>
      </c>
      <c r="I335" s="5">
        <f>IFERROR(INDEX(Tbl_KPIMaster[Maximum Target],MATCH($G335,Tbl_KPIMaster[KPI],0)),"")</f>
        <v/>
      </c>
      <c r="J335" s="5" t="n">
        <v>0</v>
      </c>
      <c r="K335" s="4">
        <f>IFERROR(INDEX(Tbl_KPIMaster[Tolerance],MATCH($G335,Tbl_KPIMaster[KPI],0)),"")</f>
        <v/>
      </c>
      <c r="L335" s="4">
        <f>IFERROR(INDEX(Tbl_KPIMaster[Owner],MATCH($G335,Tbl_KPIMaster[KPI],0)),"")</f>
        <v/>
      </c>
      <c r="M335" s="6" t="inlineStr">
        <is>
          <t>Weather impact</t>
        </is>
      </c>
      <c r="N335" s="4" t="inlineStr"/>
      <c r="O335" s="4" t="inlineStr">
        <is>
          <t>Low</t>
        </is>
      </c>
      <c r="P335" s="4" t="inlineStr">
        <is>
          <t>Closed</t>
        </is>
      </c>
      <c r="Q335" s="5">
        <f>IFERROR(IF(INDEX(Tbl_KPIMaster[Direction],MATCH($G335,Tbl_KPIMaster[KPI],0))="Lower is Better",IF($J335=0,1,IF($I335=0,0,$I335/$J335)),IF($I335=0,1,$J335/$I335)),0)</f>
        <v/>
      </c>
      <c r="R335" s="4">
        <f>IF(OR($I335="",$J335=""),"",$J335-$I335)</f>
        <v/>
      </c>
      <c r="S335" s="4">
        <f>IFERROR(IF(INDEX(Tbl_KPIMaster[Direction],MATCH($G335,Tbl_KPIMaster[KPI],0))="Lower is Better",IF($J335&lt;=$I335,"Green",IF($J335&lt;=$I335+IF($I335=0,$K335,$I335*$K335),"Amber","Red")),IF($J335&gt;=$I335,"Green",IF($J335&gt;=$I335-IF($I335=0,$K335,$I335*$K335),"Amber","Red"))),"")</f>
        <v/>
      </c>
      <c r="T335" s="6" t="inlineStr"/>
    </row>
    <row r="336">
      <c r="A336" s="7" t="n">
        <v>46146</v>
      </c>
      <c r="B336" s="8">
        <f>IF($A336="","",TEXT($A336,"mmm-yyyy"))</f>
        <v/>
      </c>
      <c r="C336" s="8">
        <f>IF($A336="","","W"&amp;WEEKNUM($A336,2))</f>
        <v/>
      </c>
      <c r="D336" s="8">
        <f>IF($A336="","",TEXT($A336,"ddd"))</f>
        <v/>
      </c>
      <c r="E336" s="8" t="inlineStr">
        <is>
          <t>HR</t>
        </is>
      </c>
      <c r="F336" s="8">
        <f>IFERROR(INDEX(Tbl_KPIMaster[Category],MATCH($G336,Tbl_KPIMaster[KPI],0)),"")</f>
        <v/>
      </c>
      <c r="G336" s="8" t="inlineStr">
        <is>
          <t>Training Hours</t>
        </is>
      </c>
      <c r="H336" s="8">
        <f>IFERROR(INDEX(Tbl_KPIMaster[Unit],MATCH($G336,Tbl_KPIMaster[KPI],0)),"")</f>
        <v/>
      </c>
      <c r="I336" s="9">
        <f>IFERROR(INDEX(Tbl_KPIMaster[Maximum Target],MATCH($G336,Tbl_KPIMaster[KPI],0)),"")</f>
        <v/>
      </c>
      <c r="J336" s="9" t="n">
        <v>1.74</v>
      </c>
      <c r="K336" s="8">
        <f>IFERROR(INDEX(Tbl_KPIMaster[Tolerance],MATCH($G336,Tbl_KPIMaster[KPI],0)),"")</f>
        <v/>
      </c>
      <c r="L336" s="8">
        <f>IFERROR(INDEX(Tbl_KPIMaster[Owner],MATCH($G336,Tbl_KPIMaster[KPI],0)),"")</f>
        <v/>
      </c>
      <c r="M336" s="10" t="inlineStr">
        <is>
          <t>Preventive check done</t>
        </is>
      </c>
      <c r="N336" s="8" t="inlineStr">
        <is>
          <t>Procurement follow-up</t>
        </is>
      </c>
      <c r="O336" s="8" t="inlineStr">
        <is>
          <t>Low</t>
        </is>
      </c>
      <c r="P336" s="8" t="inlineStr">
        <is>
          <t>Open</t>
        </is>
      </c>
      <c r="Q336" s="9">
        <f>IFERROR(IF(INDEX(Tbl_KPIMaster[Direction],MATCH($G336,Tbl_KPIMaster[KPI],0))="Lower is Better",IF($J336=0,1,IF($I336=0,0,$I336/$J336)),IF($I336=0,1,$J336/$I336)),0)</f>
        <v/>
      </c>
      <c r="R336" s="8">
        <f>IF(OR($I336="",$J336=""),"",$J336-$I336)</f>
        <v/>
      </c>
      <c r="S336" s="8">
        <f>IFERROR(IF(INDEX(Tbl_KPIMaster[Direction],MATCH($G336,Tbl_KPIMaster[KPI],0))="Lower is Better",IF($J336&lt;=$I336,"Green",IF($J336&lt;=$I336+IF($I336=0,$K336,$I336*$K336),"Amber","Red")),IF($J336&gt;=$I336,"Green",IF($J336&gt;=$I336-IF($I336=0,$K336,$I336*$K336),"Amber","Red"))),"")</f>
        <v/>
      </c>
      <c r="T336" s="10" t="inlineStr"/>
    </row>
    <row r="337">
      <c r="A337" s="3" t="n">
        <v>46146</v>
      </c>
      <c r="B337" s="4">
        <f>IF($A337="","",TEXT($A337,"mmm-yyyy"))</f>
        <v/>
      </c>
      <c r="C337" s="4">
        <f>IF($A337="","","W"&amp;WEEKNUM($A337,2))</f>
        <v/>
      </c>
      <c r="D337" s="4">
        <f>IF($A337="","",TEXT($A337,"ddd"))</f>
        <v/>
      </c>
      <c r="E337" s="4" t="inlineStr">
        <is>
          <t>Engineering</t>
        </is>
      </c>
      <c r="F337" s="4">
        <f>IFERROR(INDEX(Tbl_KPIMaster[Category],MATCH($G337,Tbl_KPIMaster[KPI],0)),"")</f>
        <v/>
      </c>
      <c r="G337" s="4" t="inlineStr">
        <is>
          <t>Project Milestone Adherence %</t>
        </is>
      </c>
      <c r="H337" s="4">
        <f>IFERROR(INDEX(Tbl_KPIMaster[Unit],MATCH($G337,Tbl_KPIMaster[KPI],0)),"")</f>
        <v/>
      </c>
      <c r="I337" s="5">
        <f>IFERROR(INDEX(Tbl_KPIMaster[Maximum Target],MATCH($G337,Tbl_KPIMaster[KPI],0)),"")</f>
        <v/>
      </c>
      <c r="J337" s="5" t="n">
        <v>0.8326</v>
      </c>
      <c r="K337" s="4">
        <f>IFERROR(INDEX(Tbl_KPIMaster[Tolerance],MATCH($G337,Tbl_KPIMaster[KPI],0)),"")</f>
        <v/>
      </c>
      <c r="L337" s="4">
        <f>IFERROR(INDEX(Tbl_KPIMaster[Owner],MATCH($G337,Tbl_KPIMaster[KPI],0)),"")</f>
        <v/>
      </c>
      <c r="M337" s="6" t="inlineStr">
        <is>
          <t>Vendor delay</t>
        </is>
      </c>
      <c r="N337" s="4" t="inlineStr">
        <is>
          <t>Management approval pending</t>
        </is>
      </c>
      <c r="O337" s="4" t="inlineStr">
        <is>
          <t>Medium</t>
        </is>
      </c>
      <c r="P337" s="4" t="inlineStr">
        <is>
          <t>Closed</t>
        </is>
      </c>
      <c r="Q337" s="5">
        <f>IFERROR(IF(INDEX(Tbl_KPIMaster[Direction],MATCH($G337,Tbl_KPIMaster[KPI],0))="Lower is Better",IF($J337=0,1,IF($I337=0,0,$I337/$J337)),IF($I337=0,1,$J337/$I337)),0)</f>
        <v/>
      </c>
      <c r="R337" s="4">
        <f>IF(OR($I337="",$J337=""),"",$J337-$I337)</f>
        <v/>
      </c>
      <c r="S337" s="4">
        <f>IFERROR(IF(INDEX(Tbl_KPIMaster[Direction],MATCH($G337,Tbl_KPIMaster[KPI],0))="Lower is Better",IF($J337&lt;=$I337,"Green",IF($J337&lt;=$I337+IF($I337=0,$K337,$I337*$K337),"Amber","Red")),IF($J337&gt;=$I337,"Green",IF($J337&gt;=$I337-IF($I337=0,$K337,$I337*$K337),"Amber","Red"))),"")</f>
        <v/>
      </c>
      <c r="T337" s="6" t="inlineStr"/>
    </row>
    <row r="338">
      <c r="A338" s="7" t="n">
        <v>46146</v>
      </c>
      <c r="B338" s="8">
        <f>IF($A338="","",TEXT($A338,"mmm-yyyy"))</f>
        <v/>
      </c>
      <c r="C338" s="8">
        <f>IF($A338="","","W"&amp;WEEKNUM($A338,2))</f>
        <v/>
      </c>
      <c r="D338" s="8">
        <f>IF($A338="","",TEXT($A338,"ddd"))</f>
        <v/>
      </c>
      <c r="E338" s="8" t="inlineStr">
        <is>
          <t>Engineering</t>
        </is>
      </c>
      <c r="F338" s="8">
        <f>IFERROR(INDEX(Tbl_KPIMaster[Category],MATCH($G338,Tbl_KPIMaster[KPI],0)),"")</f>
        <v/>
      </c>
      <c r="G338" s="8" t="inlineStr">
        <is>
          <t>Breakdown Resolution Time</t>
        </is>
      </c>
      <c r="H338" s="8">
        <f>IFERROR(INDEX(Tbl_KPIMaster[Unit],MATCH($G338,Tbl_KPIMaster[KPI],0)),"")</f>
        <v/>
      </c>
      <c r="I338" s="9">
        <f>IFERROR(INDEX(Tbl_KPIMaster[Maximum Target],MATCH($G338,Tbl_KPIMaster[KPI],0)),"")</f>
        <v/>
      </c>
      <c r="J338" s="9" t="n">
        <v>0.17</v>
      </c>
      <c r="K338" s="8">
        <f>IFERROR(INDEX(Tbl_KPIMaster[Tolerance],MATCH($G338,Tbl_KPIMaster[KPI],0)),"")</f>
        <v/>
      </c>
      <c r="L338" s="8">
        <f>IFERROR(INDEX(Tbl_KPIMaster[Owner],MATCH($G338,Tbl_KPIMaster[KPI],0)),"")</f>
        <v/>
      </c>
      <c r="M338" s="10" t="inlineStr">
        <is>
          <t>Equipment breakdown</t>
        </is>
      </c>
      <c r="N338" s="8" t="inlineStr">
        <is>
          <t>Management approval pending</t>
        </is>
      </c>
      <c r="O338" s="8" t="inlineStr">
        <is>
          <t>Medium</t>
        </is>
      </c>
      <c r="P338" s="8" t="inlineStr">
        <is>
          <t>Closed</t>
        </is>
      </c>
      <c r="Q338" s="9">
        <f>IFERROR(IF(INDEX(Tbl_KPIMaster[Direction],MATCH($G338,Tbl_KPIMaster[KPI],0))="Lower is Better",IF($J338=0,1,IF($I338=0,0,$I338/$J338)),IF($I338=0,1,$J338/$I338)),0)</f>
        <v/>
      </c>
      <c r="R338" s="8">
        <f>IF(OR($I338="",$J338=""),"",$J338-$I338)</f>
        <v/>
      </c>
      <c r="S338" s="8">
        <f>IFERROR(IF(INDEX(Tbl_KPIMaster[Direction],MATCH($G338,Tbl_KPIMaster[KPI],0))="Lower is Better",IF($J338&lt;=$I338,"Green",IF($J338&lt;=$I338+IF($I338=0,$K338,$I338*$K338),"Amber","Red")),IF($J338&gt;=$I338,"Green",IF($J338&gt;=$I338-IF($I338=0,$K338,$I338*$K338),"Amber","Red"))),"")</f>
        <v/>
      </c>
      <c r="T338" s="10" t="inlineStr"/>
    </row>
    <row r="339">
      <c r="A339" s="3" t="n">
        <v>46146</v>
      </c>
      <c r="B339" s="4">
        <f>IF($A339="","",TEXT($A339,"mmm-yyyy"))</f>
        <v/>
      </c>
      <c r="C339" s="4">
        <f>IF($A339="","","W"&amp;WEEKNUM($A339,2))</f>
        <v/>
      </c>
      <c r="D339" s="4">
        <f>IF($A339="","",TEXT($A339,"ddd"))</f>
        <v/>
      </c>
      <c r="E339" s="4" t="inlineStr">
        <is>
          <t>Cost</t>
        </is>
      </c>
      <c r="F339" s="4">
        <f>IFERROR(INDEX(Tbl_KPIMaster[Category],MATCH($G339,Tbl_KPIMaster[KPI],0)),"")</f>
        <v/>
      </c>
      <c r="G339" s="4" t="inlineStr">
        <is>
          <t>Cost per Unit</t>
        </is>
      </c>
      <c r="H339" s="4">
        <f>IFERROR(INDEX(Tbl_KPIMaster[Unit],MATCH($G339,Tbl_KPIMaster[KPI],0)),"")</f>
        <v/>
      </c>
      <c r="I339" s="5">
        <f>IFERROR(INDEX(Tbl_KPIMaster[Maximum Target],MATCH($G339,Tbl_KPIMaster[KPI],0)),"")</f>
        <v/>
      </c>
      <c r="J339" s="5" t="n">
        <v>37.72</v>
      </c>
      <c r="K339" s="4">
        <f>IFERROR(INDEX(Tbl_KPIMaster[Tolerance],MATCH($G339,Tbl_KPIMaster[KPI],0)),"")</f>
        <v/>
      </c>
      <c r="L339" s="4">
        <f>IFERROR(INDEX(Tbl_KPIMaster[Owner],MATCH($G339,Tbl_KPIMaster[KPI],0)),"")</f>
        <v/>
      </c>
      <c r="M339" s="6" t="inlineStr">
        <is>
          <t>Within normal range</t>
        </is>
      </c>
      <c r="N339" s="4" t="inlineStr"/>
      <c r="O339" s="4" t="inlineStr">
        <is>
          <t>Low</t>
        </is>
      </c>
      <c r="P339" s="4" t="inlineStr">
        <is>
          <t>Open</t>
        </is>
      </c>
      <c r="Q339" s="5">
        <f>IFERROR(IF(INDEX(Tbl_KPIMaster[Direction],MATCH($G339,Tbl_KPIMaster[KPI],0))="Lower is Better",IF($J339=0,1,IF($I339=0,0,$I339/$J339)),IF($I339=0,1,$J339/$I339)),0)</f>
        <v/>
      </c>
      <c r="R339" s="4">
        <f>IF(OR($I339="",$J339=""),"",$J339-$I339)</f>
        <v/>
      </c>
      <c r="S339" s="4">
        <f>IFERROR(IF(INDEX(Tbl_KPIMaster[Direction],MATCH($G339,Tbl_KPIMaster[KPI],0))="Lower is Better",IF($J339&lt;=$I339,"Green",IF($J339&lt;=$I339+IF($I339=0,$K339,$I339*$K339),"Amber","Red")),IF($J339&gt;=$I339,"Green",IF($J339&gt;=$I339-IF($I339=0,$K339,$I339*$K339),"Amber","Red"))),"")</f>
        <v/>
      </c>
      <c r="T339" s="6" t="inlineStr"/>
    </row>
    <row r="340">
      <c r="A340" s="7" t="n">
        <v>46146</v>
      </c>
      <c r="B340" s="8">
        <f>IF($A340="","",TEXT($A340,"mmm-yyyy"))</f>
        <v/>
      </c>
      <c r="C340" s="8">
        <f>IF($A340="","","W"&amp;WEEKNUM($A340,2))</f>
        <v/>
      </c>
      <c r="D340" s="8">
        <f>IF($A340="","",TEXT($A340,"ddd"))</f>
        <v/>
      </c>
      <c r="E340" s="8" t="inlineStr">
        <is>
          <t>Cost</t>
        </is>
      </c>
      <c r="F340" s="8">
        <f>IFERROR(INDEX(Tbl_KPIMaster[Category],MATCH($G340,Tbl_KPIMaster[KPI],0)),"")</f>
        <v/>
      </c>
      <c r="G340" s="8" t="inlineStr">
        <is>
          <t>Budget Variance %</t>
        </is>
      </c>
      <c r="H340" s="8">
        <f>IFERROR(INDEX(Tbl_KPIMaster[Unit],MATCH($G340,Tbl_KPIMaster[KPI],0)),"")</f>
        <v/>
      </c>
      <c r="I340" s="9">
        <f>IFERROR(INDEX(Tbl_KPIMaster[Maximum Target],MATCH($G340,Tbl_KPIMaster[KPI],0)),"")</f>
        <v/>
      </c>
      <c r="J340" s="9" t="n">
        <v>0.6548</v>
      </c>
      <c r="K340" s="8">
        <f>IFERROR(INDEX(Tbl_KPIMaster[Tolerance],MATCH($G340,Tbl_KPIMaster[KPI],0)),"")</f>
        <v/>
      </c>
      <c r="L340" s="8">
        <f>IFERROR(INDEX(Tbl_KPIMaster[Owner],MATCH($G340,Tbl_KPIMaster[KPI],0)),"")</f>
        <v/>
      </c>
      <c r="M340" s="10" t="inlineStr">
        <is>
          <t>Preventive check done</t>
        </is>
      </c>
      <c r="N340" s="8" t="inlineStr"/>
      <c r="O340" s="8" t="inlineStr">
        <is>
          <t>Low</t>
        </is>
      </c>
      <c r="P340" s="8" t="inlineStr">
        <is>
          <t>In Progress</t>
        </is>
      </c>
      <c r="Q340" s="9">
        <f>IFERROR(IF(INDEX(Tbl_KPIMaster[Direction],MATCH($G340,Tbl_KPIMaster[KPI],0))="Lower is Better",IF($J340=0,1,IF($I340=0,0,$I340/$J340)),IF($I340=0,1,$J340/$I340)),0)</f>
        <v/>
      </c>
      <c r="R340" s="8">
        <f>IF(OR($I340="",$J340=""),"",$J340-$I340)</f>
        <v/>
      </c>
      <c r="S340" s="8">
        <f>IFERROR(IF(INDEX(Tbl_KPIMaster[Direction],MATCH($G340,Tbl_KPIMaster[KPI],0))="Lower is Better",IF($J340&lt;=$I340,"Green",IF($J340&lt;=$I340+IF($I340=0,$K340,$I340*$K340),"Amber","Red")),IF($J340&gt;=$I340,"Green",IF($J340&gt;=$I340-IF($I340=0,$K340,$I340*$K340),"Amber","Red"))),"")</f>
        <v/>
      </c>
      <c r="T340" s="10" t="inlineStr"/>
    </row>
    <row r="341">
      <c r="A341" s="3" t="n">
        <v>46146</v>
      </c>
      <c r="B341" s="4">
        <f>IF($A341="","",TEXT($A341,"mmm-yyyy"))</f>
        <v/>
      </c>
      <c r="C341" s="4">
        <f>IF($A341="","","W"&amp;WEEKNUM($A341,2))</f>
        <v/>
      </c>
      <c r="D341" s="4">
        <f>IF($A341="","",TEXT($A341,"ddd"))</f>
        <v/>
      </c>
      <c r="E341" s="4" t="inlineStr">
        <is>
          <t>Energy</t>
        </is>
      </c>
      <c r="F341" s="4">
        <f>IFERROR(INDEX(Tbl_KPIMaster[Category],MATCH($G341,Tbl_KPIMaster[KPI],0)),"")</f>
        <v/>
      </c>
      <c r="G341" s="4" t="inlineStr">
        <is>
          <t>Energy Intensity (kWh/unit)</t>
        </is>
      </c>
      <c r="H341" s="4">
        <f>IFERROR(INDEX(Tbl_KPIMaster[Unit],MATCH($G341,Tbl_KPIMaster[KPI],0)),"")</f>
        <v/>
      </c>
      <c r="I341" s="5">
        <f>IFERROR(INDEX(Tbl_KPIMaster[Maximum Target],MATCH($G341,Tbl_KPIMaster[KPI],0)),"")</f>
        <v/>
      </c>
      <c r="J341" s="5" t="n">
        <v>4.31</v>
      </c>
      <c r="K341" s="4">
        <f>IFERROR(INDEX(Tbl_KPIMaster[Tolerance],MATCH($G341,Tbl_KPIMaster[KPI],0)),"")</f>
        <v/>
      </c>
      <c r="L341" s="4">
        <f>IFERROR(INDEX(Tbl_KPIMaster[Owner],MATCH($G341,Tbl_KPIMaster[KPI],0)),"")</f>
        <v/>
      </c>
      <c r="M341" s="6" t="inlineStr">
        <is>
          <t>Line changeover impact</t>
        </is>
      </c>
      <c r="N341" s="4" t="inlineStr">
        <is>
          <t>Engineering support needed</t>
        </is>
      </c>
      <c r="O341" s="4" t="inlineStr">
        <is>
          <t>Medium</t>
        </is>
      </c>
      <c r="P341" s="4" t="inlineStr">
        <is>
          <t>Open</t>
        </is>
      </c>
      <c r="Q341" s="5">
        <f>IFERROR(IF(INDEX(Tbl_KPIMaster[Direction],MATCH($G341,Tbl_KPIMaster[KPI],0))="Lower is Better",IF($J341=0,1,IF($I341=0,0,$I341/$J341)),IF($I341=0,1,$J341/$I341)),0)</f>
        <v/>
      </c>
      <c r="R341" s="4">
        <f>IF(OR($I341="",$J341=""),"",$J341-$I341)</f>
        <v/>
      </c>
      <c r="S341" s="4">
        <f>IFERROR(IF(INDEX(Tbl_KPIMaster[Direction],MATCH($G341,Tbl_KPIMaster[KPI],0))="Lower is Better",IF($J341&lt;=$I341,"Green",IF($J341&lt;=$I341+IF($I341=0,$K341,$I341*$K341),"Amber","Red")),IF($J341&gt;=$I341,"Green",IF($J341&gt;=$I341-IF($I341=0,$K341,$I341*$K341),"Amber","Red"))),"")</f>
        <v/>
      </c>
      <c r="T341" s="6" t="inlineStr"/>
    </row>
    <row r="342">
      <c r="A342" s="7" t="n">
        <v>46146</v>
      </c>
      <c r="B342" s="8">
        <f>IF($A342="","",TEXT($A342,"mmm-yyyy"))</f>
        <v/>
      </c>
      <c r="C342" s="8">
        <f>IF($A342="","","W"&amp;WEEKNUM($A342,2))</f>
        <v/>
      </c>
      <c r="D342" s="8">
        <f>IF($A342="","",TEXT($A342,"ddd"))</f>
        <v/>
      </c>
      <c r="E342" s="8" t="inlineStr">
        <is>
          <t>Energy</t>
        </is>
      </c>
      <c r="F342" s="8">
        <f>IFERROR(INDEX(Tbl_KPIMaster[Category],MATCH($G342,Tbl_KPIMaster[KPI],0)),"")</f>
        <v/>
      </c>
      <c r="G342" s="8" t="inlineStr">
        <is>
          <t>Renewable Energy Share %</t>
        </is>
      </c>
      <c r="H342" s="8">
        <f>IFERROR(INDEX(Tbl_KPIMaster[Unit],MATCH($G342,Tbl_KPIMaster[KPI],0)),"")</f>
        <v/>
      </c>
      <c r="I342" s="9">
        <f>IFERROR(INDEX(Tbl_KPIMaster[Maximum Target],MATCH($G342,Tbl_KPIMaster[KPI],0)),"")</f>
        <v/>
      </c>
      <c r="J342" s="9" t="n">
        <v>0.2434</v>
      </c>
      <c r="K342" s="8">
        <f>IFERROR(INDEX(Tbl_KPIMaster[Tolerance],MATCH($G342,Tbl_KPIMaster[KPI],0)),"")</f>
        <v/>
      </c>
      <c r="L342" s="8">
        <f>IFERROR(INDEX(Tbl_KPIMaster[Owner],MATCH($G342,Tbl_KPIMaster[KPI],0)),"")</f>
        <v/>
      </c>
      <c r="M342" s="10" t="inlineStr"/>
      <c r="N342" s="8" t="inlineStr"/>
      <c r="O342" s="8" t="inlineStr">
        <is>
          <t>High</t>
        </is>
      </c>
      <c r="P342" s="8" t="inlineStr">
        <is>
          <t>Closed</t>
        </is>
      </c>
      <c r="Q342" s="9">
        <f>IFERROR(IF(INDEX(Tbl_KPIMaster[Direction],MATCH($G342,Tbl_KPIMaster[KPI],0))="Lower is Better",IF($J342=0,1,IF($I342=0,0,$I342/$J342)),IF($I342=0,1,$J342/$I342)),0)</f>
        <v/>
      </c>
      <c r="R342" s="8">
        <f>IF(OR($I342="",$J342=""),"",$J342-$I342)</f>
        <v/>
      </c>
      <c r="S342" s="8">
        <f>IFERROR(IF(INDEX(Tbl_KPIMaster[Direction],MATCH($G342,Tbl_KPIMaster[KPI],0))="Lower is Better",IF($J342&lt;=$I342,"Green",IF($J342&lt;=$I342+IF($I342=0,$K342,$I342*$K342),"Amber","Red")),IF($J342&gt;=$I342,"Green",IF($J342&gt;=$I342-IF($I342=0,$K342,$I342*$K342),"Amber","Red"))),"")</f>
        <v/>
      </c>
      <c r="T342" s="10" t="inlineStr"/>
    </row>
    <row r="343">
      <c r="A343" s="3" t="n">
        <v>46147</v>
      </c>
      <c r="B343" s="4">
        <f>IF($A343="","",TEXT($A343,"mmm-yyyy"))</f>
        <v/>
      </c>
      <c r="C343" s="4">
        <f>IF($A343="","","W"&amp;WEEKNUM($A343,2))</f>
        <v/>
      </c>
      <c r="D343" s="4">
        <f>IF($A343="","",TEXT($A343,"ddd"))</f>
        <v/>
      </c>
      <c r="E343" s="4" t="inlineStr">
        <is>
          <t>Safety</t>
        </is>
      </c>
      <c r="F343" s="4">
        <f>IFERROR(INDEX(Tbl_KPIMaster[Category],MATCH($G343,Tbl_KPIMaster[KPI],0)),"")</f>
        <v/>
      </c>
      <c r="G343" s="4" t="inlineStr">
        <is>
          <t>Safety Incidents (LTI)</t>
        </is>
      </c>
      <c r="H343" s="4">
        <f>IFERROR(INDEX(Tbl_KPIMaster[Unit],MATCH($G343,Tbl_KPIMaster[KPI],0)),"")</f>
        <v/>
      </c>
      <c r="I343" s="5">
        <f>IFERROR(INDEX(Tbl_KPIMaster[Maximum Target],MATCH($G343,Tbl_KPIMaster[KPI],0)),"")</f>
        <v/>
      </c>
      <c r="J343" s="5" t="n">
        <v>0</v>
      </c>
      <c r="K343" s="4">
        <f>IFERROR(INDEX(Tbl_KPIMaster[Tolerance],MATCH($G343,Tbl_KPIMaster[KPI],0)),"")</f>
        <v/>
      </c>
      <c r="L343" s="4">
        <f>IFERROR(INDEX(Tbl_KPIMaster[Owner],MATCH($G343,Tbl_KPIMaster[KPI],0)),"")</f>
        <v/>
      </c>
      <c r="M343" s="6" t="inlineStr"/>
      <c r="N343" s="4" t="inlineStr">
        <is>
          <t>Engineering support needed</t>
        </is>
      </c>
      <c r="O343" s="4" t="inlineStr">
        <is>
          <t>Low</t>
        </is>
      </c>
      <c r="P343" s="4" t="inlineStr">
        <is>
          <t>Closed</t>
        </is>
      </c>
      <c r="Q343" s="5">
        <f>IFERROR(IF(INDEX(Tbl_KPIMaster[Direction],MATCH($G343,Tbl_KPIMaster[KPI],0))="Lower is Better",IF($J343=0,1,IF($I343=0,0,$I343/$J343)),IF($I343=0,1,$J343/$I343)),0)</f>
        <v/>
      </c>
      <c r="R343" s="4">
        <f>IF(OR($I343="",$J343=""),"",$J343-$I343)</f>
        <v/>
      </c>
      <c r="S343" s="4">
        <f>IFERROR(IF(INDEX(Tbl_KPIMaster[Direction],MATCH($G343,Tbl_KPIMaster[KPI],0))="Lower is Better",IF($J343&lt;=$I343,"Green",IF($J343&lt;=$I343+IF($I343=0,$K343,$I343*$K343),"Amber","Red")),IF($J343&gt;=$I343,"Green",IF($J343&gt;=$I343-IF($I343=0,$K343,$I343*$K343),"Amber","Red"))),"")</f>
        <v/>
      </c>
      <c r="T343" s="6" t="inlineStr"/>
    </row>
    <row r="344">
      <c r="A344" s="7" t="n">
        <v>46147</v>
      </c>
      <c r="B344" s="8">
        <f>IF($A344="","",TEXT($A344,"mmm-yyyy"))</f>
        <v/>
      </c>
      <c r="C344" s="8">
        <f>IF($A344="","","W"&amp;WEEKNUM($A344,2))</f>
        <v/>
      </c>
      <c r="D344" s="8">
        <f>IF($A344="","",TEXT($A344,"ddd"))</f>
        <v/>
      </c>
      <c r="E344" s="8" t="inlineStr">
        <is>
          <t>Safety</t>
        </is>
      </c>
      <c r="F344" s="8">
        <f>IFERROR(INDEX(Tbl_KPIMaster[Category],MATCH($G344,Tbl_KPIMaster[KPI],0)),"")</f>
        <v/>
      </c>
      <c r="G344" s="8" t="inlineStr">
        <is>
          <t>Near Miss Reports</t>
        </is>
      </c>
      <c r="H344" s="8">
        <f>IFERROR(INDEX(Tbl_KPIMaster[Unit],MATCH($G344,Tbl_KPIMaster[KPI],0)),"")</f>
        <v/>
      </c>
      <c r="I344" s="9">
        <f>IFERROR(INDEX(Tbl_KPIMaster[Maximum Target],MATCH($G344,Tbl_KPIMaster[KPI],0)),"")</f>
        <v/>
      </c>
      <c r="J344" s="9" t="n">
        <v>2</v>
      </c>
      <c r="K344" s="8">
        <f>IFERROR(INDEX(Tbl_KPIMaster[Tolerance],MATCH($G344,Tbl_KPIMaster[KPI],0)),"")</f>
        <v/>
      </c>
      <c r="L344" s="8">
        <f>IFERROR(INDEX(Tbl_KPIMaster[Owner],MATCH($G344,Tbl_KPIMaster[KPI],0)),"")</f>
        <v/>
      </c>
      <c r="M344" s="10" t="inlineStr">
        <is>
          <t>Line changeover impact</t>
        </is>
      </c>
      <c r="N344" s="8" t="inlineStr"/>
      <c r="O344" s="8" t="inlineStr">
        <is>
          <t>Low</t>
        </is>
      </c>
      <c r="P344" s="8" t="inlineStr">
        <is>
          <t>Closed</t>
        </is>
      </c>
      <c r="Q344" s="9">
        <f>IFERROR(IF(INDEX(Tbl_KPIMaster[Direction],MATCH($G344,Tbl_KPIMaster[KPI],0))="Lower is Better",IF($J344=0,1,IF($I344=0,0,$I344/$J344)),IF($I344=0,1,$J344/$I344)),0)</f>
        <v/>
      </c>
      <c r="R344" s="8">
        <f>IF(OR($I344="",$J344=""),"",$J344-$I344)</f>
        <v/>
      </c>
      <c r="S344" s="8">
        <f>IFERROR(IF(INDEX(Tbl_KPIMaster[Direction],MATCH($G344,Tbl_KPIMaster[KPI],0))="Lower is Better",IF($J344&lt;=$I344,"Green",IF($J344&lt;=$I344+IF($I344=0,$K344,$I344*$K344),"Amber","Red")),IF($J344&gt;=$I344,"Green",IF($J344&gt;=$I344-IF($I344=0,$K344,$I344*$K344),"Amber","Red"))),"")</f>
        <v/>
      </c>
      <c r="T344" s="10" t="inlineStr"/>
    </row>
    <row r="345">
      <c r="A345" s="3" t="n">
        <v>46147</v>
      </c>
      <c r="B345" s="4">
        <f>IF($A345="","",TEXT($A345,"mmm-yyyy"))</f>
        <v/>
      </c>
      <c r="C345" s="4">
        <f>IF($A345="","","W"&amp;WEEKNUM($A345,2))</f>
        <v/>
      </c>
      <c r="D345" s="4">
        <f>IF($A345="","",TEXT($A345,"ddd"))</f>
        <v/>
      </c>
      <c r="E345" s="4" t="inlineStr">
        <is>
          <t>Production</t>
        </is>
      </c>
      <c r="F345" s="4">
        <f>IFERROR(INDEX(Tbl_KPIMaster[Category],MATCH($G345,Tbl_KPIMaster[KPI],0)),"")</f>
        <v/>
      </c>
      <c r="G345" s="4" t="inlineStr">
        <is>
          <t>Production Output</t>
        </is>
      </c>
      <c r="H345" s="4">
        <f>IFERROR(INDEX(Tbl_KPIMaster[Unit],MATCH($G345,Tbl_KPIMaster[KPI],0)),"")</f>
        <v/>
      </c>
      <c r="I345" s="5">
        <f>IFERROR(INDEX(Tbl_KPIMaster[Maximum Target],MATCH($G345,Tbl_KPIMaster[KPI],0)),"")</f>
        <v/>
      </c>
      <c r="J345" s="5" t="n">
        <v>846.65</v>
      </c>
      <c r="K345" s="4">
        <f>IFERROR(INDEX(Tbl_KPIMaster[Tolerance],MATCH($G345,Tbl_KPIMaster[KPI],0)),"")</f>
        <v/>
      </c>
      <c r="L345" s="4">
        <f>IFERROR(INDEX(Tbl_KPIMaster[Owner],MATCH($G345,Tbl_KPIMaster[KPI],0)),"")</f>
        <v/>
      </c>
      <c r="M345" s="6" t="inlineStr">
        <is>
          <t>Line changeover impact</t>
        </is>
      </c>
      <c r="N345" s="4" t="inlineStr"/>
      <c r="O345" s="4" t="inlineStr">
        <is>
          <t>Low</t>
        </is>
      </c>
      <c r="P345" s="4" t="inlineStr">
        <is>
          <t>In Progress</t>
        </is>
      </c>
      <c r="Q345" s="5">
        <f>IFERROR(IF(INDEX(Tbl_KPIMaster[Direction],MATCH($G345,Tbl_KPIMaster[KPI],0))="Lower is Better",IF($J345=0,1,IF($I345=0,0,$I345/$J345)),IF($I345=0,1,$J345/$I345)),0)</f>
        <v/>
      </c>
      <c r="R345" s="4">
        <f>IF(OR($I345="",$J345=""),"",$J345-$I345)</f>
        <v/>
      </c>
      <c r="S345" s="4">
        <f>IFERROR(IF(INDEX(Tbl_KPIMaster[Direction],MATCH($G345,Tbl_KPIMaster[KPI],0))="Lower is Better",IF($J345&lt;=$I345,"Green",IF($J345&lt;=$I345+IF($I345=0,$K345,$I345*$K345),"Amber","Red")),IF($J345&gt;=$I345,"Green",IF($J345&gt;=$I345-IF($I345=0,$K345,$I345*$K345),"Amber","Red"))),"")</f>
        <v/>
      </c>
      <c r="T345" s="6" t="inlineStr"/>
    </row>
    <row r="346">
      <c r="A346" s="7" t="n">
        <v>46147</v>
      </c>
      <c r="B346" s="8">
        <f>IF($A346="","",TEXT($A346,"mmm-yyyy"))</f>
        <v/>
      </c>
      <c r="C346" s="8">
        <f>IF($A346="","","W"&amp;WEEKNUM($A346,2))</f>
        <v/>
      </c>
      <c r="D346" s="8">
        <f>IF($A346="","",TEXT($A346,"ddd"))</f>
        <v/>
      </c>
      <c r="E346" s="8" t="inlineStr">
        <is>
          <t>Production</t>
        </is>
      </c>
      <c r="F346" s="8">
        <f>IFERROR(INDEX(Tbl_KPIMaster[Category],MATCH($G346,Tbl_KPIMaster[KPI],0)),"")</f>
        <v/>
      </c>
      <c r="G346" s="8" t="inlineStr">
        <is>
          <t>OEE %</t>
        </is>
      </c>
      <c r="H346" s="8">
        <f>IFERROR(INDEX(Tbl_KPIMaster[Unit],MATCH($G346,Tbl_KPIMaster[KPI],0)),"")</f>
        <v/>
      </c>
      <c r="I346" s="9">
        <f>IFERROR(INDEX(Tbl_KPIMaster[Maximum Target],MATCH($G346,Tbl_KPIMaster[KPI],0)),"")</f>
        <v/>
      </c>
      <c r="J346" s="9" t="n">
        <v>0.8919</v>
      </c>
      <c r="K346" s="8">
        <f>IFERROR(INDEX(Tbl_KPIMaster[Tolerance],MATCH($G346,Tbl_KPIMaster[KPI],0)),"")</f>
        <v/>
      </c>
      <c r="L346" s="8">
        <f>IFERROR(INDEX(Tbl_KPIMaster[Owner],MATCH($G346,Tbl_KPIMaster[KPI],0)),"")</f>
        <v/>
      </c>
      <c r="M346" s="10" t="inlineStr">
        <is>
          <t>Weather impact</t>
        </is>
      </c>
      <c r="N346" s="8" t="inlineStr">
        <is>
          <t>Management approval pending</t>
        </is>
      </c>
      <c r="O346" s="8" t="inlineStr">
        <is>
          <t>Low</t>
        </is>
      </c>
      <c r="P346" s="8" t="inlineStr">
        <is>
          <t>Closed</t>
        </is>
      </c>
      <c r="Q346" s="9">
        <f>IFERROR(IF(INDEX(Tbl_KPIMaster[Direction],MATCH($G346,Tbl_KPIMaster[KPI],0))="Lower is Better",IF($J346=0,1,IF($I346=0,0,$I346/$J346)),IF($I346=0,1,$J346/$I346)),0)</f>
        <v/>
      </c>
      <c r="R346" s="8">
        <f>IF(OR($I346="",$J346=""),"",$J346-$I346)</f>
        <v/>
      </c>
      <c r="S346" s="8">
        <f>IFERROR(IF(INDEX(Tbl_KPIMaster[Direction],MATCH($G346,Tbl_KPIMaster[KPI],0))="Lower is Better",IF($J346&lt;=$I346,"Green",IF($J346&lt;=$I346+IF($I346=0,$K346,$I346*$K346),"Amber","Red")),IF($J346&gt;=$I346,"Green",IF($J346&gt;=$I346-IF($I346=0,$K346,$I346*$K346),"Amber","Red"))),"")</f>
        <v/>
      </c>
      <c r="T346" s="10" t="inlineStr"/>
    </row>
    <row r="347">
      <c r="A347" s="3" t="n">
        <v>46147</v>
      </c>
      <c r="B347" s="4">
        <f>IF($A347="","",TEXT($A347,"mmm-yyyy"))</f>
        <v/>
      </c>
      <c r="C347" s="4">
        <f>IF($A347="","","W"&amp;WEEKNUM($A347,2))</f>
        <v/>
      </c>
      <c r="D347" s="4">
        <f>IF($A347="","",TEXT($A347,"ddd"))</f>
        <v/>
      </c>
      <c r="E347" s="4" t="inlineStr">
        <is>
          <t>Quality</t>
        </is>
      </c>
      <c r="F347" s="4">
        <f>IFERROR(INDEX(Tbl_KPIMaster[Category],MATCH($G347,Tbl_KPIMaster[KPI],0)),"")</f>
        <v/>
      </c>
      <c r="G347" s="4" t="inlineStr">
        <is>
          <t>Defect Rate %</t>
        </is>
      </c>
      <c r="H347" s="4">
        <f>IFERROR(INDEX(Tbl_KPIMaster[Unit],MATCH($G347,Tbl_KPIMaster[KPI],0)),"")</f>
        <v/>
      </c>
      <c r="I347" s="5">
        <f>IFERROR(INDEX(Tbl_KPIMaster[Maximum Target],MATCH($G347,Tbl_KPIMaster[KPI],0)),"")</f>
        <v/>
      </c>
      <c r="J347" s="5" t="n">
        <v>0</v>
      </c>
      <c r="K347" s="4">
        <f>IFERROR(INDEX(Tbl_KPIMaster[Tolerance],MATCH($G347,Tbl_KPIMaster[KPI],0)),"")</f>
        <v/>
      </c>
      <c r="L347" s="4">
        <f>IFERROR(INDEX(Tbl_KPIMaster[Owner],MATCH($G347,Tbl_KPIMaster[KPI],0)),"")</f>
        <v/>
      </c>
      <c r="M347" s="6" t="inlineStr">
        <is>
          <t>Weather impact</t>
        </is>
      </c>
      <c r="N347" s="4" t="inlineStr"/>
      <c r="O347" s="4" t="inlineStr">
        <is>
          <t>Low</t>
        </is>
      </c>
      <c r="P347" s="4" t="inlineStr">
        <is>
          <t>Closed</t>
        </is>
      </c>
      <c r="Q347" s="5">
        <f>IFERROR(IF(INDEX(Tbl_KPIMaster[Direction],MATCH($G347,Tbl_KPIMaster[KPI],0))="Lower is Better",IF($J347=0,1,IF($I347=0,0,$I347/$J347)),IF($I347=0,1,$J347/$I347)),0)</f>
        <v/>
      </c>
      <c r="R347" s="4">
        <f>IF(OR($I347="",$J347=""),"",$J347-$I347)</f>
        <v/>
      </c>
      <c r="S347" s="4">
        <f>IFERROR(IF(INDEX(Tbl_KPIMaster[Direction],MATCH($G347,Tbl_KPIMaster[KPI],0))="Lower is Better",IF($J347&lt;=$I347,"Green",IF($J347&lt;=$I347+IF($I347=0,$K347,$I347*$K347),"Amber","Red")),IF($J347&gt;=$I347,"Green",IF($J347&gt;=$I347-IF($I347=0,$K347,$I347*$K347),"Amber","Red"))),"")</f>
        <v/>
      </c>
      <c r="T347" s="6" t="inlineStr"/>
    </row>
    <row r="348">
      <c r="A348" s="7" t="n">
        <v>46147</v>
      </c>
      <c r="B348" s="8">
        <f>IF($A348="","",TEXT($A348,"mmm-yyyy"))</f>
        <v/>
      </c>
      <c r="C348" s="8">
        <f>IF($A348="","","W"&amp;WEEKNUM($A348,2))</f>
        <v/>
      </c>
      <c r="D348" s="8">
        <f>IF($A348="","",TEXT($A348,"ddd"))</f>
        <v/>
      </c>
      <c r="E348" s="8" t="inlineStr">
        <is>
          <t>Quality</t>
        </is>
      </c>
      <c r="F348" s="8">
        <f>IFERROR(INDEX(Tbl_KPIMaster[Category],MATCH($G348,Tbl_KPIMaster[KPI],0)),"")</f>
        <v/>
      </c>
      <c r="G348" s="8" t="inlineStr">
        <is>
          <t>Customer Complaints</t>
        </is>
      </c>
      <c r="H348" s="8">
        <f>IFERROR(INDEX(Tbl_KPIMaster[Unit],MATCH($G348,Tbl_KPIMaster[KPI],0)),"")</f>
        <v/>
      </c>
      <c r="I348" s="9">
        <f>IFERROR(INDEX(Tbl_KPIMaster[Maximum Target],MATCH($G348,Tbl_KPIMaster[KPI],0)),"")</f>
        <v/>
      </c>
      <c r="J348" s="9" t="n">
        <v>0</v>
      </c>
      <c r="K348" s="8">
        <f>IFERROR(INDEX(Tbl_KPIMaster[Tolerance],MATCH($G348,Tbl_KPIMaster[KPI],0)),"")</f>
        <v/>
      </c>
      <c r="L348" s="8">
        <f>IFERROR(INDEX(Tbl_KPIMaster[Owner],MATCH($G348,Tbl_KPIMaster[KPI],0)),"")</f>
        <v/>
      </c>
      <c r="M348" s="10" t="inlineStr">
        <is>
          <t>Vendor delay</t>
        </is>
      </c>
      <c r="N348" s="8" t="inlineStr"/>
      <c r="O348" s="8" t="inlineStr">
        <is>
          <t>Low</t>
        </is>
      </c>
      <c r="P348" s="8" t="inlineStr">
        <is>
          <t>Closed</t>
        </is>
      </c>
      <c r="Q348" s="9">
        <f>IFERROR(IF(INDEX(Tbl_KPIMaster[Direction],MATCH($G348,Tbl_KPIMaster[KPI],0))="Lower is Better",IF($J348=0,1,IF($I348=0,0,$I348/$J348)),IF($I348=0,1,$J348/$I348)),0)</f>
        <v/>
      </c>
      <c r="R348" s="8">
        <f>IF(OR($I348="",$J348=""),"",$J348-$I348)</f>
        <v/>
      </c>
      <c r="S348" s="8">
        <f>IFERROR(IF(INDEX(Tbl_KPIMaster[Direction],MATCH($G348,Tbl_KPIMaster[KPI],0))="Lower is Better",IF($J348&lt;=$I348,"Green",IF($J348&lt;=$I348+IF($I348=0,$K348,$I348*$K348),"Amber","Red")),IF($J348&gt;=$I348,"Green",IF($J348&gt;=$I348-IF($I348=0,$K348,$I348*$K348),"Amber","Red"))),"")</f>
        <v/>
      </c>
      <c r="T348" s="10" t="inlineStr"/>
    </row>
    <row r="349">
      <c r="A349" s="3" t="n">
        <v>46147</v>
      </c>
      <c r="B349" s="4">
        <f>IF($A349="","",TEXT($A349,"mmm-yyyy"))</f>
        <v/>
      </c>
      <c r="C349" s="4">
        <f>IF($A349="","","W"&amp;WEEKNUM($A349,2))</f>
        <v/>
      </c>
      <c r="D349" s="4">
        <f>IF($A349="","",TEXT($A349,"ddd"))</f>
        <v/>
      </c>
      <c r="E349" s="4" t="inlineStr">
        <is>
          <t>Maintenance</t>
        </is>
      </c>
      <c r="F349" s="4">
        <f>IFERROR(INDEX(Tbl_KPIMaster[Category],MATCH($G349,Tbl_KPIMaster[KPI],0)),"")</f>
        <v/>
      </c>
      <c r="G349" s="4" t="inlineStr">
        <is>
          <t>Unplanned Downtime</t>
        </is>
      </c>
      <c r="H349" s="4">
        <f>IFERROR(INDEX(Tbl_KPIMaster[Unit],MATCH($G349,Tbl_KPIMaster[KPI],0)),"")</f>
        <v/>
      </c>
      <c r="I349" s="5">
        <f>IFERROR(INDEX(Tbl_KPIMaster[Maximum Target],MATCH($G349,Tbl_KPIMaster[KPI],0)),"")</f>
        <v/>
      </c>
      <c r="J349" s="5" t="n">
        <v>0.78</v>
      </c>
      <c r="K349" s="4">
        <f>IFERROR(INDEX(Tbl_KPIMaster[Tolerance],MATCH($G349,Tbl_KPIMaster[KPI],0)),"")</f>
        <v/>
      </c>
      <c r="L349" s="4">
        <f>IFERROR(INDEX(Tbl_KPIMaster[Owner],MATCH($G349,Tbl_KPIMaster[KPI],0)),"")</f>
        <v/>
      </c>
      <c r="M349" s="6" t="inlineStr"/>
      <c r="N349" s="4" t="inlineStr"/>
      <c r="O349" s="4" t="inlineStr">
        <is>
          <t>Low</t>
        </is>
      </c>
      <c r="P349" s="4" t="inlineStr">
        <is>
          <t>In Progress</t>
        </is>
      </c>
      <c r="Q349" s="5">
        <f>IFERROR(IF(INDEX(Tbl_KPIMaster[Direction],MATCH($G349,Tbl_KPIMaster[KPI],0))="Lower is Better",IF($J349=0,1,IF($I349=0,0,$I349/$J349)),IF($I349=0,1,$J349/$I349)),0)</f>
        <v/>
      </c>
      <c r="R349" s="4">
        <f>IF(OR($I349="",$J349=""),"",$J349-$I349)</f>
        <v/>
      </c>
      <c r="S349" s="4">
        <f>IFERROR(IF(INDEX(Tbl_KPIMaster[Direction],MATCH($G349,Tbl_KPIMaster[KPI],0))="Lower is Better",IF($J349&lt;=$I349,"Green",IF($J349&lt;=$I349+IF($I349=0,$K349,$I349*$K349),"Amber","Red")),IF($J349&gt;=$I349,"Green",IF($J349&gt;=$I349-IF($I349=0,$K349,$I349*$K349),"Amber","Red"))),"")</f>
        <v/>
      </c>
      <c r="T349" s="6" t="inlineStr"/>
    </row>
    <row r="350">
      <c r="A350" s="7" t="n">
        <v>46147</v>
      </c>
      <c r="B350" s="8">
        <f>IF($A350="","",TEXT($A350,"mmm-yyyy"))</f>
        <v/>
      </c>
      <c r="C350" s="8">
        <f>IF($A350="","","W"&amp;WEEKNUM($A350,2))</f>
        <v/>
      </c>
      <c r="D350" s="8">
        <f>IF($A350="","",TEXT($A350,"ddd"))</f>
        <v/>
      </c>
      <c r="E350" s="8" t="inlineStr">
        <is>
          <t>Maintenance</t>
        </is>
      </c>
      <c r="F350" s="8">
        <f>IFERROR(INDEX(Tbl_KPIMaster[Category],MATCH($G350,Tbl_KPIMaster[KPI],0)),"")</f>
        <v/>
      </c>
      <c r="G350" s="8" t="inlineStr">
        <is>
          <t>PM Compliance %</t>
        </is>
      </c>
      <c r="H350" s="8">
        <f>IFERROR(INDEX(Tbl_KPIMaster[Unit],MATCH($G350,Tbl_KPIMaster[KPI],0)),"")</f>
        <v/>
      </c>
      <c r="I350" s="9">
        <f>IFERROR(INDEX(Tbl_KPIMaster[Maximum Target],MATCH($G350,Tbl_KPIMaster[KPI],0)),"")</f>
        <v/>
      </c>
      <c r="J350" s="9" t="n">
        <v>0.9028</v>
      </c>
      <c r="K350" s="8">
        <f>IFERROR(INDEX(Tbl_KPIMaster[Tolerance],MATCH($G350,Tbl_KPIMaster[KPI],0)),"")</f>
        <v/>
      </c>
      <c r="L350" s="8">
        <f>IFERROR(INDEX(Tbl_KPIMaster[Owner],MATCH($G350,Tbl_KPIMaster[KPI],0)),"")</f>
        <v/>
      </c>
      <c r="M350" s="10" t="inlineStr">
        <is>
          <t>Weather impact</t>
        </is>
      </c>
      <c r="N350" s="8" t="inlineStr"/>
      <c r="O350" s="8" t="inlineStr">
        <is>
          <t>High</t>
        </is>
      </c>
      <c r="P350" s="8" t="inlineStr">
        <is>
          <t>Open</t>
        </is>
      </c>
      <c r="Q350" s="9">
        <f>IFERROR(IF(INDEX(Tbl_KPIMaster[Direction],MATCH($G350,Tbl_KPIMaster[KPI],0))="Lower is Better",IF($J350=0,1,IF($I350=0,0,$I350/$J350)),IF($I350=0,1,$J350/$I350)),0)</f>
        <v/>
      </c>
      <c r="R350" s="8">
        <f>IF(OR($I350="",$J350=""),"",$J350-$I350)</f>
        <v/>
      </c>
      <c r="S350" s="8">
        <f>IFERROR(IF(INDEX(Tbl_KPIMaster[Direction],MATCH($G350,Tbl_KPIMaster[KPI],0))="Lower is Better",IF($J350&lt;=$I350,"Green",IF($J350&lt;=$I350+IF($I350=0,$K350,$I350*$K350),"Amber","Red")),IF($J350&gt;=$I350,"Green",IF($J350&gt;=$I350-IF($I350=0,$K350,$I350*$K350),"Amber","Red"))),"")</f>
        <v/>
      </c>
      <c r="T350" s="10" t="inlineStr"/>
    </row>
    <row r="351">
      <c r="A351" s="3" t="n">
        <v>46147</v>
      </c>
      <c r="B351" s="4">
        <f>IF($A351="","",TEXT($A351,"mmm-yyyy"))</f>
        <v/>
      </c>
      <c r="C351" s="4">
        <f>IF($A351="","","W"&amp;WEEKNUM($A351,2))</f>
        <v/>
      </c>
      <c r="D351" s="4">
        <f>IF($A351="","",TEXT($A351,"ddd"))</f>
        <v/>
      </c>
      <c r="E351" s="4" t="inlineStr">
        <is>
          <t>Utilities</t>
        </is>
      </c>
      <c r="F351" s="4">
        <f>IFERROR(INDEX(Tbl_KPIMaster[Category],MATCH($G351,Tbl_KPIMaster[KPI],0)),"")</f>
        <v/>
      </c>
      <c r="G351" s="4" t="inlineStr">
        <is>
          <t>Power Consumption</t>
        </is>
      </c>
      <c r="H351" s="4">
        <f>IFERROR(INDEX(Tbl_KPIMaster[Unit],MATCH($G351,Tbl_KPIMaster[KPI],0)),"")</f>
        <v/>
      </c>
      <c r="I351" s="5">
        <f>IFERROR(INDEX(Tbl_KPIMaster[Maximum Target],MATCH($G351,Tbl_KPIMaster[KPI],0)),"")</f>
        <v/>
      </c>
      <c r="J351" s="5" t="n">
        <v>4461.85</v>
      </c>
      <c r="K351" s="4">
        <f>IFERROR(INDEX(Tbl_KPIMaster[Tolerance],MATCH($G351,Tbl_KPIMaster[KPI],0)),"")</f>
        <v/>
      </c>
      <c r="L351" s="4">
        <f>IFERROR(INDEX(Tbl_KPIMaster[Owner],MATCH($G351,Tbl_KPIMaster[KPI],0)),"")</f>
        <v/>
      </c>
      <c r="M351" s="6" t="inlineStr">
        <is>
          <t>Process improvement in progress</t>
        </is>
      </c>
      <c r="N351" s="4" t="inlineStr"/>
      <c r="O351" s="4" t="inlineStr">
        <is>
          <t>High</t>
        </is>
      </c>
      <c r="P351" s="4" t="inlineStr">
        <is>
          <t>In Progress</t>
        </is>
      </c>
      <c r="Q351" s="5">
        <f>IFERROR(IF(INDEX(Tbl_KPIMaster[Direction],MATCH($G351,Tbl_KPIMaster[KPI],0))="Lower is Better",IF($J351=0,1,IF($I351=0,0,$I351/$J351)),IF($I351=0,1,$J351/$I351)),0)</f>
        <v/>
      </c>
      <c r="R351" s="4">
        <f>IF(OR($I351="",$J351=""),"",$J351-$I351)</f>
        <v/>
      </c>
      <c r="S351" s="4">
        <f>IFERROR(IF(INDEX(Tbl_KPIMaster[Direction],MATCH($G351,Tbl_KPIMaster[KPI],0))="Lower is Better",IF($J351&lt;=$I351,"Green",IF($J351&lt;=$I351+IF($I351=0,$K351,$I351*$K351),"Amber","Red")),IF($J351&gt;=$I351,"Green",IF($J351&gt;=$I351-IF($I351=0,$K351,$I351*$K351),"Amber","Red"))),"")</f>
        <v/>
      </c>
      <c r="T351" s="6" t="inlineStr"/>
    </row>
    <row r="352">
      <c r="A352" s="7" t="n">
        <v>46147</v>
      </c>
      <c r="B352" s="8">
        <f>IF($A352="","",TEXT($A352,"mmm-yyyy"))</f>
        <v/>
      </c>
      <c r="C352" s="8">
        <f>IF($A352="","","W"&amp;WEEKNUM($A352,2))</f>
        <v/>
      </c>
      <c r="D352" s="8">
        <f>IF($A352="","",TEXT($A352,"ddd"))</f>
        <v/>
      </c>
      <c r="E352" s="8" t="inlineStr">
        <is>
          <t>Utilities</t>
        </is>
      </c>
      <c r="F352" s="8">
        <f>IFERROR(INDEX(Tbl_KPIMaster[Category],MATCH($G352,Tbl_KPIMaster[KPI],0)),"")</f>
        <v/>
      </c>
      <c r="G352" s="8" t="inlineStr">
        <is>
          <t>Water Consumption</t>
        </is>
      </c>
      <c r="H352" s="8">
        <f>IFERROR(INDEX(Tbl_KPIMaster[Unit],MATCH($G352,Tbl_KPIMaster[KPI],0)),"")</f>
        <v/>
      </c>
      <c r="I352" s="9">
        <f>IFERROR(INDEX(Tbl_KPIMaster[Maximum Target],MATCH($G352,Tbl_KPIMaster[KPI],0)),"")</f>
        <v/>
      </c>
      <c r="J352" s="9" t="n">
        <v>47.44</v>
      </c>
      <c r="K352" s="8">
        <f>IFERROR(INDEX(Tbl_KPIMaster[Tolerance],MATCH($G352,Tbl_KPIMaster[KPI],0)),"")</f>
        <v/>
      </c>
      <c r="L352" s="8">
        <f>IFERROR(INDEX(Tbl_KPIMaster[Owner],MATCH($G352,Tbl_KPIMaster[KPI],0)),"")</f>
        <v/>
      </c>
      <c r="M352" s="10" t="inlineStr">
        <is>
          <t>Manpower shortage</t>
        </is>
      </c>
      <c r="N352" s="8" t="inlineStr"/>
      <c r="O352" s="8" t="inlineStr">
        <is>
          <t>Low</t>
        </is>
      </c>
      <c r="P352" s="8" t="inlineStr">
        <is>
          <t>Closed</t>
        </is>
      </c>
      <c r="Q352" s="9">
        <f>IFERROR(IF(INDEX(Tbl_KPIMaster[Direction],MATCH($G352,Tbl_KPIMaster[KPI],0))="Lower is Better",IF($J352=0,1,IF($I352=0,0,$I352/$J352)),IF($I352=0,1,$J352/$I352)),0)</f>
        <v/>
      </c>
      <c r="R352" s="8">
        <f>IF(OR($I352="",$J352=""),"",$J352-$I352)</f>
        <v/>
      </c>
      <c r="S352" s="8">
        <f>IFERROR(IF(INDEX(Tbl_KPIMaster[Direction],MATCH($G352,Tbl_KPIMaster[KPI],0))="Lower is Better",IF($J352&lt;=$I352,"Green",IF($J352&lt;=$I352+IF($I352=0,$K352,$I352*$K352),"Amber","Red")),IF($J352&gt;=$I352,"Green",IF($J352&gt;=$I352-IF($I352=0,$K352,$I352*$K352),"Amber","Red"))),"")</f>
        <v/>
      </c>
      <c r="T352" s="10" t="inlineStr"/>
    </row>
    <row r="353">
      <c r="A353" s="3" t="n">
        <v>46147</v>
      </c>
      <c r="B353" s="4">
        <f>IF($A353="","",TEXT($A353,"mmm-yyyy"))</f>
        <v/>
      </c>
      <c r="C353" s="4">
        <f>IF($A353="","","W"&amp;WEEKNUM($A353,2))</f>
        <v/>
      </c>
      <c r="D353" s="4">
        <f>IF($A353="","",TEXT($A353,"ddd"))</f>
        <v/>
      </c>
      <c r="E353" s="4" t="inlineStr">
        <is>
          <t>Warehouse</t>
        </is>
      </c>
      <c r="F353" s="4">
        <f>IFERROR(INDEX(Tbl_KPIMaster[Category],MATCH($G353,Tbl_KPIMaster[KPI],0)),"")</f>
        <v/>
      </c>
      <c r="G353" s="4" t="inlineStr">
        <is>
          <t>On-Time Dispatch %</t>
        </is>
      </c>
      <c r="H353" s="4">
        <f>IFERROR(INDEX(Tbl_KPIMaster[Unit],MATCH($G353,Tbl_KPIMaster[KPI],0)),"")</f>
        <v/>
      </c>
      <c r="I353" s="5">
        <f>IFERROR(INDEX(Tbl_KPIMaster[Maximum Target],MATCH($G353,Tbl_KPIMaster[KPI],0)),"")</f>
        <v/>
      </c>
      <c r="J353" s="5" t="n">
        <v>1.1647</v>
      </c>
      <c r="K353" s="4">
        <f>IFERROR(INDEX(Tbl_KPIMaster[Tolerance],MATCH($G353,Tbl_KPIMaster[KPI],0)),"")</f>
        <v/>
      </c>
      <c r="L353" s="4">
        <f>IFERROR(INDEX(Tbl_KPIMaster[Owner],MATCH($G353,Tbl_KPIMaster[KPI],0)),"")</f>
        <v/>
      </c>
      <c r="M353" s="6" t="inlineStr">
        <is>
          <t>Vendor delay</t>
        </is>
      </c>
      <c r="N353" s="4" t="inlineStr"/>
      <c r="O353" s="4" t="inlineStr">
        <is>
          <t>Medium</t>
        </is>
      </c>
      <c r="P353" s="4" t="inlineStr">
        <is>
          <t>Closed</t>
        </is>
      </c>
      <c r="Q353" s="5">
        <f>IFERROR(IF(INDEX(Tbl_KPIMaster[Direction],MATCH($G353,Tbl_KPIMaster[KPI],0))="Lower is Better",IF($J353=0,1,IF($I353=0,0,$I353/$J353)),IF($I353=0,1,$J353/$I353)),0)</f>
        <v/>
      </c>
      <c r="R353" s="4">
        <f>IF(OR($I353="",$J353=""),"",$J353-$I353)</f>
        <v/>
      </c>
      <c r="S353" s="4">
        <f>IFERROR(IF(INDEX(Tbl_KPIMaster[Direction],MATCH($G353,Tbl_KPIMaster[KPI],0))="Lower is Better",IF($J353&lt;=$I353,"Green",IF($J353&lt;=$I353+IF($I353=0,$K353,$I353*$K353),"Amber","Red")),IF($J353&gt;=$I353,"Green",IF($J353&gt;=$I353-IF($I353=0,$K353,$I353*$K353),"Amber","Red"))),"")</f>
        <v/>
      </c>
      <c r="T353" s="6" t="inlineStr"/>
    </row>
    <row r="354">
      <c r="A354" s="7" t="n">
        <v>46147</v>
      </c>
      <c r="B354" s="8">
        <f>IF($A354="","",TEXT($A354,"mmm-yyyy"))</f>
        <v/>
      </c>
      <c r="C354" s="8">
        <f>IF($A354="","","W"&amp;WEEKNUM($A354,2))</f>
        <v/>
      </c>
      <c r="D354" s="8">
        <f>IF($A354="","",TEXT($A354,"ddd"))</f>
        <v/>
      </c>
      <c r="E354" s="8" t="inlineStr">
        <is>
          <t>Warehouse</t>
        </is>
      </c>
      <c r="F354" s="8">
        <f>IFERROR(INDEX(Tbl_KPIMaster[Category],MATCH($G354,Tbl_KPIMaster[KPI],0)),"")</f>
        <v/>
      </c>
      <c r="G354" s="8" t="inlineStr">
        <is>
          <t>Inventory Accuracy %</t>
        </is>
      </c>
      <c r="H354" s="8">
        <f>IFERROR(INDEX(Tbl_KPIMaster[Unit],MATCH($G354,Tbl_KPIMaster[KPI],0)),"")</f>
        <v/>
      </c>
      <c r="I354" s="9">
        <f>IFERROR(INDEX(Tbl_KPIMaster[Maximum Target],MATCH($G354,Tbl_KPIMaster[KPI],0)),"")</f>
        <v/>
      </c>
      <c r="J354" s="9" t="n">
        <v>0.8602</v>
      </c>
      <c r="K354" s="8">
        <f>IFERROR(INDEX(Tbl_KPIMaster[Tolerance],MATCH($G354,Tbl_KPIMaster[KPI],0)),"")</f>
        <v/>
      </c>
      <c r="L354" s="8">
        <f>IFERROR(INDEX(Tbl_KPIMaster[Owner],MATCH($G354,Tbl_KPIMaster[KPI],0)),"")</f>
        <v/>
      </c>
      <c r="M354" s="10" t="inlineStr"/>
      <c r="N354" s="8" t="inlineStr">
        <is>
          <t>Procurement follow-up</t>
        </is>
      </c>
      <c r="O354" s="8" t="inlineStr">
        <is>
          <t>High</t>
        </is>
      </c>
      <c r="P354" s="8" t="inlineStr">
        <is>
          <t>Open</t>
        </is>
      </c>
      <c r="Q354" s="9">
        <f>IFERROR(IF(INDEX(Tbl_KPIMaster[Direction],MATCH($G354,Tbl_KPIMaster[KPI],0))="Lower is Better",IF($J354=0,1,IF($I354=0,0,$I354/$J354)),IF($I354=0,1,$J354/$I354)),0)</f>
        <v/>
      </c>
      <c r="R354" s="8">
        <f>IF(OR($I354="",$J354=""),"",$J354-$I354)</f>
        <v/>
      </c>
      <c r="S354" s="8">
        <f>IFERROR(IF(INDEX(Tbl_KPIMaster[Direction],MATCH($G354,Tbl_KPIMaster[KPI],0))="Lower is Better",IF($J354&lt;=$I354,"Green",IF($J354&lt;=$I354+IF($I354=0,$K354,$I354*$K354),"Amber","Red")),IF($J354&gt;=$I354,"Green",IF($J354&gt;=$I354-IF($I354=0,$K354,$I354*$K354),"Amber","Red"))),"")</f>
        <v/>
      </c>
      <c r="T354" s="10" t="inlineStr"/>
    </row>
    <row r="355">
      <c r="A355" s="3" t="n">
        <v>46147</v>
      </c>
      <c r="B355" s="4">
        <f>IF($A355="","",TEXT($A355,"mmm-yyyy"))</f>
        <v/>
      </c>
      <c r="C355" s="4">
        <f>IF($A355="","","W"&amp;WEEKNUM($A355,2))</f>
        <v/>
      </c>
      <c r="D355" s="4">
        <f>IF($A355="","",TEXT($A355,"ddd"))</f>
        <v/>
      </c>
      <c r="E355" s="4" t="inlineStr">
        <is>
          <t>HR</t>
        </is>
      </c>
      <c r="F355" s="4">
        <f>IFERROR(INDEX(Tbl_KPIMaster[Category],MATCH($G355,Tbl_KPIMaster[KPI],0)),"")</f>
        <v/>
      </c>
      <c r="G355" s="4" t="inlineStr">
        <is>
          <t>Absenteeism %</t>
        </is>
      </c>
      <c r="H355" s="4">
        <f>IFERROR(INDEX(Tbl_KPIMaster[Unit],MATCH($G355,Tbl_KPIMaster[KPI],0)),"")</f>
        <v/>
      </c>
      <c r="I355" s="5">
        <f>IFERROR(INDEX(Tbl_KPIMaster[Maximum Target],MATCH($G355,Tbl_KPIMaster[KPI],0)),"")</f>
        <v/>
      </c>
      <c r="J355" s="5" t="n">
        <v>0</v>
      </c>
      <c r="K355" s="4">
        <f>IFERROR(INDEX(Tbl_KPIMaster[Tolerance],MATCH($G355,Tbl_KPIMaster[KPI],0)),"")</f>
        <v/>
      </c>
      <c r="L355" s="4">
        <f>IFERROR(INDEX(Tbl_KPIMaster[Owner],MATCH($G355,Tbl_KPIMaster[KPI],0)),"")</f>
        <v/>
      </c>
      <c r="M355" s="6" t="inlineStr">
        <is>
          <t>Process improvement in progress</t>
        </is>
      </c>
      <c r="N355" s="4" t="inlineStr"/>
      <c r="O355" s="4" t="inlineStr">
        <is>
          <t>Medium</t>
        </is>
      </c>
      <c r="P355" s="4" t="inlineStr">
        <is>
          <t>Closed</t>
        </is>
      </c>
      <c r="Q355" s="5">
        <f>IFERROR(IF(INDEX(Tbl_KPIMaster[Direction],MATCH($G355,Tbl_KPIMaster[KPI],0))="Lower is Better",IF($J355=0,1,IF($I355=0,0,$I355/$J355)),IF($I355=0,1,$J355/$I355)),0)</f>
        <v/>
      </c>
      <c r="R355" s="4">
        <f>IF(OR($I355="",$J355=""),"",$J355-$I355)</f>
        <v/>
      </c>
      <c r="S355" s="4">
        <f>IFERROR(IF(INDEX(Tbl_KPIMaster[Direction],MATCH($G355,Tbl_KPIMaster[KPI],0))="Lower is Better",IF($J355&lt;=$I355,"Green",IF($J355&lt;=$I355+IF($I355=0,$K355,$I355*$K355),"Amber","Red")),IF($J355&gt;=$I355,"Green",IF($J355&gt;=$I355-IF($I355=0,$K355,$I355*$K355),"Amber","Red"))),"")</f>
        <v/>
      </c>
      <c r="T355" s="6" t="inlineStr"/>
    </row>
    <row r="356">
      <c r="A356" s="7" t="n">
        <v>46147</v>
      </c>
      <c r="B356" s="8">
        <f>IF($A356="","",TEXT($A356,"mmm-yyyy"))</f>
        <v/>
      </c>
      <c r="C356" s="8">
        <f>IF($A356="","","W"&amp;WEEKNUM($A356,2))</f>
        <v/>
      </c>
      <c r="D356" s="8">
        <f>IF($A356="","",TEXT($A356,"ddd"))</f>
        <v/>
      </c>
      <c r="E356" s="8" t="inlineStr">
        <is>
          <t>HR</t>
        </is>
      </c>
      <c r="F356" s="8">
        <f>IFERROR(INDEX(Tbl_KPIMaster[Category],MATCH($G356,Tbl_KPIMaster[KPI],0)),"")</f>
        <v/>
      </c>
      <c r="G356" s="8" t="inlineStr">
        <is>
          <t>Training Hours</t>
        </is>
      </c>
      <c r="H356" s="8">
        <f>IFERROR(INDEX(Tbl_KPIMaster[Unit],MATCH($G356,Tbl_KPIMaster[KPI],0)),"")</f>
        <v/>
      </c>
      <c r="I356" s="9">
        <f>IFERROR(INDEX(Tbl_KPIMaster[Maximum Target],MATCH($G356,Tbl_KPIMaster[KPI],0)),"")</f>
        <v/>
      </c>
      <c r="J356" s="9" t="n">
        <v>2.37</v>
      </c>
      <c r="K356" s="8">
        <f>IFERROR(INDEX(Tbl_KPIMaster[Tolerance],MATCH($G356,Tbl_KPIMaster[KPI],0)),"")</f>
        <v/>
      </c>
      <c r="L356" s="8">
        <f>IFERROR(INDEX(Tbl_KPIMaster[Owner],MATCH($G356,Tbl_KPIMaster[KPI],0)),"")</f>
        <v/>
      </c>
      <c r="M356" s="10" t="inlineStr">
        <is>
          <t>Preventive check done</t>
        </is>
      </c>
      <c r="N356" s="8" t="inlineStr">
        <is>
          <t>Procurement follow-up</t>
        </is>
      </c>
      <c r="O356" s="8" t="inlineStr">
        <is>
          <t>Low</t>
        </is>
      </c>
      <c r="P356" s="8" t="inlineStr">
        <is>
          <t>Closed</t>
        </is>
      </c>
      <c r="Q356" s="9">
        <f>IFERROR(IF(INDEX(Tbl_KPIMaster[Direction],MATCH($G356,Tbl_KPIMaster[KPI],0))="Lower is Better",IF($J356=0,1,IF($I356=0,0,$I356/$J356)),IF($I356=0,1,$J356/$I356)),0)</f>
        <v/>
      </c>
      <c r="R356" s="8">
        <f>IF(OR($I356="",$J356=""),"",$J356-$I356)</f>
        <v/>
      </c>
      <c r="S356" s="8">
        <f>IFERROR(IF(INDEX(Tbl_KPIMaster[Direction],MATCH($G356,Tbl_KPIMaster[KPI],0))="Lower is Better",IF($J356&lt;=$I356,"Green",IF($J356&lt;=$I356+IF($I356=0,$K356,$I356*$K356),"Amber","Red")),IF($J356&gt;=$I356,"Green",IF($J356&gt;=$I356-IF($I356=0,$K356,$I356*$K356),"Amber","Red"))),"")</f>
        <v/>
      </c>
      <c r="T356" s="10" t="inlineStr"/>
    </row>
    <row r="357">
      <c r="A357" s="3" t="n">
        <v>46147</v>
      </c>
      <c r="B357" s="4">
        <f>IF($A357="","",TEXT($A357,"mmm-yyyy"))</f>
        <v/>
      </c>
      <c r="C357" s="4">
        <f>IF($A357="","","W"&amp;WEEKNUM($A357,2))</f>
        <v/>
      </c>
      <c r="D357" s="4">
        <f>IF($A357="","",TEXT($A357,"ddd"))</f>
        <v/>
      </c>
      <c r="E357" s="4" t="inlineStr">
        <is>
          <t>Engineering</t>
        </is>
      </c>
      <c r="F357" s="4">
        <f>IFERROR(INDEX(Tbl_KPIMaster[Category],MATCH($G357,Tbl_KPIMaster[KPI],0)),"")</f>
        <v/>
      </c>
      <c r="G357" s="4" t="inlineStr">
        <is>
          <t>Project Milestone Adherence %</t>
        </is>
      </c>
      <c r="H357" s="4">
        <f>IFERROR(INDEX(Tbl_KPIMaster[Unit],MATCH($G357,Tbl_KPIMaster[KPI],0)),"")</f>
        <v/>
      </c>
      <c r="I357" s="5">
        <f>IFERROR(INDEX(Tbl_KPIMaster[Maximum Target],MATCH($G357,Tbl_KPIMaster[KPI],0)),"")</f>
        <v/>
      </c>
      <c r="J357" s="5" t="n">
        <v>1.0736</v>
      </c>
      <c r="K357" s="4">
        <f>IFERROR(INDEX(Tbl_KPIMaster[Tolerance],MATCH($G357,Tbl_KPIMaster[KPI],0)),"")</f>
        <v/>
      </c>
      <c r="L357" s="4">
        <f>IFERROR(INDEX(Tbl_KPIMaster[Owner],MATCH($G357,Tbl_KPIMaster[KPI],0)),"")</f>
        <v/>
      </c>
      <c r="M357" s="6" t="inlineStr">
        <is>
          <t>Manpower shortage</t>
        </is>
      </c>
      <c r="N357" s="4" t="inlineStr">
        <is>
          <t>Management approval pending</t>
        </is>
      </c>
      <c r="O357" s="4" t="inlineStr">
        <is>
          <t>Low</t>
        </is>
      </c>
      <c r="P357" s="4" t="inlineStr">
        <is>
          <t>Closed</t>
        </is>
      </c>
      <c r="Q357" s="5">
        <f>IFERROR(IF(INDEX(Tbl_KPIMaster[Direction],MATCH($G357,Tbl_KPIMaster[KPI],0))="Lower is Better",IF($J357=0,1,IF($I357=0,0,$I357/$J357)),IF($I357=0,1,$J357/$I357)),0)</f>
        <v/>
      </c>
      <c r="R357" s="4">
        <f>IF(OR($I357="",$J357=""),"",$J357-$I357)</f>
        <v/>
      </c>
      <c r="S357" s="4">
        <f>IFERROR(IF(INDEX(Tbl_KPIMaster[Direction],MATCH($G357,Tbl_KPIMaster[KPI],0))="Lower is Better",IF($J357&lt;=$I357,"Green",IF($J357&lt;=$I357+IF($I357=0,$K357,$I357*$K357),"Amber","Red")),IF($J357&gt;=$I357,"Green",IF($J357&gt;=$I357-IF($I357=0,$K357,$I357*$K357),"Amber","Red"))),"")</f>
        <v/>
      </c>
      <c r="T357" s="6" t="inlineStr"/>
    </row>
    <row r="358">
      <c r="A358" s="7" t="n">
        <v>46147</v>
      </c>
      <c r="B358" s="8">
        <f>IF($A358="","",TEXT($A358,"mmm-yyyy"))</f>
        <v/>
      </c>
      <c r="C358" s="8">
        <f>IF($A358="","","W"&amp;WEEKNUM($A358,2))</f>
        <v/>
      </c>
      <c r="D358" s="8">
        <f>IF($A358="","",TEXT($A358,"ddd"))</f>
        <v/>
      </c>
      <c r="E358" s="8" t="inlineStr">
        <is>
          <t>Engineering</t>
        </is>
      </c>
      <c r="F358" s="8">
        <f>IFERROR(INDEX(Tbl_KPIMaster[Category],MATCH($G358,Tbl_KPIMaster[KPI],0)),"")</f>
        <v/>
      </c>
      <c r="G358" s="8" t="inlineStr">
        <is>
          <t>Breakdown Resolution Time</t>
        </is>
      </c>
      <c r="H358" s="8">
        <f>IFERROR(INDEX(Tbl_KPIMaster[Unit],MATCH($G358,Tbl_KPIMaster[KPI],0)),"")</f>
        <v/>
      </c>
      <c r="I358" s="9">
        <f>IFERROR(INDEX(Tbl_KPIMaster[Maximum Target],MATCH($G358,Tbl_KPIMaster[KPI],0)),"")</f>
        <v/>
      </c>
      <c r="J358" s="9" t="n">
        <v>0.54</v>
      </c>
      <c r="K358" s="8">
        <f>IFERROR(INDEX(Tbl_KPIMaster[Tolerance],MATCH($G358,Tbl_KPIMaster[KPI],0)),"")</f>
        <v/>
      </c>
      <c r="L358" s="8">
        <f>IFERROR(INDEX(Tbl_KPIMaster[Owner],MATCH($G358,Tbl_KPIMaster[KPI],0)),"")</f>
        <v/>
      </c>
      <c r="M358" s="10" t="inlineStr">
        <is>
          <t>Manpower shortage</t>
        </is>
      </c>
      <c r="N358" s="8" t="inlineStr"/>
      <c r="O358" s="8" t="inlineStr">
        <is>
          <t>Low</t>
        </is>
      </c>
      <c r="P358" s="8" t="inlineStr">
        <is>
          <t>Open</t>
        </is>
      </c>
      <c r="Q358" s="9">
        <f>IFERROR(IF(INDEX(Tbl_KPIMaster[Direction],MATCH($G358,Tbl_KPIMaster[KPI],0))="Lower is Better",IF($J358=0,1,IF($I358=0,0,$I358/$J358)),IF($I358=0,1,$J358/$I358)),0)</f>
        <v/>
      </c>
      <c r="R358" s="8">
        <f>IF(OR($I358="",$J358=""),"",$J358-$I358)</f>
        <v/>
      </c>
      <c r="S358" s="8">
        <f>IFERROR(IF(INDEX(Tbl_KPIMaster[Direction],MATCH($G358,Tbl_KPIMaster[KPI],0))="Lower is Better",IF($J358&lt;=$I358,"Green",IF($J358&lt;=$I358+IF($I358=0,$K358,$I358*$K358),"Amber","Red")),IF($J358&gt;=$I358,"Green",IF($J358&gt;=$I358-IF($I358=0,$K358,$I358*$K358),"Amber","Red"))),"")</f>
        <v/>
      </c>
      <c r="T358" s="10" t="inlineStr"/>
    </row>
    <row r="359">
      <c r="A359" s="3" t="n">
        <v>46147</v>
      </c>
      <c r="B359" s="4">
        <f>IF($A359="","",TEXT($A359,"mmm-yyyy"))</f>
        <v/>
      </c>
      <c r="C359" s="4">
        <f>IF($A359="","","W"&amp;WEEKNUM($A359,2))</f>
        <v/>
      </c>
      <c r="D359" s="4">
        <f>IF($A359="","",TEXT($A359,"ddd"))</f>
        <v/>
      </c>
      <c r="E359" s="4" t="inlineStr">
        <is>
          <t>Cost</t>
        </is>
      </c>
      <c r="F359" s="4">
        <f>IFERROR(INDEX(Tbl_KPIMaster[Category],MATCH($G359,Tbl_KPIMaster[KPI],0)),"")</f>
        <v/>
      </c>
      <c r="G359" s="4" t="inlineStr">
        <is>
          <t>Cost per Unit</t>
        </is>
      </c>
      <c r="H359" s="4">
        <f>IFERROR(INDEX(Tbl_KPIMaster[Unit],MATCH($G359,Tbl_KPIMaster[KPI],0)),"")</f>
        <v/>
      </c>
      <c r="I359" s="5">
        <f>IFERROR(INDEX(Tbl_KPIMaster[Maximum Target],MATCH($G359,Tbl_KPIMaster[KPI],0)),"")</f>
        <v/>
      </c>
      <c r="J359" s="5" t="n">
        <v>34.4</v>
      </c>
      <c r="K359" s="4">
        <f>IFERROR(INDEX(Tbl_KPIMaster[Tolerance],MATCH($G359,Tbl_KPIMaster[KPI],0)),"")</f>
        <v/>
      </c>
      <c r="L359" s="4">
        <f>IFERROR(INDEX(Tbl_KPIMaster[Owner],MATCH($G359,Tbl_KPIMaster[KPI],0)),"")</f>
        <v/>
      </c>
      <c r="M359" s="6" t="inlineStr">
        <is>
          <t>Weather impact</t>
        </is>
      </c>
      <c r="N359" s="4" t="inlineStr"/>
      <c r="O359" s="4" t="inlineStr">
        <is>
          <t>Low</t>
        </is>
      </c>
      <c r="P359" s="4" t="inlineStr">
        <is>
          <t>In Progress</t>
        </is>
      </c>
      <c r="Q359" s="5">
        <f>IFERROR(IF(INDEX(Tbl_KPIMaster[Direction],MATCH($G359,Tbl_KPIMaster[KPI],0))="Lower is Better",IF($J359=0,1,IF($I359=0,0,$I359/$J359)),IF($I359=0,1,$J359/$I359)),0)</f>
        <v/>
      </c>
      <c r="R359" s="4">
        <f>IF(OR($I359="",$J359=""),"",$J359-$I359)</f>
        <v/>
      </c>
      <c r="S359" s="4">
        <f>IFERROR(IF(INDEX(Tbl_KPIMaster[Direction],MATCH($G359,Tbl_KPIMaster[KPI],0))="Lower is Better",IF($J359&lt;=$I359,"Green",IF($J359&lt;=$I359+IF($I359=0,$K359,$I359*$K359),"Amber","Red")),IF($J359&gt;=$I359,"Green",IF($J359&gt;=$I359-IF($I359=0,$K359,$I359*$K359),"Amber","Red"))),"")</f>
        <v/>
      </c>
      <c r="T359" s="6" t="inlineStr"/>
    </row>
    <row r="360">
      <c r="A360" s="7" t="n">
        <v>46147</v>
      </c>
      <c r="B360" s="8">
        <f>IF($A360="","",TEXT($A360,"mmm-yyyy"))</f>
        <v/>
      </c>
      <c r="C360" s="8">
        <f>IF($A360="","","W"&amp;WEEKNUM($A360,2))</f>
        <v/>
      </c>
      <c r="D360" s="8">
        <f>IF($A360="","",TEXT($A360,"ddd"))</f>
        <v/>
      </c>
      <c r="E360" s="8" t="inlineStr">
        <is>
          <t>Cost</t>
        </is>
      </c>
      <c r="F360" s="8">
        <f>IFERROR(INDEX(Tbl_KPIMaster[Category],MATCH($G360,Tbl_KPIMaster[KPI],0)),"")</f>
        <v/>
      </c>
      <c r="G360" s="8" t="inlineStr">
        <is>
          <t>Budget Variance %</t>
        </is>
      </c>
      <c r="H360" s="8">
        <f>IFERROR(INDEX(Tbl_KPIMaster[Unit],MATCH($G360,Tbl_KPIMaster[KPI],0)),"")</f>
        <v/>
      </c>
      <c r="I360" s="9">
        <f>IFERROR(INDEX(Tbl_KPIMaster[Maximum Target],MATCH($G360,Tbl_KPIMaster[KPI],0)),"")</f>
        <v/>
      </c>
      <c r="J360" s="9" t="n">
        <v>0.0043</v>
      </c>
      <c r="K360" s="8">
        <f>IFERROR(INDEX(Tbl_KPIMaster[Tolerance],MATCH($G360,Tbl_KPIMaster[KPI],0)),"")</f>
        <v/>
      </c>
      <c r="L360" s="8">
        <f>IFERROR(INDEX(Tbl_KPIMaster[Owner],MATCH($G360,Tbl_KPIMaster[KPI],0)),"")</f>
        <v/>
      </c>
      <c r="M360" s="10" t="inlineStr">
        <is>
          <t>Vendor delay</t>
        </is>
      </c>
      <c r="N360" s="8" t="inlineStr">
        <is>
          <t>Management approval pending</t>
        </is>
      </c>
      <c r="O360" s="8" t="inlineStr">
        <is>
          <t>High</t>
        </is>
      </c>
      <c r="P360" s="8" t="inlineStr">
        <is>
          <t>In Progress</t>
        </is>
      </c>
      <c r="Q360" s="9">
        <f>IFERROR(IF(INDEX(Tbl_KPIMaster[Direction],MATCH($G360,Tbl_KPIMaster[KPI],0))="Lower is Better",IF($J360=0,1,IF($I360=0,0,$I360/$J360)),IF($I360=0,1,$J360/$I360)),0)</f>
        <v/>
      </c>
      <c r="R360" s="8">
        <f>IF(OR($I360="",$J360=""),"",$J360-$I360)</f>
        <v/>
      </c>
      <c r="S360" s="8">
        <f>IFERROR(IF(INDEX(Tbl_KPIMaster[Direction],MATCH($G360,Tbl_KPIMaster[KPI],0))="Lower is Better",IF($J360&lt;=$I360,"Green",IF($J360&lt;=$I360+IF($I360=0,$K360,$I360*$K360),"Amber","Red")),IF($J360&gt;=$I360,"Green",IF($J360&gt;=$I360-IF($I360=0,$K360,$I360*$K360),"Amber","Red"))),"")</f>
        <v/>
      </c>
      <c r="T360" s="10" t="inlineStr"/>
    </row>
    <row r="361">
      <c r="A361" s="3" t="n">
        <v>46147</v>
      </c>
      <c r="B361" s="4">
        <f>IF($A361="","",TEXT($A361,"mmm-yyyy"))</f>
        <v/>
      </c>
      <c r="C361" s="4">
        <f>IF($A361="","","W"&amp;WEEKNUM($A361,2))</f>
        <v/>
      </c>
      <c r="D361" s="4">
        <f>IF($A361="","",TEXT($A361,"ddd"))</f>
        <v/>
      </c>
      <c r="E361" s="4" t="inlineStr">
        <is>
          <t>Energy</t>
        </is>
      </c>
      <c r="F361" s="4">
        <f>IFERROR(INDEX(Tbl_KPIMaster[Category],MATCH($G361,Tbl_KPIMaster[KPI],0)),"")</f>
        <v/>
      </c>
      <c r="G361" s="4" t="inlineStr">
        <is>
          <t>Energy Intensity (kWh/unit)</t>
        </is>
      </c>
      <c r="H361" s="4">
        <f>IFERROR(INDEX(Tbl_KPIMaster[Unit],MATCH($G361,Tbl_KPIMaster[KPI],0)),"")</f>
        <v/>
      </c>
      <c r="I361" s="5">
        <f>IFERROR(INDEX(Tbl_KPIMaster[Maximum Target],MATCH($G361,Tbl_KPIMaster[KPI],0)),"")</f>
        <v/>
      </c>
      <c r="J361" s="5" t="n">
        <v>4.96</v>
      </c>
      <c r="K361" s="4">
        <f>IFERROR(INDEX(Tbl_KPIMaster[Tolerance],MATCH($G361,Tbl_KPIMaster[KPI],0)),"")</f>
        <v/>
      </c>
      <c r="L361" s="4">
        <f>IFERROR(INDEX(Tbl_KPIMaster[Owner],MATCH($G361,Tbl_KPIMaster[KPI],0)),"")</f>
        <v/>
      </c>
      <c r="M361" s="6" t="inlineStr">
        <is>
          <t>Awaiting spares</t>
        </is>
      </c>
      <c r="N361" s="4" t="inlineStr"/>
      <c r="O361" s="4" t="inlineStr">
        <is>
          <t>Medium</t>
        </is>
      </c>
      <c r="P361" s="4" t="inlineStr">
        <is>
          <t>In Progress</t>
        </is>
      </c>
      <c r="Q361" s="5">
        <f>IFERROR(IF(INDEX(Tbl_KPIMaster[Direction],MATCH($G361,Tbl_KPIMaster[KPI],0))="Lower is Better",IF($J361=0,1,IF($I361=0,0,$I361/$J361)),IF($I361=0,1,$J361/$I361)),0)</f>
        <v/>
      </c>
      <c r="R361" s="4">
        <f>IF(OR($I361="",$J361=""),"",$J361-$I361)</f>
        <v/>
      </c>
      <c r="S361" s="4">
        <f>IFERROR(IF(INDEX(Tbl_KPIMaster[Direction],MATCH($G361,Tbl_KPIMaster[KPI],0))="Lower is Better",IF($J361&lt;=$I361,"Green",IF($J361&lt;=$I361+IF($I361=0,$K361,$I361*$K361),"Amber","Red")),IF($J361&gt;=$I361,"Green",IF($J361&gt;=$I361-IF($I361=0,$K361,$I361*$K361),"Amber","Red"))),"")</f>
        <v/>
      </c>
      <c r="T361" s="6" t="inlineStr"/>
    </row>
    <row r="362">
      <c r="A362" s="7" t="n">
        <v>46147</v>
      </c>
      <c r="B362" s="8">
        <f>IF($A362="","",TEXT($A362,"mmm-yyyy"))</f>
        <v/>
      </c>
      <c r="C362" s="8">
        <f>IF($A362="","","W"&amp;WEEKNUM($A362,2))</f>
        <v/>
      </c>
      <c r="D362" s="8">
        <f>IF($A362="","",TEXT($A362,"ddd"))</f>
        <v/>
      </c>
      <c r="E362" s="8" t="inlineStr">
        <is>
          <t>Energy</t>
        </is>
      </c>
      <c r="F362" s="8">
        <f>IFERROR(INDEX(Tbl_KPIMaster[Category],MATCH($G362,Tbl_KPIMaster[KPI],0)),"")</f>
        <v/>
      </c>
      <c r="G362" s="8" t="inlineStr">
        <is>
          <t>Renewable Energy Share %</t>
        </is>
      </c>
      <c r="H362" s="8">
        <f>IFERROR(INDEX(Tbl_KPIMaster[Unit],MATCH($G362,Tbl_KPIMaster[KPI],0)),"")</f>
        <v/>
      </c>
      <c r="I362" s="9">
        <f>IFERROR(INDEX(Tbl_KPIMaster[Maximum Target],MATCH($G362,Tbl_KPIMaster[KPI],0)),"")</f>
        <v/>
      </c>
      <c r="J362" s="9" t="n">
        <v>0.261</v>
      </c>
      <c r="K362" s="8">
        <f>IFERROR(INDEX(Tbl_KPIMaster[Tolerance],MATCH($G362,Tbl_KPIMaster[KPI],0)),"")</f>
        <v/>
      </c>
      <c r="L362" s="8">
        <f>IFERROR(INDEX(Tbl_KPIMaster[Owner],MATCH($G362,Tbl_KPIMaster[KPI],0)),"")</f>
        <v/>
      </c>
      <c r="M362" s="10" t="inlineStr">
        <is>
          <t>Line changeover impact</t>
        </is>
      </c>
      <c r="N362" s="8" t="inlineStr"/>
      <c r="O362" s="8" t="inlineStr">
        <is>
          <t>Low</t>
        </is>
      </c>
      <c r="P362" s="8" t="inlineStr">
        <is>
          <t>In Progress</t>
        </is>
      </c>
      <c r="Q362" s="9">
        <f>IFERROR(IF(INDEX(Tbl_KPIMaster[Direction],MATCH($G362,Tbl_KPIMaster[KPI],0))="Lower is Better",IF($J362=0,1,IF($I362=0,0,$I362/$J362)),IF($I362=0,1,$J362/$I362)),0)</f>
        <v/>
      </c>
      <c r="R362" s="8">
        <f>IF(OR($I362="",$J362=""),"",$J362-$I362)</f>
        <v/>
      </c>
      <c r="S362" s="8">
        <f>IFERROR(IF(INDEX(Tbl_KPIMaster[Direction],MATCH($G362,Tbl_KPIMaster[KPI],0))="Lower is Better",IF($J362&lt;=$I362,"Green",IF($J362&lt;=$I362+IF($I362=0,$K362,$I362*$K362),"Amber","Red")),IF($J362&gt;=$I362,"Green",IF($J362&gt;=$I362-IF($I362=0,$K362,$I362*$K362),"Amber","Red"))),"")</f>
        <v/>
      </c>
      <c r="T362" s="10" t="inlineStr"/>
    </row>
    <row r="363">
      <c r="A363" s="3" t="n">
        <v>46148</v>
      </c>
      <c r="B363" s="4">
        <f>IF($A363="","",TEXT($A363,"mmm-yyyy"))</f>
        <v/>
      </c>
      <c r="C363" s="4">
        <f>IF($A363="","","W"&amp;WEEKNUM($A363,2))</f>
        <v/>
      </c>
      <c r="D363" s="4">
        <f>IF($A363="","",TEXT($A363,"ddd"))</f>
        <v/>
      </c>
      <c r="E363" s="4" t="inlineStr">
        <is>
          <t>Safety</t>
        </is>
      </c>
      <c r="F363" s="4">
        <f>IFERROR(INDEX(Tbl_KPIMaster[Category],MATCH($G363,Tbl_KPIMaster[KPI],0)),"")</f>
        <v/>
      </c>
      <c r="G363" s="4" t="inlineStr">
        <is>
          <t>Safety Incidents (LTI)</t>
        </is>
      </c>
      <c r="H363" s="4">
        <f>IFERROR(INDEX(Tbl_KPIMaster[Unit],MATCH($G363,Tbl_KPIMaster[KPI],0)),"")</f>
        <v/>
      </c>
      <c r="I363" s="5">
        <f>IFERROR(INDEX(Tbl_KPIMaster[Maximum Target],MATCH($G363,Tbl_KPIMaster[KPI],0)),"")</f>
        <v/>
      </c>
      <c r="J363" s="5" t="n">
        <v>5</v>
      </c>
      <c r="K363" s="4">
        <f>IFERROR(INDEX(Tbl_KPIMaster[Tolerance],MATCH($G363,Tbl_KPIMaster[KPI],0)),"")</f>
        <v/>
      </c>
      <c r="L363" s="4">
        <f>IFERROR(INDEX(Tbl_KPIMaster[Owner],MATCH($G363,Tbl_KPIMaster[KPI],0)),"")</f>
        <v/>
      </c>
      <c r="M363" s="6" t="inlineStr">
        <is>
          <t>Within normal range</t>
        </is>
      </c>
      <c r="N363" s="4" t="inlineStr"/>
      <c r="O363" s="4" t="inlineStr">
        <is>
          <t>High</t>
        </is>
      </c>
      <c r="P363" s="4" t="inlineStr">
        <is>
          <t>Closed</t>
        </is>
      </c>
      <c r="Q363" s="5">
        <f>IFERROR(IF(INDEX(Tbl_KPIMaster[Direction],MATCH($G363,Tbl_KPIMaster[KPI],0))="Lower is Better",IF($J363=0,1,IF($I363=0,0,$I363/$J363)),IF($I363=0,1,$J363/$I363)),0)</f>
        <v/>
      </c>
      <c r="R363" s="4">
        <f>IF(OR($I363="",$J363=""),"",$J363-$I363)</f>
        <v/>
      </c>
      <c r="S363" s="4">
        <f>IFERROR(IF(INDEX(Tbl_KPIMaster[Direction],MATCH($G363,Tbl_KPIMaster[KPI],0))="Lower is Better",IF($J363&lt;=$I363,"Green",IF($J363&lt;=$I363+IF($I363=0,$K363,$I363*$K363),"Amber","Red")),IF($J363&gt;=$I363,"Green",IF($J363&gt;=$I363-IF($I363=0,$K363,$I363*$K363),"Amber","Red"))),"")</f>
        <v/>
      </c>
      <c r="T363" s="6" t="inlineStr"/>
    </row>
    <row r="364">
      <c r="A364" s="7" t="n">
        <v>46148</v>
      </c>
      <c r="B364" s="8">
        <f>IF($A364="","",TEXT($A364,"mmm-yyyy"))</f>
        <v/>
      </c>
      <c r="C364" s="8">
        <f>IF($A364="","","W"&amp;WEEKNUM($A364,2))</f>
        <v/>
      </c>
      <c r="D364" s="8">
        <f>IF($A364="","",TEXT($A364,"ddd"))</f>
        <v/>
      </c>
      <c r="E364" s="8" t="inlineStr">
        <is>
          <t>Safety</t>
        </is>
      </c>
      <c r="F364" s="8">
        <f>IFERROR(INDEX(Tbl_KPIMaster[Category],MATCH($G364,Tbl_KPIMaster[KPI],0)),"")</f>
        <v/>
      </c>
      <c r="G364" s="8" t="inlineStr">
        <is>
          <t>Near Miss Reports</t>
        </is>
      </c>
      <c r="H364" s="8">
        <f>IFERROR(INDEX(Tbl_KPIMaster[Unit],MATCH($G364,Tbl_KPIMaster[KPI],0)),"")</f>
        <v/>
      </c>
      <c r="I364" s="9">
        <f>IFERROR(INDEX(Tbl_KPIMaster[Maximum Target],MATCH($G364,Tbl_KPIMaster[KPI],0)),"")</f>
        <v/>
      </c>
      <c r="J364" s="9" t="n">
        <v>2</v>
      </c>
      <c r="K364" s="8">
        <f>IFERROR(INDEX(Tbl_KPIMaster[Tolerance],MATCH($G364,Tbl_KPIMaster[KPI],0)),"")</f>
        <v/>
      </c>
      <c r="L364" s="8">
        <f>IFERROR(INDEX(Tbl_KPIMaster[Owner],MATCH($G364,Tbl_KPIMaster[KPI],0)),"")</f>
        <v/>
      </c>
      <c r="M364" s="10" t="inlineStr">
        <is>
          <t>Process improvement in progress</t>
        </is>
      </c>
      <c r="N364" s="8" t="inlineStr"/>
      <c r="O364" s="8" t="inlineStr">
        <is>
          <t>Low</t>
        </is>
      </c>
      <c r="P364" s="8" t="inlineStr">
        <is>
          <t>In Progress</t>
        </is>
      </c>
      <c r="Q364" s="9">
        <f>IFERROR(IF(INDEX(Tbl_KPIMaster[Direction],MATCH($G364,Tbl_KPIMaster[KPI],0))="Lower is Better",IF($J364=0,1,IF($I364=0,0,$I364/$J364)),IF($I364=0,1,$J364/$I364)),0)</f>
        <v/>
      </c>
      <c r="R364" s="8">
        <f>IF(OR($I364="",$J364=""),"",$J364-$I364)</f>
        <v/>
      </c>
      <c r="S364" s="8">
        <f>IFERROR(IF(INDEX(Tbl_KPIMaster[Direction],MATCH($G364,Tbl_KPIMaster[KPI],0))="Lower is Better",IF($J364&lt;=$I364,"Green",IF($J364&lt;=$I364+IF($I364=0,$K364,$I364*$K364),"Amber","Red")),IF($J364&gt;=$I364,"Green",IF($J364&gt;=$I364-IF($I364=0,$K364,$I364*$K364),"Amber","Red"))),"")</f>
        <v/>
      </c>
      <c r="T364" s="10" t="inlineStr"/>
    </row>
    <row r="365">
      <c r="A365" s="3" t="n">
        <v>46148</v>
      </c>
      <c r="B365" s="4">
        <f>IF($A365="","",TEXT($A365,"mmm-yyyy"))</f>
        <v/>
      </c>
      <c r="C365" s="4">
        <f>IF($A365="","","W"&amp;WEEKNUM($A365,2))</f>
        <v/>
      </c>
      <c r="D365" s="4">
        <f>IF($A365="","",TEXT($A365,"ddd"))</f>
        <v/>
      </c>
      <c r="E365" s="4" t="inlineStr">
        <is>
          <t>Production</t>
        </is>
      </c>
      <c r="F365" s="4">
        <f>IFERROR(INDEX(Tbl_KPIMaster[Category],MATCH($G365,Tbl_KPIMaster[KPI],0)),"")</f>
        <v/>
      </c>
      <c r="G365" s="4" t="inlineStr">
        <is>
          <t>Production Output</t>
        </is>
      </c>
      <c r="H365" s="4">
        <f>IFERROR(INDEX(Tbl_KPIMaster[Unit],MATCH($G365,Tbl_KPIMaster[KPI],0)),"")</f>
        <v/>
      </c>
      <c r="I365" s="5">
        <f>IFERROR(INDEX(Tbl_KPIMaster[Maximum Target],MATCH($G365,Tbl_KPIMaster[KPI],0)),"")</f>
        <v/>
      </c>
      <c r="J365" s="5" t="n">
        <v>1179.25</v>
      </c>
      <c r="K365" s="4">
        <f>IFERROR(INDEX(Tbl_KPIMaster[Tolerance],MATCH($G365,Tbl_KPIMaster[KPI],0)),"")</f>
        <v/>
      </c>
      <c r="L365" s="4">
        <f>IFERROR(INDEX(Tbl_KPIMaster[Owner],MATCH($G365,Tbl_KPIMaster[KPI],0)),"")</f>
        <v/>
      </c>
      <c r="M365" s="6" t="inlineStr"/>
      <c r="N365" s="4" t="inlineStr">
        <is>
          <t>Management approval pending</t>
        </is>
      </c>
      <c r="O365" s="4" t="inlineStr">
        <is>
          <t>Low</t>
        </is>
      </c>
      <c r="P365" s="4" t="inlineStr">
        <is>
          <t>Open</t>
        </is>
      </c>
      <c r="Q365" s="5">
        <f>IFERROR(IF(INDEX(Tbl_KPIMaster[Direction],MATCH($G365,Tbl_KPIMaster[KPI],0))="Lower is Better",IF($J365=0,1,IF($I365=0,0,$I365/$J365)),IF($I365=0,1,$J365/$I365)),0)</f>
        <v/>
      </c>
      <c r="R365" s="4">
        <f>IF(OR($I365="",$J365=""),"",$J365-$I365)</f>
        <v/>
      </c>
      <c r="S365" s="4">
        <f>IFERROR(IF(INDEX(Tbl_KPIMaster[Direction],MATCH($G365,Tbl_KPIMaster[KPI],0))="Lower is Better",IF($J365&lt;=$I365,"Green",IF($J365&lt;=$I365+IF($I365=0,$K365,$I365*$K365),"Amber","Red")),IF($J365&gt;=$I365,"Green",IF($J365&gt;=$I365-IF($I365=0,$K365,$I365*$K365),"Amber","Red"))),"")</f>
        <v/>
      </c>
      <c r="T365" s="6" t="inlineStr"/>
    </row>
    <row r="366">
      <c r="A366" s="7" t="n">
        <v>46148</v>
      </c>
      <c r="B366" s="8">
        <f>IF($A366="","",TEXT($A366,"mmm-yyyy"))</f>
        <v/>
      </c>
      <c r="C366" s="8">
        <f>IF($A366="","","W"&amp;WEEKNUM($A366,2))</f>
        <v/>
      </c>
      <c r="D366" s="8">
        <f>IF($A366="","",TEXT($A366,"ddd"))</f>
        <v/>
      </c>
      <c r="E366" s="8" t="inlineStr">
        <is>
          <t>Production</t>
        </is>
      </c>
      <c r="F366" s="8">
        <f>IFERROR(INDEX(Tbl_KPIMaster[Category],MATCH($G366,Tbl_KPIMaster[KPI],0)),"")</f>
        <v/>
      </c>
      <c r="G366" s="8" t="inlineStr">
        <is>
          <t>OEE %</t>
        </is>
      </c>
      <c r="H366" s="8">
        <f>IFERROR(INDEX(Tbl_KPIMaster[Unit],MATCH($G366,Tbl_KPIMaster[KPI],0)),"")</f>
        <v/>
      </c>
      <c r="I366" s="9">
        <f>IFERROR(INDEX(Tbl_KPIMaster[Maximum Target],MATCH($G366,Tbl_KPIMaster[KPI],0)),"")</f>
        <v/>
      </c>
      <c r="J366" s="9" t="n">
        <v>0.8496</v>
      </c>
      <c r="K366" s="8">
        <f>IFERROR(INDEX(Tbl_KPIMaster[Tolerance],MATCH($G366,Tbl_KPIMaster[KPI],0)),"")</f>
        <v/>
      </c>
      <c r="L366" s="8">
        <f>IFERROR(INDEX(Tbl_KPIMaster[Owner],MATCH($G366,Tbl_KPIMaster[KPI],0)),"")</f>
        <v/>
      </c>
      <c r="M366" s="10" t="inlineStr">
        <is>
          <t>Line changeover impact</t>
        </is>
      </c>
      <c r="N366" s="8" t="inlineStr"/>
      <c r="O366" s="8" t="inlineStr">
        <is>
          <t>Low</t>
        </is>
      </c>
      <c r="P366" s="8" t="inlineStr">
        <is>
          <t>Open</t>
        </is>
      </c>
      <c r="Q366" s="9">
        <f>IFERROR(IF(INDEX(Tbl_KPIMaster[Direction],MATCH($G366,Tbl_KPIMaster[KPI],0))="Lower is Better",IF($J366=0,1,IF($I366=0,0,$I366/$J366)),IF($I366=0,1,$J366/$I366)),0)</f>
        <v/>
      </c>
      <c r="R366" s="8">
        <f>IF(OR($I366="",$J366=""),"",$J366-$I366)</f>
        <v/>
      </c>
      <c r="S366" s="8">
        <f>IFERROR(IF(INDEX(Tbl_KPIMaster[Direction],MATCH($G366,Tbl_KPIMaster[KPI],0))="Lower is Better",IF($J366&lt;=$I366,"Green",IF($J366&lt;=$I366+IF($I366=0,$K366,$I366*$K366),"Amber","Red")),IF($J366&gt;=$I366,"Green",IF($J366&gt;=$I366-IF($I366=0,$K366,$I366*$K366),"Amber","Red"))),"")</f>
        <v/>
      </c>
      <c r="T366" s="10" t="inlineStr"/>
    </row>
    <row r="367">
      <c r="A367" s="3" t="n">
        <v>46148</v>
      </c>
      <c r="B367" s="4">
        <f>IF($A367="","",TEXT($A367,"mmm-yyyy"))</f>
        <v/>
      </c>
      <c r="C367" s="4">
        <f>IF($A367="","","W"&amp;WEEKNUM($A367,2))</f>
        <v/>
      </c>
      <c r="D367" s="4">
        <f>IF($A367="","",TEXT($A367,"ddd"))</f>
        <v/>
      </c>
      <c r="E367" s="4" t="inlineStr">
        <is>
          <t>Quality</t>
        </is>
      </c>
      <c r="F367" s="4">
        <f>IFERROR(INDEX(Tbl_KPIMaster[Category],MATCH($G367,Tbl_KPIMaster[KPI],0)),"")</f>
        <v/>
      </c>
      <c r="G367" s="4" t="inlineStr">
        <is>
          <t>Defect Rate %</t>
        </is>
      </c>
      <c r="H367" s="4">
        <f>IFERROR(INDEX(Tbl_KPIMaster[Unit],MATCH($G367,Tbl_KPIMaster[KPI],0)),"")</f>
        <v/>
      </c>
      <c r="I367" s="5">
        <f>IFERROR(INDEX(Tbl_KPIMaster[Maximum Target],MATCH($G367,Tbl_KPIMaster[KPI],0)),"")</f>
        <v/>
      </c>
      <c r="J367" s="5" t="n">
        <v>0.0555</v>
      </c>
      <c r="K367" s="4">
        <f>IFERROR(INDEX(Tbl_KPIMaster[Tolerance],MATCH($G367,Tbl_KPIMaster[KPI],0)),"")</f>
        <v/>
      </c>
      <c r="L367" s="4">
        <f>IFERROR(INDEX(Tbl_KPIMaster[Owner],MATCH($G367,Tbl_KPIMaster[KPI],0)),"")</f>
        <v/>
      </c>
      <c r="M367" s="6" t="inlineStr">
        <is>
          <t>Equipment breakdown</t>
        </is>
      </c>
      <c r="N367" s="4" t="inlineStr">
        <is>
          <t>Procurement follow-up</t>
        </is>
      </c>
      <c r="O367" s="4" t="inlineStr">
        <is>
          <t>Low</t>
        </is>
      </c>
      <c r="P367" s="4" t="inlineStr">
        <is>
          <t>Closed</t>
        </is>
      </c>
      <c r="Q367" s="5">
        <f>IFERROR(IF(INDEX(Tbl_KPIMaster[Direction],MATCH($G367,Tbl_KPIMaster[KPI],0))="Lower is Better",IF($J367=0,1,IF($I367=0,0,$I367/$J367)),IF($I367=0,1,$J367/$I367)),0)</f>
        <v/>
      </c>
      <c r="R367" s="4">
        <f>IF(OR($I367="",$J367=""),"",$J367-$I367)</f>
        <v/>
      </c>
      <c r="S367" s="4">
        <f>IFERROR(IF(INDEX(Tbl_KPIMaster[Direction],MATCH($G367,Tbl_KPIMaster[KPI],0))="Lower is Better",IF($J367&lt;=$I367,"Green",IF($J367&lt;=$I367+IF($I367=0,$K367,$I367*$K367),"Amber","Red")),IF($J367&gt;=$I367,"Green",IF($J367&gt;=$I367-IF($I367=0,$K367,$I367*$K367),"Amber","Red"))),"")</f>
        <v/>
      </c>
      <c r="T367" s="6" t="inlineStr"/>
    </row>
    <row r="368">
      <c r="A368" s="7" t="n">
        <v>46148</v>
      </c>
      <c r="B368" s="8">
        <f>IF($A368="","",TEXT($A368,"mmm-yyyy"))</f>
        <v/>
      </c>
      <c r="C368" s="8">
        <f>IF($A368="","","W"&amp;WEEKNUM($A368,2))</f>
        <v/>
      </c>
      <c r="D368" s="8">
        <f>IF($A368="","",TEXT($A368,"ddd"))</f>
        <v/>
      </c>
      <c r="E368" s="8" t="inlineStr">
        <is>
          <t>Quality</t>
        </is>
      </c>
      <c r="F368" s="8">
        <f>IFERROR(INDEX(Tbl_KPIMaster[Category],MATCH($G368,Tbl_KPIMaster[KPI],0)),"")</f>
        <v/>
      </c>
      <c r="G368" s="8" t="inlineStr">
        <is>
          <t>Customer Complaints</t>
        </is>
      </c>
      <c r="H368" s="8">
        <f>IFERROR(INDEX(Tbl_KPIMaster[Unit],MATCH($G368,Tbl_KPIMaster[KPI],0)),"")</f>
        <v/>
      </c>
      <c r="I368" s="9">
        <f>IFERROR(INDEX(Tbl_KPIMaster[Maximum Target],MATCH($G368,Tbl_KPIMaster[KPI],0)),"")</f>
        <v/>
      </c>
      <c r="J368" s="9" t="n">
        <v>0</v>
      </c>
      <c r="K368" s="8">
        <f>IFERROR(INDEX(Tbl_KPIMaster[Tolerance],MATCH($G368,Tbl_KPIMaster[KPI],0)),"")</f>
        <v/>
      </c>
      <c r="L368" s="8">
        <f>IFERROR(INDEX(Tbl_KPIMaster[Owner],MATCH($G368,Tbl_KPIMaster[KPI],0)),"")</f>
        <v/>
      </c>
      <c r="M368" s="10" t="inlineStr">
        <is>
          <t>Manpower shortage</t>
        </is>
      </c>
      <c r="N368" s="8" t="inlineStr">
        <is>
          <t>Procurement follow-up</t>
        </is>
      </c>
      <c r="O368" s="8" t="inlineStr">
        <is>
          <t>Low</t>
        </is>
      </c>
      <c r="P368" s="8" t="inlineStr">
        <is>
          <t>Open</t>
        </is>
      </c>
      <c r="Q368" s="9">
        <f>IFERROR(IF(INDEX(Tbl_KPIMaster[Direction],MATCH($G368,Tbl_KPIMaster[KPI],0))="Lower is Better",IF($J368=0,1,IF($I368=0,0,$I368/$J368)),IF($I368=0,1,$J368/$I368)),0)</f>
        <v/>
      </c>
      <c r="R368" s="8">
        <f>IF(OR($I368="",$J368=""),"",$J368-$I368)</f>
        <v/>
      </c>
      <c r="S368" s="8">
        <f>IFERROR(IF(INDEX(Tbl_KPIMaster[Direction],MATCH($G368,Tbl_KPIMaster[KPI],0))="Lower is Better",IF($J368&lt;=$I368,"Green",IF($J368&lt;=$I368+IF($I368=0,$K368,$I368*$K368),"Amber","Red")),IF($J368&gt;=$I368,"Green",IF($J368&gt;=$I368-IF($I368=0,$K368,$I368*$K368),"Amber","Red"))),"")</f>
        <v/>
      </c>
      <c r="T368" s="10" t="inlineStr"/>
    </row>
    <row r="369">
      <c r="A369" s="3" t="n">
        <v>46148</v>
      </c>
      <c r="B369" s="4">
        <f>IF($A369="","",TEXT($A369,"mmm-yyyy"))</f>
        <v/>
      </c>
      <c r="C369" s="4">
        <f>IF($A369="","","W"&amp;WEEKNUM($A369,2))</f>
        <v/>
      </c>
      <c r="D369" s="4">
        <f>IF($A369="","",TEXT($A369,"ddd"))</f>
        <v/>
      </c>
      <c r="E369" s="4" t="inlineStr">
        <is>
          <t>Maintenance</t>
        </is>
      </c>
      <c r="F369" s="4">
        <f>IFERROR(INDEX(Tbl_KPIMaster[Category],MATCH($G369,Tbl_KPIMaster[KPI],0)),"")</f>
        <v/>
      </c>
      <c r="G369" s="4" t="inlineStr">
        <is>
          <t>Unplanned Downtime</t>
        </is>
      </c>
      <c r="H369" s="4">
        <f>IFERROR(INDEX(Tbl_KPIMaster[Unit],MATCH($G369,Tbl_KPIMaster[KPI],0)),"")</f>
        <v/>
      </c>
      <c r="I369" s="5">
        <f>IFERROR(INDEX(Tbl_KPIMaster[Maximum Target],MATCH($G369,Tbl_KPIMaster[KPI],0)),"")</f>
        <v/>
      </c>
      <c r="J369" s="5" t="n">
        <v>0.28</v>
      </c>
      <c r="K369" s="4">
        <f>IFERROR(INDEX(Tbl_KPIMaster[Tolerance],MATCH($G369,Tbl_KPIMaster[KPI],0)),"")</f>
        <v/>
      </c>
      <c r="L369" s="4">
        <f>IFERROR(INDEX(Tbl_KPIMaster[Owner],MATCH($G369,Tbl_KPIMaster[KPI],0)),"")</f>
        <v/>
      </c>
      <c r="M369" s="6" t="inlineStr">
        <is>
          <t>Awaiting spares</t>
        </is>
      </c>
      <c r="N369" s="4" t="inlineStr"/>
      <c r="O369" s="4" t="inlineStr">
        <is>
          <t>Medium</t>
        </is>
      </c>
      <c r="P369" s="4" t="inlineStr">
        <is>
          <t>Closed</t>
        </is>
      </c>
      <c r="Q369" s="5">
        <f>IFERROR(IF(INDEX(Tbl_KPIMaster[Direction],MATCH($G369,Tbl_KPIMaster[KPI],0))="Lower is Better",IF($J369=0,1,IF($I369=0,0,$I369/$J369)),IF($I369=0,1,$J369/$I369)),0)</f>
        <v/>
      </c>
      <c r="R369" s="4">
        <f>IF(OR($I369="",$J369=""),"",$J369-$I369)</f>
        <v/>
      </c>
      <c r="S369" s="4">
        <f>IFERROR(IF(INDEX(Tbl_KPIMaster[Direction],MATCH($G369,Tbl_KPIMaster[KPI],0))="Lower is Better",IF($J369&lt;=$I369,"Green",IF($J369&lt;=$I369+IF($I369=0,$K369,$I369*$K369),"Amber","Red")),IF($J369&gt;=$I369,"Green",IF($J369&gt;=$I369-IF($I369=0,$K369,$I369*$K369),"Amber","Red"))),"")</f>
        <v/>
      </c>
      <c r="T369" s="6" t="inlineStr"/>
    </row>
    <row r="370">
      <c r="A370" s="7" t="n">
        <v>46148</v>
      </c>
      <c r="B370" s="8">
        <f>IF($A370="","",TEXT($A370,"mmm-yyyy"))</f>
        <v/>
      </c>
      <c r="C370" s="8">
        <f>IF($A370="","","W"&amp;WEEKNUM($A370,2))</f>
        <v/>
      </c>
      <c r="D370" s="8">
        <f>IF($A370="","",TEXT($A370,"ddd"))</f>
        <v/>
      </c>
      <c r="E370" s="8" t="inlineStr">
        <is>
          <t>Maintenance</t>
        </is>
      </c>
      <c r="F370" s="8">
        <f>IFERROR(INDEX(Tbl_KPIMaster[Category],MATCH($G370,Tbl_KPIMaster[KPI],0)),"")</f>
        <v/>
      </c>
      <c r="G370" s="8" t="inlineStr">
        <is>
          <t>PM Compliance %</t>
        </is>
      </c>
      <c r="H370" s="8">
        <f>IFERROR(INDEX(Tbl_KPIMaster[Unit],MATCH($G370,Tbl_KPIMaster[KPI],0)),"")</f>
        <v/>
      </c>
      <c r="I370" s="9">
        <f>IFERROR(INDEX(Tbl_KPIMaster[Maximum Target],MATCH($G370,Tbl_KPIMaster[KPI],0)),"")</f>
        <v/>
      </c>
      <c r="J370" s="9" t="n">
        <v>1.1447</v>
      </c>
      <c r="K370" s="8">
        <f>IFERROR(INDEX(Tbl_KPIMaster[Tolerance],MATCH($G370,Tbl_KPIMaster[KPI],0)),"")</f>
        <v/>
      </c>
      <c r="L370" s="8">
        <f>IFERROR(INDEX(Tbl_KPIMaster[Owner],MATCH($G370,Tbl_KPIMaster[KPI],0)),"")</f>
        <v/>
      </c>
      <c r="M370" s="10" t="inlineStr">
        <is>
          <t>Weather impact</t>
        </is>
      </c>
      <c r="N370" s="8" t="inlineStr">
        <is>
          <t>Procurement follow-up</t>
        </is>
      </c>
      <c r="O370" s="8" t="inlineStr">
        <is>
          <t>Low</t>
        </is>
      </c>
      <c r="P370" s="8" t="inlineStr">
        <is>
          <t>Open</t>
        </is>
      </c>
      <c r="Q370" s="9">
        <f>IFERROR(IF(INDEX(Tbl_KPIMaster[Direction],MATCH($G370,Tbl_KPIMaster[KPI],0))="Lower is Better",IF($J370=0,1,IF($I370=0,0,$I370/$J370)),IF($I370=0,1,$J370/$I370)),0)</f>
        <v/>
      </c>
      <c r="R370" s="8">
        <f>IF(OR($I370="",$J370=""),"",$J370-$I370)</f>
        <v/>
      </c>
      <c r="S370" s="8">
        <f>IFERROR(IF(INDEX(Tbl_KPIMaster[Direction],MATCH($G370,Tbl_KPIMaster[KPI],0))="Lower is Better",IF($J370&lt;=$I370,"Green",IF($J370&lt;=$I370+IF($I370=0,$K370,$I370*$K370),"Amber","Red")),IF($J370&gt;=$I370,"Green",IF($J370&gt;=$I370-IF($I370=0,$K370,$I370*$K370),"Amber","Red"))),"")</f>
        <v/>
      </c>
      <c r="T370" s="10" t="inlineStr"/>
    </row>
    <row r="371">
      <c r="A371" s="3" t="n">
        <v>46148</v>
      </c>
      <c r="B371" s="4">
        <f>IF($A371="","",TEXT($A371,"mmm-yyyy"))</f>
        <v/>
      </c>
      <c r="C371" s="4">
        <f>IF($A371="","","W"&amp;WEEKNUM($A371,2))</f>
        <v/>
      </c>
      <c r="D371" s="4">
        <f>IF($A371="","",TEXT($A371,"ddd"))</f>
        <v/>
      </c>
      <c r="E371" s="4" t="inlineStr">
        <is>
          <t>Utilities</t>
        </is>
      </c>
      <c r="F371" s="4">
        <f>IFERROR(INDEX(Tbl_KPIMaster[Category],MATCH($G371,Tbl_KPIMaster[KPI],0)),"")</f>
        <v/>
      </c>
      <c r="G371" s="4" t="inlineStr">
        <is>
          <t>Power Consumption</t>
        </is>
      </c>
      <c r="H371" s="4">
        <f>IFERROR(INDEX(Tbl_KPIMaster[Unit],MATCH($G371,Tbl_KPIMaster[KPI],0)),"")</f>
        <v/>
      </c>
      <c r="I371" s="5">
        <f>IFERROR(INDEX(Tbl_KPIMaster[Maximum Target],MATCH($G371,Tbl_KPIMaster[KPI],0)),"")</f>
        <v/>
      </c>
      <c r="J371" s="5" t="n">
        <v>4372.94</v>
      </c>
      <c r="K371" s="4">
        <f>IFERROR(INDEX(Tbl_KPIMaster[Tolerance],MATCH($G371,Tbl_KPIMaster[KPI],0)),"")</f>
        <v/>
      </c>
      <c r="L371" s="4">
        <f>IFERROR(INDEX(Tbl_KPIMaster[Owner],MATCH($G371,Tbl_KPIMaster[KPI],0)),"")</f>
        <v/>
      </c>
      <c r="M371" s="6" t="inlineStr">
        <is>
          <t>Vendor delay</t>
        </is>
      </c>
      <c r="N371" s="4" t="inlineStr">
        <is>
          <t>Engineering support needed</t>
        </is>
      </c>
      <c r="O371" s="4" t="inlineStr">
        <is>
          <t>Low</t>
        </is>
      </c>
      <c r="P371" s="4" t="inlineStr">
        <is>
          <t>Closed</t>
        </is>
      </c>
      <c r="Q371" s="5">
        <f>IFERROR(IF(INDEX(Tbl_KPIMaster[Direction],MATCH($G371,Tbl_KPIMaster[KPI],0))="Lower is Better",IF($J371=0,1,IF($I371=0,0,$I371/$J371)),IF($I371=0,1,$J371/$I371)),0)</f>
        <v/>
      </c>
      <c r="R371" s="4">
        <f>IF(OR($I371="",$J371=""),"",$J371-$I371)</f>
        <v/>
      </c>
      <c r="S371" s="4">
        <f>IFERROR(IF(INDEX(Tbl_KPIMaster[Direction],MATCH($G371,Tbl_KPIMaster[KPI],0))="Lower is Better",IF($J371&lt;=$I371,"Green",IF($J371&lt;=$I371+IF($I371=0,$K371,$I371*$K371),"Amber","Red")),IF($J371&gt;=$I371,"Green",IF($J371&gt;=$I371-IF($I371=0,$K371,$I371*$K371),"Amber","Red"))),"")</f>
        <v/>
      </c>
      <c r="T371" s="6" t="inlineStr"/>
    </row>
    <row r="372">
      <c r="A372" s="7" t="n">
        <v>46148</v>
      </c>
      <c r="B372" s="8">
        <f>IF($A372="","",TEXT($A372,"mmm-yyyy"))</f>
        <v/>
      </c>
      <c r="C372" s="8">
        <f>IF($A372="","","W"&amp;WEEKNUM($A372,2))</f>
        <v/>
      </c>
      <c r="D372" s="8">
        <f>IF($A372="","",TEXT($A372,"ddd"))</f>
        <v/>
      </c>
      <c r="E372" s="8" t="inlineStr">
        <is>
          <t>Utilities</t>
        </is>
      </c>
      <c r="F372" s="8">
        <f>IFERROR(INDEX(Tbl_KPIMaster[Category],MATCH($G372,Tbl_KPIMaster[KPI],0)),"")</f>
        <v/>
      </c>
      <c r="G372" s="8" t="inlineStr">
        <is>
          <t>Water Consumption</t>
        </is>
      </c>
      <c r="H372" s="8">
        <f>IFERROR(INDEX(Tbl_KPIMaster[Unit],MATCH($G372,Tbl_KPIMaster[KPI],0)),"")</f>
        <v/>
      </c>
      <c r="I372" s="9">
        <f>IFERROR(INDEX(Tbl_KPIMaster[Maximum Target],MATCH($G372,Tbl_KPIMaster[KPI],0)),"")</f>
        <v/>
      </c>
      <c r="J372" s="9" t="n">
        <v>53.01</v>
      </c>
      <c r="K372" s="8">
        <f>IFERROR(INDEX(Tbl_KPIMaster[Tolerance],MATCH($G372,Tbl_KPIMaster[KPI],0)),"")</f>
        <v/>
      </c>
      <c r="L372" s="8">
        <f>IFERROR(INDEX(Tbl_KPIMaster[Owner],MATCH($G372,Tbl_KPIMaster[KPI],0)),"")</f>
        <v/>
      </c>
      <c r="M372" s="10" t="inlineStr">
        <is>
          <t>Manpower shortage</t>
        </is>
      </c>
      <c r="N372" s="8" t="inlineStr"/>
      <c r="O372" s="8" t="inlineStr">
        <is>
          <t>Low</t>
        </is>
      </c>
      <c r="P372" s="8" t="inlineStr">
        <is>
          <t>Open</t>
        </is>
      </c>
      <c r="Q372" s="9">
        <f>IFERROR(IF(INDEX(Tbl_KPIMaster[Direction],MATCH($G372,Tbl_KPIMaster[KPI],0))="Lower is Better",IF($J372=0,1,IF($I372=0,0,$I372/$J372)),IF($I372=0,1,$J372/$I372)),0)</f>
        <v/>
      </c>
      <c r="R372" s="8">
        <f>IF(OR($I372="",$J372=""),"",$J372-$I372)</f>
        <v/>
      </c>
      <c r="S372" s="8">
        <f>IFERROR(IF(INDEX(Tbl_KPIMaster[Direction],MATCH($G372,Tbl_KPIMaster[KPI],0))="Lower is Better",IF($J372&lt;=$I372,"Green",IF($J372&lt;=$I372+IF($I372=0,$K372,$I372*$K372),"Amber","Red")),IF($J372&gt;=$I372,"Green",IF($J372&gt;=$I372-IF($I372=0,$K372,$I372*$K372),"Amber","Red"))),"")</f>
        <v/>
      </c>
      <c r="T372" s="10" t="inlineStr"/>
    </row>
    <row r="373">
      <c r="A373" s="3" t="n">
        <v>46148</v>
      </c>
      <c r="B373" s="4">
        <f>IF($A373="","",TEXT($A373,"mmm-yyyy"))</f>
        <v/>
      </c>
      <c r="C373" s="4">
        <f>IF($A373="","","W"&amp;WEEKNUM($A373,2))</f>
        <v/>
      </c>
      <c r="D373" s="4">
        <f>IF($A373="","",TEXT($A373,"ddd"))</f>
        <v/>
      </c>
      <c r="E373" s="4" t="inlineStr">
        <is>
          <t>Warehouse</t>
        </is>
      </c>
      <c r="F373" s="4">
        <f>IFERROR(INDEX(Tbl_KPIMaster[Category],MATCH($G373,Tbl_KPIMaster[KPI],0)),"")</f>
        <v/>
      </c>
      <c r="G373" s="4" t="inlineStr">
        <is>
          <t>On-Time Dispatch %</t>
        </is>
      </c>
      <c r="H373" s="4">
        <f>IFERROR(INDEX(Tbl_KPIMaster[Unit],MATCH($G373,Tbl_KPIMaster[KPI],0)),"")</f>
        <v/>
      </c>
      <c r="I373" s="5">
        <f>IFERROR(INDEX(Tbl_KPIMaster[Maximum Target],MATCH($G373,Tbl_KPIMaster[KPI],0)),"")</f>
        <v/>
      </c>
      <c r="J373" s="5" t="n">
        <v>1.0459</v>
      </c>
      <c r="K373" s="4">
        <f>IFERROR(INDEX(Tbl_KPIMaster[Tolerance],MATCH($G373,Tbl_KPIMaster[KPI],0)),"")</f>
        <v/>
      </c>
      <c r="L373" s="4">
        <f>IFERROR(INDEX(Tbl_KPIMaster[Owner],MATCH($G373,Tbl_KPIMaster[KPI],0)),"")</f>
        <v/>
      </c>
      <c r="M373" s="6" t="inlineStr">
        <is>
          <t>Within normal range</t>
        </is>
      </c>
      <c r="N373" s="4" t="inlineStr"/>
      <c r="O373" s="4" t="inlineStr">
        <is>
          <t>High</t>
        </is>
      </c>
      <c r="P373" s="4" t="inlineStr">
        <is>
          <t>Closed</t>
        </is>
      </c>
      <c r="Q373" s="5">
        <f>IFERROR(IF(INDEX(Tbl_KPIMaster[Direction],MATCH($G373,Tbl_KPIMaster[KPI],0))="Lower is Better",IF($J373=0,1,IF($I373=0,0,$I373/$J373)),IF($I373=0,1,$J373/$I373)),0)</f>
        <v/>
      </c>
      <c r="R373" s="4">
        <f>IF(OR($I373="",$J373=""),"",$J373-$I373)</f>
        <v/>
      </c>
      <c r="S373" s="4">
        <f>IFERROR(IF(INDEX(Tbl_KPIMaster[Direction],MATCH($G373,Tbl_KPIMaster[KPI],0))="Lower is Better",IF($J373&lt;=$I373,"Green",IF($J373&lt;=$I373+IF($I373=0,$K373,$I373*$K373),"Amber","Red")),IF($J373&gt;=$I373,"Green",IF($J373&gt;=$I373-IF($I373=0,$K373,$I373*$K373),"Amber","Red"))),"")</f>
        <v/>
      </c>
      <c r="T373" s="6" t="inlineStr"/>
    </row>
    <row r="374">
      <c r="A374" s="7" t="n">
        <v>46148</v>
      </c>
      <c r="B374" s="8">
        <f>IF($A374="","",TEXT($A374,"mmm-yyyy"))</f>
        <v/>
      </c>
      <c r="C374" s="8">
        <f>IF($A374="","","W"&amp;WEEKNUM($A374,2))</f>
        <v/>
      </c>
      <c r="D374" s="8">
        <f>IF($A374="","",TEXT($A374,"ddd"))</f>
        <v/>
      </c>
      <c r="E374" s="8" t="inlineStr">
        <is>
          <t>Warehouse</t>
        </is>
      </c>
      <c r="F374" s="8">
        <f>IFERROR(INDEX(Tbl_KPIMaster[Category],MATCH($G374,Tbl_KPIMaster[KPI],0)),"")</f>
        <v/>
      </c>
      <c r="G374" s="8" t="inlineStr">
        <is>
          <t>Inventory Accuracy %</t>
        </is>
      </c>
      <c r="H374" s="8">
        <f>IFERROR(INDEX(Tbl_KPIMaster[Unit],MATCH($G374,Tbl_KPIMaster[KPI],0)),"")</f>
        <v/>
      </c>
      <c r="I374" s="9">
        <f>IFERROR(INDEX(Tbl_KPIMaster[Maximum Target],MATCH($G374,Tbl_KPIMaster[KPI],0)),"")</f>
        <v/>
      </c>
      <c r="J374" s="9" t="n">
        <v>0.898</v>
      </c>
      <c r="K374" s="8">
        <f>IFERROR(INDEX(Tbl_KPIMaster[Tolerance],MATCH($G374,Tbl_KPIMaster[KPI],0)),"")</f>
        <v/>
      </c>
      <c r="L374" s="8">
        <f>IFERROR(INDEX(Tbl_KPIMaster[Owner],MATCH($G374,Tbl_KPIMaster[KPI],0)),"")</f>
        <v/>
      </c>
      <c r="M374" s="10" t="inlineStr"/>
      <c r="N374" s="8" t="inlineStr"/>
      <c r="O374" s="8" t="inlineStr">
        <is>
          <t>Medium</t>
        </is>
      </c>
      <c r="P374" s="8" t="inlineStr">
        <is>
          <t>Closed</t>
        </is>
      </c>
      <c r="Q374" s="9">
        <f>IFERROR(IF(INDEX(Tbl_KPIMaster[Direction],MATCH($G374,Tbl_KPIMaster[KPI],0))="Lower is Better",IF($J374=0,1,IF($I374=0,0,$I374/$J374)),IF($I374=0,1,$J374/$I374)),0)</f>
        <v/>
      </c>
      <c r="R374" s="8">
        <f>IF(OR($I374="",$J374=""),"",$J374-$I374)</f>
        <v/>
      </c>
      <c r="S374" s="8">
        <f>IFERROR(IF(INDEX(Tbl_KPIMaster[Direction],MATCH($G374,Tbl_KPIMaster[KPI],0))="Lower is Better",IF($J374&lt;=$I374,"Green",IF($J374&lt;=$I374+IF($I374=0,$K374,$I374*$K374),"Amber","Red")),IF($J374&gt;=$I374,"Green",IF($J374&gt;=$I374-IF($I374=0,$K374,$I374*$K374),"Amber","Red"))),"")</f>
        <v/>
      </c>
      <c r="T374" s="10" t="inlineStr"/>
    </row>
    <row r="375">
      <c r="A375" s="3" t="n">
        <v>46148</v>
      </c>
      <c r="B375" s="4">
        <f>IF($A375="","",TEXT($A375,"mmm-yyyy"))</f>
        <v/>
      </c>
      <c r="C375" s="4">
        <f>IF($A375="","","W"&amp;WEEKNUM($A375,2))</f>
        <v/>
      </c>
      <c r="D375" s="4">
        <f>IF($A375="","",TEXT($A375,"ddd"))</f>
        <v/>
      </c>
      <c r="E375" s="4" t="inlineStr">
        <is>
          <t>HR</t>
        </is>
      </c>
      <c r="F375" s="4">
        <f>IFERROR(INDEX(Tbl_KPIMaster[Category],MATCH($G375,Tbl_KPIMaster[KPI],0)),"")</f>
        <v/>
      </c>
      <c r="G375" s="4" t="inlineStr">
        <is>
          <t>Absenteeism %</t>
        </is>
      </c>
      <c r="H375" s="4">
        <f>IFERROR(INDEX(Tbl_KPIMaster[Unit],MATCH($G375,Tbl_KPIMaster[KPI],0)),"")</f>
        <v/>
      </c>
      <c r="I375" s="5">
        <f>IFERROR(INDEX(Tbl_KPIMaster[Maximum Target],MATCH($G375,Tbl_KPIMaster[KPI],0)),"")</f>
        <v/>
      </c>
      <c r="J375" s="5" t="n">
        <v>0.8626</v>
      </c>
      <c r="K375" s="4">
        <f>IFERROR(INDEX(Tbl_KPIMaster[Tolerance],MATCH($G375,Tbl_KPIMaster[KPI],0)),"")</f>
        <v/>
      </c>
      <c r="L375" s="4">
        <f>IFERROR(INDEX(Tbl_KPIMaster[Owner],MATCH($G375,Tbl_KPIMaster[KPI],0)),"")</f>
        <v/>
      </c>
      <c r="M375" s="6" t="inlineStr">
        <is>
          <t>New operator training effect</t>
        </is>
      </c>
      <c r="N375" s="4" t="inlineStr">
        <is>
          <t>Procurement follow-up</t>
        </is>
      </c>
      <c r="O375" s="4" t="inlineStr">
        <is>
          <t>Low</t>
        </is>
      </c>
      <c r="P375" s="4" t="inlineStr">
        <is>
          <t>Closed</t>
        </is>
      </c>
      <c r="Q375" s="5">
        <f>IFERROR(IF(INDEX(Tbl_KPIMaster[Direction],MATCH($G375,Tbl_KPIMaster[KPI],0))="Lower is Better",IF($J375=0,1,IF($I375=0,0,$I375/$J375)),IF($I375=0,1,$J375/$I375)),0)</f>
        <v/>
      </c>
      <c r="R375" s="4">
        <f>IF(OR($I375="",$J375=""),"",$J375-$I375)</f>
        <v/>
      </c>
      <c r="S375" s="4">
        <f>IFERROR(IF(INDEX(Tbl_KPIMaster[Direction],MATCH($G375,Tbl_KPIMaster[KPI],0))="Lower is Better",IF($J375&lt;=$I375,"Green",IF($J375&lt;=$I375+IF($I375=0,$K375,$I375*$K375),"Amber","Red")),IF($J375&gt;=$I375,"Green",IF($J375&gt;=$I375-IF($I375=0,$K375,$I375*$K375),"Amber","Red"))),"")</f>
        <v/>
      </c>
      <c r="T375" s="6" t="inlineStr"/>
    </row>
    <row r="376">
      <c r="A376" s="7" t="n">
        <v>46148</v>
      </c>
      <c r="B376" s="8">
        <f>IF($A376="","",TEXT($A376,"mmm-yyyy"))</f>
        <v/>
      </c>
      <c r="C376" s="8">
        <f>IF($A376="","","W"&amp;WEEKNUM($A376,2))</f>
        <v/>
      </c>
      <c r="D376" s="8">
        <f>IF($A376="","",TEXT($A376,"ddd"))</f>
        <v/>
      </c>
      <c r="E376" s="8" t="inlineStr">
        <is>
          <t>HR</t>
        </is>
      </c>
      <c r="F376" s="8">
        <f>IFERROR(INDEX(Tbl_KPIMaster[Category],MATCH($G376,Tbl_KPIMaster[KPI],0)),"")</f>
        <v/>
      </c>
      <c r="G376" s="8" t="inlineStr">
        <is>
          <t>Training Hours</t>
        </is>
      </c>
      <c r="H376" s="8">
        <f>IFERROR(INDEX(Tbl_KPIMaster[Unit],MATCH($G376,Tbl_KPIMaster[KPI],0)),"")</f>
        <v/>
      </c>
      <c r="I376" s="9">
        <f>IFERROR(INDEX(Tbl_KPIMaster[Maximum Target],MATCH($G376,Tbl_KPIMaster[KPI],0)),"")</f>
        <v/>
      </c>
      <c r="J376" s="9" t="n">
        <v>1.85</v>
      </c>
      <c r="K376" s="8">
        <f>IFERROR(INDEX(Tbl_KPIMaster[Tolerance],MATCH($G376,Tbl_KPIMaster[KPI],0)),"")</f>
        <v/>
      </c>
      <c r="L376" s="8">
        <f>IFERROR(INDEX(Tbl_KPIMaster[Owner],MATCH($G376,Tbl_KPIMaster[KPI],0)),"")</f>
        <v/>
      </c>
      <c r="M376" s="10" t="inlineStr">
        <is>
          <t>New operator training effect</t>
        </is>
      </c>
      <c r="N376" s="8" t="inlineStr"/>
      <c r="O376" s="8" t="inlineStr">
        <is>
          <t>Low</t>
        </is>
      </c>
      <c r="P376" s="8" t="inlineStr">
        <is>
          <t>Open</t>
        </is>
      </c>
      <c r="Q376" s="9">
        <f>IFERROR(IF(INDEX(Tbl_KPIMaster[Direction],MATCH($G376,Tbl_KPIMaster[KPI],0))="Lower is Better",IF($J376=0,1,IF($I376=0,0,$I376/$J376)),IF($I376=0,1,$J376/$I376)),0)</f>
        <v/>
      </c>
      <c r="R376" s="8">
        <f>IF(OR($I376="",$J376=""),"",$J376-$I376)</f>
        <v/>
      </c>
      <c r="S376" s="8">
        <f>IFERROR(IF(INDEX(Tbl_KPIMaster[Direction],MATCH($G376,Tbl_KPIMaster[KPI],0))="Lower is Better",IF($J376&lt;=$I376,"Green",IF($J376&lt;=$I376+IF($I376=0,$K376,$I376*$K376),"Amber","Red")),IF($J376&gt;=$I376,"Green",IF($J376&gt;=$I376-IF($I376=0,$K376,$I376*$K376),"Amber","Red"))),"")</f>
        <v/>
      </c>
      <c r="T376" s="10" t="inlineStr"/>
    </row>
    <row r="377">
      <c r="A377" s="3" t="n">
        <v>46148</v>
      </c>
      <c r="B377" s="4">
        <f>IF($A377="","",TEXT($A377,"mmm-yyyy"))</f>
        <v/>
      </c>
      <c r="C377" s="4">
        <f>IF($A377="","","W"&amp;WEEKNUM($A377,2))</f>
        <v/>
      </c>
      <c r="D377" s="4">
        <f>IF($A377="","",TEXT($A377,"ddd"))</f>
        <v/>
      </c>
      <c r="E377" s="4" t="inlineStr">
        <is>
          <t>Engineering</t>
        </is>
      </c>
      <c r="F377" s="4">
        <f>IFERROR(INDEX(Tbl_KPIMaster[Category],MATCH($G377,Tbl_KPIMaster[KPI],0)),"")</f>
        <v/>
      </c>
      <c r="G377" s="4" t="inlineStr">
        <is>
          <t>Project Milestone Adherence %</t>
        </is>
      </c>
      <c r="H377" s="4">
        <f>IFERROR(INDEX(Tbl_KPIMaster[Unit],MATCH($G377,Tbl_KPIMaster[KPI],0)),"")</f>
        <v/>
      </c>
      <c r="I377" s="5">
        <f>IFERROR(INDEX(Tbl_KPIMaster[Maximum Target],MATCH($G377,Tbl_KPIMaster[KPI],0)),"")</f>
        <v/>
      </c>
      <c r="J377" s="5" t="n">
        <v>0.9103</v>
      </c>
      <c r="K377" s="4">
        <f>IFERROR(INDEX(Tbl_KPIMaster[Tolerance],MATCH($G377,Tbl_KPIMaster[KPI],0)),"")</f>
        <v/>
      </c>
      <c r="L377" s="4">
        <f>IFERROR(INDEX(Tbl_KPIMaster[Owner],MATCH($G377,Tbl_KPIMaster[KPI],0)),"")</f>
        <v/>
      </c>
      <c r="M377" s="6" t="inlineStr">
        <is>
          <t>Equipment breakdown</t>
        </is>
      </c>
      <c r="N377" s="4" t="inlineStr">
        <is>
          <t>Management approval pending</t>
        </is>
      </c>
      <c r="O377" s="4" t="inlineStr">
        <is>
          <t>High</t>
        </is>
      </c>
      <c r="P377" s="4" t="inlineStr">
        <is>
          <t>Open</t>
        </is>
      </c>
      <c r="Q377" s="5">
        <f>IFERROR(IF(INDEX(Tbl_KPIMaster[Direction],MATCH($G377,Tbl_KPIMaster[KPI],0))="Lower is Better",IF($J377=0,1,IF($I377=0,0,$I377/$J377)),IF($I377=0,1,$J377/$I377)),0)</f>
        <v/>
      </c>
      <c r="R377" s="4">
        <f>IF(OR($I377="",$J377=""),"",$J377-$I377)</f>
        <v/>
      </c>
      <c r="S377" s="4">
        <f>IFERROR(IF(INDEX(Tbl_KPIMaster[Direction],MATCH($G377,Tbl_KPIMaster[KPI],0))="Lower is Better",IF($J377&lt;=$I377,"Green",IF($J377&lt;=$I377+IF($I377=0,$K377,$I377*$K377),"Amber","Red")),IF($J377&gt;=$I377,"Green",IF($J377&gt;=$I377-IF($I377=0,$K377,$I377*$K377),"Amber","Red"))),"")</f>
        <v/>
      </c>
      <c r="T377" s="6" t="inlineStr"/>
    </row>
    <row r="378">
      <c r="A378" s="7" t="n">
        <v>46148</v>
      </c>
      <c r="B378" s="8">
        <f>IF($A378="","",TEXT($A378,"mmm-yyyy"))</f>
        <v/>
      </c>
      <c r="C378" s="8">
        <f>IF($A378="","","W"&amp;WEEKNUM($A378,2))</f>
        <v/>
      </c>
      <c r="D378" s="8">
        <f>IF($A378="","",TEXT($A378,"ddd"))</f>
        <v/>
      </c>
      <c r="E378" s="8" t="inlineStr">
        <is>
          <t>Engineering</t>
        </is>
      </c>
      <c r="F378" s="8">
        <f>IFERROR(INDEX(Tbl_KPIMaster[Category],MATCH($G378,Tbl_KPIMaster[KPI],0)),"")</f>
        <v/>
      </c>
      <c r="G378" s="8" t="inlineStr">
        <is>
          <t>Breakdown Resolution Time</t>
        </is>
      </c>
      <c r="H378" s="8">
        <f>IFERROR(INDEX(Tbl_KPIMaster[Unit],MATCH($G378,Tbl_KPIMaster[KPI],0)),"")</f>
        <v/>
      </c>
      <c r="I378" s="9">
        <f>IFERROR(INDEX(Tbl_KPIMaster[Maximum Target],MATCH($G378,Tbl_KPIMaster[KPI],0)),"")</f>
        <v/>
      </c>
      <c r="J378" s="9" t="n">
        <v>0.41</v>
      </c>
      <c r="K378" s="8">
        <f>IFERROR(INDEX(Tbl_KPIMaster[Tolerance],MATCH($G378,Tbl_KPIMaster[KPI],0)),"")</f>
        <v/>
      </c>
      <c r="L378" s="8">
        <f>IFERROR(INDEX(Tbl_KPIMaster[Owner],MATCH($G378,Tbl_KPIMaster[KPI],0)),"")</f>
        <v/>
      </c>
      <c r="M378" s="10" t="inlineStr">
        <is>
          <t>Process improvement in progress</t>
        </is>
      </c>
      <c r="N378" s="8" t="inlineStr">
        <is>
          <t>Procurement follow-up</t>
        </is>
      </c>
      <c r="O378" s="8" t="inlineStr">
        <is>
          <t>High</t>
        </is>
      </c>
      <c r="P378" s="8" t="inlineStr">
        <is>
          <t>Closed</t>
        </is>
      </c>
      <c r="Q378" s="9">
        <f>IFERROR(IF(INDEX(Tbl_KPIMaster[Direction],MATCH($G378,Tbl_KPIMaster[KPI],0))="Lower is Better",IF($J378=0,1,IF($I378=0,0,$I378/$J378)),IF($I378=0,1,$J378/$I378)),0)</f>
        <v/>
      </c>
      <c r="R378" s="8">
        <f>IF(OR($I378="",$J378=""),"",$J378-$I378)</f>
        <v/>
      </c>
      <c r="S378" s="8">
        <f>IFERROR(IF(INDEX(Tbl_KPIMaster[Direction],MATCH($G378,Tbl_KPIMaster[KPI],0))="Lower is Better",IF($J378&lt;=$I378,"Green",IF($J378&lt;=$I378+IF($I378=0,$K378,$I378*$K378),"Amber","Red")),IF($J378&gt;=$I378,"Green",IF($J378&gt;=$I378-IF($I378=0,$K378,$I378*$K378),"Amber","Red"))),"")</f>
        <v/>
      </c>
      <c r="T378" s="10" t="inlineStr"/>
    </row>
    <row r="379">
      <c r="A379" s="3" t="n">
        <v>46148</v>
      </c>
      <c r="B379" s="4">
        <f>IF($A379="","",TEXT($A379,"mmm-yyyy"))</f>
        <v/>
      </c>
      <c r="C379" s="4">
        <f>IF($A379="","","W"&amp;WEEKNUM($A379,2))</f>
        <v/>
      </c>
      <c r="D379" s="4">
        <f>IF($A379="","",TEXT($A379,"ddd"))</f>
        <v/>
      </c>
      <c r="E379" s="4" t="inlineStr">
        <is>
          <t>Cost</t>
        </is>
      </c>
      <c r="F379" s="4">
        <f>IFERROR(INDEX(Tbl_KPIMaster[Category],MATCH($G379,Tbl_KPIMaster[KPI],0)),"")</f>
        <v/>
      </c>
      <c r="G379" s="4" t="inlineStr">
        <is>
          <t>Cost per Unit</t>
        </is>
      </c>
      <c r="H379" s="4">
        <f>IFERROR(INDEX(Tbl_KPIMaster[Unit],MATCH($G379,Tbl_KPIMaster[KPI],0)),"")</f>
        <v/>
      </c>
      <c r="I379" s="5">
        <f>IFERROR(INDEX(Tbl_KPIMaster[Maximum Target],MATCH($G379,Tbl_KPIMaster[KPI],0)),"")</f>
        <v/>
      </c>
      <c r="J379" s="5" t="n">
        <v>25.77</v>
      </c>
      <c r="K379" s="4">
        <f>IFERROR(INDEX(Tbl_KPIMaster[Tolerance],MATCH($G379,Tbl_KPIMaster[KPI],0)),"")</f>
        <v/>
      </c>
      <c r="L379" s="4">
        <f>IFERROR(INDEX(Tbl_KPIMaster[Owner],MATCH($G379,Tbl_KPIMaster[KPI],0)),"")</f>
        <v/>
      </c>
      <c r="M379" s="6" t="inlineStr">
        <is>
          <t>Weather impact</t>
        </is>
      </c>
      <c r="N379" s="4" t="inlineStr">
        <is>
          <t>Procurement follow-up</t>
        </is>
      </c>
      <c r="O379" s="4" t="inlineStr">
        <is>
          <t>Medium</t>
        </is>
      </c>
      <c r="P379" s="4" t="inlineStr">
        <is>
          <t>Open</t>
        </is>
      </c>
      <c r="Q379" s="5">
        <f>IFERROR(IF(INDEX(Tbl_KPIMaster[Direction],MATCH($G379,Tbl_KPIMaster[KPI],0))="Lower is Better",IF($J379=0,1,IF($I379=0,0,$I379/$J379)),IF($I379=0,1,$J379/$I379)),0)</f>
        <v/>
      </c>
      <c r="R379" s="4">
        <f>IF(OR($I379="",$J379=""),"",$J379-$I379)</f>
        <v/>
      </c>
      <c r="S379" s="4">
        <f>IFERROR(IF(INDEX(Tbl_KPIMaster[Direction],MATCH($G379,Tbl_KPIMaster[KPI],0))="Lower is Better",IF($J379&lt;=$I379,"Green",IF($J379&lt;=$I379+IF($I379=0,$K379,$I379*$K379),"Amber","Red")),IF($J379&gt;=$I379,"Green",IF($J379&gt;=$I379-IF($I379=0,$K379,$I379*$K379),"Amber","Red"))),"")</f>
        <v/>
      </c>
      <c r="T379" s="6" t="inlineStr"/>
    </row>
    <row r="380">
      <c r="A380" s="7" t="n">
        <v>46148</v>
      </c>
      <c r="B380" s="8">
        <f>IF($A380="","",TEXT($A380,"mmm-yyyy"))</f>
        <v/>
      </c>
      <c r="C380" s="8">
        <f>IF($A380="","","W"&amp;WEEKNUM($A380,2))</f>
        <v/>
      </c>
      <c r="D380" s="8">
        <f>IF($A380="","",TEXT($A380,"ddd"))</f>
        <v/>
      </c>
      <c r="E380" s="8" t="inlineStr">
        <is>
          <t>Cost</t>
        </is>
      </c>
      <c r="F380" s="8">
        <f>IFERROR(INDEX(Tbl_KPIMaster[Category],MATCH($G380,Tbl_KPIMaster[KPI],0)),"")</f>
        <v/>
      </c>
      <c r="G380" s="8" t="inlineStr">
        <is>
          <t>Budget Variance %</t>
        </is>
      </c>
      <c r="H380" s="8">
        <f>IFERROR(INDEX(Tbl_KPIMaster[Unit],MATCH($G380,Tbl_KPIMaster[KPI],0)),"")</f>
        <v/>
      </c>
      <c r="I380" s="9">
        <f>IFERROR(INDEX(Tbl_KPIMaster[Maximum Target],MATCH($G380,Tbl_KPIMaster[KPI],0)),"")</f>
        <v/>
      </c>
      <c r="J380" s="9" t="n">
        <v>0</v>
      </c>
      <c r="K380" s="8">
        <f>IFERROR(INDEX(Tbl_KPIMaster[Tolerance],MATCH($G380,Tbl_KPIMaster[KPI],0)),"")</f>
        <v/>
      </c>
      <c r="L380" s="8">
        <f>IFERROR(INDEX(Tbl_KPIMaster[Owner],MATCH($G380,Tbl_KPIMaster[KPI],0)),"")</f>
        <v/>
      </c>
      <c r="M380" s="10" t="inlineStr">
        <is>
          <t>Within normal range</t>
        </is>
      </c>
      <c r="N380" s="8" t="inlineStr">
        <is>
          <t>Procurement follow-up</t>
        </is>
      </c>
      <c r="O380" s="8" t="inlineStr">
        <is>
          <t>Low</t>
        </is>
      </c>
      <c r="P380" s="8" t="inlineStr">
        <is>
          <t>Closed</t>
        </is>
      </c>
      <c r="Q380" s="9">
        <f>IFERROR(IF(INDEX(Tbl_KPIMaster[Direction],MATCH($G380,Tbl_KPIMaster[KPI],0))="Lower is Better",IF($J380=0,1,IF($I380=0,0,$I380/$J380)),IF($I380=0,1,$J380/$I380)),0)</f>
        <v/>
      </c>
      <c r="R380" s="8">
        <f>IF(OR($I380="",$J380=""),"",$J380-$I380)</f>
        <v/>
      </c>
      <c r="S380" s="8">
        <f>IFERROR(IF(INDEX(Tbl_KPIMaster[Direction],MATCH($G380,Tbl_KPIMaster[KPI],0))="Lower is Better",IF($J380&lt;=$I380,"Green",IF($J380&lt;=$I380+IF($I380=0,$K380,$I380*$K380),"Amber","Red")),IF($J380&gt;=$I380,"Green",IF($J380&gt;=$I380-IF($I380=0,$K380,$I380*$K380),"Amber","Red"))),"")</f>
        <v/>
      </c>
      <c r="T380" s="10" t="inlineStr"/>
    </row>
    <row r="381">
      <c r="A381" s="3" t="n">
        <v>46148</v>
      </c>
      <c r="B381" s="4">
        <f>IF($A381="","",TEXT($A381,"mmm-yyyy"))</f>
        <v/>
      </c>
      <c r="C381" s="4">
        <f>IF($A381="","","W"&amp;WEEKNUM($A381,2))</f>
        <v/>
      </c>
      <c r="D381" s="4">
        <f>IF($A381="","",TEXT($A381,"ddd"))</f>
        <v/>
      </c>
      <c r="E381" s="4" t="inlineStr">
        <is>
          <t>Energy</t>
        </is>
      </c>
      <c r="F381" s="4">
        <f>IFERROR(INDEX(Tbl_KPIMaster[Category],MATCH($G381,Tbl_KPIMaster[KPI],0)),"")</f>
        <v/>
      </c>
      <c r="G381" s="4" t="inlineStr">
        <is>
          <t>Energy Intensity (kWh/unit)</t>
        </is>
      </c>
      <c r="H381" s="4">
        <f>IFERROR(INDEX(Tbl_KPIMaster[Unit],MATCH($G381,Tbl_KPIMaster[KPI],0)),"")</f>
        <v/>
      </c>
      <c r="I381" s="5">
        <f>IFERROR(INDEX(Tbl_KPIMaster[Maximum Target],MATCH($G381,Tbl_KPIMaster[KPI],0)),"")</f>
        <v/>
      </c>
      <c r="J381" s="5" t="n">
        <v>3.74</v>
      </c>
      <c r="K381" s="4">
        <f>IFERROR(INDEX(Tbl_KPIMaster[Tolerance],MATCH($G381,Tbl_KPIMaster[KPI],0)),"")</f>
        <v/>
      </c>
      <c r="L381" s="4">
        <f>IFERROR(INDEX(Tbl_KPIMaster[Owner],MATCH($G381,Tbl_KPIMaster[KPI],0)),"")</f>
        <v/>
      </c>
      <c r="M381" s="6" t="inlineStr">
        <is>
          <t>Within normal range</t>
        </is>
      </c>
      <c r="N381" s="4" t="inlineStr"/>
      <c r="O381" s="4" t="inlineStr">
        <is>
          <t>Medium</t>
        </is>
      </c>
      <c r="P381" s="4" t="inlineStr">
        <is>
          <t>Closed</t>
        </is>
      </c>
      <c r="Q381" s="5">
        <f>IFERROR(IF(INDEX(Tbl_KPIMaster[Direction],MATCH($G381,Tbl_KPIMaster[KPI],0))="Lower is Better",IF($J381=0,1,IF($I381=0,0,$I381/$J381)),IF($I381=0,1,$J381/$I381)),0)</f>
        <v/>
      </c>
      <c r="R381" s="4">
        <f>IF(OR($I381="",$J381=""),"",$J381-$I381)</f>
        <v/>
      </c>
      <c r="S381" s="4">
        <f>IFERROR(IF(INDEX(Tbl_KPIMaster[Direction],MATCH($G381,Tbl_KPIMaster[KPI],0))="Lower is Better",IF($J381&lt;=$I381,"Green",IF($J381&lt;=$I381+IF($I381=0,$K381,$I381*$K381),"Amber","Red")),IF($J381&gt;=$I381,"Green",IF($J381&gt;=$I381-IF($I381=0,$K381,$I381*$K381),"Amber","Red"))),"")</f>
        <v/>
      </c>
      <c r="T381" s="6" t="inlineStr"/>
    </row>
    <row r="382">
      <c r="A382" s="7" t="n">
        <v>46148</v>
      </c>
      <c r="B382" s="8">
        <f>IF($A382="","",TEXT($A382,"mmm-yyyy"))</f>
        <v/>
      </c>
      <c r="C382" s="8">
        <f>IF($A382="","","W"&amp;WEEKNUM($A382,2))</f>
        <v/>
      </c>
      <c r="D382" s="8">
        <f>IF($A382="","",TEXT($A382,"ddd"))</f>
        <v/>
      </c>
      <c r="E382" s="8" t="inlineStr">
        <is>
          <t>Energy</t>
        </is>
      </c>
      <c r="F382" s="8">
        <f>IFERROR(INDEX(Tbl_KPIMaster[Category],MATCH($G382,Tbl_KPIMaster[KPI],0)),"")</f>
        <v/>
      </c>
      <c r="G382" s="8" t="inlineStr">
        <is>
          <t>Renewable Energy Share %</t>
        </is>
      </c>
      <c r="H382" s="8">
        <f>IFERROR(INDEX(Tbl_KPIMaster[Unit],MATCH($G382,Tbl_KPIMaster[KPI],0)),"")</f>
        <v/>
      </c>
      <c r="I382" s="9">
        <f>IFERROR(INDEX(Tbl_KPIMaster[Maximum Target],MATCH($G382,Tbl_KPIMaster[KPI],0)),"")</f>
        <v/>
      </c>
      <c r="J382" s="9" t="n">
        <v>0.26</v>
      </c>
      <c r="K382" s="8">
        <f>IFERROR(INDEX(Tbl_KPIMaster[Tolerance],MATCH($G382,Tbl_KPIMaster[KPI],0)),"")</f>
        <v/>
      </c>
      <c r="L382" s="8">
        <f>IFERROR(INDEX(Tbl_KPIMaster[Owner],MATCH($G382,Tbl_KPIMaster[KPI],0)),"")</f>
        <v/>
      </c>
      <c r="M382" s="10" t="inlineStr">
        <is>
          <t>Within normal range</t>
        </is>
      </c>
      <c r="N382" s="8" t="inlineStr">
        <is>
          <t>Procurement follow-up</t>
        </is>
      </c>
      <c r="O382" s="8" t="inlineStr">
        <is>
          <t>Low</t>
        </is>
      </c>
      <c r="P382" s="8" t="inlineStr">
        <is>
          <t>Open</t>
        </is>
      </c>
      <c r="Q382" s="9">
        <f>IFERROR(IF(INDEX(Tbl_KPIMaster[Direction],MATCH($G382,Tbl_KPIMaster[KPI],0))="Lower is Better",IF($J382=0,1,IF($I382=0,0,$I382/$J382)),IF($I382=0,1,$J382/$I382)),0)</f>
        <v/>
      </c>
      <c r="R382" s="8">
        <f>IF(OR($I382="",$J382=""),"",$J382-$I382)</f>
        <v/>
      </c>
      <c r="S382" s="8">
        <f>IFERROR(IF(INDEX(Tbl_KPIMaster[Direction],MATCH($G382,Tbl_KPIMaster[KPI],0))="Lower is Better",IF($J382&lt;=$I382,"Green",IF($J382&lt;=$I382+IF($I382=0,$K382,$I382*$K382),"Amber","Red")),IF($J382&gt;=$I382,"Green",IF($J382&gt;=$I382-IF($I382=0,$K382,$I382*$K382),"Amber","Red"))),"")</f>
        <v/>
      </c>
      <c r="T382" s="10" t="inlineStr"/>
    </row>
    <row r="383">
      <c r="A383" s="3" t="n">
        <v>46149</v>
      </c>
      <c r="B383" s="4">
        <f>IF($A383="","",TEXT($A383,"mmm-yyyy"))</f>
        <v/>
      </c>
      <c r="C383" s="4">
        <f>IF($A383="","","W"&amp;WEEKNUM($A383,2))</f>
        <v/>
      </c>
      <c r="D383" s="4">
        <f>IF($A383="","",TEXT($A383,"ddd"))</f>
        <v/>
      </c>
      <c r="E383" s="4" t="inlineStr">
        <is>
          <t>Safety</t>
        </is>
      </c>
      <c r="F383" s="4">
        <f>IFERROR(INDEX(Tbl_KPIMaster[Category],MATCH($G383,Tbl_KPIMaster[KPI],0)),"")</f>
        <v/>
      </c>
      <c r="G383" s="4" t="inlineStr">
        <is>
          <t>Safety Incidents (LTI)</t>
        </is>
      </c>
      <c r="H383" s="4">
        <f>IFERROR(INDEX(Tbl_KPIMaster[Unit],MATCH($G383,Tbl_KPIMaster[KPI],0)),"")</f>
        <v/>
      </c>
      <c r="I383" s="5">
        <f>IFERROR(INDEX(Tbl_KPIMaster[Maximum Target],MATCH($G383,Tbl_KPIMaster[KPI],0)),"")</f>
        <v/>
      </c>
      <c r="J383" s="5" t="n">
        <v>0</v>
      </c>
      <c r="K383" s="4">
        <f>IFERROR(INDEX(Tbl_KPIMaster[Tolerance],MATCH($G383,Tbl_KPIMaster[KPI],0)),"")</f>
        <v/>
      </c>
      <c r="L383" s="4">
        <f>IFERROR(INDEX(Tbl_KPIMaster[Owner],MATCH($G383,Tbl_KPIMaster[KPI],0)),"")</f>
        <v/>
      </c>
      <c r="M383" s="6" t="inlineStr">
        <is>
          <t>Within normal range</t>
        </is>
      </c>
      <c r="N383" s="4" t="inlineStr"/>
      <c r="O383" s="4" t="inlineStr">
        <is>
          <t>Low</t>
        </is>
      </c>
      <c r="P383" s="4" t="inlineStr">
        <is>
          <t>Closed</t>
        </is>
      </c>
      <c r="Q383" s="5">
        <f>IFERROR(IF(INDEX(Tbl_KPIMaster[Direction],MATCH($G383,Tbl_KPIMaster[KPI],0))="Lower is Better",IF($J383=0,1,IF($I383=0,0,$I383/$J383)),IF($I383=0,1,$J383/$I383)),0)</f>
        <v/>
      </c>
      <c r="R383" s="4">
        <f>IF(OR($I383="",$J383=""),"",$J383-$I383)</f>
        <v/>
      </c>
      <c r="S383" s="4">
        <f>IFERROR(IF(INDEX(Tbl_KPIMaster[Direction],MATCH($G383,Tbl_KPIMaster[KPI],0))="Lower is Better",IF($J383&lt;=$I383,"Green",IF($J383&lt;=$I383+IF($I383=0,$K383,$I383*$K383),"Amber","Red")),IF($J383&gt;=$I383,"Green",IF($J383&gt;=$I383-IF($I383=0,$K383,$I383*$K383),"Amber","Red"))),"")</f>
        <v/>
      </c>
      <c r="T383" s="6" t="inlineStr"/>
    </row>
    <row r="384">
      <c r="A384" s="7" t="n">
        <v>46149</v>
      </c>
      <c r="B384" s="8">
        <f>IF($A384="","",TEXT($A384,"mmm-yyyy"))</f>
        <v/>
      </c>
      <c r="C384" s="8">
        <f>IF($A384="","","W"&amp;WEEKNUM($A384,2))</f>
        <v/>
      </c>
      <c r="D384" s="8">
        <f>IF($A384="","",TEXT($A384,"ddd"))</f>
        <v/>
      </c>
      <c r="E384" s="8" t="inlineStr">
        <is>
          <t>Safety</t>
        </is>
      </c>
      <c r="F384" s="8">
        <f>IFERROR(INDEX(Tbl_KPIMaster[Category],MATCH($G384,Tbl_KPIMaster[KPI],0)),"")</f>
        <v/>
      </c>
      <c r="G384" s="8" t="inlineStr">
        <is>
          <t>Near Miss Reports</t>
        </is>
      </c>
      <c r="H384" s="8">
        <f>IFERROR(INDEX(Tbl_KPIMaster[Unit],MATCH($G384,Tbl_KPIMaster[KPI],0)),"")</f>
        <v/>
      </c>
      <c r="I384" s="9">
        <f>IFERROR(INDEX(Tbl_KPIMaster[Maximum Target],MATCH($G384,Tbl_KPIMaster[KPI],0)),"")</f>
        <v/>
      </c>
      <c r="J384" s="9" t="n">
        <v>2</v>
      </c>
      <c r="K384" s="8">
        <f>IFERROR(INDEX(Tbl_KPIMaster[Tolerance],MATCH($G384,Tbl_KPIMaster[KPI],0)),"")</f>
        <v/>
      </c>
      <c r="L384" s="8">
        <f>IFERROR(INDEX(Tbl_KPIMaster[Owner],MATCH($G384,Tbl_KPIMaster[KPI],0)),"")</f>
        <v/>
      </c>
      <c r="M384" s="10" t="inlineStr">
        <is>
          <t>Preventive check done</t>
        </is>
      </c>
      <c r="N384" s="8" t="inlineStr"/>
      <c r="O384" s="8" t="inlineStr">
        <is>
          <t>Low</t>
        </is>
      </c>
      <c r="P384" s="8" t="inlineStr">
        <is>
          <t>Closed</t>
        </is>
      </c>
      <c r="Q384" s="9">
        <f>IFERROR(IF(INDEX(Tbl_KPIMaster[Direction],MATCH($G384,Tbl_KPIMaster[KPI],0))="Lower is Better",IF($J384=0,1,IF($I384=0,0,$I384/$J384)),IF($I384=0,1,$J384/$I384)),0)</f>
        <v/>
      </c>
      <c r="R384" s="8">
        <f>IF(OR($I384="",$J384=""),"",$J384-$I384)</f>
        <v/>
      </c>
      <c r="S384" s="8">
        <f>IFERROR(IF(INDEX(Tbl_KPIMaster[Direction],MATCH($G384,Tbl_KPIMaster[KPI],0))="Lower is Better",IF($J384&lt;=$I384,"Green",IF($J384&lt;=$I384+IF($I384=0,$K384,$I384*$K384),"Amber","Red")),IF($J384&gt;=$I384,"Green",IF($J384&gt;=$I384-IF($I384=0,$K384,$I384*$K384),"Amber","Red"))),"")</f>
        <v/>
      </c>
      <c r="T384" s="10" t="inlineStr"/>
    </row>
    <row r="385">
      <c r="A385" s="3" t="n">
        <v>46149</v>
      </c>
      <c r="B385" s="4">
        <f>IF($A385="","",TEXT($A385,"mmm-yyyy"))</f>
        <v/>
      </c>
      <c r="C385" s="4">
        <f>IF($A385="","","W"&amp;WEEKNUM($A385,2))</f>
        <v/>
      </c>
      <c r="D385" s="4">
        <f>IF($A385="","",TEXT($A385,"ddd"))</f>
        <v/>
      </c>
      <c r="E385" s="4" t="inlineStr">
        <is>
          <t>Production</t>
        </is>
      </c>
      <c r="F385" s="4">
        <f>IFERROR(INDEX(Tbl_KPIMaster[Category],MATCH($G385,Tbl_KPIMaster[KPI],0)),"")</f>
        <v/>
      </c>
      <c r="G385" s="4" t="inlineStr">
        <is>
          <t>Production Output</t>
        </is>
      </c>
      <c r="H385" s="4">
        <f>IFERROR(INDEX(Tbl_KPIMaster[Unit],MATCH($G385,Tbl_KPIMaster[KPI],0)),"")</f>
        <v/>
      </c>
      <c r="I385" s="5">
        <f>IFERROR(INDEX(Tbl_KPIMaster[Maximum Target],MATCH($G385,Tbl_KPIMaster[KPI],0)),"")</f>
        <v/>
      </c>
      <c r="J385" s="5" t="n">
        <v>1115.77</v>
      </c>
      <c r="K385" s="4">
        <f>IFERROR(INDEX(Tbl_KPIMaster[Tolerance],MATCH($G385,Tbl_KPIMaster[KPI],0)),"")</f>
        <v/>
      </c>
      <c r="L385" s="4">
        <f>IFERROR(INDEX(Tbl_KPIMaster[Owner],MATCH($G385,Tbl_KPIMaster[KPI],0)),"")</f>
        <v/>
      </c>
      <c r="M385" s="6" t="inlineStr">
        <is>
          <t>Equipment breakdown</t>
        </is>
      </c>
      <c r="N385" s="4" t="inlineStr"/>
      <c r="O385" s="4" t="inlineStr">
        <is>
          <t>Medium</t>
        </is>
      </c>
      <c r="P385" s="4" t="inlineStr">
        <is>
          <t>In Progress</t>
        </is>
      </c>
      <c r="Q385" s="5">
        <f>IFERROR(IF(INDEX(Tbl_KPIMaster[Direction],MATCH($G385,Tbl_KPIMaster[KPI],0))="Lower is Better",IF($J385=0,1,IF($I385=0,0,$I385/$J385)),IF($I385=0,1,$J385/$I385)),0)</f>
        <v/>
      </c>
      <c r="R385" s="4">
        <f>IF(OR($I385="",$J385=""),"",$J385-$I385)</f>
        <v/>
      </c>
      <c r="S385" s="4">
        <f>IFERROR(IF(INDEX(Tbl_KPIMaster[Direction],MATCH($G385,Tbl_KPIMaster[KPI],0))="Lower is Better",IF($J385&lt;=$I385,"Green",IF($J385&lt;=$I385+IF($I385=0,$K385,$I385*$K385),"Amber","Red")),IF($J385&gt;=$I385,"Green",IF($J385&gt;=$I385-IF($I385=0,$K385,$I385*$K385),"Amber","Red"))),"")</f>
        <v/>
      </c>
      <c r="T385" s="6" t="inlineStr"/>
    </row>
    <row r="386">
      <c r="A386" s="7" t="n">
        <v>46149</v>
      </c>
      <c r="B386" s="8">
        <f>IF($A386="","",TEXT($A386,"mmm-yyyy"))</f>
        <v/>
      </c>
      <c r="C386" s="8">
        <f>IF($A386="","","W"&amp;WEEKNUM($A386,2))</f>
        <v/>
      </c>
      <c r="D386" s="8">
        <f>IF($A386="","",TEXT($A386,"ddd"))</f>
        <v/>
      </c>
      <c r="E386" s="8" t="inlineStr">
        <is>
          <t>Production</t>
        </is>
      </c>
      <c r="F386" s="8">
        <f>IFERROR(INDEX(Tbl_KPIMaster[Category],MATCH($G386,Tbl_KPIMaster[KPI],0)),"")</f>
        <v/>
      </c>
      <c r="G386" s="8" t="inlineStr">
        <is>
          <t>OEE %</t>
        </is>
      </c>
      <c r="H386" s="8">
        <f>IFERROR(INDEX(Tbl_KPIMaster[Unit],MATCH($G386,Tbl_KPIMaster[KPI],0)),"")</f>
        <v/>
      </c>
      <c r="I386" s="9">
        <f>IFERROR(INDEX(Tbl_KPIMaster[Maximum Target],MATCH($G386,Tbl_KPIMaster[KPI],0)),"")</f>
        <v/>
      </c>
      <c r="J386" s="9" t="n">
        <v>0.8018999999999999</v>
      </c>
      <c r="K386" s="8">
        <f>IFERROR(INDEX(Tbl_KPIMaster[Tolerance],MATCH($G386,Tbl_KPIMaster[KPI],0)),"")</f>
        <v/>
      </c>
      <c r="L386" s="8">
        <f>IFERROR(INDEX(Tbl_KPIMaster[Owner],MATCH($G386,Tbl_KPIMaster[KPI],0)),"")</f>
        <v/>
      </c>
      <c r="M386" s="10" t="inlineStr">
        <is>
          <t>New operator training effect</t>
        </is>
      </c>
      <c r="N386" s="8" t="inlineStr">
        <is>
          <t>Management approval pending</t>
        </is>
      </c>
      <c r="O386" s="8" t="inlineStr">
        <is>
          <t>Low</t>
        </is>
      </c>
      <c r="P386" s="8" t="inlineStr">
        <is>
          <t>Open</t>
        </is>
      </c>
      <c r="Q386" s="9">
        <f>IFERROR(IF(INDEX(Tbl_KPIMaster[Direction],MATCH($G386,Tbl_KPIMaster[KPI],0))="Lower is Better",IF($J386=0,1,IF($I386=0,0,$I386/$J386)),IF($I386=0,1,$J386/$I386)),0)</f>
        <v/>
      </c>
      <c r="R386" s="8">
        <f>IF(OR($I386="",$J386=""),"",$J386-$I386)</f>
        <v/>
      </c>
      <c r="S386" s="8">
        <f>IFERROR(IF(INDEX(Tbl_KPIMaster[Direction],MATCH($G386,Tbl_KPIMaster[KPI],0))="Lower is Better",IF($J386&lt;=$I386,"Green",IF($J386&lt;=$I386+IF($I386=0,$K386,$I386*$K386),"Amber","Red")),IF($J386&gt;=$I386,"Green",IF($J386&gt;=$I386-IF($I386=0,$K386,$I386*$K386),"Amber","Red"))),"")</f>
        <v/>
      </c>
      <c r="T386" s="10" t="inlineStr"/>
    </row>
    <row r="387">
      <c r="A387" s="3" t="n">
        <v>46149</v>
      </c>
      <c r="B387" s="4">
        <f>IF($A387="","",TEXT($A387,"mmm-yyyy"))</f>
        <v/>
      </c>
      <c r="C387" s="4">
        <f>IF($A387="","","W"&amp;WEEKNUM($A387,2))</f>
        <v/>
      </c>
      <c r="D387" s="4">
        <f>IF($A387="","",TEXT($A387,"ddd"))</f>
        <v/>
      </c>
      <c r="E387" s="4" t="inlineStr">
        <is>
          <t>Quality</t>
        </is>
      </c>
      <c r="F387" s="4">
        <f>IFERROR(INDEX(Tbl_KPIMaster[Category],MATCH($G387,Tbl_KPIMaster[KPI],0)),"")</f>
        <v/>
      </c>
      <c r="G387" s="4" t="inlineStr">
        <is>
          <t>Defect Rate %</t>
        </is>
      </c>
      <c r="H387" s="4">
        <f>IFERROR(INDEX(Tbl_KPIMaster[Unit],MATCH($G387,Tbl_KPIMaster[KPI],0)),"")</f>
        <v/>
      </c>
      <c r="I387" s="5">
        <f>IFERROR(INDEX(Tbl_KPIMaster[Maximum Target],MATCH($G387,Tbl_KPIMaster[KPI],0)),"")</f>
        <v/>
      </c>
      <c r="J387" s="5" t="n">
        <v>0.6754</v>
      </c>
      <c r="K387" s="4">
        <f>IFERROR(INDEX(Tbl_KPIMaster[Tolerance],MATCH($G387,Tbl_KPIMaster[KPI],0)),"")</f>
        <v/>
      </c>
      <c r="L387" s="4">
        <f>IFERROR(INDEX(Tbl_KPIMaster[Owner],MATCH($G387,Tbl_KPIMaster[KPI],0)),"")</f>
        <v/>
      </c>
      <c r="M387" s="6" t="inlineStr">
        <is>
          <t>Line changeover impact</t>
        </is>
      </c>
      <c r="N387" s="4" t="inlineStr"/>
      <c r="O387" s="4" t="inlineStr">
        <is>
          <t>Medium</t>
        </is>
      </c>
      <c r="P387" s="4" t="inlineStr">
        <is>
          <t>In Progress</t>
        </is>
      </c>
      <c r="Q387" s="5">
        <f>IFERROR(IF(INDEX(Tbl_KPIMaster[Direction],MATCH($G387,Tbl_KPIMaster[KPI],0))="Lower is Better",IF($J387=0,1,IF($I387=0,0,$I387/$J387)),IF($I387=0,1,$J387/$I387)),0)</f>
        <v/>
      </c>
      <c r="R387" s="4">
        <f>IF(OR($I387="",$J387=""),"",$J387-$I387)</f>
        <v/>
      </c>
      <c r="S387" s="4">
        <f>IFERROR(IF(INDEX(Tbl_KPIMaster[Direction],MATCH($G387,Tbl_KPIMaster[KPI],0))="Lower is Better",IF($J387&lt;=$I387,"Green",IF($J387&lt;=$I387+IF($I387=0,$K387,$I387*$K387),"Amber","Red")),IF($J387&gt;=$I387,"Green",IF($J387&gt;=$I387-IF($I387=0,$K387,$I387*$K387),"Amber","Red"))),"")</f>
        <v/>
      </c>
      <c r="T387" s="6" t="inlineStr"/>
    </row>
    <row r="388">
      <c r="A388" s="7" t="n">
        <v>46149</v>
      </c>
      <c r="B388" s="8">
        <f>IF($A388="","",TEXT($A388,"mmm-yyyy"))</f>
        <v/>
      </c>
      <c r="C388" s="8">
        <f>IF($A388="","","W"&amp;WEEKNUM($A388,2))</f>
        <v/>
      </c>
      <c r="D388" s="8">
        <f>IF($A388="","",TEXT($A388,"ddd"))</f>
        <v/>
      </c>
      <c r="E388" s="8" t="inlineStr">
        <is>
          <t>Quality</t>
        </is>
      </c>
      <c r="F388" s="8">
        <f>IFERROR(INDEX(Tbl_KPIMaster[Category],MATCH($G388,Tbl_KPIMaster[KPI],0)),"")</f>
        <v/>
      </c>
      <c r="G388" s="8" t="inlineStr">
        <is>
          <t>Customer Complaints</t>
        </is>
      </c>
      <c r="H388" s="8">
        <f>IFERROR(INDEX(Tbl_KPIMaster[Unit],MATCH($G388,Tbl_KPIMaster[KPI],0)),"")</f>
        <v/>
      </c>
      <c r="I388" s="9">
        <f>IFERROR(INDEX(Tbl_KPIMaster[Maximum Target],MATCH($G388,Tbl_KPIMaster[KPI],0)),"")</f>
        <v/>
      </c>
      <c r="J388" s="9" t="n">
        <v>0</v>
      </c>
      <c r="K388" s="8">
        <f>IFERROR(INDEX(Tbl_KPIMaster[Tolerance],MATCH($G388,Tbl_KPIMaster[KPI],0)),"")</f>
        <v/>
      </c>
      <c r="L388" s="8">
        <f>IFERROR(INDEX(Tbl_KPIMaster[Owner],MATCH($G388,Tbl_KPIMaster[KPI],0)),"")</f>
        <v/>
      </c>
      <c r="M388" s="10" t="inlineStr">
        <is>
          <t>Weather impact</t>
        </is>
      </c>
      <c r="N388" s="8" t="inlineStr"/>
      <c r="O388" s="8" t="inlineStr">
        <is>
          <t>Low</t>
        </is>
      </c>
      <c r="P388" s="8" t="inlineStr">
        <is>
          <t>Closed</t>
        </is>
      </c>
      <c r="Q388" s="9">
        <f>IFERROR(IF(INDEX(Tbl_KPIMaster[Direction],MATCH($G388,Tbl_KPIMaster[KPI],0))="Lower is Better",IF($J388=0,1,IF($I388=0,0,$I388/$J388)),IF($I388=0,1,$J388/$I388)),0)</f>
        <v/>
      </c>
      <c r="R388" s="8">
        <f>IF(OR($I388="",$J388=""),"",$J388-$I388)</f>
        <v/>
      </c>
      <c r="S388" s="8">
        <f>IFERROR(IF(INDEX(Tbl_KPIMaster[Direction],MATCH($G388,Tbl_KPIMaster[KPI],0))="Lower is Better",IF($J388&lt;=$I388,"Green",IF($J388&lt;=$I388+IF($I388=0,$K388,$I388*$K388),"Amber","Red")),IF($J388&gt;=$I388,"Green",IF($J388&gt;=$I388-IF($I388=0,$K388,$I388*$K388),"Amber","Red"))),"")</f>
        <v/>
      </c>
      <c r="T388" s="10" t="inlineStr"/>
    </row>
    <row r="389">
      <c r="A389" s="3" t="n">
        <v>46149</v>
      </c>
      <c r="B389" s="4">
        <f>IF($A389="","",TEXT($A389,"mmm-yyyy"))</f>
        <v/>
      </c>
      <c r="C389" s="4">
        <f>IF($A389="","","W"&amp;WEEKNUM($A389,2))</f>
        <v/>
      </c>
      <c r="D389" s="4">
        <f>IF($A389="","",TEXT($A389,"ddd"))</f>
        <v/>
      </c>
      <c r="E389" s="4" t="inlineStr">
        <is>
          <t>Maintenance</t>
        </is>
      </c>
      <c r="F389" s="4">
        <f>IFERROR(INDEX(Tbl_KPIMaster[Category],MATCH($G389,Tbl_KPIMaster[KPI],0)),"")</f>
        <v/>
      </c>
      <c r="G389" s="4" t="inlineStr">
        <is>
          <t>Unplanned Downtime</t>
        </is>
      </c>
      <c r="H389" s="4">
        <f>IFERROR(INDEX(Tbl_KPIMaster[Unit],MATCH($G389,Tbl_KPIMaster[KPI],0)),"")</f>
        <v/>
      </c>
      <c r="I389" s="5">
        <f>IFERROR(INDEX(Tbl_KPIMaster[Maximum Target],MATCH($G389,Tbl_KPIMaster[KPI],0)),"")</f>
        <v/>
      </c>
      <c r="J389" s="5" t="n">
        <v>0</v>
      </c>
      <c r="K389" s="4">
        <f>IFERROR(INDEX(Tbl_KPIMaster[Tolerance],MATCH($G389,Tbl_KPIMaster[KPI],0)),"")</f>
        <v/>
      </c>
      <c r="L389" s="4">
        <f>IFERROR(INDEX(Tbl_KPIMaster[Owner],MATCH($G389,Tbl_KPIMaster[KPI],0)),"")</f>
        <v/>
      </c>
      <c r="M389" s="6" t="inlineStr">
        <is>
          <t>Within normal range</t>
        </is>
      </c>
      <c r="N389" s="4" t="inlineStr"/>
      <c r="O389" s="4" t="inlineStr">
        <is>
          <t>Low</t>
        </is>
      </c>
      <c r="P389" s="4" t="inlineStr">
        <is>
          <t>In Progress</t>
        </is>
      </c>
      <c r="Q389" s="5">
        <f>IFERROR(IF(INDEX(Tbl_KPIMaster[Direction],MATCH($G389,Tbl_KPIMaster[KPI],0))="Lower is Better",IF($J389=0,1,IF($I389=0,0,$I389/$J389)),IF($I389=0,1,$J389/$I389)),0)</f>
        <v/>
      </c>
      <c r="R389" s="4">
        <f>IF(OR($I389="",$J389=""),"",$J389-$I389)</f>
        <v/>
      </c>
      <c r="S389" s="4">
        <f>IFERROR(IF(INDEX(Tbl_KPIMaster[Direction],MATCH($G389,Tbl_KPIMaster[KPI],0))="Lower is Better",IF($J389&lt;=$I389,"Green",IF($J389&lt;=$I389+IF($I389=0,$K389,$I389*$K389),"Amber","Red")),IF($J389&gt;=$I389,"Green",IF($J389&gt;=$I389-IF($I389=0,$K389,$I389*$K389),"Amber","Red"))),"")</f>
        <v/>
      </c>
      <c r="T389" s="6" t="inlineStr"/>
    </row>
    <row r="390">
      <c r="A390" s="7" t="n">
        <v>46149</v>
      </c>
      <c r="B390" s="8">
        <f>IF($A390="","",TEXT($A390,"mmm-yyyy"))</f>
        <v/>
      </c>
      <c r="C390" s="8">
        <f>IF($A390="","","W"&amp;WEEKNUM($A390,2))</f>
        <v/>
      </c>
      <c r="D390" s="8">
        <f>IF($A390="","",TEXT($A390,"ddd"))</f>
        <v/>
      </c>
      <c r="E390" s="8" t="inlineStr">
        <is>
          <t>Maintenance</t>
        </is>
      </c>
      <c r="F390" s="8">
        <f>IFERROR(INDEX(Tbl_KPIMaster[Category],MATCH($G390,Tbl_KPIMaster[KPI],0)),"")</f>
        <v/>
      </c>
      <c r="G390" s="8" t="inlineStr">
        <is>
          <t>PM Compliance %</t>
        </is>
      </c>
      <c r="H390" s="8">
        <f>IFERROR(INDEX(Tbl_KPIMaster[Unit],MATCH($G390,Tbl_KPIMaster[KPI],0)),"")</f>
        <v/>
      </c>
      <c r="I390" s="9">
        <f>IFERROR(INDEX(Tbl_KPIMaster[Maximum Target],MATCH($G390,Tbl_KPIMaster[KPI],0)),"")</f>
        <v/>
      </c>
      <c r="J390" s="9" t="n">
        <v>0.9522</v>
      </c>
      <c r="K390" s="8">
        <f>IFERROR(INDEX(Tbl_KPIMaster[Tolerance],MATCH($G390,Tbl_KPIMaster[KPI],0)),"")</f>
        <v/>
      </c>
      <c r="L390" s="8">
        <f>IFERROR(INDEX(Tbl_KPIMaster[Owner],MATCH($G390,Tbl_KPIMaster[KPI],0)),"")</f>
        <v/>
      </c>
      <c r="M390" s="10" t="inlineStr">
        <is>
          <t>Manpower shortage</t>
        </is>
      </c>
      <c r="N390" s="8" t="inlineStr">
        <is>
          <t>Engineering support needed</t>
        </is>
      </c>
      <c r="O390" s="8" t="inlineStr">
        <is>
          <t>Low</t>
        </is>
      </c>
      <c r="P390" s="8" t="inlineStr">
        <is>
          <t>Closed</t>
        </is>
      </c>
      <c r="Q390" s="9">
        <f>IFERROR(IF(INDEX(Tbl_KPIMaster[Direction],MATCH($G390,Tbl_KPIMaster[KPI],0))="Lower is Better",IF($J390=0,1,IF($I390=0,0,$I390/$J390)),IF($I390=0,1,$J390/$I390)),0)</f>
        <v/>
      </c>
      <c r="R390" s="8">
        <f>IF(OR($I390="",$J390=""),"",$J390-$I390)</f>
        <v/>
      </c>
      <c r="S390" s="8">
        <f>IFERROR(IF(INDEX(Tbl_KPIMaster[Direction],MATCH($G390,Tbl_KPIMaster[KPI],0))="Lower is Better",IF($J390&lt;=$I390,"Green",IF($J390&lt;=$I390+IF($I390=0,$K390,$I390*$K390),"Amber","Red")),IF($J390&gt;=$I390,"Green",IF($J390&gt;=$I390-IF($I390=0,$K390,$I390*$K390),"Amber","Red"))),"")</f>
        <v/>
      </c>
      <c r="T390" s="10" t="inlineStr"/>
    </row>
    <row r="391">
      <c r="A391" s="3" t="n">
        <v>46149</v>
      </c>
      <c r="B391" s="4">
        <f>IF($A391="","",TEXT($A391,"mmm-yyyy"))</f>
        <v/>
      </c>
      <c r="C391" s="4">
        <f>IF($A391="","","W"&amp;WEEKNUM($A391,2))</f>
        <v/>
      </c>
      <c r="D391" s="4">
        <f>IF($A391="","",TEXT($A391,"ddd"))</f>
        <v/>
      </c>
      <c r="E391" s="4" t="inlineStr">
        <is>
          <t>Utilities</t>
        </is>
      </c>
      <c r="F391" s="4">
        <f>IFERROR(INDEX(Tbl_KPIMaster[Category],MATCH($G391,Tbl_KPIMaster[KPI],0)),"")</f>
        <v/>
      </c>
      <c r="G391" s="4" t="inlineStr">
        <is>
          <t>Power Consumption</t>
        </is>
      </c>
      <c r="H391" s="4">
        <f>IFERROR(INDEX(Tbl_KPIMaster[Unit],MATCH($G391,Tbl_KPIMaster[KPI],0)),"")</f>
        <v/>
      </c>
      <c r="I391" s="5">
        <f>IFERROR(INDEX(Tbl_KPIMaster[Maximum Target],MATCH($G391,Tbl_KPIMaster[KPI],0)),"")</f>
        <v/>
      </c>
      <c r="J391" s="5" t="n">
        <v>4456.08</v>
      </c>
      <c r="K391" s="4">
        <f>IFERROR(INDEX(Tbl_KPIMaster[Tolerance],MATCH($G391,Tbl_KPIMaster[KPI],0)),"")</f>
        <v/>
      </c>
      <c r="L391" s="4">
        <f>IFERROR(INDEX(Tbl_KPIMaster[Owner],MATCH($G391,Tbl_KPIMaster[KPI],0)),"")</f>
        <v/>
      </c>
      <c r="M391" s="6" t="inlineStr"/>
      <c r="N391" s="4" t="inlineStr">
        <is>
          <t>Management approval pending</t>
        </is>
      </c>
      <c r="O391" s="4" t="inlineStr">
        <is>
          <t>Medium</t>
        </is>
      </c>
      <c r="P391" s="4" t="inlineStr">
        <is>
          <t>Open</t>
        </is>
      </c>
      <c r="Q391" s="5">
        <f>IFERROR(IF(INDEX(Tbl_KPIMaster[Direction],MATCH($G391,Tbl_KPIMaster[KPI],0))="Lower is Better",IF($J391=0,1,IF($I391=0,0,$I391/$J391)),IF($I391=0,1,$J391/$I391)),0)</f>
        <v/>
      </c>
      <c r="R391" s="4">
        <f>IF(OR($I391="",$J391=""),"",$J391-$I391)</f>
        <v/>
      </c>
      <c r="S391" s="4">
        <f>IFERROR(IF(INDEX(Tbl_KPIMaster[Direction],MATCH($G391,Tbl_KPIMaster[KPI],0))="Lower is Better",IF($J391&lt;=$I391,"Green",IF($J391&lt;=$I391+IF($I391=0,$K391,$I391*$K391),"Amber","Red")),IF($J391&gt;=$I391,"Green",IF($J391&gt;=$I391-IF($I391=0,$K391,$I391*$K391),"Amber","Red"))),"")</f>
        <v/>
      </c>
      <c r="T391" s="6" t="inlineStr"/>
    </row>
    <row r="392">
      <c r="A392" s="7" t="n">
        <v>46149</v>
      </c>
      <c r="B392" s="8">
        <f>IF($A392="","",TEXT($A392,"mmm-yyyy"))</f>
        <v/>
      </c>
      <c r="C392" s="8">
        <f>IF($A392="","","W"&amp;WEEKNUM($A392,2))</f>
        <v/>
      </c>
      <c r="D392" s="8">
        <f>IF($A392="","",TEXT($A392,"ddd"))</f>
        <v/>
      </c>
      <c r="E392" s="8" t="inlineStr">
        <is>
          <t>Utilities</t>
        </is>
      </c>
      <c r="F392" s="8">
        <f>IFERROR(INDEX(Tbl_KPIMaster[Category],MATCH($G392,Tbl_KPIMaster[KPI],0)),"")</f>
        <v/>
      </c>
      <c r="G392" s="8" t="inlineStr">
        <is>
          <t>Water Consumption</t>
        </is>
      </c>
      <c r="H392" s="8">
        <f>IFERROR(INDEX(Tbl_KPIMaster[Unit],MATCH($G392,Tbl_KPIMaster[KPI],0)),"")</f>
        <v/>
      </c>
      <c r="I392" s="9">
        <f>IFERROR(INDEX(Tbl_KPIMaster[Maximum Target],MATCH($G392,Tbl_KPIMaster[KPI],0)),"")</f>
        <v/>
      </c>
      <c r="J392" s="9" t="n">
        <v>58.68</v>
      </c>
      <c r="K392" s="8">
        <f>IFERROR(INDEX(Tbl_KPIMaster[Tolerance],MATCH($G392,Tbl_KPIMaster[KPI],0)),"")</f>
        <v/>
      </c>
      <c r="L392" s="8">
        <f>IFERROR(INDEX(Tbl_KPIMaster[Owner],MATCH($G392,Tbl_KPIMaster[KPI],0)),"")</f>
        <v/>
      </c>
      <c r="M392" s="10" t="inlineStr">
        <is>
          <t>Line changeover impact</t>
        </is>
      </c>
      <c r="N392" s="8" t="inlineStr"/>
      <c r="O392" s="8" t="inlineStr">
        <is>
          <t>Low</t>
        </is>
      </c>
      <c r="P392" s="8" t="inlineStr">
        <is>
          <t>Closed</t>
        </is>
      </c>
      <c r="Q392" s="9">
        <f>IFERROR(IF(INDEX(Tbl_KPIMaster[Direction],MATCH($G392,Tbl_KPIMaster[KPI],0))="Lower is Better",IF($J392=0,1,IF($I392=0,0,$I392/$J392)),IF($I392=0,1,$J392/$I392)),0)</f>
        <v/>
      </c>
      <c r="R392" s="8">
        <f>IF(OR($I392="",$J392=""),"",$J392-$I392)</f>
        <v/>
      </c>
      <c r="S392" s="8">
        <f>IFERROR(IF(INDEX(Tbl_KPIMaster[Direction],MATCH($G392,Tbl_KPIMaster[KPI],0))="Lower is Better",IF($J392&lt;=$I392,"Green",IF($J392&lt;=$I392+IF($I392=0,$K392,$I392*$K392),"Amber","Red")),IF($J392&gt;=$I392,"Green",IF($J392&gt;=$I392-IF($I392=0,$K392,$I392*$K392),"Amber","Red"))),"")</f>
        <v/>
      </c>
      <c r="T392" s="10" t="inlineStr"/>
    </row>
    <row r="393">
      <c r="A393" s="3" t="n">
        <v>46149</v>
      </c>
      <c r="B393" s="4">
        <f>IF($A393="","",TEXT($A393,"mmm-yyyy"))</f>
        <v/>
      </c>
      <c r="C393" s="4">
        <f>IF($A393="","","W"&amp;WEEKNUM($A393,2))</f>
        <v/>
      </c>
      <c r="D393" s="4">
        <f>IF($A393="","",TEXT($A393,"ddd"))</f>
        <v/>
      </c>
      <c r="E393" s="4" t="inlineStr">
        <is>
          <t>Warehouse</t>
        </is>
      </c>
      <c r="F393" s="4">
        <f>IFERROR(INDEX(Tbl_KPIMaster[Category],MATCH($G393,Tbl_KPIMaster[KPI],0)),"")</f>
        <v/>
      </c>
      <c r="G393" s="4" t="inlineStr">
        <is>
          <t>On-Time Dispatch %</t>
        </is>
      </c>
      <c r="H393" s="4">
        <f>IFERROR(INDEX(Tbl_KPIMaster[Unit],MATCH($G393,Tbl_KPIMaster[KPI],0)),"")</f>
        <v/>
      </c>
      <c r="I393" s="5">
        <f>IFERROR(INDEX(Tbl_KPIMaster[Maximum Target],MATCH($G393,Tbl_KPIMaster[KPI],0)),"")</f>
        <v/>
      </c>
      <c r="J393" s="5" t="n">
        <v>0.7933</v>
      </c>
      <c r="K393" s="4">
        <f>IFERROR(INDEX(Tbl_KPIMaster[Tolerance],MATCH($G393,Tbl_KPIMaster[KPI],0)),"")</f>
        <v/>
      </c>
      <c r="L393" s="4">
        <f>IFERROR(INDEX(Tbl_KPIMaster[Owner],MATCH($G393,Tbl_KPIMaster[KPI],0)),"")</f>
        <v/>
      </c>
      <c r="M393" s="6" t="inlineStr">
        <is>
          <t>Awaiting spares</t>
        </is>
      </c>
      <c r="N393" s="4" t="inlineStr"/>
      <c r="O393" s="4" t="inlineStr">
        <is>
          <t>Medium</t>
        </is>
      </c>
      <c r="P393" s="4" t="inlineStr">
        <is>
          <t>Closed</t>
        </is>
      </c>
      <c r="Q393" s="5">
        <f>IFERROR(IF(INDEX(Tbl_KPIMaster[Direction],MATCH($G393,Tbl_KPIMaster[KPI],0))="Lower is Better",IF($J393=0,1,IF($I393=0,0,$I393/$J393)),IF($I393=0,1,$J393/$I393)),0)</f>
        <v/>
      </c>
      <c r="R393" s="4">
        <f>IF(OR($I393="",$J393=""),"",$J393-$I393)</f>
        <v/>
      </c>
      <c r="S393" s="4">
        <f>IFERROR(IF(INDEX(Tbl_KPIMaster[Direction],MATCH($G393,Tbl_KPIMaster[KPI],0))="Lower is Better",IF($J393&lt;=$I393,"Green",IF($J393&lt;=$I393+IF($I393=0,$K393,$I393*$K393),"Amber","Red")),IF($J393&gt;=$I393,"Green",IF($J393&gt;=$I393-IF($I393=0,$K393,$I393*$K393),"Amber","Red"))),"")</f>
        <v/>
      </c>
      <c r="T393" s="6" t="inlineStr"/>
    </row>
    <row r="394">
      <c r="A394" s="7" t="n">
        <v>46149</v>
      </c>
      <c r="B394" s="8">
        <f>IF($A394="","",TEXT($A394,"mmm-yyyy"))</f>
        <v/>
      </c>
      <c r="C394" s="8">
        <f>IF($A394="","","W"&amp;WEEKNUM($A394,2))</f>
        <v/>
      </c>
      <c r="D394" s="8">
        <f>IF($A394="","",TEXT($A394,"ddd"))</f>
        <v/>
      </c>
      <c r="E394" s="8" t="inlineStr">
        <is>
          <t>Warehouse</t>
        </is>
      </c>
      <c r="F394" s="8">
        <f>IFERROR(INDEX(Tbl_KPIMaster[Category],MATCH($G394,Tbl_KPIMaster[KPI],0)),"")</f>
        <v/>
      </c>
      <c r="G394" s="8" t="inlineStr">
        <is>
          <t>Inventory Accuracy %</t>
        </is>
      </c>
      <c r="H394" s="8">
        <f>IFERROR(INDEX(Tbl_KPIMaster[Unit],MATCH($G394,Tbl_KPIMaster[KPI],0)),"")</f>
        <v/>
      </c>
      <c r="I394" s="9">
        <f>IFERROR(INDEX(Tbl_KPIMaster[Maximum Target],MATCH($G394,Tbl_KPIMaster[KPI],0)),"")</f>
        <v/>
      </c>
      <c r="J394" s="9" t="n">
        <v>0.9819</v>
      </c>
      <c r="K394" s="8">
        <f>IFERROR(INDEX(Tbl_KPIMaster[Tolerance],MATCH($G394,Tbl_KPIMaster[KPI],0)),"")</f>
        <v/>
      </c>
      <c r="L394" s="8">
        <f>IFERROR(INDEX(Tbl_KPIMaster[Owner],MATCH($G394,Tbl_KPIMaster[KPI],0)),"")</f>
        <v/>
      </c>
      <c r="M394" s="10" t="inlineStr">
        <is>
          <t>Weather impact</t>
        </is>
      </c>
      <c r="N394" s="8" t="inlineStr">
        <is>
          <t>Procurement follow-up</t>
        </is>
      </c>
      <c r="O394" s="8" t="inlineStr">
        <is>
          <t>High</t>
        </is>
      </c>
      <c r="P394" s="8" t="inlineStr">
        <is>
          <t>Closed</t>
        </is>
      </c>
      <c r="Q394" s="9">
        <f>IFERROR(IF(INDEX(Tbl_KPIMaster[Direction],MATCH($G394,Tbl_KPIMaster[KPI],0))="Lower is Better",IF($J394=0,1,IF($I394=0,0,$I394/$J394)),IF($I394=0,1,$J394/$I394)),0)</f>
        <v/>
      </c>
      <c r="R394" s="8">
        <f>IF(OR($I394="",$J394=""),"",$J394-$I394)</f>
        <v/>
      </c>
      <c r="S394" s="8">
        <f>IFERROR(IF(INDEX(Tbl_KPIMaster[Direction],MATCH($G394,Tbl_KPIMaster[KPI],0))="Lower is Better",IF($J394&lt;=$I394,"Green",IF($J394&lt;=$I394+IF($I394=0,$K394,$I394*$K394),"Amber","Red")),IF($J394&gt;=$I394,"Green",IF($J394&gt;=$I394-IF($I394=0,$K394,$I394*$K394),"Amber","Red"))),"")</f>
        <v/>
      </c>
      <c r="T394" s="10" t="inlineStr"/>
    </row>
    <row r="395">
      <c r="A395" s="3" t="n">
        <v>46149</v>
      </c>
      <c r="B395" s="4">
        <f>IF($A395="","",TEXT($A395,"mmm-yyyy"))</f>
        <v/>
      </c>
      <c r="C395" s="4">
        <f>IF($A395="","","W"&amp;WEEKNUM($A395,2))</f>
        <v/>
      </c>
      <c r="D395" s="4">
        <f>IF($A395="","",TEXT($A395,"ddd"))</f>
        <v/>
      </c>
      <c r="E395" s="4" t="inlineStr">
        <is>
          <t>HR</t>
        </is>
      </c>
      <c r="F395" s="4">
        <f>IFERROR(INDEX(Tbl_KPIMaster[Category],MATCH($G395,Tbl_KPIMaster[KPI],0)),"")</f>
        <v/>
      </c>
      <c r="G395" s="4" t="inlineStr">
        <is>
          <t>Absenteeism %</t>
        </is>
      </c>
      <c r="H395" s="4">
        <f>IFERROR(INDEX(Tbl_KPIMaster[Unit],MATCH($G395,Tbl_KPIMaster[KPI],0)),"")</f>
        <v/>
      </c>
      <c r="I395" s="5">
        <f>IFERROR(INDEX(Tbl_KPIMaster[Maximum Target],MATCH($G395,Tbl_KPIMaster[KPI],0)),"")</f>
        <v/>
      </c>
      <c r="J395" s="5" t="n">
        <v>0.711</v>
      </c>
      <c r="K395" s="4">
        <f>IFERROR(INDEX(Tbl_KPIMaster[Tolerance],MATCH($G395,Tbl_KPIMaster[KPI],0)),"")</f>
        <v/>
      </c>
      <c r="L395" s="4">
        <f>IFERROR(INDEX(Tbl_KPIMaster[Owner],MATCH($G395,Tbl_KPIMaster[KPI],0)),"")</f>
        <v/>
      </c>
      <c r="M395" s="6" t="inlineStr">
        <is>
          <t>Process improvement in progress</t>
        </is>
      </c>
      <c r="N395" s="4" t="inlineStr"/>
      <c r="O395" s="4" t="inlineStr">
        <is>
          <t>Medium</t>
        </is>
      </c>
      <c r="P395" s="4" t="inlineStr">
        <is>
          <t>In Progress</t>
        </is>
      </c>
      <c r="Q395" s="5">
        <f>IFERROR(IF(INDEX(Tbl_KPIMaster[Direction],MATCH($G395,Tbl_KPIMaster[KPI],0))="Lower is Better",IF($J395=0,1,IF($I395=0,0,$I395/$J395)),IF($I395=0,1,$J395/$I395)),0)</f>
        <v/>
      </c>
      <c r="R395" s="4">
        <f>IF(OR($I395="",$J395=""),"",$J395-$I395)</f>
        <v/>
      </c>
      <c r="S395" s="4">
        <f>IFERROR(IF(INDEX(Tbl_KPIMaster[Direction],MATCH($G395,Tbl_KPIMaster[KPI],0))="Lower is Better",IF($J395&lt;=$I395,"Green",IF($J395&lt;=$I395+IF($I395=0,$K395,$I395*$K395),"Amber","Red")),IF($J395&gt;=$I395,"Green",IF($J395&gt;=$I395-IF($I395=0,$K395,$I395*$K395),"Amber","Red"))),"")</f>
        <v/>
      </c>
      <c r="T395" s="6" t="inlineStr"/>
    </row>
    <row r="396">
      <c r="A396" s="7" t="n">
        <v>46149</v>
      </c>
      <c r="B396" s="8">
        <f>IF($A396="","",TEXT($A396,"mmm-yyyy"))</f>
        <v/>
      </c>
      <c r="C396" s="8">
        <f>IF($A396="","","W"&amp;WEEKNUM($A396,2))</f>
        <v/>
      </c>
      <c r="D396" s="8">
        <f>IF($A396="","",TEXT($A396,"ddd"))</f>
        <v/>
      </c>
      <c r="E396" s="8" t="inlineStr">
        <is>
          <t>HR</t>
        </is>
      </c>
      <c r="F396" s="8">
        <f>IFERROR(INDEX(Tbl_KPIMaster[Category],MATCH($G396,Tbl_KPIMaster[KPI],0)),"")</f>
        <v/>
      </c>
      <c r="G396" s="8" t="inlineStr">
        <is>
          <t>Training Hours</t>
        </is>
      </c>
      <c r="H396" s="8">
        <f>IFERROR(INDEX(Tbl_KPIMaster[Unit],MATCH($G396,Tbl_KPIMaster[KPI],0)),"")</f>
        <v/>
      </c>
      <c r="I396" s="9">
        <f>IFERROR(INDEX(Tbl_KPIMaster[Maximum Target],MATCH($G396,Tbl_KPIMaster[KPI],0)),"")</f>
        <v/>
      </c>
      <c r="J396" s="9" t="n">
        <v>1.42</v>
      </c>
      <c r="K396" s="8">
        <f>IFERROR(INDEX(Tbl_KPIMaster[Tolerance],MATCH($G396,Tbl_KPIMaster[KPI],0)),"")</f>
        <v/>
      </c>
      <c r="L396" s="8">
        <f>IFERROR(INDEX(Tbl_KPIMaster[Owner],MATCH($G396,Tbl_KPIMaster[KPI],0)),"")</f>
        <v/>
      </c>
      <c r="M396" s="10" t="inlineStr">
        <is>
          <t>Equipment breakdown</t>
        </is>
      </c>
      <c r="N396" s="8" t="inlineStr">
        <is>
          <t>Management approval pending</t>
        </is>
      </c>
      <c r="O396" s="8" t="inlineStr">
        <is>
          <t>High</t>
        </is>
      </c>
      <c r="P396" s="8" t="inlineStr">
        <is>
          <t>Closed</t>
        </is>
      </c>
      <c r="Q396" s="9">
        <f>IFERROR(IF(INDEX(Tbl_KPIMaster[Direction],MATCH($G396,Tbl_KPIMaster[KPI],0))="Lower is Better",IF($J396=0,1,IF($I396=0,0,$I396/$J396)),IF($I396=0,1,$J396/$I396)),0)</f>
        <v/>
      </c>
      <c r="R396" s="8">
        <f>IF(OR($I396="",$J396=""),"",$J396-$I396)</f>
        <v/>
      </c>
      <c r="S396" s="8">
        <f>IFERROR(IF(INDEX(Tbl_KPIMaster[Direction],MATCH($G396,Tbl_KPIMaster[KPI],0))="Lower is Better",IF($J396&lt;=$I396,"Green",IF($J396&lt;=$I396+IF($I396=0,$K396,$I396*$K396),"Amber","Red")),IF($J396&gt;=$I396,"Green",IF($J396&gt;=$I396-IF($I396=0,$K396,$I396*$K396),"Amber","Red"))),"")</f>
        <v/>
      </c>
      <c r="T396" s="10" t="inlineStr"/>
    </row>
    <row r="397">
      <c r="A397" s="3" t="n">
        <v>46149</v>
      </c>
      <c r="B397" s="4">
        <f>IF($A397="","",TEXT($A397,"mmm-yyyy"))</f>
        <v/>
      </c>
      <c r="C397" s="4">
        <f>IF($A397="","","W"&amp;WEEKNUM($A397,2))</f>
        <v/>
      </c>
      <c r="D397" s="4">
        <f>IF($A397="","",TEXT($A397,"ddd"))</f>
        <v/>
      </c>
      <c r="E397" s="4" t="inlineStr">
        <is>
          <t>Engineering</t>
        </is>
      </c>
      <c r="F397" s="4">
        <f>IFERROR(INDEX(Tbl_KPIMaster[Category],MATCH($G397,Tbl_KPIMaster[KPI],0)),"")</f>
        <v/>
      </c>
      <c r="G397" s="4" t="inlineStr">
        <is>
          <t>Project Milestone Adherence %</t>
        </is>
      </c>
      <c r="H397" s="4">
        <f>IFERROR(INDEX(Tbl_KPIMaster[Unit],MATCH($G397,Tbl_KPIMaster[KPI],0)),"")</f>
        <v/>
      </c>
      <c r="I397" s="5">
        <f>IFERROR(INDEX(Tbl_KPIMaster[Maximum Target],MATCH($G397,Tbl_KPIMaster[KPI],0)),"")</f>
        <v/>
      </c>
      <c r="J397" s="5" t="n">
        <v>0.7584</v>
      </c>
      <c r="K397" s="4">
        <f>IFERROR(INDEX(Tbl_KPIMaster[Tolerance],MATCH($G397,Tbl_KPIMaster[KPI],0)),"")</f>
        <v/>
      </c>
      <c r="L397" s="4">
        <f>IFERROR(INDEX(Tbl_KPIMaster[Owner],MATCH($G397,Tbl_KPIMaster[KPI],0)),"")</f>
        <v/>
      </c>
      <c r="M397" s="6" t="inlineStr">
        <is>
          <t>Vendor delay</t>
        </is>
      </c>
      <c r="N397" s="4" t="inlineStr"/>
      <c r="O397" s="4" t="inlineStr">
        <is>
          <t>Medium</t>
        </is>
      </c>
      <c r="P397" s="4" t="inlineStr">
        <is>
          <t>Closed</t>
        </is>
      </c>
      <c r="Q397" s="5">
        <f>IFERROR(IF(INDEX(Tbl_KPIMaster[Direction],MATCH($G397,Tbl_KPIMaster[KPI],0))="Lower is Better",IF($J397=0,1,IF($I397=0,0,$I397/$J397)),IF($I397=0,1,$J397/$I397)),0)</f>
        <v/>
      </c>
      <c r="R397" s="4">
        <f>IF(OR($I397="",$J397=""),"",$J397-$I397)</f>
        <v/>
      </c>
      <c r="S397" s="4">
        <f>IFERROR(IF(INDEX(Tbl_KPIMaster[Direction],MATCH($G397,Tbl_KPIMaster[KPI],0))="Lower is Better",IF($J397&lt;=$I397,"Green",IF($J397&lt;=$I397+IF($I397=0,$K397,$I397*$K397),"Amber","Red")),IF($J397&gt;=$I397,"Green",IF($J397&gt;=$I397-IF($I397=0,$K397,$I397*$K397),"Amber","Red"))),"")</f>
        <v/>
      </c>
      <c r="T397" s="6" t="inlineStr"/>
    </row>
    <row r="398">
      <c r="A398" s="7" t="n">
        <v>46149</v>
      </c>
      <c r="B398" s="8">
        <f>IF($A398="","",TEXT($A398,"mmm-yyyy"))</f>
        <v/>
      </c>
      <c r="C398" s="8">
        <f>IF($A398="","","W"&amp;WEEKNUM($A398,2))</f>
        <v/>
      </c>
      <c r="D398" s="8">
        <f>IF($A398="","",TEXT($A398,"ddd"))</f>
        <v/>
      </c>
      <c r="E398" s="8" t="inlineStr">
        <is>
          <t>Engineering</t>
        </is>
      </c>
      <c r="F398" s="8">
        <f>IFERROR(INDEX(Tbl_KPIMaster[Category],MATCH($G398,Tbl_KPIMaster[KPI],0)),"")</f>
        <v/>
      </c>
      <c r="G398" s="8" t="inlineStr">
        <is>
          <t>Breakdown Resolution Time</t>
        </is>
      </c>
      <c r="H398" s="8">
        <f>IFERROR(INDEX(Tbl_KPIMaster[Unit],MATCH($G398,Tbl_KPIMaster[KPI],0)),"")</f>
        <v/>
      </c>
      <c r="I398" s="9">
        <f>IFERROR(INDEX(Tbl_KPIMaster[Maximum Target],MATCH($G398,Tbl_KPIMaster[KPI],0)),"")</f>
        <v/>
      </c>
      <c r="J398" s="9" t="n">
        <v>0.75</v>
      </c>
      <c r="K398" s="8">
        <f>IFERROR(INDEX(Tbl_KPIMaster[Tolerance],MATCH($G398,Tbl_KPIMaster[KPI],0)),"")</f>
        <v/>
      </c>
      <c r="L398" s="8">
        <f>IFERROR(INDEX(Tbl_KPIMaster[Owner],MATCH($G398,Tbl_KPIMaster[KPI],0)),"")</f>
        <v/>
      </c>
      <c r="M398" s="10" t="inlineStr">
        <is>
          <t>Preventive check done</t>
        </is>
      </c>
      <c r="N398" s="8" t="inlineStr"/>
      <c r="O398" s="8" t="inlineStr">
        <is>
          <t>Medium</t>
        </is>
      </c>
      <c r="P398" s="8" t="inlineStr">
        <is>
          <t>In Progress</t>
        </is>
      </c>
      <c r="Q398" s="9">
        <f>IFERROR(IF(INDEX(Tbl_KPIMaster[Direction],MATCH($G398,Tbl_KPIMaster[KPI],0))="Lower is Better",IF($J398=0,1,IF($I398=0,0,$I398/$J398)),IF($I398=0,1,$J398/$I398)),0)</f>
        <v/>
      </c>
      <c r="R398" s="8">
        <f>IF(OR($I398="",$J398=""),"",$J398-$I398)</f>
        <v/>
      </c>
      <c r="S398" s="8">
        <f>IFERROR(IF(INDEX(Tbl_KPIMaster[Direction],MATCH($G398,Tbl_KPIMaster[KPI],0))="Lower is Better",IF($J398&lt;=$I398,"Green",IF($J398&lt;=$I398+IF($I398=0,$K398,$I398*$K398),"Amber","Red")),IF($J398&gt;=$I398,"Green",IF($J398&gt;=$I398-IF($I398=0,$K398,$I398*$K398),"Amber","Red"))),"")</f>
        <v/>
      </c>
      <c r="T398" s="10" t="inlineStr"/>
    </row>
    <row r="399">
      <c r="A399" s="3" t="n">
        <v>46149</v>
      </c>
      <c r="B399" s="4">
        <f>IF($A399="","",TEXT($A399,"mmm-yyyy"))</f>
        <v/>
      </c>
      <c r="C399" s="4">
        <f>IF($A399="","","W"&amp;WEEKNUM($A399,2))</f>
        <v/>
      </c>
      <c r="D399" s="4">
        <f>IF($A399="","",TEXT($A399,"ddd"))</f>
        <v/>
      </c>
      <c r="E399" s="4" t="inlineStr">
        <is>
          <t>Cost</t>
        </is>
      </c>
      <c r="F399" s="4">
        <f>IFERROR(INDEX(Tbl_KPIMaster[Category],MATCH($G399,Tbl_KPIMaster[KPI],0)),"")</f>
        <v/>
      </c>
      <c r="G399" s="4" t="inlineStr">
        <is>
          <t>Cost per Unit</t>
        </is>
      </c>
      <c r="H399" s="4">
        <f>IFERROR(INDEX(Tbl_KPIMaster[Unit],MATCH($G399,Tbl_KPIMaster[KPI],0)),"")</f>
        <v/>
      </c>
      <c r="I399" s="5">
        <f>IFERROR(INDEX(Tbl_KPIMaster[Maximum Target],MATCH($G399,Tbl_KPIMaster[KPI],0)),"")</f>
        <v/>
      </c>
      <c r="J399" s="5" t="n">
        <v>42.53</v>
      </c>
      <c r="K399" s="4">
        <f>IFERROR(INDEX(Tbl_KPIMaster[Tolerance],MATCH($G399,Tbl_KPIMaster[KPI],0)),"")</f>
        <v/>
      </c>
      <c r="L399" s="4">
        <f>IFERROR(INDEX(Tbl_KPIMaster[Owner],MATCH($G399,Tbl_KPIMaster[KPI],0)),"")</f>
        <v/>
      </c>
      <c r="M399" s="6" t="inlineStr">
        <is>
          <t>Preventive check done</t>
        </is>
      </c>
      <c r="N399" s="4" t="inlineStr">
        <is>
          <t>Management approval pending</t>
        </is>
      </c>
      <c r="O399" s="4" t="inlineStr">
        <is>
          <t>Low</t>
        </is>
      </c>
      <c r="P399" s="4" t="inlineStr">
        <is>
          <t>In Progress</t>
        </is>
      </c>
      <c r="Q399" s="5">
        <f>IFERROR(IF(INDEX(Tbl_KPIMaster[Direction],MATCH($G399,Tbl_KPIMaster[KPI],0))="Lower is Better",IF($J399=0,1,IF($I399=0,0,$I399/$J399)),IF($I399=0,1,$J399/$I399)),0)</f>
        <v/>
      </c>
      <c r="R399" s="4">
        <f>IF(OR($I399="",$J399=""),"",$J399-$I399)</f>
        <v/>
      </c>
      <c r="S399" s="4">
        <f>IFERROR(IF(INDEX(Tbl_KPIMaster[Direction],MATCH($G399,Tbl_KPIMaster[KPI],0))="Lower is Better",IF($J399&lt;=$I399,"Green",IF($J399&lt;=$I399+IF($I399=0,$K399,$I399*$K399),"Amber","Red")),IF($J399&gt;=$I399,"Green",IF($J399&gt;=$I399-IF($I399=0,$K399,$I399*$K399),"Amber","Red"))),"")</f>
        <v/>
      </c>
      <c r="T399" s="6" t="inlineStr"/>
    </row>
    <row r="400">
      <c r="A400" s="7" t="n">
        <v>46149</v>
      </c>
      <c r="B400" s="8">
        <f>IF($A400="","",TEXT($A400,"mmm-yyyy"))</f>
        <v/>
      </c>
      <c r="C400" s="8">
        <f>IF($A400="","","W"&amp;WEEKNUM($A400,2))</f>
        <v/>
      </c>
      <c r="D400" s="8">
        <f>IF($A400="","",TEXT($A400,"ddd"))</f>
        <v/>
      </c>
      <c r="E400" s="8" t="inlineStr">
        <is>
          <t>Cost</t>
        </is>
      </c>
      <c r="F400" s="8">
        <f>IFERROR(INDEX(Tbl_KPIMaster[Category],MATCH($G400,Tbl_KPIMaster[KPI],0)),"")</f>
        <v/>
      </c>
      <c r="G400" s="8" t="inlineStr">
        <is>
          <t>Budget Variance %</t>
        </is>
      </c>
      <c r="H400" s="8">
        <f>IFERROR(INDEX(Tbl_KPIMaster[Unit],MATCH($G400,Tbl_KPIMaster[KPI],0)),"")</f>
        <v/>
      </c>
      <c r="I400" s="9">
        <f>IFERROR(INDEX(Tbl_KPIMaster[Maximum Target],MATCH($G400,Tbl_KPIMaster[KPI],0)),"")</f>
        <v/>
      </c>
      <c r="J400" s="9" t="n">
        <v>0</v>
      </c>
      <c r="K400" s="8">
        <f>IFERROR(INDEX(Tbl_KPIMaster[Tolerance],MATCH($G400,Tbl_KPIMaster[KPI],0)),"")</f>
        <v/>
      </c>
      <c r="L400" s="8">
        <f>IFERROR(INDEX(Tbl_KPIMaster[Owner],MATCH($G400,Tbl_KPIMaster[KPI],0)),"")</f>
        <v/>
      </c>
      <c r="M400" s="10" t="inlineStr">
        <is>
          <t>Manpower shortage</t>
        </is>
      </c>
      <c r="N400" s="8" t="inlineStr"/>
      <c r="O400" s="8" t="inlineStr">
        <is>
          <t>Medium</t>
        </is>
      </c>
      <c r="P400" s="8" t="inlineStr">
        <is>
          <t>Closed</t>
        </is>
      </c>
      <c r="Q400" s="9">
        <f>IFERROR(IF(INDEX(Tbl_KPIMaster[Direction],MATCH($G400,Tbl_KPIMaster[KPI],0))="Lower is Better",IF($J400=0,1,IF($I400=0,0,$I400/$J400)),IF($I400=0,1,$J400/$I400)),0)</f>
        <v/>
      </c>
      <c r="R400" s="8">
        <f>IF(OR($I400="",$J400=""),"",$J400-$I400)</f>
        <v/>
      </c>
      <c r="S400" s="8">
        <f>IFERROR(IF(INDEX(Tbl_KPIMaster[Direction],MATCH($G400,Tbl_KPIMaster[KPI],0))="Lower is Better",IF($J400&lt;=$I400,"Green",IF($J400&lt;=$I400+IF($I400=0,$K400,$I400*$K400),"Amber","Red")),IF($J400&gt;=$I400,"Green",IF($J400&gt;=$I400-IF($I400=0,$K400,$I400*$K400),"Amber","Red"))),"")</f>
        <v/>
      </c>
      <c r="T400" s="10" t="inlineStr"/>
    </row>
    <row r="401">
      <c r="A401" s="3" t="n">
        <v>46149</v>
      </c>
      <c r="B401" s="4">
        <f>IF($A401="","",TEXT($A401,"mmm-yyyy"))</f>
        <v/>
      </c>
      <c r="C401" s="4">
        <f>IF($A401="","","W"&amp;WEEKNUM($A401,2))</f>
        <v/>
      </c>
      <c r="D401" s="4">
        <f>IF($A401="","",TEXT($A401,"ddd"))</f>
        <v/>
      </c>
      <c r="E401" s="4" t="inlineStr">
        <is>
          <t>Energy</t>
        </is>
      </c>
      <c r="F401" s="4">
        <f>IFERROR(INDEX(Tbl_KPIMaster[Category],MATCH($G401,Tbl_KPIMaster[KPI],0)),"")</f>
        <v/>
      </c>
      <c r="G401" s="4" t="inlineStr">
        <is>
          <t>Energy Intensity (kWh/unit)</t>
        </is>
      </c>
      <c r="H401" s="4">
        <f>IFERROR(INDEX(Tbl_KPIMaster[Unit],MATCH($G401,Tbl_KPIMaster[KPI],0)),"")</f>
        <v/>
      </c>
      <c r="I401" s="5">
        <f>IFERROR(INDEX(Tbl_KPIMaster[Maximum Target],MATCH($G401,Tbl_KPIMaster[KPI],0)),"")</f>
        <v/>
      </c>
      <c r="J401" s="5" t="n">
        <v>4.52</v>
      </c>
      <c r="K401" s="4">
        <f>IFERROR(INDEX(Tbl_KPIMaster[Tolerance],MATCH($G401,Tbl_KPIMaster[KPI],0)),"")</f>
        <v/>
      </c>
      <c r="L401" s="4">
        <f>IFERROR(INDEX(Tbl_KPIMaster[Owner],MATCH($G401,Tbl_KPIMaster[KPI],0)),"")</f>
        <v/>
      </c>
      <c r="M401" s="6" t="inlineStr">
        <is>
          <t>New operator training effect</t>
        </is>
      </c>
      <c r="N401" s="4" t="inlineStr">
        <is>
          <t>Engineering support needed</t>
        </is>
      </c>
      <c r="O401" s="4" t="inlineStr">
        <is>
          <t>High</t>
        </is>
      </c>
      <c r="P401" s="4" t="inlineStr">
        <is>
          <t>Closed</t>
        </is>
      </c>
      <c r="Q401" s="5">
        <f>IFERROR(IF(INDEX(Tbl_KPIMaster[Direction],MATCH($G401,Tbl_KPIMaster[KPI],0))="Lower is Better",IF($J401=0,1,IF($I401=0,0,$I401/$J401)),IF($I401=0,1,$J401/$I401)),0)</f>
        <v/>
      </c>
      <c r="R401" s="4">
        <f>IF(OR($I401="",$J401=""),"",$J401-$I401)</f>
        <v/>
      </c>
      <c r="S401" s="4">
        <f>IFERROR(IF(INDEX(Tbl_KPIMaster[Direction],MATCH($G401,Tbl_KPIMaster[KPI],0))="Lower is Better",IF($J401&lt;=$I401,"Green",IF($J401&lt;=$I401+IF($I401=0,$K401,$I401*$K401),"Amber","Red")),IF($J401&gt;=$I401,"Green",IF($J401&gt;=$I401-IF($I401=0,$K401,$I401*$K401),"Amber","Red"))),"")</f>
        <v/>
      </c>
      <c r="T401" s="6" t="inlineStr"/>
    </row>
    <row r="402">
      <c r="A402" s="7" t="n">
        <v>46149</v>
      </c>
      <c r="B402" s="8">
        <f>IF($A402="","",TEXT($A402,"mmm-yyyy"))</f>
        <v/>
      </c>
      <c r="C402" s="8">
        <f>IF($A402="","","W"&amp;WEEKNUM($A402,2))</f>
        <v/>
      </c>
      <c r="D402" s="8">
        <f>IF($A402="","",TEXT($A402,"ddd"))</f>
        <v/>
      </c>
      <c r="E402" s="8" t="inlineStr">
        <is>
          <t>Energy</t>
        </is>
      </c>
      <c r="F402" s="8">
        <f>IFERROR(INDEX(Tbl_KPIMaster[Category],MATCH($G402,Tbl_KPIMaster[KPI],0)),"")</f>
        <v/>
      </c>
      <c r="G402" s="8" t="inlineStr">
        <is>
          <t>Renewable Energy Share %</t>
        </is>
      </c>
      <c r="H402" s="8">
        <f>IFERROR(INDEX(Tbl_KPIMaster[Unit],MATCH($G402,Tbl_KPIMaster[KPI],0)),"")</f>
        <v/>
      </c>
      <c r="I402" s="9">
        <f>IFERROR(INDEX(Tbl_KPIMaster[Maximum Target],MATCH($G402,Tbl_KPIMaster[KPI],0)),"")</f>
        <v/>
      </c>
      <c r="J402" s="9" t="n">
        <v>0.2357</v>
      </c>
      <c r="K402" s="8">
        <f>IFERROR(INDEX(Tbl_KPIMaster[Tolerance],MATCH($G402,Tbl_KPIMaster[KPI],0)),"")</f>
        <v/>
      </c>
      <c r="L402" s="8">
        <f>IFERROR(INDEX(Tbl_KPIMaster[Owner],MATCH($G402,Tbl_KPIMaster[KPI],0)),"")</f>
        <v/>
      </c>
      <c r="M402" s="10" t="inlineStr">
        <is>
          <t>Within normal range</t>
        </is>
      </c>
      <c r="N402" s="8" t="inlineStr">
        <is>
          <t>Procurement follow-up</t>
        </is>
      </c>
      <c r="O402" s="8" t="inlineStr">
        <is>
          <t>High</t>
        </is>
      </c>
      <c r="P402" s="8" t="inlineStr">
        <is>
          <t>Closed</t>
        </is>
      </c>
      <c r="Q402" s="9">
        <f>IFERROR(IF(INDEX(Tbl_KPIMaster[Direction],MATCH($G402,Tbl_KPIMaster[KPI],0))="Lower is Better",IF($J402=0,1,IF($I402=0,0,$I402/$J402)),IF($I402=0,1,$J402/$I402)),0)</f>
        <v/>
      </c>
      <c r="R402" s="8">
        <f>IF(OR($I402="",$J402=""),"",$J402-$I402)</f>
        <v/>
      </c>
      <c r="S402" s="8">
        <f>IFERROR(IF(INDEX(Tbl_KPIMaster[Direction],MATCH($G402,Tbl_KPIMaster[KPI],0))="Lower is Better",IF($J402&lt;=$I402,"Green",IF($J402&lt;=$I402+IF($I402=0,$K402,$I402*$K402),"Amber","Red")),IF($J402&gt;=$I402,"Green",IF($J402&gt;=$I402-IF($I402=0,$K402,$I402*$K402),"Amber","Red"))),"")</f>
        <v/>
      </c>
      <c r="T402" s="10" t="inlineStr"/>
    </row>
    <row r="403">
      <c r="A403" s="3" t="n">
        <v>46150</v>
      </c>
      <c r="B403" s="4">
        <f>IF($A403="","",TEXT($A403,"mmm-yyyy"))</f>
        <v/>
      </c>
      <c r="C403" s="4">
        <f>IF($A403="","","W"&amp;WEEKNUM($A403,2))</f>
        <v/>
      </c>
      <c r="D403" s="4">
        <f>IF($A403="","",TEXT($A403,"ddd"))</f>
        <v/>
      </c>
      <c r="E403" s="4" t="inlineStr">
        <is>
          <t>Safety</t>
        </is>
      </c>
      <c r="F403" s="4">
        <f>IFERROR(INDEX(Tbl_KPIMaster[Category],MATCH($G403,Tbl_KPIMaster[KPI],0)),"")</f>
        <v/>
      </c>
      <c r="G403" s="4" t="inlineStr">
        <is>
          <t>Safety Incidents (LTI)</t>
        </is>
      </c>
      <c r="H403" s="4">
        <f>IFERROR(INDEX(Tbl_KPIMaster[Unit],MATCH($G403,Tbl_KPIMaster[KPI],0)),"")</f>
        <v/>
      </c>
      <c r="I403" s="5">
        <f>IFERROR(INDEX(Tbl_KPIMaster[Maximum Target],MATCH($G403,Tbl_KPIMaster[KPI],0)),"")</f>
        <v/>
      </c>
      <c r="J403" s="5" t="n">
        <v>0</v>
      </c>
      <c r="K403" s="4">
        <f>IFERROR(INDEX(Tbl_KPIMaster[Tolerance],MATCH($G403,Tbl_KPIMaster[KPI],0)),"")</f>
        <v/>
      </c>
      <c r="L403" s="4">
        <f>IFERROR(INDEX(Tbl_KPIMaster[Owner],MATCH($G403,Tbl_KPIMaster[KPI],0)),"")</f>
        <v/>
      </c>
      <c r="M403" s="6" t="inlineStr">
        <is>
          <t>Equipment breakdown</t>
        </is>
      </c>
      <c r="N403" s="4" t="inlineStr">
        <is>
          <t>Management approval pending</t>
        </is>
      </c>
      <c r="O403" s="4" t="inlineStr">
        <is>
          <t>Low</t>
        </is>
      </c>
      <c r="P403" s="4" t="inlineStr">
        <is>
          <t>Closed</t>
        </is>
      </c>
      <c r="Q403" s="5">
        <f>IFERROR(IF(INDEX(Tbl_KPIMaster[Direction],MATCH($G403,Tbl_KPIMaster[KPI],0))="Lower is Better",IF($J403=0,1,IF($I403=0,0,$I403/$J403)),IF($I403=0,1,$J403/$I403)),0)</f>
        <v/>
      </c>
      <c r="R403" s="4">
        <f>IF(OR($I403="",$J403=""),"",$J403-$I403)</f>
        <v/>
      </c>
      <c r="S403" s="4">
        <f>IFERROR(IF(INDEX(Tbl_KPIMaster[Direction],MATCH($G403,Tbl_KPIMaster[KPI],0))="Lower is Better",IF($J403&lt;=$I403,"Green",IF($J403&lt;=$I403+IF($I403=0,$K403,$I403*$K403),"Amber","Red")),IF($J403&gt;=$I403,"Green",IF($J403&gt;=$I403-IF($I403=0,$K403,$I403*$K403),"Amber","Red"))),"")</f>
        <v/>
      </c>
      <c r="T403" s="6" t="inlineStr"/>
    </row>
    <row r="404">
      <c r="A404" s="7" t="n">
        <v>46150</v>
      </c>
      <c r="B404" s="8">
        <f>IF($A404="","",TEXT($A404,"mmm-yyyy"))</f>
        <v/>
      </c>
      <c r="C404" s="8">
        <f>IF($A404="","","W"&amp;WEEKNUM($A404,2))</f>
        <v/>
      </c>
      <c r="D404" s="8">
        <f>IF($A404="","",TEXT($A404,"ddd"))</f>
        <v/>
      </c>
      <c r="E404" s="8" t="inlineStr">
        <is>
          <t>Safety</t>
        </is>
      </c>
      <c r="F404" s="8">
        <f>IFERROR(INDEX(Tbl_KPIMaster[Category],MATCH($G404,Tbl_KPIMaster[KPI],0)),"")</f>
        <v/>
      </c>
      <c r="G404" s="8" t="inlineStr">
        <is>
          <t>Near Miss Reports</t>
        </is>
      </c>
      <c r="H404" s="8">
        <f>IFERROR(INDEX(Tbl_KPIMaster[Unit],MATCH($G404,Tbl_KPIMaster[KPI],0)),"")</f>
        <v/>
      </c>
      <c r="I404" s="9">
        <f>IFERROR(INDEX(Tbl_KPIMaster[Maximum Target],MATCH($G404,Tbl_KPIMaster[KPI],0)),"")</f>
        <v/>
      </c>
      <c r="J404" s="9" t="n">
        <v>2</v>
      </c>
      <c r="K404" s="8">
        <f>IFERROR(INDEX(Tbl_KPIMaster[Tolerance],MATCH($G404,Tbl_KPIMaster[KPI],0)),"")</f>
        <v/>
      </c>
      <c r="L404" s="8">
        <f>IFERROR(INDEX(Tbl_KPIMaster[Owner],MATCH($G404,Tbl_KPIMaster[KPI],0)),"")</f>
        <v/>
      </c>
      <c r="M404" s="10" t="inlineStr">
        <is>
          <t>Line changeover impact</t>
        </is>
      </c>
      <c r="N404" s="8" t="inlineStr">
        <is>
          <t>Procurement follow-up</t>
        </is>
      </c>
      <c r="O404" s="8" t="inlineStr">
        <is>
          <t>Medium</t>
        </is>
      </c>
      <c r="P404" s="8" t="inlineStr">
        <is>
          <t>Closed</t>
        </is>
      </c>
      <c r="Q404" s="9">
        <f>IFERROR(IF(INDEX(Tbl_KPIMaster[Direction],MATCH($G404,Tbl_KPIMaster[KPI],0))="Lower is Better",IF($J404=0,1,IF($I404=0,0,$I404/$J404)),IF($I404=0,1,$J404/$I404)),0)</f>
        <v/>
      </c>
      <c r="R404" s="8">
        <f>IF(OR($I404="",$J404=""),"",$J404-$I404)</f>
        <v/>
      </c>
      <c r="S404" s="8">
        <f>IFERROR(IF(INDEX(Tbl_KPIMaster[Direction],MATCH($G404,Tbl_KPIMaster[KPI],0))="Lower is Better",IF($J404&lt;=$I404,"Green",IF($J404&lt;=$I404+IF($I404=0,$K404,$I404*$K404),"Amber","Red")),IF($J404&gt;=$I404,"Green",IF($J404&gt;=$I404-IF($I404=0,$K404,$I404*$K404),"Amber","Red"))),"")</f>
        <v/>
      </c>
      <c r="T404" s="10" t="inlineStr"/>
    </row>
    <row r="405">
      <c r="A405" s="3" t="n">
        <v>46150</v>
      </c>
      <c r="B405" s="4">
        <f>IF($A405="","",TEXT($A405,"mmm-yyyy"))</f>
        <v/>
      </c>
      <c r="C405" s="4">
        <f>IF($A405="","","W"&amp;WEEKNUM($A405,2))</f>
        <v/>
      </c>
      <c r="D405" s="4">
        <f>IF($A405="","",TEXT($A405,"ddd"))</f>
        <v/>
      </c>
      <c r="E405" s="4" t="inlineStr">
        <is>
          <t>Production</t>
        </is>
      </c>
      <c r="F405" s="4">
        <f>IFERROR(INDEX(Tbl_KPIMaster[Category],MATCH($G405,Tbl_KPIMaster[KPI],0)),"")</f>
        <v/>
      </c>
      <c r="G405" s="4" t="inlineStr">
        <is>
          <t>Production Output</t>
        </is>
      </c>
      <c r="H405" s="4">
        <f>IFERROR(INDEX(Tbl_KPIMaster[Unit],MATCH($G405,Tbl_KPIMaster[KPI],0)),"")</f>
        <v/>
      </c>
      <c r="I405" s="5">
        <f>IFERROR(INDEX(Tbl_KPIMaster[Maximum Target],MATCH($G405,Tbl_KPIMaster[KPI],0)),"")</f>
        <v/>
      </c>
      <c r="J405" s="5" t="n">
        <v>1088.79</v>
      </c>
      <c r="K405" s="4">
        <f>IFERROR(INDEX(Tbl_KPIMaster[Tolerance],MATCH($G405,Tbl_KPIMaster[KPI],0)),"")</f>
        <v/>
      </c>
      <c r="L405" s="4">
        <f>IFERROR(INDEX(Tbl_KPIMaster[Owner],MATCH($G405,Tbl_KPIMaster[KPI],0)),"")</f>
        <v/>
      </c>
      <c r="M405" s="6" t="inlineStr">
        <is>
          <t>Weather impact</t>
        </is>
      </c>
      <c r="N405" s="4" t="inlineStr"/>
      <c r="O405" s="4" t="inlineStr">
        <is>
          <t>Medium</t>
        </is>
      </c>
      <c r="P405" s="4" t="inlineStr">
        <is>
          <t>Closed</t>
        </is>
      </c>
      <c r="Q405" s="5">
        <f>IFERROR(IF(INDEX(Tbl_KPIMaster[Direction],MATCH($G405,Tbl_KPIMaster[KPI],0))="Lower is Better",IF($J405=0,1,IF($I405=0,0,$I405/$J405)),IF($I405=0,1,$J405/$I405)),0)</f>
        <v/>
      </c>
      <c r="R405" s="4">
        <f>IF(OR($I405="",$J405=""),"",$J405-$I405)</f>
        <v/>
      </c>
      <c r="S405" s="4">
        <f>IFERROR(IF(INDEX(Tbl_KPIMaster[Direction],MATCH($G405,Tbl_KPIMaster[KPI],0))="Lower is Better",IF($J405&lt;=$I405,"Green",IF($J405&lt;=$I405+IF($I405=0,$K405,$I405*$K405),"Amber","Red")),IF($J405&gt;=$I405,"Green",IF($J405&gt;=$I405-IF($I405=0,$K405,$I405*$K405),"Amber","Red"))),"")</f>
        <v/>
      </c>
      <c r="T405" s="6" t="inlineStr"/>
    </row>
    <row r="406">
      <c r="A406" s="7" t="n">
        <v>46150</v>
      </c>
      <c r="B406" s="8">
        <f>IF($A406="","",TEXT($A406,"mmm-yyyy"))</f>
        <v/>
      </c>
      <c r="C406" s="8">
        <f>IF($A406="","","W"&amp;WEEKNUM($A406,2))</f>
        <v/>
      </c>
      <c r="D406" s="8">
        <f>IF($A406="","",TEXT($A406,"ddd"))</f>
        <v/>
      </c>
      <c r="E406" s="8" t="inlineStr">
        <is>
          <t>Production</t>
        </is>
      </c>
      <c r="F406" s="8">
        <f>IFERROR(INDEX(Tbl_KPIMaster[Category],MATCH($G406,Tbl_KPIMaster[KPI],0)),"")</f>
        <v/>
      </c>
      <c r="G406" s="8" t="inlineStr">
        <is>
          <t>OEE %</t>
        </is>
      </c>
      <c r="H406" s="8">
        <f>IFERROR(INDEX(Tbl_KPIMaster[Unit],MATCH($G406,Tbl_KPIMaster[KPI],0)),"")</f>
        <v/>
      </c>
      <c r="I406" s="9">
        <f>IFERROR(INDEX(Tbl_KPIMaster[Maximum Target],MATCH($G406,Tbl_KPIMaster[KPI],0)),"")</f>
        <v/>
      </c>
      <c r="J406" s="9" t="n">
        <v>0.952</v>
      </c>
      <c r="K406" s="8">
        <f>IFERROR(INDEX(Tbl_KPIMaster[Tolerance],MATCH($G406,Tbl_KPIMaster[KPI],0)),"")</f>
        <v/>
      </c>
      <c r="L406" s="8">
        <f>IFERROR(INDEX(Tbl_KPIMaster[Owner],MATCH($G406,Tbl_KPIMaster[KPI],0)),"")</f>
        <v/>
      </c>
      <c r="M406" s="10" t="inlineStr">
        <is>
          <t>Manpower shortage</t>
        </is>
      </c>
      <c r="N406" s="8" t="inlineStr"/>
      <c r="O406" s="8" t="inlineStr">
        <is>
          <t>Low</t>
        </is>
      </c>
      <c r="P406" s="8" t="inlineStr">
        <is>
          <t>Closed</t>
        </is>
      </c>
      <c r="Q406" s="9">
        <f>IFERROR(IF(INDEX(Tbl_KPIMaster[Direction],MATCH($G406,Tbl_KPIMaster[KPI],0))="Lower is Better",IF($J406=0,1,IF($I406=0,0,$I406/$J406)),IF($I406=0,1,$J406/$I406)),0)</f>
        <v/>
      </c>
      <c r="R406" s="8">
        <f>IF(OR($I406="",$J406=""),"",$J406-$I406)</f>
        <v/>
      </c>
      <c r="S406" s="8">
        <f>IFERROR(IF(INDEX(Tbl_KPIMaster[Direction],MATCH($G406,Tbl_KPIMaster[KPI],0))="Lower is Better",IF($J406&lt;=$I406,"Green",IF($J406&lt;=$I406+IF($I406=0,$K406,$I406*$K406),"Amber","Red")),IF($J406&gt;=$I406,"Green",IF($J406&gt;=$I406-IF($I406=0,$K406,$I406*$K406),"Amber","Red"))),"")</f>
        <v/>
      </c>
      <c r="T406" s="10" t="inlineStr"/>
    </row>
    <row r="407">
      <c r="A407" s="3" t="n">
        <v>46150</v>
      </c>
      <c r="B407" s="4">
        <f>IF($A407="","",TEXT($A407,"mmm-yyyy"))</f>
        <v/>
      </c>
      <c r="C407" s="4">
        <f>IF($A407="","","W"&amp;WEEKNUM($A407,2))</f>
        <v/>
      </c>
      <c r="D407" s="4">
        <f>IF($A407="","",TEXT($A407,"ddd"))</f>
        <v/>
      </c>
      <c r="E407" s="4" t="inlineStr">
        <is>
          <t>Quality</t>
        </is>
      </c>
      <c r="F407" s="4">
        <f>IFERROR(INDEX(Tbl_KPIMaster[Category],MATCH($G407,Tbl_KPIMaster[KPI],0)),"")</f>
        <v/>
      </c>
      <c r="G407" s="4" t="inlineStr">
        <is>
          <t>Defect Rate %</t>
        </is>
      </c>
      <c r="H407" s="4">
        <f>IFERROR(INDEX(Tbl_KPIMaster[Unit],MATCH($G407,Tbl_KPIMaster[KPI],0)),"")</f>
        <v/>
      </c>
      <c r="I407" s="5">
        <f>IFERROR(INDEX(Tbl_KPIMaster[Maximum Target],MATCH($G407,Tbl_KPIMaster[KPI],0)),"")</f>
        <v/>
      </c>
      <c r="J407" s="5" t="n">
        <v>0</v>
      </c>
      <c r="K407" s="4">
        <f>IFERROR(INDEX(Tbl_KPIMaster[Tolerance],MATCH($G407,Tbl_KPIMaster[KPI],0)),"")</f>
        <v/>
      </c>
      <c r="L407" s="4">
        <f>IFERROR(INDEX(Tbl_KPIMaster[Owner],MATCH($G407,Tbl_KPIMaster[KPI],0)),"")</f>
        <v/>
      </c>
      <c r="M407" s="6" t="inlineStr">
        <is>
          <t>Awaiting spares</t>
        </is>
      </c>
      <c r="N407" s="4" t="inlineStr"/>
      <c r="O407" s="4" t="inlineStr">
        <is>
          <t>Low</t>
        </is>
      </c>
      <c r="P407" s="4" t="inlineStr">
        <is>
          <t>Closed</t>
        </is>
      </c>
      <c r="Q407" s="5">
        <f>IFERROR(IF(INDEX(Tbl_KPIMaster[Direction],MATCH($G407,Tbl_KPIMaster[KPI],0))="Lower is Better",IF($J407=0,1,IF($I407=0,0,$I407/$J407)),IF($I407=0,1,$J407/$I407)),0)</f>
        <v/>
      </c>
      <c r="R407" s="4">
        <f>IF(OR($I407="",$J407=""),"",$J407-$I407)</f>
        <v/>
      </c>
      <c r="S407" s="4">
        <f>IFERROR(IF(INDEX(Tbl_KPIMaster[Direction],MATCH($G407,Tbl_KPIMaster[KPI],0))="Lower is Better",IF($J407&lt;=$I407,"Green",IF($J407&lt;=$I407+IF($I407=0,$K407,$I407*$K407),"Amber","Red")),IF($J407&gt;=$I407,"Green",IF($J407&gt;=$I407-IF($I407=0,$K407,$I407*$K407),"Amber","Red"))),"")</f>
        <v/>
      </c>
      <c r="T407" s="6" t="inlineStr"/>
    </row>
    <row r="408">
      <c r="A408" s="7" t="n">
        <v>46150</v>
      </c>
      <c r="B408" s="8">
        <f>IF($A408="","",TEXT($A408,"mmm-yyyy"))</f>
        <v/>
      </c>
      <c r="C408" s="8">
        <f>IF($A408="","","W"&amp;WEEKNUM($A408,2))</f>
        <v/>
      </c>
      <c r="D408" s="8">
        <f>IF($A408="","",TEXT($A408,"ddd"))</f>
        <v/>
      </c>
      <c r="E408" s="8" t="inlineStr">
        <is>
          <t>Quality</t>
        </is>
      </c>
      <c r="F408" s="8">
        <f>IFERROR(INDEX(Tbl_KPIMaster[Category],MATCH($G408,Tbl_KPIMaster[KPI],0)),"")</f>
        <v/>
      </c>
      <c r="G408" s="8" t="inlineStr">
        <is>
          <t>Customer Complaints</t>
        </is>
      </c>
      <c r="H408" s="8">
        <f>IFERROR(INDEX(Tbl_KPIMaster[Unit],MATCH($G408,Tbl_KPIMaster[KPI],0)),"")</f>
        <v/>
      </c>
      <c r="I408" s="9">
        <f>IFERROR(INDEX(Tbl_KPIMaster[Maximum Target],MATCH($G408,Tbl_KPIMaster[KPI],0)),"")</f>
        <v/>
      </c>
      <c r="J408" s="9" t="n">
        <v>0</v>
      </c>
      <c r="K408" s="8">
        <f>IFERROR(INDEX(Tbl_KPIMaster[Tolerance],MATCH($G408,Tbl_KPIMaster[KPI],0)),"")</f>
        <v/>
      </c>
      <c r="L408" s="8">
        <f>IFERROR(INDEX(Tbl_KPIMaster[Owner],MATCH($G408,Tbl_KPIMaster[KPI],0)),"")</f>
        <v/>
      </c>
      <c r="M408" s="10" t="inlineStr">
        <is>
          <t>Equipment breakdown</t>
        </is>
      </c>
      <c r="N408" s="8" t="inlineStr">
        <is>
          <t>Procurement follow-up</t>
        </is>
      </c>
      <c r="O408" s="8" t="inlineStr">
        <is>
          <t>Low</t>
        </is>
      </c>
      <c r="P408" s="8" t="inlineStr">
        <is>
          <t>In Progress</t>
        </is>
      </c>
      <c r="Q408" s="9">
        <f>IFERROR(IF(INDEX(Tbl_KPIMaster[Direction],MATCH($G408,Tbl_KPIMaster[KPI],0))="Lower is Better",IF($J408=0,1,IF($I408=0,0,$I408/$J408)),IF($I408=0,1,$J408/$I408)),0)</f>
        <v/>
      </c>
      <c r="R408" s="8">
        <f>IF(OR($I408="",$J408=""),"",$J408-$I408)</f>
        <v/>
      </c>
      <c r="S408" s="8">
        <f>IFERROR(IF(INDEX(Tbl_KPIMaster[Direction],MATCH($G408,Tbl_KPIMaster[KPI],0))="Lower is Better",IF($J408&lt;=$I408,"Green",IF($J408&lt;=$I408+IF($I408=0,$K408,$I408*$K408),"Amber","Red")),IF($J408&gt;=$I408,"Green",IF($J408&gt;=$I408-IF($I408=0,$K408,$I408*$K408),"Amber","Red"))),"")</f>
        <v/>
      </c>
      <c r="T408" s="10" t="inlineStr"/>
    </row>
    <row r="409">
      <c r="A409" s="3" t="n">
        <v>46150</v>
      </c>
      <c r="B409" s="4">
        <f>IF($A409="","",TEXT($A409,"mmm-yyyy"))</f>
        <v/>
      </c>
      <c r="C409" s="4">
        <f>IF($A409="","","W"&amp;WEEKNUM($A409,2))</f>
        <v/>
      </c>
      <c r="D409" s="4">
        <f>IF($A409="","",TEXT($A409,"ddd"))</f>
        <v/>
      </c>
      <c r="E409" s="4" t="inlineStr">
        <is>
          <t>Maintenance</t>
        </is>
      </c>
      <c r="F409" s="4">
        <f>IFERROR(INDEX(Tbl_KPIMaster[Category],MATCH($G409,Tbl_KPIMaster[KPI],0)),"")</f>
        <v/>
      </c>
      <c r="G409" s="4" t="inlineStr">
        <is>
          <t>Unplanned Downtime</t>
        </is>
      </c>
      <c r="H409" s="4">
        <f>IFERROR(INDEX(Tbl_KPIMaster[Unit],MATCH($G409,Tbl_KPIMaster[KPI],0)),"")</f>
        <v/>
      </c>
      <c r="I409" s="5">
        <f>IFERROR(INDEX(Tbl_KPIMaster[Maximum Target],MATCH($G409,Tbl_KPIMaster[KPI],0)),"")</f>
        <v/>
      </c>
      <c r="J409" s="5" t="n">
        <v>0</v>
      </c>
      <c r="K409" s="4">
        <f>IFERROR(INDEX(Tbl_KPIMaster[Tolerance],MATCH($G409,Tbl_KPIMaster[KPI],0)),"")</f>
        <v/>
      </c>
      <c r="L409" s="4">
        <f>IFERROR(INDEX(Tbl_KPIMaster[Owner],MATCH($G409,Tbl_KPIMaster[KPI],0)),"")</f>
        <v/>
      </c>
      <c r="M409" s="6" t="inlineStr">
        <is>
          <t>Within normal range</t>
        </is>
      </c>
      <c r="N409" s="4" t="inlineStr"/>
      <c r="O409" s="4" t="inlineStr">
        <is>
          <t>Low</t>
        </is>
      </c>
      <c r="P409" s="4" t="inlineStr">
        <is>
          <t>Closed</t>
        </is>
      </c>
      <c r="Q409" s="5">
        <f>IFERROR(IF(INDEX(Tbl_KPIMaster[Direction],MATCH($G409,Tbl_KPIMaster[KPI],0))="Lower is Better",IF($J409=0,1,IF($I409=0,0,$I409/$J409)),IF($I409=0,1,$J409/$I409)),0)</f>
        <v/>
      </c>
      <c r="R409" s="4">
        <f>IF(OR($I409="",$J409=""),"",$J409-$I409)</f>
        <v/>
      </c>
      <c r="S409" s="4">
        <f>IFERROR(IF(INDEX(Tbl_KPIMaster[Direction],MATCH($G409,Tbl_KPIMaster[KPI],0))="Lower is Better",IF($J409&lt;=$I409,"Green",IF($J409&lt;=$I409+IF($I409=0,$K409,$I409*$K409),"Amber","Red")),IF($J409&gt;=$I409,"Green",IF($J409&gt;=$I409-IF($I409=0,$K409,$I409*$K409),"Amber","Red"))),"")</f>
        <v/>
      </c>
      <c r="T409" s="6" t="inlineStr"/>
    </row>
    <row r="410">
      <c r="A410" s="7" t="n">
        <v>46150</v>
      </c>
      <c r="B410" s="8">
        <f>IF($A410="","",TEXT($A410,"mmm-yyyy"))</f>
        <v/>
      </c>
      <c r="C410" s="8">
        <f>IF($A410="","","W"&amp;WEEKNUM($A410,2))</f>
        <v/>
      </c>
      <c r="D410" s="8">
        <f>IF($A410="","",TEXT($A410,"ddd"))</f>
        <v/>
      </c>
      <c r="E410" s="8" t="inlineStr">
        <is>
          <t>Maintenance</t>
        </is>
      </c>
      <c r="F410" s="8">
        <f>IFERROR(INDEX(Tbl_KPIMaster[Category],MATCH($G410,Tbl_KPIMaster[KPI],0)),"")</f>
        <v/>
      </c>
      <c r="G410" s="8" t="inlineStr">
        <is>
          <t>PM Compliance %</t>
        </is>
      </c>
      <c r="H410" s="8">
        <f>IFERROR(INDEX(Tbl_KPIMaster[Unit],MATCH($G410,Tbl_KPIMaster[KPI],0)),"")</f>
        <v/>
      </c>
      <c r="I410" s="9">
        <f>IFERROR(INDEX(Tbl_KPIMaster[Maximum Target],MATCH($G410,Tbl_KPIMaster[KPI],0)),"")</f>
        <v/>
      </c>
      <c r="J410" s="9" t="n">
        <v>0.8521</v>
      </c>
      <c r="K410" s="8">
        <f>IFERROR(INDEX(Tbl_KPIMaster[Tolerance],MATCH($G410,Tbl_KPIMaster[KPI],0)),"")</f>
        <v/>
      </c>
      <c r="L410" s="8">
        <f>IFERROR(INDEX(Tbl_KPIMaster[Owner],MATCH($G410,Tbl_KPIMaster[KPI],0)),"")</f>
        <v/>
      </c>
      <c r="M410" s="10" t="inlineStr"/>
      <c r="N410" s="8" t="inlineStr"/>
      <c r="O410" s="8" t="inlineStr">
        <is>
          <t>Medium</t>
        </is>
      </c>
      <c r="P410" s="8" t="inlineStr">
        <is>
          <t>Open</t>
        </is>
      </c>
      <c r="Q410" s="9">
        <f>IFERROR(IF(INDEX(Tbl_KPIMaster[Direction],MATCH($G410,Tbl_KPIMaster[KPI],0))="Lower is Better",IF($J410=0,1,IF($I410=0,0,$I410/$J410)),IF($I410=0,1,$J410/$I410)),0)</f>
        <v/>
      </c>
      <c r="R410" s="8">
        <f>IF(OR($I410="",$J410=""),"",$J410-$I410)</f>
        <v/>
      </c>
      <c r="S410" s="8">
        <f>IFERROR(IF(INDEX(Tbl_KPIMaster[Direction],MATCH($G410,Tbl_KPIMaster[KPI],0))="Lower is Better",IF($J410&lt;=$I410,"Green",IF($J410&lt;=$I410+IF($I410=0,$K410,$I410*$K410),"Amber","Red")),IF($J410&gt;=$I410,"Green",IF($J410&gt;=$I410-IF($I410=0,$K410,$I410*$K410),"Amber","Red"))),"")</f>
        <v/>
      </c>
      <c r="T410" s="10" t="inlineStr"/>
    </row>
    <row r="411">
      <c r="A411" s="3" t="n">
        <v>46150</v>
      </c>
      <c r="B411" s="4">
        <f>IF($A411="","",TEXT($A411,"mmm-yyyy"))</f>
        <v/>
      </c>
      <c r="C411" s="4">
        <f>IF($A411="","","W"&amp;WEEKNUM($A411,2))</f>
        <v/>
      </c>
      <c r="D411" s="4">
        <f>IF($A411="","",TEXT($A411,"ddd"))</f>
        <v/>
      </c>
      <c r="E411" s="4" t="inlineStr">
        <is>
          <t>Utilities</t>
        </is>
      </c>
      <c r="F411" s="4">
        <f>IFERROR(INDEX(Tbl_KPIMaster[Category],MATCH($G411,Tbl_KPIMaster[KPI],0)),"")</f>
        <v/>
      </c>
      <c r="G411" s="4" t="inlineStr">
        <is>
          <t>Power Consumption</t>
        </is>
      </c>
      <c r="H411" s="4">
        <f>IFERROR(INDEX(Tbl_KPIMaster[Unit],MATCH($G411,Tbl_KPIMaster[KPI],0)),"")</f>
        <v/>
      </c>
      <c r="I411" s="5">
        <f>IFERROR(INDEX(Tbl_KPIMaster[Maximum Target],MATCH($G411,Tbl_KPIMaster[KPI],0)),"")</f>
        <v/>
      </c>
      <c r="J411" s="5" t="n">
        <v>4763.55</v>
      </c>
      <c r="K411" s="4">
        <f>IFERROR(INDEX(Tbl_KPIMaster[Tolerance],MATCH($G411,Tbl_KPIMaster[KPI],0)),"")</f>
        <v/>
      </c>
      <c r="L411" s="4">
        <f>IFERROR(INDEX(Tbl_KPIMaster[Owner],MATCH($G411,Tbl_KPIMaster[KPI],0)),"")</f>
        <v/>
      </c>
      <c r="M411" s="6" t="inlineStr">
        <is>
          <t>Equipment breakdown</t>
        </is>
      </c>
      <c r="N411" s="4" t="inlineStr">
        <is>
          <t>Procurement follow-up</t>
        </is>
      </c>
      <c r="O411" s="4" t="inlineStr">
        <is>
          <t>Medium</t>
        </is>
      </c>
      <c r="P411" s="4" t="inlineStr">
        <is>
          <t>Closed</t>
        </is>
      </c>
      <c r="Q411" s="5">
        <f>IFERROR(IF(INDEX(Tbl_KPIMaster[Direction],MATCH($G411,Tbl_KPIMaster[KPI],0))="Lower is Better",IF($J411=0,1,IF($I411=0,0,$I411/$J411)),IF($I411=0,1,$J411/$I411)),0)</f>
        <v/>
      </c>
      <c r="R411" s="4">
        <f>IF(OR($I411="",$J411=""),"",$J411-$I411)</f>
        <v/>
      </c>
      <c r="S411" s="4">
        <f>IFERROR(IF(INDEX(Tbl_KPIMaster[Direction],MATCH($G411,Tbl_KPIMaster[KPI],0))="Lower is Better",IF($J411&lt;=$I411,"Green",IF($J411&lt;=$I411+IF($I411=0,$K411,$I411*$K411),"Amber","Red")),IF($J411&gt;=$I411,"Green",IF($J411&gt;=$I411-IF($I411=0,$K411,$I411*$K411),"Amber","Red"))),"")</f>
        <v/>
      </c>
      <c r="T411" s="6" t="inlineStr"/>
    </row>
    <row r="412">
      <c r="A412" s="7" t="n">
        <v>46150</v>
      </c>
      <c r="B412" s="8">
        <f>IF($A412="","",TEXT($A412,"mmm-yyyy"))</f>
        <v/>
      </c>
      <c r="C412" s="8">
        <f>IF($A412="","","W"&amp;WEEKNUM($A412,2))</f>
        <v/>
      </c>
      <c r="D412" s="8">
        <f>IF($A412="","",TEXT($A412,"ddd"))</f>
        <v/>
      </c>
      <c r="E412" s="8" t="inlineStr">
        <is>
          <t>Utilities</t>
        </is>
      </c>
      <c r="F412" s="8">
        <f>IFERROR(INDEX(Tbl_KPIMaster[Category],MATCH($G412,Tbl_KPIMaster[KPI],0)),"")</f>
        <v/>
      </c>
      <c r="G412" s="8" t="inlineStr">
        <is>
          <t>Water Consumption</t>
        </is>
      </c>
      <c r="H412" s="8">
        <f>IFERROR(INDEX(Tbl_KPIMaster[Unit],MATCH($G412,Tbl_KPIMaster[KPI],0)),"")</f>
        <v/>
      </c>
      <c r="I412" s="9">
        <f>IFERROR(INDEX(Tbl_KPIMaster[Maximum Target],MATCH($G412,Tbl_KPIMaster[KPI],0)),"")</f>
        <v/>
      </c>
      <c r="J412" s="9" t="n">
        <v>52.69</v>
      </c>
      <c r="K412" s="8">
        <f>IFERROR(INDEX(Tbl_KPIMaster[Tolerance],MATCH($G412,Tbl_KPIMaster[KPI],0)),"")</f>
        <v/>
      </c>
      <c r="L412" s="8">
        <f>IFERROR(INDEX(Tbl_KPIMaster[Owner],MATCH($G412,Tbl_KPIMaster[KPI],0)),"")</f>
        <v/>
      </c>
      <c r="M412" s="10" t="inlineStr">
        <is>
          <t>New operator training effect</t>
        </is>
      </c>
      <c r="N412" s="8" t="inlineStr">
        <is>
          <t>Management approval pending</t>
        </is>
      </c>
      <c r="O412" s="8" t="inlineStr">
        <is>
          <t>Medium</t>
        </is>
      </c>
      <c r="P412" s="8" t="inlineStr">
        <is>
          <t>In Progress</t>
        </is>
      </c>
      <c r="Q412" s="9">
        <f>IFERROR(IF(INDEX(Tbl_KPIMaster[Direction],MATCH($G412,Tbl_KPIMaster[KPI],0))="Lower is Better",IF($J412=0,1,IF($I412=0,0,$I412/$J412)),IF($I412=0,1,$J412/$I412)),0)</f>
        <v/>
      </c>
      <c r="R412" s="8">
        <f>IF(OR($I412="",$J412=""),"",$J412-$I412)</f>
        <v/>
      </c>
      <c r="S412" s="8">
        <f>IFERROR(IF(INDEX(Tbl_KPIMaster[Direction],MATCH($G412,Tbl_KPIMaster[KPI],0))="Lower is Better",IF($J412&lt;=$I412,"Green",IF($J412&lt;=$I412+IF($I412=0,$K412,$I412*$K412),"Amber","Red")),IF($J412&gt;=$I412,"Green",IF($J412&gt;=$I412-IF($I412=0,$K412,$I412*$K412),"Amber","Red"))),"")</f>
        <v/>
      </c>
      <c r="T412" s="10" t="inlineStr"/>
    </row>
    <row r="413">
      <c r="A413" s="3" t="n">
        <v>46150</v>
      </c>
      <c r="B413" s="4">
        <f>IF($A413="","",TEXT($A413,"mmm-yyyy"))</f>
        <v/>
      </c>
      <c r="C413" s="4">
        <f>IF($A413="","","W"&amp;WEEKNUM($A413,2))</f>
        <v/>
      </c>
      <c r="D413" s="4">
        <f>IF($A413="","",TEXT($A413,"ddd"))</f>
        <v/>
      </c>
      <c r="E413" s="4" t="inlineStr">
        <is>
          <t>Warehouse</t>
        </is>
      </c>
      <c r="F413" s="4">
        <f>IFERROR(INDEX(Tbl_KPIMaster[Category],MATCH($G413,Tbl_KPIMaster[KPI],0)),"")</f>
        <v/>
      </c>
      <c r="G413" s="4" t="inlineStr">
        <is>
          <t>On-Time Dispatch %</t>
        </is>
      </c>
      <c r="H413" s="4">
        <f>IFERROR(INDEX(Tbl_KPIMaster[Unit],MATCH($G413,Tbl_KPIMaster[KPI],0)),"")</f>
        <v/>
      </c>
      <c r="I413" s="5">
        <f>IFERROR(INDEX(Tbl_KPIMaster[Maximum Target],MATCH($G413,Tbl_KPIMaster[KPI],0)),"")</f>
        <v/>
      </c>
      <c r="J413" s="5" t="n">
        <v>0.849</v>
      </c>
      <c r="K413" s="4">
        <f>IFERROR(INDEX(Tbl_KPIMaster[Tolerance],MATCH($G413,Tbl_KPIMaster[KPI],0)),"")</f>
        <v/>
      </c>
      <c r="L413" s="4">
        <f>IFERROR(INDEX(Tbl_KPIMaster[Owner],MATCH($G413,Tbl_KPIMaster[KPI],0)),"")</f>
        <v/>
      </c>
      <c r="M413" s="6" t="inlineStr">
        <is>
          <t>Line changeover impact</t>
        </is>
      </c>
      <c r="N413" s="4" t="inlineStr"/>
      <c r="O413" s="4" t="inlineStr">
        <is>
          <t>Low</t>
        </is>
      </c>
      <c r="P413" s="4" t="inlineStr">
        <is>
          <t>In Progress</t>
        </is>
      </c>
      <c r="Q413" s="5">
        <f>IFERROR(IF(INDEX(Tbl_KPIMaster[Direction],MATCH($G413,Tbl_KPIMaster[KPI],0))="Lower is Better",IF($J413=0,1,IF($I413=0,0,$I413/$J413)),IF($I413=0,1,$J413/$I413)),0)</f>
        <v/>
      </c>
      <c r="R413" s="4">
        <f>IF(OR($I413="",$J413=""),"",$J413-$I413)</f>
        <v/>
      </c>
      <c r="S413" s="4">
        <f>IFERROR(IF(INDEX(Tbl_KPIMaster[Direction],MATCH($G413,Tbl_KPIMaster[KPI],0))="Lower is Better",IF($J413&lt;=$I413,"Green",IF($J413&lt;=$I413+IF($I413=0,$K413,$I413*$K413),"Amber","Red")),IF($J413&gt;=$I413,"Green",IF($J413&gt;=$I413-IF($I413=0,$K413,$I413*$K413),"Amber","Red"))),"")</f>
        <v/>
      </c>
      <c r="T413" s="6" t="inlineStr"/>
    </row>
    <row r="414">
      <c r="A414" s="7" t="n">
        <v>46150</v>
      </c>
      <c r="B414" s="8">
        <f>IF($A414="","",TEXT($A414,"mmm-yyyy"))</f>
        <v/>
      </c>
      <c r="C414" s="8">
        <f>IF($A414="","","W"&amp;WEEKNUM($A414,2))</f>
        <v/>
      </c>
      <c r="D414" s="8">
        <f>IF($A414="","",TEXT($A414,"ddd"))</f>
        <v/>
      </c>
      <c r="E414" s="8" t="inlineStr">
        <is>
          <t>Warehouse</t>
        </is>
      </c>
      <c r="F414" s="8">
        <f>IFERROR(INDEX(Tbl_KPIMaster[Category],MATCH($G414,Tbl_KPIMaster[KPI],0)),"")</f>
        <v/>
      </c>
      <c r="G414" s="8" t="inlineStr">
        <is>
          <t>Inventory Accuracy %</t>
        </is>
      </c>
      <c r="H414" s="8">
        <f>IFERROR(INDEX(Tbl_KPIMaster[Unit],MATCH($G414,Tbl_KPIMaster[KPI],0)),"")</f>
        <v/>
      </c>
      <c r="I414" s="9">
        <f>IFERROR(INDEX(Tbl_KPIMaster[Maximum Target],MATCH($G414,Tbl_KPIMaster[KPI],0)),"")</f>
        <v/>
      </c>
      <c r="J414" s="9" t="n">
        <v>1.0939</v>
      </c>
      <c r="K414" s="8">
        <f>IFERROR(INDEX(Tbl_KPIMaster[Tolerance],MATCH($G414,Tbl_KPIMaster[KPI],0)),"")</f>
        <v/>
      </c>
      <c r="L414" s="8">
        <f>IFERROR(INDEX(Tbl_KPIMaster[Owner],MATCH($G414,Tbl_KPIMaster[KPI],0)),"")</f>
        <v/>
      </c>
      <c r="M414" s="10" t="inlineStr">
        <is>
          <t>Line changeover impact</t>
        </is>
      </c>
      <c r="N414" s="8" t="inlineStr">
        <is>
          <t>Engineering support needed</t>
        </is>
      </c>
      <c r="O414" s="8" t="inlineStr">
        <is>
          <t>High</t>
        </is>
      </c>
      <c r="P414" s="8" t="inlineStr">
        <is>
          <t>Closed</t>
        </is>
      </c>
      <c r="Q414" s="9">
        <f>IFERROR(IF(INDEX(Tbl_KPIMaster[Direction],MATCH($G414,Tbl_KPIMaster[KPI],0))="Lower is Better",IF($J414=0,1,IF($I414=0,0,$I414/$J414)),IF($I414=0,1,$J414/$I414)),0)</f>
        <v/>
      </c>
      <c r="R414" s="8">
        <f>IF(OR($I414="",$J414=""),"",$J414-$I414)</f>
        <v/>
      </c>
      <c r="S414" s="8">
        <f>IFERROR(IF(INDEX(Tbl_KPIMaster[Direction],MATCH($G414,Tbl_KPIMaster[KPI],0))="Lower is Better",IF($J414&lt;=$I414,"Green",IF($J414&lt;=$I414+IF($I414=0,$K414,$I414*$K414),"Amber","Red")),IF($J414&gt;=$I414,"Green",IF($J414&gt;=$I414-IF($I414=0,$K414,$I414*$K414),"Amber","Red"))),"")</f>
        <v/>
      </c>
      <c r="T414" s="10" t="inlineStr"/>
    </row>
    <row r="415">
      <c r="A415" s="3" t="n">
        <v>46150</v>
      </c>
      <c r="B415" s="4">
        <f>IF($A415="","",TEXT($A415,"mmm-yyyy"))</f>
        <v/>
      </c>
      <c r="C415" s="4">
        <f>IF($A415="","","W"&amp;WEEKNUM($A415,2))</f>
        <v/>
      </c>
      <c r="D415" s="4">
        <f>IF($A415="","",TEXT($A415,"ddd"))</f>
        <v/>
      </c>
      <c r="E415" s="4" t="inlineStr">
        <is>
          <t>HR</t>
        </is>
      </c>
      <c r="F415" s="4">
        <f>IFERROR(INDEX(Tbl_KPIMaster[Category],MATCH($G415,Tbl_KPIMaster[KPI],0)),"")</f>
        <v/>
      </c>
      <c r="G415" s="4" t="inlineStr">
        <is>
          <t>Absenteeism %</t>
        </is>
      </c>
      <c r="H415" s="4">
        <f>IFERROR(INDEX(Tbl_KPIMaster[Unit],MATCH($G415,Tbl_KPIMaster[KPI],0)),"")</f>
        <v/>
      </c>
      <c r="I415" s="5">
        <f>IFERROR(INDEX(Tbl_KPIMaster[Maximum Target],MATCH($G415,Tbl_KPIMaster[KPI],0)),"")</f>
        <v/>
      </c>
      <c r="J415" s="5" t="n">
        <v>0</v>
      </c>
      <c r="K415" s="4">
        <f>IFERROR(INDEX(Tbl_KPIMaster[Tolerance],MATCH($G415,Tbl_KPIMaster[KPI],0)),"")</f>
        <v/>
      </c>
      <c r="L415" s="4">
        <f>IFERROR(INDEX(Tbl_KPIMaster[Owner],MATCH($G415,Tbl_KPIMaster[KPI],0)),"")</f>
        <v/>
      </c>
      <c r="M415" s="6" t="inlineStr">
        <is>
          <t>New operator training effect</t>
        </is>
      </c>
      <c r="N415" s="4" t="inlineStr"/>
      <c r="O415" s="4" t="inlineStr">
        <is>
          <t>Low</t>
        </is>
      </c>
      <c r="P415" s="4" t="inlineStr">
        <is>
          <t>In Progress</t>
        </is>
      </c>
      <c r="Q415" s="5">
        <f>IFERROR(IF(INDEX(Tbl_KPIMaster[Direction],MATCH($G415,Tbl_KPIMaster[KPI],0))="Lower is Better",IF($J415=0,1,IF($I415=0,0,$I415/$J415)),IF($I415=0,1,$J415/$I415)),0)</f>
        <v/>
      </c>
      <c r="R415" s="4">
        <f>IF(OR($I415="",$J415=""),"",$J415-$I415)</f>
        <v/>
      </c>
      <c r="S415" s="4">
        <f>IFERROR(IF(INDEX(Tbl_KPIMaster[Direction],MATCH($G415,Tbl_KPIMaster[KPI],0))="Lower is Better",IF($J415&lt;=$I415,"Green",IF($J415&lt;=$I415+IF($I415=0,$K415,$I415*$K415),"Amber","Red")),IF($J415&gt;=$I415,"Green",IF($J415&gt;=$I415-IF($I415=0,$K415,$I415*$K415),"Amber","Red"))),"")</f>
        <v/>
      </c>
      <c r="T415" s="6" t="inlineStr"/>
    </row>
    <row r="416">
      <c r="A416" s="7" t="n">
        <v>46150</v>
      </c>
      <c r="B416" s="8">
        <f>IF($A416="","",TEXT($A416,"mmm-yyyy"))</f>
        <v/>
      </c>
      <c r="C416" s="8">
        <f>IF($A416="","","W"&amp;WEEKNUM($A416,2))</f>
        <v/>
      </c>
      <c r="D416" s="8">
        <f>IF($A416="","",TEXT($A416,"ddd"))</f>
        <v/>
      </c>
      <c r="E416" s="8" t="inlineStr">
        <is>
          <t>HR</t>
        </is>
      </c>
      <c r="F416" s="8">
        <f>IFERROR(INDEX(Tbl_KPIMaster[Category],MATCH($G416,Tbl_KPIMaster[KPI],0)),"")</f>
        <v/>
      </c>
      <c r="G416" s="8" t="inlineStr">
        <is>
          <t>Training Hours</t>
        </is>
      </c>
      <c r="H416" s="8">
        <f>IFERROR(INDEX(Tbl_KPIMaster[Unit],MATCH($G416,Tbl_KPIMaster[KPI],0)),"")</f>
        <v/>
      </c>
      <c r="I416" s="9">
        <f>IFERROR(INDEX(Tbl_KPIMaster[Maximum Target],MATCH($G416,Tbl_KPIMaster[KPI],0)),"")</f>
        <v/>
      </c>
      <c r="J416" s="9" t="n">
        <v>2</v>
      </c>
      <c r="K416" s="8">
        <f>IFERROR(INDEX(Tbl_KPIMaster[Tolerance],MATCH($G416,Tbl_KPIMaster[KPI],0)),"")</f>
        <v/>
      </c>
      <c r="L416" s="8">
        <f>IFERROR(INDEX(Tbl_KPIMaster[Owner],MATCH($G416,Tbl_KPIMaster[KPI],0)),"")</f>
        <v/>
      </c>
      <c r="M416" s="10" t="inlineStr">
        <is>
          <t>Awaiting spares</t>
        </is>
      </c>
      <c r="N416" s="8" t="inlineStr">
        <is>
          <t>Procurement follow-up</t>
        </is>
      </c>
      <c r="O416" s="8" t="inlineStr">
        <is>
          <t>Low</t>
        </is>
      </c>
      <c r="P416" s="8" t="inlineStr">
        <is>
          <t>Closed</t>
        </is>
      </c>
      <c r="Q416" s="9">
        <f>IFERROR(IF(INDEX(Tbl_KPIMaster[Direction],MATCH($G416,Tbl_KPIMaster[KPI],0))="Lower is Better",IF($J416=0,1,IF($I416=0,0,$I416/$J416)),IF($I416=0,1,$J416/$I416)),0)</f>
        <v/>
      </c>
      <c r="R416" s="8">
        <f>IF(OR($I416="",$J416=""),"",$J416-$I416)</f>
        <v/>
      </c>
      <c r="S416" s="8">
        <f>IFERROR(IF(INDEX(Tbl_KPIMaster[Direction],MATCH($G416,Tbl_KPIMaster[KPI],0))="Lower is Better",IF($J416&lt;=$I416,"Green",IF($J416&lt;=$I416+IF($I416=0,$K416,$I416*$K416),"Amber","Red")),IF($J416&gt;=$I416,"Green",IF($J416&gt;=$I416-IF($I416=0,$K416,$I416*$K416),"Amber","Red"))),"")</f>
        <v/>
      </c>
      <c r="T416" s="10" t="inlineStr"/>
    </row>
    <row r="417">
      <c r="A417" s="3" t="n">
        <v>46150</v>
      </c>
      <c r="B417" s="4">
        <f>IF($A417="","",TEXT($A417,"mmm-yyyy"))</f>
        <v/>
      </c>
      <c r="C417" s="4">
        <f>IF($A417="","","W"&amp;WEEKNUM($A417,2))</f>
        <v/>
      </c>
      <c r="D417" s="4">
        <f>IF($A417="","",TEXT($A417,"ddd"))</f>
        <v/>
      </c>
      <c r="E417" s="4" t="inlineStr">
        <is>
          <t>Engineering</t>
        </is>
      </c>
      <c r="F417" s="4">
        <f>IFERROR(INDEX(Tbl_KPIMaster[Category],MATCH($G417,Tbl_KPIMaster[KPI],0)),"")</f>
        <v/>
      </c>
      <c r="G417" s="4" t="inlineStr">
        <is>
          <t>Project Milestone Adherence %</t>
        </is>
      </c>
      <c r="H417" s="4">
        <f>IFERROR(INDEX(Tbl_KPIMaster[Unit],MATCH($G417,Tbl_KPIMaster[KPI],0)),"")</f>
        <v/>
      </c>
      <c r="I417" s="5">
        <f>IFERROR(INDEX(Tbl_KPIMaster[Maximum Target],MATCH($G417,Tbl_KPIMaster[KPI],0)),"")</f>
        <v/>
      </c>
      <c r="J417" s="5" t="n">
        <v>1.1086</v>
      </c>
      <c r="K417" s="4">
        <f>IFERROR(INDEX(Tbl_KPIMaster[Tolerance],MATCH($G417,Tbl_KPIMaster[KPI],0)),"")</f>
        <v/>
      </c>
      <c r="L417" s="4">
        <f>IFERROR(INDEX(Tbl_KPIMaster[Owner],MATCH($G417,Tbl_KPIMaster[KPI],0)),"")</f>
        <v/>
      </c>
      <c r="M417" s="6" t="inlineStr">
        <is>
          <t>Manpower shortage</t>
        </is>
      </c>
      <c r="N417" s="4" t="inlineStr">
        <is>
          <t>Procurement follow-up</t>
        </is>
      </c>
      <c r="O417" s="4" t="inlineStr">
        <is>
          <t>Low</t>
        </is>
      </c>
      <c r="P417" s="4" t="inlineStr">
        <is>
          <t>Closed</t>
        </is>
      </c>
      <c r="Q417" s="5">
        <f>IFERROR(IF(INDEX(Tbl_KPIMaster[Direction],MATCH($G417,Tbl_KPIMaster[KPI],0))="Lower is Better",IF($J417=0,1,IF($I417=0,0,$I417/$J417)),IF($I417=0,1,$J417/$I417)),0)</f>
        <v/>
      </c>
      <c r="R417" s="4">
        <f>IF(OR($I417="",$J417=""),"",$J417-$I417)</f>
        <v/>
      </c>
      <c r="S417" s="4">
        <f>IFERROR(IF(INDEX(Tbl_KPIMaster[Direction],MATCH($G417,Tbl_KPIMaster[KPI],0))="Lower is Better",IF($J417&lt;=$I417,"Green",IF($J417&lt;=$I417+IF($I417=0,$K417,$I417*$K417),"Amber","Red")),IF($J417&gt;=$I417,"Green",IF($J417&gt;=$I417-IF($I417=0,$K417,$I417*$K417),"Amber","Red"))),"")</f>
        <v/>
      </c>
      <c r="T417" s="6" t="inlineStr"/>
    </row>
    <row r="418">
      <c r="A418" s="7" t="n">
        <v>46150</v>
      </c>
      <c r="B418" s="8">
        <f>IF($A418="","",TEXT($A418,"mmm-yyyy"))</f>
        <v/>
      </c>
      <c r="C418" s="8">
        <f>IF($A418="","","W"&amp;WEEKNUM($A418,2))</f>
        <v/>
      </c>
      <c r="D418" s="8">
        <f>IF($A418="","",TEXT($A418,"ddd"))</f>
        <v/>
      </c>
      <c r="E418" s="8" t="inlineStr">
        <is>
          <t>Engineering</t>
        </is>
      </c>
      <c r="F418" s="8">
        <f>IFERROR(INDEX(Tbl_KPIMaster[Category],MATCH($G418,Tbl_KPIMaster[KPI],0)),"")</f>
        <v/>
      </c>
      <c r="G418" s="8" t="inlineStr">
        <is>
          <t>Breakdown Resolution Time</t>
        </is>
      </c>
      <c r="H418" s="8">
        <f>IFERROR(INDEX(Tbl_KPIMaster[Unit],MATCH($G418,Tbl_KPIMaster[KPI],0)),"")</f>
        <v/>
      </c>
      <c r="I418" s="9">
        <f>IFERROR(INDEX(Tbl_KPIMaster[Maximum Target],MATCH($G418,Tbl_KPIMaster[KPI],0)),"")</f>
        <v/>
      </c>
      <c r="J418" s="9" t="n">
        <v>0</v>
      </c>
      <c r="K418" s="8">
        <f>IFERROR(INDEX(Tbl_KPIMaster[Tolerance],MATCH($G418,Tbl_KPIMaster[KPI],0)),"")</f>
        <v/>
      </c>
      <c r="L418" s="8">
        <f>IFERROR(INDEX(Tbl_KPIMaster[Owner],MATCH($G418,Tbl_KPIMaster[KPI],0)),"")</f>
        <v/>
      </c>
      <c r="M418" s="10" t="inlineStr"/>
      <c r="N418" s="8" t="inlineStr">
        <is>
          <t>Procurement follow-up</t>
        </is>
      </c>
      <c r="O418" s="8" t="inlineStr">
        <is>
          <t>High</t>
        </is>
      </c>
      <c r="P418" s="8" t="inlineStr">
        <is>
          <t>Closed</t>
        </is>
      </c>
      <c r="Q418" s="9">
        <f>IFERROR(IF(INDEX(Tbl_KPIMaster[Direction],MATCH($G418,Tbl_KPIMaster[KPI],0))="Lower is Better",IF($J418=0,1,IF($I418=0,0,$I418/$J418)),IF($I418=0,1,$J418/$I418)),0)</f>
        <v/>
      </c>
      <c r="R418" s="8">
        <f>IF(OR($I418="",$J418=""),"",$J418-$I418)</f>
        <v/>
      </c>
      <c r="S418" s="8">
        <f>IFERROR(IF(INDEX(Tbl_KPIMaster[Direction],MATCH($G418,Tbl_KPIMaster[KPI],0))="Lower is Better",IF($J418&lt;=$I418,"Green",IF($J418&lt;=$I418+IF($I418=0,$K418,$I418*$K418),"Amber","Red")),IF($J418&gt;=$I418,"Green",IF($J418&gt;=$I418-IF($I418=0,$K418,$I418*$K418),"Amber","Red"))),"")</f>
        <v/>
      </c>
      <c r="T418" s="10" t="inlineStr"/>
    </row>
    <row r="419">
      <c r="A419" s="3" t="n">
        <v>46150</v>
      </c>
      <c r="B419" s="4">
        <f>IF($A419="","",TEXT($A419,"mmm-yyyy"))</f>
        <v/>
      </c>
      <c r="C419" s="4">
        <f>IF($A419="","","W"&amp;WEEKNUM($A419,2))</f>
        <v/>
      </c>
      <c r="D419" s="4">
        <f>IF($A419="","",TEXT($A419,"ddd"))</f>
        <v/>
      </c>
      <c r="E419" s="4" t="inlineStr">
        <is>
          <t>Cost</t>
        </is>
      </c>
      <c r="F419" s="4">
        <f>IFERROR(INDEX(Tbl_KPIMaster[Category],MATCH($G419,Tbl_KPIMaster[KPI],0)),"")</f>
        <v/>
      </c>
      <c r="G419" s="4" t="inlineStr">
        <is>
          <t>Cost per Unit</t>
        </is>
      </c>
      <c r="H419" s="4">
        <f>IFERROR(INDEX(Tbl_KPIMaster[Unit],MATCH($G419,Tbl_KPIMaster[KPI],0)),"")</f>
        <v/>
      </c>
      <c r="I419" s="5">
        <f>IFERROR(INDEX(Tbl_KPIMaster[Maximum Target],MATCH($G419,Tbl_KPIMaster[KPI],0)),"")</f>
        <v/>
      </c>
      <c r="J419" s="5" t="n">
        <v>32.59</v>
      </c>
      <c r="K419" s="4">
        <f>IFERROR(INDEX(Tbl_KPIMaster[Tolerance],MATCH($G419,Tbl_KPIMaster[KPI],0)),"")</f>
        <v/>
      </c>
      <c r="L419" s="4">
        <f>IFERROR(INDEX(Tbl_KPIMaster[Owner],MATCH($G419,Tbl_KPIMaster[KPI],0)),"")</f>
        <v/>
      </c>
      <c r="M419" s="6" t="inlineStr">
        <is>
          <t>Equipment breakdown</t>
        </is>
      </c>
      <c r="N419" s="4" t="inlineStr">
        <is>
          <t>Management approval pending</t>
        </is>
      </c>
      <c r="O419" s="4" t="inlineStr">
        <is>
          <t>Low</t>
        </is>
      </c>
      <c r="P419" s="4" t="inlineStr">
        <is>
          <t>Open</t>
        </is>
      </c>
      <c r="Q419" s="5">
        <f>IFERROR(IF(INDEX(Tbl_KPIMaster[Direction],MATCH($G419,Tbl_KPIMaster[KPI],0))="Lower is Better",IF($J419=0,1,IF($I419=0,0,$I419/$J419)),IF($I419=0,1,$J419/$I419)),0)</f>
        <v/>
      </c>
      <c r="R419" s="4">
        <f>IF(OR($I419="",$J419=""),"",$J419-$I419)</f>
        <v/>
      </c>
      <c r="S419" s="4">
        <f>IFERROR(IF(INDEX(Tbl_KPIMaster[Direction],MATCH($G419,Tbl_KPIMaster[KPI],0))="Lower is Better",IF($J419&lt;=$I419,"Green",IF($J419&lt;=$I419+IF($I419=0,$K419,$I419*$K419),"Amber","Red")),IF($J419&gt;=$I419,"Green",IF($J419&gt;=$I419-IF($I419=0,$K419,$I419*$K419),"Amber","Red"))),"")</f>
        <v/>
      </c>
      <c r="T419" s="6" t="inlineStr"/>
    </row>
    <row r="420">
      <c r="A420" s="7" t="n">
        <v>46150</v>
      </c>
      <c r="B420" s="8">
        <f>IF($A420="","",TEXT($A420,"mmm-yyyy"))</f>
        <v/>
      </c>
      <c r="C420" s="8">
        <f>IF($A420="","","W"&amp;WEEKNUM($A420,2))</f>
        <v/>
      </c>
      <c r="D420" s="8">
        <f>IF($A420="","",TEXT($A420,"ddd"))</f>
        <v/>
      </c>
      <c r="E420" s="8" t="inlineStr">
        <is>
          <t>Cost</t>
        </is>
      </c>
      <c r="F420" s="8">
        <f>IFERROR(INDEX(Tbl_KPIMaster[Category],MATCH($G420,Tbl_KPIMaster[KPI],0)),"")</f>
        <v/>
      </c>
      <c r="G420" s="8" t="inlineStr">
        <is>
          <t>Budget Variance %</t>
        </is>
      </c>
      <c r="H420" s="8">
        <f>IFERROR(INDEX(Tbl_KPIMaster[Unit],MATCH($G420,Tbl_KPIMaster[KPI],0)),"")</f>
        <v/>
      </c>
      <c r="I420" s="9">
        <f>IFERROR(INDEX(Tbl_KPIMaster[Maximum Target],MATCH($G420,Tbl_KPIMaster[KPI],0)),"")</f>
        <v/>
      </c>
      <c r="J420" s="9" t="n">
        <v>0.214</v>
      </c>
      <c r="K420" s="8">
        <f>IFERROR(INDEX(Tbl_KPIMaster[Tolerance],MATCH($G420,Tbl_KPIMaster[KPI],0)),"")</f>
        <v/>
      </c>
      <c r="L420" s="8">
        <f>IFERROR(INDEX(Tbl_KPIMaster[Owner],MATCH($G420,Tbl_KPIMaster[KPI],0)),"")</f>
        <v/>
      </c>
      <c r="M420" s="10" t="inlineStr">
        <is>
          <t>Awaiting spares</t>
        </is>
      </c>
      <c r="N420" s="8" t="inlineStr"/>
      <c r="O420" s="8" t="inlineStr">
        <is>
          <t>Medium</t>
        </is>
      </c>
      <c r="P420" s="8" t="inlineStr">
        <is>
          <t>In Progress</t>
        </is>
      </c>
      <c r="Q420" s="9">
        <f>IFERROR(IF(INDEX(Tbl_KPIMaster[Direction],MATCH($G420,Tbl_KPIMaster[KPI],0))="Lower is Better",IF($J420=0,1,IF($I420=0,0,$I420/$J420)),IF($I420=0,1,$J420/$I420)),0)</f>
        <v/>
      </c>
      <c r="R420" s="8">
        <f>IF(OR($I420="",$J420=""),"",$J420-$I420)</f>
        <v/>
      </c>
      <c r="S420" s="8">
        <f>IFERROR(IF(INDEX(Tbl_KPIMaster[Direction],MATCH($G420,Tbl_KPIMaster[KPI],0))="Lower is Better",IF($J420&lt;=$I420,"Green",IF($J420&lt;=$I420+IF($I420=0,$K420,$I420*$K420),"Amber","Red")),IF($J420&gt;=$I420,"Green",IF($J420&gt;=$I420-IF($I420=0,$K420,$I420*$K420),"Amber","Red"))),"")</f>
        <v/>
      </c>
      <c r="T420" s="10" t="inlineStr"/>
    </row>
    <row r="421">
      <c r="A421" s="3" t="n">
        <v>46150</v>
      </c>
      <c r="B421" s="4">
        <f>IF($A421="","",TEXT($A421,"mmm-yyyy"))</f>
        <v/>
      </c>
      <c r="C421" s="4">
        <f>IF($A421="","","W"&amp;WEEKNUM($A421,2))</f>
        <v/>
      </c>
      <c r="D421" s="4">
        <f>IF($A421="","",TEXT($A421,"ddd"))</f>
        <v/>
      </c>
      <c r="E421" s="4" t="inlineStr">
        <is>
          <t>Energy</t>
        </is>
      </c>
      <c r="F421" s="4">
        <f>IFERROR(INDEX(Tbl_KPIMaster[Category],MATCH($G421,Tbl_KPIMaster[KPI],0)),"")</f>
        <v/>
      </c>
      <c r="G421" s="4" t="inlineStr">
        <is>
          <t>Energy Intensity (kWh/unit)</t>
        </is>
      </c>
      <c r="H421" s="4">
        <f>IFERROR(INDEX(Tbl_KPIMaster[Unit],MATCH($G421,Tbl_KPIMaster[KPI],0)),"")</f>
        <v/>
      </c>
      <c r="I421" s="5">
        <f>IFERROR(INDEX(Tbl_KPIMaster[Maximum Target],MATCH($G421,Tbl_KPIMaster[KPI],0)),"")</f>
        <v/>
      </c>
      <c r="J421" s="5" t="n">
        <v>4.31</v>
      </c>
      <c r="K421" s="4">
        <f>IFERROR(INDEX(Tbl_KPIMaster[Tolerance],MATCH($G421,Tbl_KPIMaster[KPI],0)),"")</f>
        <v/>
      </c>
      <c r="L421" s="4">
        <f>IFERROR(INDEX(Tbl_KPIMaster[Owner],MATCH($G421,Tbl_KPIMaster[KPI],0)),"")</f>
        <v/>
      </c>
      <c r="M421" s="6" t="inlineStr">
        <is>
          <t>Awaiting spares</t>
        </is>
      </c>
      <c r="N421" s="4" t="inlineStr"/>
      <c r="O421" s="4" t="inlineStr">
        <is>
          <t>Medium</t>
        </is>
      </c>
      <c r="P421" s="4" t="inlineStr">
        <is>
          <t>Closed</t>
        </is>
      </c>
      <c r="Q421" s="5">
        <f>IFERROR(IF(INDEX(Tbl_KPIMaster[Direction],MATCH($G421,Tbl_KPIMaster[KPI],0))="Lower is Better",IF($J421=0,1,IF($I421=0,0,$I421/$J421)),IF($I421=0,1,$J421/$I421)),0)</f>
        <v/>
      </c>
      <c r="R421" s="4">
        <f>IF(OR($I421="",$J421=""),"",$J421-$I421)</f>
        <v/>
      </c>
      <c r="S421" s="4">
        <f>IFERROR(IF(INDEX(Tbl_KPIMaster[Direction],MATCH($G421,Tbl_KPIMaster[KPI],0))="Lower is Better",IF($J421&lt;=$I421,"Green",IF($J421&lt;=$I421+IF($I421=0,$K421,$I421*$K421),"Amber","Red")),IF($J421&gt;=$I421,"Green",IF($J421&gt;=$I421-IF($I421=0,$K421,$I421*$K421),"Amber","Red"))),"")</f>
        <v/>
      </c>
      <c r="T421" s="6" t="inlineStr"/>
    </row>
    <row r="422">
      <c r="A422" s="7" t="n">
        <v>46150</v>
      </c>
      <c r="B422" s="8">
        <f>IF($A422="","",TEXT($A422,"mmm-yyyy"))</f>
        <v/>
      </c>
      <c r="C422" s="8">
        <f>IF($A422="","","W"&amp;WEEKNUM($A422,2))</f>
        <v/>
      </c>
      <c r="D422" s="8">
        <f>IF($A422="","",TEXT($A422,"ddd"))</f>
        <v/>
      </c>
      <c r="E422" s="8" t="inlineStr">
        <is>
          <t>Energy</t>
        </is>
      </c>
      <c r="F422" s="8">
        <f>IFERROR(INDEX(Tbl_KPIMaster[Category],MATCH($G422,Tbl_KPIMaster[KPI],0)),"")</f>
        <v/>
      </c>
      <c r="G422" s="8" t="inlineStr">
        <is>
          <t>Renewable Energy Share %</t>
        </is>
      </c>
      <c r="H422" s="8">
        <f>IFERROR(INDEX(Tbl_KPIMaster[Unit],MATCH($G422,Tbl_KPIMaster[KPI],0)),"")</f>
        <v/>
      </c>
      <c r="I422" s="9">
        <f>IFERROR(INDEX(Tbl_KPIMaster[Maximum Target],MATCH($G422,Tbl_KPIMaster[KPI],0)),"")</f>
        <v/>
      </c>
      <c r="J422" s="9" t="n">
        <v>0.2779</v>
      </c>
      <c r="K422" s="8">
        <f>IFERROR(INDEX(Tbl_KPIMaster[Tolerance],MATCH($G422,Tbl_KPIMaster[KPI],0)),"")</f>
        <v/>
      </c>
      <c r="L422" s="8">
        <f>IFERROR(INDEX(Tbl_KPIMaster[Owner],MATCH($G422,Tbl_KPIMaster[KPI],0)),"")</f>
        <v/>
      </c>
      <c r="M422" s="10" t="inlineStr"/>
      <c r="N422" s="8" t="inlineStr">
        <is>
          <t>Engineering support needed</t>
        </is>
      </c>
      <c r="O422" s="8" t="inlineStr">
        <is>
          <t>Low</t>
        </is>
      </c>
      <c r="P422" s="8" t="inlineStr">
        <is>
          <t>Closed</t>
        </is>
      </c>
      <c r="Q422" s="9">
        <f>IFERROR(IF(INDEX(Tbl_KPIMaster[Direction],MATCH($G422,Tbl_KPIMaster[KPI],0))="Lower is Better",IF($J422=0,1,IF($I422=0,0,$I422/$J422)),IF($I422=0,1,$J422/$I422)),0)</f>
        <v/>
      </c>
      <c r="R422" s="8">
        <f>IF(OR($I422="",$J422=""),"",$J422-$I422)</f>
        <v/>
      </c>
      <c r="S422" s="8">
        <f>IFERROR(IF(INDEX(Tbl_KPIMaster[Direction],MATCH($G422,Tbl_KPIMaster[KPI],0))="Lower is Better",IF($J422&lt;=$I422,"Green",IF($J422&lt;=$I422+IF($I422=0,$K422,$I422*$K422),"Amber","Red")),IF($J422&gt;=$I422,"Green",IF($J422&gt;=$I422-IF($I422=0,$K422,$I422*$K422),"Amber","Red"))),"")</f>
        <v/>
      </c>
      <c r="T422" s="10" t="inlineStr"/>
    </row>
    <row r="423">
      <c r="A423" s="3" t="n">
        <v>46151</v>
      </c>
      <c r="B423" s="4">
        <f>IF($A423="","",TEXT($A423,"mmm-yyyy"))</f>
        <v/>
      </c>
      <c r="C423" s="4">
        <f>IF($A423="","","W"&amp;WEEKNUM($A423,2))</f>
        <v/>
      </c>
      <c r="D423" s="4">
        <f>IF($A423="","",TEXT($A423,"ddd"))</f>
        <v/>
      </c>
      <c r="E423" s="4" t="inlineStr">
        <is>
          <t>Safety</t>
        </is>
      </c>
      <c r="F423" s="4">
        <f>IFERROR(INDEX(Tbl_KPIMaster[Category],MATCH($G423,Tbl_KPIMaster[KPI],0)),"")</f>
        <v/>
      </c>
      <c r="G423" s="4" t="inlineStr">
        <is>
          <t>Safety Incidents (LTI)</t>
        </is>
      </c>
      <c r="H423" s="4">
        <f>IFERROR(INDEX(Tbl_KPIMaster[Unit],MATCH($G423,Tbl_KPIMaster[KPI],0)),"")</f>
        <v/>
      </c>
      <c r="I423" s="5">
        <f>IFERROR(INDEX(Tbl_KPIMaster[Maximum Target],MATCH($G423,Tbl_KPIMaster[KPI],0)),"")</f>
        <v/>
      </c>
      <c r="J423" s="5" t="n">
        <v>0</v>
      </c>
      <c r="K423" s="4">
        <f>IFERROR(INDEX(Tbl_KPIMaster[Tolerance],MATCH($G423,Tbl_KPIMaster[KPI],0)),"")</f>
        <v/>
      </c>
      <c r="L423" s="4">
        <f>IFERROR(INDEX(Tbl_KPIMaster[Owner],MATCH($G423,Tbl_KPIMaster[KPI],0)),"")</f>
        <v/>
      </c>
      <c r="M423" s="6" t="inlineStr">
        <is>
          <t>Equipment breakdown</t>
        </is>
      </c>
      <c r="N423" s="4" t="inlineStr"/>
      <c r="O423" s="4" t="inlineStr">
        <is>
          <t>Medium</t>
        </is>
      </c>
      <c r="P423" s="4" t="inlineStr">
        <is>
          <t>In Progress</t>
        </is>
      </c>
      <c r="Q423" s="5">
        <f>IFERROR(IF(INDEX(Tbl_KPIMaster[Direction],MATCH($G423,Tbl_KPIMaster[KPI],0))="Lower is Better",IF($J423=0,1,IF($I423=0,0,$I423/$J423)),IF($I423=0,1,$J423/$I423)),0)</f>
        <v/>
      </c>
      <c r="R423" s="4">
        <f>IF(OR($I423="",$J423=""),"",$J423-$I423)</f>
        <v/>
      </c>
      <c r="S423" s="4">
        <f>IFERROR(IF(INDEX(Tbl_KPIMaster[Direction],MATCH($G423,Tbl_KPIMaster[KPI],0))="Lower is Better",IF($J423&lt;=$I423,"Green",IF($J423&lt;=$I423+IF($I423=0,$K423,$I423*$K423),"Amber","Red")),IF($J423&gt;=$I423,"Green",IF($J423&gt;=$I423-IF($I423=0,$K423,$I423*$K423),"Amber","Red"))),"")</f>
        <v/>
      </c>
      <c r="T423" s="6" t="inlineStr"/>
    </row>
    <row r="424">
      <c r="A424" s="7" t="n">
        <v>46151</v>
      </c>
      <c r="B424" s="8">
        <f>IF($A424="","",TEXT($A424,"mmm-yyyy"))</f>
        <v/>
      </c>
      <c r="C424" s="8">
        <f>IF($A424="","","W"&amp;WEEKNUM($A424,2))</f>
        <v/>
      </c>
      <c r="D424" s="8">
        <f>IF($A424="","",TEXT($A424,"ddd"))</f>
        <v/>
      </c>
      <c r="E424" s="8" t="inlineStr">
        <is>
          <t>Safety</t>
        </is>
      </c>
      <c r="F424" s="8">
        <f>IFERROR(INDEX(Tbl_KPIMaster[Category],MATCH($G424,Tbl_KPIMaster[KPI],0)),"")</f>
        <v/>
      </c>
      <c r="G424" s="8" t="inlineStr">
        <is>
          <t>Near Miss Reports</t>
        </is>
      </c>
      <c r="H424" s="8">
        <f>IFERROR(INDEX(Tbl_KPIMaster[Unit],MATCH($G424,Tbl_KPIMaster[KPI],0)),"")</f>
        <v/>
      </c>
      <c r="I424" s="9">
        <f>IFERROR(INDEX(Tbl_KPIMaster[Maximum Target],MATCH($G424,Tbl_KPIMaster[KPI],0)),"")</f>
        <v/>
      </c>
      <c r="J424" s="9" t="n">
        <v>2</v>
      </c>
      <c r="K424" s="8">
        <f>IFERROR(INDEX(Tbl_KPIMaster[Tolerance],MATCH($G424,Tbl_KPIMaster[KPI],0)),"")</f>
        <v/>
      </c>
      <c r="L424" s="8">
        <f>IFERROR(INDEX(Tbl_KPIMaster[Owner],MATCH($G424,Tbl_KPIMaster[KPI],0)),"")</f>
        <v/>
      </c>
      <c r="M424" s="10" t="inlineStr">
        <is>
          <t>Within normal range</t>
        </is>
      </c>
      <c r="N424" s="8" t="inlineStr"/>
      <c r="O424" s="8" t="inlineStr">
        <is>
          <t>Low</t>
        </is>
      </c>
      <c r="P424" s="8" t="inlineStr">
        <is>
          <t>Open</t>
        </is>
      </c>
      <c r="Q424" s="9">
        <f>IFERROR(IF(INDEX(Tbl_KPIMaster[Direction],MATCH($G424,Tbl_KPIMaster[KPI],0))="Lower is Better",IF($J424=0,1,IF($I424=0,0,$I424/$J424)),IF($I424=0,1,$J424/$I424)),0)</f>
        <v/>
      </c>
      <c r="R424" s="8">
        <f>IF(OR($I424="",$J424=""),"",$J424-$I424)</f>
        <v/>
      </c>
      <c r="S424" s="8">
        <f>IFERROR(IF(INDEX(Tbl_KPIMaster[Direction],MATCH($G424,Tbl_KPIMaster[KPI],0))="Lower is Better",IF($J424&lt;=$I424,"Green",IF($J424&lt;=$I424+IF($I424=0,$K424,$I424*$K424),"Amber","Red")),IF($J424&gt;=$I424,"Green",IF($J424&gt;=$I424-IF($I424=0,$K424,$I424*$K424),"Amber","Red"))),"")</f>
        <v/>
      </c>
      <c r="T424" s="10" t="inlineStr"/>
    </row>
    <row r="425">
      <c r="A425" s="3" t="n">
        <v>46151</v>
      </c>
      <c r="B425" s="4">
        <f>IF($A425="","",TEXT($A425,"mmm-yyyy"))</f>
        <v/>
      </c>
      <c r="C425" s="4">
        <f>IF($A425="","","W"&amp;WEEKNUM($A425,2))</f>
        <v/>
      </c>
      <c r="D425" s="4">
        <f>IF($A425="","",TEXT($A425,"ddd"))</f>
        <v/>
      </c>
      <c r="E425" s="4" t="inlineStr">
        <is>
          <t>Production</t>
        </is>
      </c>
      <c r="F425" s="4">
        <f>IFERROR(INDEX(Tbl_KPIMaster[Category],MATCH($G425,Tbl_KPIMaster[KPI],0)),"")</f>
        <v/>
      </c>
      <c r="G425" s="4" t="inlineStr">
        <is>
          <t>Production Output</t>
        </is>
      </c>
      <c r="H425" s="4">
        <f>IFERROR(INDEX(Tbl_KPIMaster[Unit],MATCH($G425,Tbl_KPIMaster[KPI],0)),"")</f>
        <v/>
      </c>
      <c r="I425" s="5">
        <f>IFERROR(INDEX(Tbl_KPIMaster[Maximum Target],MATCH($G425,Tbl_KPIMaster[KPI],0)),"")</f>
        <v/>
      </c>
      <c r="J425" s="5" t="n">
        <v>1074.42</v>
      </c>
      <c r="K425" s="4">
        <f>IFERROR(INDEX(Tbl_KPIMaster[Tolerance],MATCH($G425,Tbl_KPIMaster[KPI],0)),"")</f>
        <v/>
      </c>
      <c r="L425" s="4">
        <f>IFERROR(INDEX(Tbl_KPIMaster[Owner],MATCH($G425,Tbl_KPIMaster[KPI],0)),"")</f>
        <v/>
      </c>
      <c r="M425" s="6" t="inlineStr">
        <is>
          <t>Line changeover impact</t>
        </is>
      </c>
      <c r="N425" s="4" t="inlineStr">
        <is>
          <t>Management approval pending</t>
        </is>
      </c>
      <c r="O425" s="4" t="inlineStr">
        <is>
          <t>High</t>
        </is>
      </c>
      <c r="P425" s="4" t="inlineStr">
        <is>
          <t>Open</t>
        </is>
      </c>
      <c r="Q425" s="5">
        <f>IFERROR(IF(INDEX(Tbl_KPIMaster[Direction],MATCH($G425,Tbl_KPIMaster[KPI],0))="Lower is Better",IF($J425=0,1,IF($I425=0,0,$I425/$J425)),IF($I425=0,1,$J425/$I425)),0)</f>
        <v/>
      </c>
      <c r="R425" s="4">
        <f>IF(OR($I425="",$J425=""),"",$J425-$I425)</f>
        <v/>
      </c>
      <c r="S425" s="4">
        <f>IFERROR(IF(INDEX(Tbl_KPIMaster[Direction],MATCH($G425,Tbl_KPIMaster[KPI],0))="Lower is Better",IF($J425&lt;=$I425,"Green",IF($J425&lt;=$I425+IF($I425=0,$K425,$I425*$K425),"Amber","Red")),IF($J425&gt;=$I425,"Green",IF($J425&gt;=$I425-IF($I425=0,$K425,$I425*$K425),"Amber","Red"))),"")</f>
        <v/>
      </c>
      <c r="T425" s="6" t="inlineStr"/>
    </row>
    <row r="426">
      <c r="A426" s="7" t="n">
        <v>46151</v>
      </c>
      <c r="B426" s="8">
        <f>IF($A426="","",TEXT($A426,"mmm-yyyy"))</f>
        <v/>
      </c>
      <c r="C426" s="8">
        <f>IF($A426="","","W"&amp;WEEKNUM($A426,2))</f>
        <v/>
      </c>
      <c r="D426" s="8">
        <f>IF($A426="","",TEXT($A426,"ddd"))</f>
        <v/>
      </c>
      <c r="E426" s="8" t="inlineStr">
        <is>
          <t>Production</t>
        </is>
      </c>
      <c r="F426" s="8">
        <f>IFERROR(INDEX(Tbl_KPIMaster[Category],MATCH($G426,Tbl_KPIMaster[KPI],0)),"")</f>
        <v/>
      </c>
      <c r="G426" s="8" t="inlineStr">
        <is>
          <t>OEE %</t>
        </is>
      </c>
      <c r="H426" s="8">
        <f>IFERROR(INDEX(Tbl_KPIMaster[Unit],MATCH($G426,Tbl_KPIMaster[KPI],0)),"")</f>
        <v/>
      </c>
      <c r="I426" s="9">
        <f>IFERROR(INDEX(Tbl_KPIMaster[Maximum Target],MATCH($G426,Tbl_KPIMaster[KPI],0)),"")</f>
        <v/>
      </c>
      <c r="J426" s="9" t="n">
        <v>0.7729</v>
      </c>
      <c r="K426" s="8">
        <f>IFERROR(INDEX(Tbl_KPIMaster[Tolerance],MATCH($G426,Tbl_KPIMaster[KPI],0)),"")</f>
        <v/>
      </c>
      <c r="L426" s="8">
        <f>IFERROR(INDEX(Tbl_KPIMaster[Owner],MATCH($G426,Tbl_KPIMaster[KPI],0)),"")</f>
        <v/>
      </c>
      <c r="M426" s="10" t="inlineStr">
        <is>
          <t>Process improvement in progress</t>
        </is>
      </c>
      <c r="N426" s="8" t="inlineStr">
        <is>
          <t>Engineering support needed</t>
        </is>
      </c>
      <c r="O426" s="8" t="inlineStr">
        <is>
          <t>Low</t>
        </is>
      </c>
      <c r="P426" s="8" t="inlineStr">
        <is>
          <t>Closed</t>
        </is>
      </c>
      <c r="Q426" s="9">
        <f>IFERROR(IF(INDEX(Tbl_KPIMaster[Direction],MATCH($G426,Tbl_KPIMaster[KPI],0))="Lower is Better",IF($J426=0,1,IF($I426=0,0,$I426/$J426)),IF($I426=0,1,$J426/$I426)),0)</f>
        <v/>
      </c>
      <c r="R426" s="8">
        <f>IF(OR($I426="",$J426=""),"",$J426-$I426)</f>
        <v/>
      </c>
      <c r="S426" s="8">
        <f>IFERROR(IF(INDEX(Tbl_KPIMaster[Direction],MATCH($G426,Tbl_KPIMaster[KPI],0))="Lower is Better",IF($J426&lt;=$I426,"Green",IF($J426&lt;=$I426+IF($I426=0,$K426,$I426*$K426),"Amber","Red")),IF($J426&gt;=$I426,"Green",IF($J426&gt;=$I426-IF($I426=0,$K426,$I426*$K426),"Amber","Red"))),"")</f>
        <v/>
      </c>
      <c r="T426" s="10" t="inlineStr"/>
    </row>
    <row r="427">
      <c r="A427" s="3" t="n">
        <v>46151</v>
      </c>
      <c r="B427" s="4">
        <f>IF($A427="","",TEXT($A427,"mmm-yyyy"))</f>
        <v/>
      </c>
      <c r="C427" s="4">
        <f>IF($A427="","","W"&amp;WEEKNUM($A427,2))</f>
        <v/>
      </c>
      <c r="D427" s="4">
        <f>IF($A427="","",TEXT($A427,"ddd"))</f>
        <v/>
      </c>
      <c r="E427" s="4" t="inlineStr">
        <is>
          <t>Quality</t>
        </is>
      </c>
      <c r="F427" s="4">
        <f>IFERROR(INDEX(Tbl_KPIMaster[Category],MATCH($G427,Tbl_KPIMaster[KPI],0)),"")</f>
        <v/>
      </c>
      <c r="G427" s="4" t="inlineStr">
        <is>
          <t>Defect Rate %</t>
        </is>
      </c>
      <c r="H427" s="4">
        <f>IFERROR(INDEX(Tbl_KPIMaster[Unit],MATCH($G427,Tbl_KPIMaster[KPI],0)),"")</f>
        <v/>
      </c>
      <c r="I427" s="5">
        <f>IFERROR(INDEX(Tbl_KPIMaster[Maximum Target],MATCH($G427,Tbl_KPIMaster[KPI],0)),"")</f>
        <v/>
      </c>
      <c r="J427" s="5" t="n">
        <v>0.0599</v>
      </c>
      <c r="K427" s="4">
        <f>IFERROR(INDEX(Tbl_KPIMaster[Tolerance],MATCH($G427,Tbl_KPIMaster[KPI],0)),"")</f>
        <v/>
      </c>
      <c r="L427" s="4">
        <f>IFERROR(INDEX(Tbl_KPIMaster[Owner],MATCH($G427,Tbl_KPIMaster[KPI],0)),"")</f>
        <v/>
      </c>
      <c r="M427" s="6" t="inlineStr"/>
      <c r="N427" s="4" t="inlineStr"/>
      <c r="O427" s="4" t="inlineStr">
        <is>
          <t>Low</t>
        </is>
      </c>
      <c r="P427" s="4" t="inlineStr">
        <is>
          <t>Closed</t>
        </is>
      </c>
      <c r="Q427" s="5">
        <f>IFERROR(IF(INDEX(Tbl_KPIMaster[Direction],MATCH($G427,Tbl_KPIMaster[KPI],0))="Lower is Better",IF($J427=0,1,IF($I427=0,0,$I427/$J427)),IF($I427=0,1,$J427/$I427)),0)</f>
        <v/>
      </c>
      <c r="R427" s="4">
        <f>IF(OR($I427="",$J427=""),"",$J427-$I427)</f>
        <v/>
      </c>
      <c r="S427" s="4">
        <f>IFERROR(IF(INDEX(Tbl_KPIMaster[Direction],MATCH($G427,Tbl_KPIMaster[KPI],0))="Lower is Better",IF($J427&lt;=$I427,"Green",IF($J427&lt;=$I427+IF($I427=0,$K427,$I427*$K427),"Amber","Red")),IF($J427&gt;=$I427,"Green",IF($J427&gt;=$I427-IF($I427=0,$K427,$I427*$K427),"Amber","Red"))),"")</f>
        <v/>
      </c>
      <c r="T427" s="6" t="inlineStr"/>
    </row>
    <row r="428">
      <c r="A428" s="7" t="n">
        <v>46151</v>
      </c>
      <c r="B428" s="8">
        <f>IF($A428="","",TEXT($A428,"mmm-yyyy"))</f>
        <v/>
      </c>
      <c r="C428" s="8">
        <f>IF($A428="","","W"&amp;WEEKNUM($A428,2))</f>
        <v/>
      </c>
      <c r="D428" s="8">
        <f>IF($A428="","",TEXT($A428,"ddd"))</f>
        <v/>
      </c>
      <c r="E428" s="8" t="inlineStr">
        <is>
          <t>Quality</t>
        </is>
      </c>
      <c r="F428" s="8">
        <f>IFERROR(INDEX(Tbl_KPIMaster[Category],MATCH($G428,Tbl_KPIMaster[KPI],0)),"")</f>
        <v/>
      </c>
      <c r="G428" s="8" t="inlineStr">
        <is>
          <t>Customer Complaints</t>
        </is>
      </c>
      <c r="H428" s="8">
        <f>IFERROR(INDEX(Tbl_KPIMaster[Unit],MATCH($G428,Tbl_KPIMaster[KPI],0)),"")</f>
        <v/>
      </c>
      <c r="I428" s="9">
        <f>IFERROR(INDEX(Tbl_KPIMaster[Maximum Target],MATCH($G428,Tbl_KPIMaster[KPI],0)),"")</f>
        <v/>
      </c>
      <c r="J428" s="9" t="n">
        <v>5</v>
      </c>
      <c r="K428" s="8">
        <f>IFERROR(INDEX(Tbl_KPIMaster[Tolerance],MATCH($G428,Tbl_KPIMaster[KPI],0)),"")</f>
        <v/>
      </c>
      <c r="L428" s="8">
        <f>IFERROR(INDEX(Tbl_KPIMaster[Owner],MATCH($G428,Tbl_KPIMaster[KPI],0)),"")</f>
        <v/>
      </c>
      <c r="M428" s="10" t="inlineStr">
        <is>
          <t>Preventive check done</t>
        </is>
      </c>
      <c r="N428" s="8" t="inlineStr"/>
      <c r="O428" s="8" t="inlineStr">
        <is>
          <t>Medium</t>
        </is>
      </c>
      <c r="P428" s="8" t="inlineStr">
        <is>
          <t>Closed</t>
        </is>
      </c>
      <c r="Q428" s="9">
        <f>IFERROR(IF(INDEX(Tbl_KPIMaster[Direction],MATCH($G428,Tbl_KPIMaster[KPI],0))="Lower is Better",IF($J428=0,1,IF($I428=0,0,$I428/$J428)),IF($I428=0,1,$J428/$I428)),0)</f>
        <v/>
      </c>
      <c r="R428" s="8">
        <f>IF(OR($I428="",$J428=""),"",$J428-$I428)</f>
        <v/>
      </c>
      <c r="S428" s="8">
        <f>IFERROR(IF(INDEX(Tbl_KPIMaster[Direction],MATCH($G428,Tbl_KPIMaster[KPI],0))="Lower is Better",IF($J428&lt;=$I428,"Green",IF($J428&lt;=$I428+IF($I428=0,$K428,$I428*$K428),"Amber","Red")),IF($J428&gt;=$I428,"Green",IF($J428&gt;=$I428-IF($I428=0,$K428,$I428*$K428),"Amber","Red"))),"")</f>
        <v/>
      </c>
      <c r="T428" s="10" t="inlineStr"/>
    </row>
    <row r="429">
      <c r="A429" s="3" t="n">
        <v>46151</v>
      </c>
      <c r="B429" s="4">
        <f>IF($A429="","",TEXT($A429,"mmm-yyyy"))</f>
        <v/>
      </c>
      <c r="C429" s="4">
        <f>IF($A429="","","W"&amp;WEEKNUM($A429,2))</f>
        <v/>
      </c>
      <c r="D429" s="4">
        <f>IF($A429="","",TEXT($A429,"ddd"))</f>
        <v/>
      </c>
      <c r="E429" s="4" t="inlineStr">
        <is>
          <t>Maintenance</t>
        </is>
      </c>
      <c r="F429" s="4">
        <f>IFERROR(INDEX(Tbl_KPIMaster[Category],MATCH($G429,Tbl_KPIMaster[KPI],0)),"")</f>
        <v/>
      </c>
      <c r="G429" s="4" t="inlineStr">
        <is>
          <t>Unplanned Downtime</t>
        </is>
      </c>
      <c r="H429" s="4">
        <f>IFERROR(INDEX(Tbl_KPIMaster[Unit],MATCH($G429,Tbl_KPIMaster[KPI],0)),"")</f>
        <v/>
      </c>
      <c r="I429" s="5">
        <f>IFERROR(INDEX(Tbl_KPIMaster[Maximum Target],MATCH($G429,Tbl_KPIMaster[KPI],0)),"")</f>
        <v/>
      </c>
      <c r="J429" s="5" t="n">
        <v>1.91</v>
      </c>
      <c r="K429" s="4">
        <f>IFERROR(INDEX(Tbl_KPIMaster[Tolerance],MATCH($G429,Tbl_KPIMaster[KPI],0)),"")</f>
        <v/>
      </c>
      <c r="L429" s="4">
        <f>IFERROR(INDEX(Tbl_KPIMaster[Owner],MATCH($G429,Tbl_KPIMaster[KPI],0)),"")</f>
        <v/>
      </c>
      <c r="M429" s="6" t="inlineStr">
        <is>
          <t>Weather impact</t>
        </is>
      </c>
      <c r="N429" s="4" t="inlineStr">
        <is>
          <t>Procurement follow-up</t>
        </is>
      </c>
      <c r="O429" s="4" t="inlineStr">
        <is>
          <t>Low</t>
        </is>
      </c>
      <c r="P429" s="4" t="inlineStr">
        <is>
          <t>Closed</t>
        </is>
      </c>
      <c r="Q429" s="5">
        <f>IFERROR(IF(INDEX(Tbl_KPIMaster[Direction],MATCH($G429,Tbl_KPIMaster[KPI],0))="Lower is Better",IF($J429=0,1,IF($I429=0,0,$I429/$J429)),IF($I429=0,1,$J429/$I429)),0)</f>
        <v/>
      </c>
      <c r="R429" s="4">
        <f>IF(OR($I429="",$J429=""),"",$J429-$I429)</f>
        <v/>
      </c>
      <c r="S429" s="4">
        <f>IFERROR(IF(INDEX(Tbl_KPIMaster[Direction],MATCH($G429,Tbl_KPIMaster[KPI],0))="Lower is Better",IF($J429&lt;=$I429,"Green",IF($J429&lt;=$I429+IF($I429=0,$K429,$I429*$K429),"Amber","Red")),IF($J429&gt;=$I429,"Green",IF($J429&gt;=$I429-IF($I429=0,$K429,$I429*$K429),"Amber","Red"))),"")</f>
        <v/>
      </c>
      <c r="T429" s="6" t="inlineStr"/>
    </row>
    <row r="430">
      <c r="A430" s="7" t="n">
        <v>46151</v>
      </c>
      <c r="B430" s="8">
        <f>IF($A430="","",TEXT($A430,"mmm-yyyy"))</f>
        <v/>
      </c>
      <c r="C430" s="8">
        <f>IF($A430="","","W"&amp;WEEKNUM($A430,2))</f>
        <v/>
      </c>
      <c r="D430" s="8">
        <f>IF($A430="","",TEXT($A430,"ddd"))</f>
        <v/>
      </c>
      <c r="E430" s="8" t="inlineStr">
        <is>
          <t>Maintenance</t>
        </is>
      </c>
      <c r="F430" s="8">
        <f>IFERROR(INDEX(Tbl_KPIMaster[Category],MATCH($G430,Tbl_KPIMaster[KPI],0)),"")</f>
        <v/>
      </c>
      <c r="G430" s="8" t="inlineStr">
        <is>
          <t>PM Compliance %</t>
        </is>
      </c>
      <c r="H430" s="8">
        <f>IFERROR(INDEX(Tbl_KPIMaster[Unit],MATCH($G430,Tbl_KPIMaster[KPI],0)),"")</f>
        <v/>
      </c>
      <c r="I430" s="9">
        <f>IFERROR(INDEX(Tbl_KPIMaster[Maximum Target],MATCH($G430,Tbl_KPIMaster[KPI],0)),"")</f>
        <v/>
      </c>
      <c r="J430" s="9" t="n">
        <v>0.8016</v>
      </c>
      <c r="K430" s="8">
        <f>IFERROR(INDEX(Tbl_KPIMaster[Tolerance],MATCH($G430,Tbl_KPIMaster[KPI],0)),"")</f>
        <v/>
      </c>
      <c r="L430" s="8">
        <f>IFERROR(INDEX(Tbl_KPIMaster[Owner],MATCH($G430,Tbl_KPIMaster[KPI],0)),"")</f>
        <v/>
      </c>
      <c r="M430" s="10" t="inlineStr"/>
      <c r="N430" s="8" t="inlineStr"/>
      <c r="O430" s="8" t="inlineStr">
        <is>
          <t>Low</t>
        </is>
      </c>
      <c r="P430" s="8" t="inlineStr">
        <is>
          <t>Open</t>
        </is>
      </c>
      <c r="Q430" s="9">
        <f>IFERROR(IF(INDEX(Tbl_KPIMaster[Direction],MATCH($G430,Tbl_KPIMaster[KPI],0))="Lower is Better",IF($J430=0,1,IF($I430=0,0,$I430/$J430)),IF($I430=0,1,$J430/$I430)),0)</f>
        <v/>
      </c>
      <c r="R430" s="8">
        <f>IF(OR($I430="",$J430=""),"",$J430-$I430)</f>
        <v/>
      </c>
      <c r="S430" s="8">
        <f>IFERROR(IF(INDEX(Tbl_KPIMaster[Direction],MATCH($G430,Tbl_KPIMaster[KPI],0))="Lower is Better",IF($J430&lt;=$I430,"Green",IF($J430&lt;=$I430+IF($I430=0,$K430,$I430*$K430),"Amber","Red")),IF($J430&gt;=$I430,"Green",IF($J430&gt;=$I430-IF($I430=0,$K430,$I430*$K430),"Amber","Red"))),"")</f>
        <v/>
      </c>
      <c r="T430" s="10" t="inlineStr"/>
    </row>
    <row r="431">
      <c r="A431" s="3" t="n">
        <v>46151</v>
      </c>
      <c r="B431" s="4">
        <f>IF($A431="","",TEXT($A431,"mmm-yyyy"))</f>
        <v/>
      </c>
      <c r="C431" s="4">
        <f>IF($A431="","","W"&amp;WEEKNUM($A431,2))</f>
        <v/>
      </c>
      <c r="D431" s="4">
        <f>IF($A431="","",TEXT($A431,"ddd"))</f>
        <v/>
      </c>
      <c r="E431" s="4" t="inlineStr">
        <is>
          <t>Utilities</t>
        </is>
      </c>
      <c r="F431" s="4">
        <f>IFERROR(INDEX(Tbl_KPIMaster[Category],MATCH($G431,Tbl_KPIMaster[KPI],0)),"")</f>
        <v/>
      </c>
      <c r="G431" s="4" t="inlineStr">
        <is>
          <t>Power Consumption</t>
        </is>
      </c>
      <c r="H431" s="4">
        <f>IFERROR(INDEX(Tbl_KPIMaster[Unit],MATCH($G431,Tbl_KPIMaster[KPI],0)),"")</f>
        <v/>
      </c>
      <c r="I431" s="5">
        <f>IFERROR(INDEX(Tbl_KPIMaster[Maximum Target],MATCH($G431,Tbl_KPIMaster[KPI],0)),"")</f>
        <v/>
      </c>
      <c r="J431" s="5" t="n">
        <v>3800.01</v>
      </c>
      <c r="K431" s="4">
        <f>IFERROR(INDEX(Tbl_KPIMaster[Tolerance],MATCH($G431,Tbl_KPIMaster[KPI],0)),"")</f>
        <v/>
      </c>
      <c r="L431" s="4">
        <f>IFERROR(INDEX(Tbl_KPIMaster[Owner],MATCH($G431,Tbl_KPIMaster[KPI],0)),"")</f>
        <v/>
      </c>
      <c r="M431" s="6" t="inlineStr">
        <is>
          <t>Equipment breakdown</t>
        </is>
      </c>
      <c r="N431" s="4" t="inlineStr"/>
      <c r="O431" s="4" t="inlineStr">
        <is>
          <t>High</t>
        </is>
      </c>
      <c r="P431" s="4" t="inlineStr">
        <is>
          <t>Closed</t>
        </is>
      </c>
      <c r="Q431" s="5">
        <f>IFERROR(IF(INDEX(Tbl_KPIMaster[Direction],MATCH($G431,Tbl_KPIMaster[KPI],0))="Lower is Better",IF($J431=0,1,IF($I431=0,0,$I431/$J431)),IF($I431=0,1,$J431/$I431)),0)</f>
        <v/>
      </c>
      <c r="R431" s="4">
        <f>IF(OR($I431="",$J431=""),"",$J431-$I431)</f>
        <v/>
      </c>
      <c r="S431" s="4">
        <f>IFERROR(IF(INDEX(Tbl_KPIMaster[Direction],MATCH($G431,Tbl_KPIMaster[KPI],0))="Lower is Better",IF($J431&lt;=$I431,"Green",IF($J431&lt;=$I431+IF($I431=0,$K431,$I431*$K431),"Amber","Red")),IF($J431&gt;=$I431,"Green",IF($J431&gt;=$I431-IF($I431=0,$K431,$I431*$K431),"Amber","Red"))),"")</f>
        <v/>
      </c>
      <c r="T431" s="6" t="inlineStr"/>
    </row>
    <row r="432">
      <c r="A432" s="7" t="n">
        <v>46151</v>
      </c>
      <c r="B432" s="8">
        <f>IF($A432="","",TEXT($A432,"mmm-yyyy"))</f>
        <v/>
      </c>
      <c r="C432" s="8">
        <f>IF($A432="","","W"&amp;WEEKNUM($A432,2))</f>
        <v/>
      </c>
      <c r="D432" s="8">
        <f>IF($A432="","",TEXT($A432,"ddd"))</f>
        <v/>
      </c>
      <c r="E432" s="8" t="inlineStr">
        <is>
          <t>Utilities</t>
        </is>
      </c>
      <c r="F432" s="8">
        <f>IFERROR(INDEX(Tbl_KPIMaster[Category],MATCH($G432,Tbl_KPIMaster[KPI],0)),"")</f>
        <v/>
      </c>
      <c r="G432" s="8" t="inlineStr">
        <is>
          <t>Water Consumption</t>
        </is>
      </c>
      <c r="H432" s="8">
        <f>IFERROR(INDEX(Tbl_KPIMaster[Unit],MATCH($G432,Tbl_KPIMaster[KPI],0)),"")</f>
        <v/>
      </c>
      <c r="I432" s="9">
        <f>IFERROR(INDEX(Tbl_KPIMaster[Maximum Target],MATCH($G432,Tbl_KPIMaster[KPI],0)),"")</f>
        <v/>
      </c>
      <c r="J432" s="9" t="n">
        <v>51.1</v>
      </c>
      <c r="K432" s="8">
        <f>IFERROR(INDEX(Tbl_KPIMaster[Tolerance],MATCH($G432,Tbl_KPIMaster[KPI],0)),"")</f>
        <v/>
      </c>
      <c r="L432" s="8">
        <f>IFERROR(INDEX(Tbl_KPIMaster[Owner],MATCH($G432,Tbl_KPIMaster[KPI],0)),"")</f>
        <v/>
      </c>
      <c r="M432" s="10" t="inlineStr">
        <is>
          <t>Awaiting spares</t>
        </is>
      </c>
      <c r="N432" s="8" t="inlineStr">
        <is>
          <t>Management approval pending</t>
        </is>
      </c>
      <c r="O432" s="8" t="inlineStr">
        <is>
          <t>Low</t>
        </is>
      </c>
      <c r="P432" s="8" t="inlineStr">
        <is>
          <t>Closed</t>
        </is>
      </c>
      <c r="Q432" s="9">
        <f>IFERROR(IF(INDEX(Tbl_KPIMaster[Direction],MATCH($G432,Tbl_KPIMaster[KPI],0))="Lower is Better",IF($J432=0,1,IF($I432=0,0,$I432/$J432)),IF($I432=0,1,$J432/$I432)),0)</f>
        <v/>
      </c>
      <c r="R432" s="8">
        <f>IF(OR($I432="",$J432=""),"",$J432-$I432)</f>
        <v/>
      </c>
      <c r="S432" s="8">
        <f>IFERROR(IF(INDEX(Tbl_KPIMaster[Direction],MATCH($G432,Tbl_KPIMaster[KPI],0))="Lower is Better",IF($J432&lt;=$I432,"Green",IF($J432&lt;=$I432+IF($I432=0,$K432,$I432*$K432),"Amber","Red")),IF($J432&gt;=$I432,"Green",IF($J432&gt;=$I432-IF($I432=0,$K432,$I432*$K432),"Amber","Red"))),"")</f>
        <v/>
      </c>
      <c r="T432" s="10" t="inlineStr"/>
    </row>
    <row r="433">
      <c r="A433" s="3" t="n">
        <v>46151</v>
      </c>
      <c r="B433" s="4">
        <f>IF($A433="","",TEXT($A433,"mmm-yyyy"))</f>
        <v/>
      </c>
      <c r="C433" s="4">
        <f>IF($A433="","","W"&amp;WEEKNUM($A433,2))</f>
        <v/>
      </c>
      <c r="D433" s="4">
        <f>IF($A433="","",TEXT($A433,"ddd"))</f>
        <v/>
      </c>
      <c r="E433" s="4" t="inlineStr">
        <is>
          <t>Warehouse</t>
        </is>
      </c>
      <c r="F433" s="4">
        <f>IFERROR(INDEX(Tbl_KPIMaster[Category],MATCH($G433,Tbl_KPIMaster[KPI],0)),"")</f>
        <v/>
      </c>
      <c r="G433" s="4" t="inlineStr">
        <is>
          <t>On-Time Dispatch %</t>
        </is>
      </c>
      <c r="H433" s="4">
        <f>IFERROR(INDEX(Tbl_KPIMaster[Unit],MATCH($G433,Tbl_KPIMaster[KPI],0)),"")</f>
        <v/>
      </c>
      <c r="I433" s="5">
        <f>IFERROR(INDEX(Tbl_KPIMaster[Maximum Target],MATCH($G433,Tbl_KPIMaster[KPI],0)),"")</f>
        <v/>
      </c>
      <c r="J433" s="5" t="n">
        <v>0.8102</v>
      </c>
      <c r="K433" s="4">
        <f>IFERROR(INDEX(Tbl_KPIMaster[Tolerance],MATCH($G433,Tbl_KPIMaster[KPI],0)),"")</f>
        <v/>
      </c>
      <c r="L433" s="4">
        <f>IFERROR(INDEX(Tbl_KPIMaster[Owner],MATCH($G433,Tbl_KPIMaster[KPI],0)),"")</f>
        <v/>
      </c>
      <c r="M433" s="6" t="inlineStr">
        <is>
          <t>Within normal range</t>
        </is>
      </c>
      <c r="N433" s="4" t="inlineStr">
        <is>
          <t>Management approval pending</t>
        </is>
      </c>
      <c r="O433" s="4" t="inlineStr">
        <is>
          <t>Low</t>
        </is>
      </c>
      <c r="P433" s="4" t="inlineStr">
        <is>
          <t>Closed</t>
        </is>
      </c>
      <c r="Q433" s="5">
        <f>IFERROR(IF(INDEX(Tbl_KPIMaster[Direction],MATCH($G433,Tbl_KPIMaster[KPI],0))="Lower is Better",IF($J433=0,1,IF($I433=0,0,$I433/$J433)),IF($I433=0,1,$J433/$I433)),0)</f>
        <v/>
      </c>
      <c r="R433" s="4">
        <f>IF(OR($I433="",$J433=""),"",$J433-$I433)</f>
        <v/>
      </c>
      <c r="S433" s="4">
        <f>IFERROR(IF(INDEX(Tbl_KPIMaster[Direction],MATCH($G433,Tbl_KPIMaster[KPI],0))="Lower is Better",IF($J433&lt;=$I433,"Green",IF($J433&lt;=$I433+IF($I433=0,$K433,$I433*$K433),"Amber","Red")),IF($J433&gt;=$I433,"Green",IF($J433&gt;=$I433-IF($I433=0,$K433,$I433*$K433),"Amber","Red"))),"")</f>
        <v/>
      </c>
      <c r="T433" s="6" t="inlineStr"/>
    </row>
    <row r="434">
      <c r="A434" s="7" t="n">
        <v>46151</v>
      </c>
      <c r="B434" s="8">
        <f>IF($A434="","",TEXT($A434,"mmm-yyyy"))</f>
        <v/>
      </c>
      <c r="C434" s="8">
        <f>IF($A434="","","W"&amp;WEEKNUM($A434,2))</f>
        <v/>
      </c>
      <c r="D434" s="8">
        <f>IF($A434="","",TEXT($A434,"ddd"))</f>
        <v/>
      </c>
      <c r="E434" s="8" t="inlineStr">
        <is>
          <t>Warehouse</t>
        </is>
      </c>
      <c r="F434" s="8">
        <f>IFERROR(INDEX(Tbl_KPIMaster[Category],MATCH($G434,Tbl_KPIMaster[KPI],0)),"")</f>
        <v/>
      </c>
      <c r="G434" s="8" t="inlineStr">
        <is>
          <t>Inventory Accuracy %</t>
        </is>
      </c>
      <c r="H434" s="8">
        <f>IFERROR(INDEX(Tbl_KPIMaster[Unit],MATCH($G434,Tbl_KPIMaster[KPI],0)),"")</f>
        <v/>
      </c>
      <c r="I434" s="9">
        <f>IFERROR(INDEX(Tbl_KPIMaster[Maximum Target],MATCH($G434,Tbl_KPIMaster[KPI],0)),"")</f>
        <v/>
      </c>
      <c r="J434" s="9" t="n">
        <v>1.0427</v>
      </c>
      <c r="K434" s="8">
        <f>IFERROR(INDEX(Tbl_KPIMaster[Tolerance],MATCH($G434,Tbl_KPIMaster[KPI],0)),"")</f>
        <v/>
      </c>
      <c r="L434" s="8">
        <f>IFERROR(INDEX(Tbl_KPIMaster[Owner],MATCH($G434,Tbl_KPIMaster[KPI],0)),"")</f>
        <v/>
      </c>
      <c r="M434" s="10" t="inlineStr">
        <is>
          <t>New operator training effect</t>
        </is>
      </c>
      <c r="N434" s="8" t="inlineStr">
        <is>
          <t>Procurement follow-up</t>
        </is>
      </c>
      <c r="O434" s="8" t="inlineStr">
        <is>
          <t>High</t>
        </is>
      </c>
      <c r="P434" s="8" t="inlineStr">
        <is>
          <t>Closed</t>
        </is>
      </c>
      <c r="Q434" s="9">
        <f>IFERROR(IF(INDEX(Tbl_KPIMaster[Direction],MATCH($G434,Tbl_KPIMaster[KPI],0))="Lower is Better",IF($J434=0,1,IF($I434=0,0,$I434/$J434)),IF($I434=0,1,$J434/$I434)),0)</f>
        <v/>
      </c>
      <c r="R434" s="8">
        <f>IF(OR($I434="",$J434=""),"",$J434-$I434)</f>
        <v/>
      </c>
      <c r="S434" s="8">
        <f>IFERROR(IF(INDEX(Tbl_KPIMaster[Direction],MATCH($G434,Tbl_KPIMaster[KPI],0))="Lower is Better",IF($J434&lt;=$I434,"Green",IF($J434&lt;=$I434+IF($I434=0,$K434,$I434*$K434),"Amber","Red")),IF($J434&gt;=$I434,"Green",IF($J434&gt;=$I434-IF($I434=0,$K434,$I434*$K434),"Amber","Red"))),"")</f>
        <v/>
      </c>
      <c r="T434" s="10" t="inlineStr"/>
    </row>
    <row r="435">
      <c r="A435" s="3" t="n">
        <v>46151</v>
      </c>
      <c r="B435" s="4">
        <f>IF($A435="","",TEXT($A435,"mmm-yyyy"))</f>
        <v/>
      </c>
      <c r="C435" s="4">
        <f>IF($A435="","","W"&amp;WEEKNUM($A435,2))</f>
        <v/>
      </c>
      <c r="D435" s="4">
        <f>IF($A435="","",TEXT($A435,"ddd"))</f>
        <v/>
      </c>
      <c r="E435" s="4" t="inlineStr">
        <is>
          <t>HR</t>
        </is>
      </c>
      <c r="F435" s="4">
        <f>IFERROR(INDEX(Tbl_KPIMaster[Category],MATCH($G435,Tbl_KPIMaster[KPI],0)),"")</f>
        <v/>
      </c>
      <c r="G435" s="4" t="inlineStr">
        <is>
          <t>Absenteeism %</t>
        </is>
      </c>
      <c r="H435" s="4">
        <f>IFERROR(INDEX(Tbl_KPIMaster[Unit],MATCH($G435,Tbl_KPIMaster[KPI],0)),"")</f>
        <v/>
      </c>
      <c r="I435" s="5">
        <f>IFERROR(INDEX(Tbl_KPIMaster[Maximum Target],MATCH($G435,Tbl_KPIMaster[KPI],0)),"")</f>
        <v/>
      </c>
      <c r="J435" s="5" t="n">
        <v>0.2978</v>
      </c>
      <c r="K435" s="4">
        <f>IFERROR(INDEX(Tbl_KPIMaster[Tolerance],MATCH($G435,Tbl_KPIMaster[KPI],0)),"")</f>
        <v/>
      </c>
      <c r="L435" s="4">
        <f>IFERROR(INDEX(Tbl_KPIMaster[Owner],MATCH($G435,Tbl_KPIMaster[KPI],0)),"")</f>
        <v/>
      </c>
      <c r="M435" s="6" t="inlineStr">
        <is>
          <t>Process improvement in progress</t>
        </is>
      </c>
      <c r="N435" s="4" t="inlineStr">
        <is>
          <t>Management approval pending</t>
        </is>
      </c>
      <c r="O435" s="4" t="inlineStr">
        <is>
          <t>Low</t>
        </is>
      </c>
      <c r="P435" s="4" t="inlineStr">
        <is>
          <t>Closed</t>
        </is>
      </c>
      <c r="Q435" s="5">
        <f>IFERROR(IF(INDEX(Tbl_KPIMaster[Direction],MATCH($G435,Tbl_KPIMaster[KPI],0))="Lower is Better",IF($J435=0,1,IF($I435=0,0,$I435/$J435)),IF($I435=0,1,$J435/$I435)),0)</f>
        <v/>
      </c>
      <c r="R435" s="4">
        <f>IF(OR($I435="",$J435=""),"",$J435-$I435)</f>
        <v/>
      </c>
      <c r="S435" s="4">
        <f>IFERROR(IF(INDEX(Tbl_KPIMaster[Direction],MATCH($G435,Tbl_KPIMaster[KPI],0))="Lower is Better",IF($J435&lt;=$I435,"Green",IF($J435&lt;=$I435+IF($I435=0,$K435,$I435*$K435),"Amber","Red")),IF($J435&gt;=$I435,"Green",IF($J435&gt;=$I435-IF($I435=0,$K435,$I435*$K435),"Amber","Red"))),"")</f>
        <v/>
      </c>
      <c r="T435" s="6" t="inlineStr"/>
    </row>
    <row r="436">
      <c r="A436" s="7" t="n">
        <v>46151</v>
      </c>
      <c r="B436" s="8">
        <f>IF($A436="","",TEXT($A436,"mmm-yyyy"))</f>
        <v/>
      </c>
      <c r="C436" s="8">
        <f>IF($A436="","","W"&amp;WEEKNUM($A436,2))</f>
        <v/>
      </c>
      <c r="D436" s="8">
        <f>IF($A436="","",TEXT($A436,"ddd"))</f>
        <v/>
      </c>
      <c r="E436" s="8" t="inlineStr">
        <is>
          <t>HR</t>
        </is>
      </c>
      <c r="F436" s="8">
        <f>IFERROR(INDEX(Tbl_KPIMaster[Category],MATCH($G436,Tbl_KPIMaster[KPI],0)),"")</f>
        <v/>
      </c>
      <c r="G436" s="8" t="inlineStr">
        <is>
          <t>Training Hours</t>
        </is>
      </c>
      <c r="H436" s="8">
        <f>IFERROR(INDEX(Tbl_KPIMaster[Unit],MATCH($G436,Tbl_KPIMaster[KPI],0)),"")</f>
        <v/>
      </c>
      <c r="I436" s="9">
        <f>IFERROR(INDEX(Tbl_KPIMaster[Maximum Target],MATCH($G436,Tbl_KPIMaster[KPI],0)),"")</f>
        <v/>
      </c>
      <c r="J436" s="9" t="n">
        <v>1.81</v>
      </c>
      <c r="K436" s="8">
        <f>IFERROR(INDEX(Tbl_KPIMaster[Tolerance],MATCH($G436,Tbl_KPIMaster[KPI],0)),"")</f>
        <v/>
      </c>
      <c r="L436" s="8">
        <f>IFERROR(INDEX(Tbl_KPIMaster[Owner],MATCH($G436,Tbl_KPIMaster[KPI],0)),"")</f>
        <v/>
      </c>
      <c r="M436" s="10" t="inlineStr">
        <is>
          <t>Equipment breakdown</t>
        </is>
      </c>
      <c r="N436" s="8" t="inlineStr">
        <is>
          <t>Management approval pending</t>
        </is>
      </c>
      <c r="O436" s="8" t="inlineStr">
        <is>
          <t>Medium</t>
        </is>
      </c>
      <c r="P436" s="8" t="inlineStr">
        <is>
          <t>Closed</t>
        </is>
      </c>
      <c r="Q436" s="9">
        <f>IFERROR(IF(INDEX(Tbl_KPIMaster[Direction],MATCH($G436,Tbl_KPIMaster[KPI],0))="Lower is Better",IF($J436=0,1,IF($I436=0,0,$I436/$J436)),IF($I436=0,1,$J436/$I436)),0)</f>
        <v/>
      </c>
      <c r="R436" s="8">
        <f>IF(OR($I436="",$J436=""),"",$J436-$I436)</f>
        <v/>
      </c>
      <c r="S436" s="8">
        <f>IFERROR(IF(INDEX(Tbl_KPIMaster[Direction],MATCH($G436,Tbl_KPIMaster[KPI],0))="Lower is Better",IF($J436&lt;=$I436,"Green",IF($J436&lt;=$I436+IF($I436=0,$K436,$I436*$K436),"Amber","Red")),IF($J436&gt;=$I436,"Green",IF($J436&gt;=$I436-IF($I436=0,$K436,$I436*$K436),"Amber","Red"))),"")</f>
        <v/>
      </c>
      <c r="T436" s="10" t="inlineStr"/>
    </row>
    <row r="437">
      <c r="A437" s="3" t="n">
        <v>46151</v>
      </c>
      <c r="B437" s="4">
        <f>IF($A437="","",TEXT($A437,"mmm-yyyy"))</f>
        <v/>
      </c>
      <c r="C437" s="4">
        <f>IF($A437="","","W"&amp;WEEKNUM($A437,2))</f>
        <v/>
      </c>
      <c r="D437" s="4">
        <f>IF($A437="","",TEXT($A437,"ddd"))</f>
        <v/>
      </c>
      <c r="E437" s="4" t="inlineStr">
        <is>
          <t>Engineering</t>
        </is>
      </c>
      <c r="F437" s="4">
        <f>IFERROR(INDEX(Tbl_KPIMaster[Category],MATCH($G437,Tbl_KPIMaster[KPI],0)),"")</f>
        <v/>
      </c>
      <c r="G437" s="4" t="inlineStr">
        <is>
          <t>Project Milestone Adherence %</t>
        </is>
      </c>
      <c r="H437" s="4">
        <f>IFERROR(INDEX(Tbl_KPIMaster[Unit],MATCH($G437,Tbl_KPIMaster[KPI],0)),"")</f>
        <v/>
      </c>
      <c r="I437" s="5">
        <f>IFERROR(INDEX(Tbl_KPIMaster[Maximum Target],MATCH($G437,Tbl_KPIMaster[KPI],0)),"")</f>
        <v/>
      </c>
      <c r="J437" s="5" t="n">
        <v>0.8055</v>
      </c>
      <c r="K437" s="4">
        <f>IFERROR(INDEX(Tbl_KPIMaster[Tolerance],MATCH($G437,Tbl_KPIMaster[KPI],0)),"")</f>
        <v/>
      </c>
      <c r="L437" s="4">
        <f>IFERROR(INDEX(Tbl_KPIMaster[Owner],MATCH($G437,Tbl_KPIMaster[KPI],0)),"")</f>
        <v/>
      </c>
      <c r="M437" s="6" t="inlineStr">
        <is>
          <t>Within normal range</t>
        </is>
      </c>
      <c r="N437" s="4" t="inlineStr"/>
      <c r="O437" s="4" t="inlineStr">
        <is>
          <t>Medium</t>
        </is>
      </c>
      <c r="P437" s="4" t="inlineStr">
        <is>
          <t>Closed</t>
        </is>
      </c>
      <c r="Q437" s="5">
        <f>IFERROR(IF(INDEX(Tbl_KPIMaster[Direction],MATCH($G437,Tbl_KPIMaster[KPI],0))="Lower is Better",IF($J437=0,1,IF($I437=0,0,$I437/$J437)),IF($I437=0,1,$J437/$I437)),0)</f>
        <v/>
      </c>
      <c r="R437" s="4">
        <f>IF(OR($I437="",$J437=""),"",$J437-$I437)</f>
        <v/>
      </c>
      <c r="S437" s="4">
        <f>IFERROR(IF(INDEX(Tbl_KPIMaster[Direction],MATCH($G437,Tbl_KPIMaster[KPI],0))="Lower is Better",IF($J437&lt;=$I437,"Green",IF($J437&lt;=$I437+IF($I437=0,$K437,$I437*$K437),"Amber","Red")),IF($J437&gt;=$I437,"Green",IF($J437&gt;=$I437-IF($I437=0,$K437,$I437*$K437),"Amber","Red"))),"")</f>
        <v/>
      </c>
      <c r="T437" s="6" t="inlineStr"/>
    </row>
    <row r="438">
      <c r="A438" s="7" t="n">
        <v>46151</v>
      </c>
      <c r="B438" s="8">
        <f>IF($A438="","",TEXT($A438,"mmm-yyyy"))</f>
        <v/>
      </c>
      <c r="C438" s="8">
        <f>IF($A438="","","W"&amp;WEEKNUM($A438,2))</f>
        <v/>
      </c>
      <c r="D438" s="8">
        <f>IF($A438="","",TEXT($A438,"ddd"))</f>
        <v/>
      </c>
      <c r="E438" s="8" t="inlineStr">
        <is>
          <t>Engineering</t>
        </is>
      </c>
      <c r="F438" s="8">
        <f>IFERROR(INDEX(Tbl_KPIMaster[Category],MATCH($G438,Tbl_KPIMaster[KPI],0)),"")</f>
        <v/>
      </c>
      <c r="G438" s="8" t="inlineStr">
        <is>
          <t>Breakdown Resolution Time</t>
        </is>
      </c>
      <c r="H438" s="8">
        <f>IFERROR(INDEX(Tbl_KPIMaster[Unit],MATCH($G438,Tbl_KPIMaster[KPI],0)),"")</f>
        <v/>
      </c>
      <c r="I438" s="9">
        <f>IFERROR(INDEX(Tbl_KPIMaster[Maximum Target],MATCH($G438,Tbl_KPIMaster[KPI],0)),"")</f>
        <v/>
      </c>
      <c r="J438" s="9" t="n">
        <v>0</v>
      </c>
      <c r="K438" s="8">
        <f>IFERROR(INDEX(Tbl_KPIMaster[Tolerance],MATCH($G438,Tbl_KPIMaster[KPI],0)),"")</f>
        <v/>
      </c>
      <c r="L438" s="8">
        <f>IFERROR(INDEX(Tbl_KPIMaster[Owner],MATCH($G438,Tbl_KPIMaster[KPI],0)),"")</f>
        <v/>
      </c>
      <c r="M438" s="10" t="inlineStr">
        <is>
          <t>Awaiting spares</t>
        </is>
      </c>
      <c r="N438" s="8" t="inlineStr"/>
      <c r="O438" s="8" t="inlineStr">
        <is>
          <t>High</t>
        </is>
      </c>
      <c r="P438" s="8" t="inlineStr">
        <is>
          <t>Closed</t>
        </is>
      </c>
      <c r="Q438" s="9">
        <f>IFERROR(IF(INDEX(Tbl_KPIMaster[Direction],MATCH($G438,Tbl_KPIMaster[KPI],0))="Lower is Better",IF($J438=0,1,IF($I438=0,0,$I438/$J438)),IF($I438=0,1,$J438/$I438)),0)</f>
        <v/>
      </c>
      <c r="R438" s="8">
        <f>IF(OR($I438="",$J438=""),"",$J438-$I438)</f>
        <v/>
      </c>
      <c r="S438" s="8">
        <f>IFERROR(IF(INDEX(Tbl_KPIMaster[Direction],MATCH($G438,Tbl_KPIMaster[KPI],0))="Lower is Better",IF($J438&lt;=$I438,"Green",IF($J438&lt;=$I438+IF($I438=0,$K438,$I438*$K438),"Amber","Red")),IF($J438&gt;=$I438,"Green",IF($J438&gt;=$I438-IF($I438=0,$K438,$I438*$K438),"Amber","Red"))),"")</f>
        <v/>
      </c>
      <c r="T438" s="10" t="inlineStr"/>
    </row>
    <row r="439">
      <c r="A439" s="3" t="n">
        <v>46151</v>
      </c>
      <c r="B439" s="4">
        <f>IF($A439="","",TEXT($A439,"mmm-yyyy"))</f>
        <v/>
      </c>
      <c r="C439" s="4">
        <f>IF($A439="","","W"&amp;WEEKNUM($A439,2))</f>
        <v/>
      </c>
      <c r="D439" s="4">
        <f>IF($A439="","",TEXT($A439,"ddd"))</f>
        <v/>
      </c>
      <c r="E439" s="4" t="inlineStr">
        <is>
          <t>Cost</t>
        </is>
      </c>
      <c r="F439" s="4">
        <f>IFERROR(INDEX(Tbl_KPIMaster[Category],MATCH($G439,Tbl_KPIMaster[KPI],0)),"")</f>
        <v/>
      </c>
      <c r="G439" s="4" t="inlineStr">
        <is>
          <t>Cost per Unit</t>
        </is>
      </c>
      <c r="H439" s="4">
        <f>IFERROR(INDEX(Tbl_KPIMaster[Unit],MATCH($G439,Tbl_KPIMaster[KPI],0)),"")</f>
        <v/>
      </c>
      <c r="I439" s="5">
        <f>IFERROR(INDEX(Tbl_KPIMaster[Maximum Target],MATCH($G439,Tbl_KPIMaster[KPI],0)),"")</f>
        <v/>
      </c>
      <c r="J439" s="5" t="n">
        <v>48.54</v>
      </c>
      <c r="K439" s="4">
        <f>IFERROR(INDEX(Tbl_KPIMaster[Tolerance],MATCH($G439,Tbl_KPIMaster[KPI],0)),"")</f>
        <v/>
      </c>
      <c r="L439" s="4">
        <f>IFERROR(INDEX(Tbl_KPIMaster[Owner],MATCH($G439,Tbl_KPIMaster[KPI],0)),"")</f>
        <v/>
      </c>
      <c r="M439" s="6" t="inlineStr">
        <is>
          <t>Within normal range</t>
        </is>
      </c>
      <c r="N439" s="4" t="inlineStr"/>
      <c r="O439" s="4" t="inlineStr">
        <is>
          <t>High</t>
        </is>
      </c>
      <c r="P439" s="4" t="inlineStr">
        <is>
          <t>Open</t>
        </is>
      </c>
      <c r="Q439" s="5">
        <f>IFERROR(IF(INDEX(Tbl_KPIMaster[Direction],MATCH($G439,Tbl_KPIMaster[KPI],0))="Lower is Better",IF($J439=0,1,IF($I439=0,0,$I439/$J439)),IF($I439=0,1,$J439/$I439)),0)</f>
        <v/>
      </c>
      <c r="R439" s="4">
        <f>IF(OR($I439="",$J439=""),"",$J439-$I439)</f>
        <v/>
      </c>
      <c r="S439" s="4">
        <f>IFERROR(IF(INDEX(Tbl_KPIMaster[Direction],MATCH($G439,Tbl_KPIMaster[KPI],0))="Lower is Better",IF($J439&lt;=$I439,"Green",IF($J439&lt;=$I439+IF($I439=0,$K439,$I439*$K439),"Amber","Red")),IF($J439&gt;=$I439,"Green",IF($J439&gt;=$I439-IF($I439=0,$K439,$I439*$K439),"Amber","Red"))),"")</f>
        <v/>
      </c>
      <c r="T439" s="6" t="inlineStr"/>
    </row>
    <row r="440">
      <c r="A440" s="7" t="n">
        <v>46151</v>
      </c>
      <c r="B440" s="8">
        <f>IF($A440="","",TEXT($A440,"mmm-yyyy"))</f>
        <v/>
      </c>
      <c r="C440" s="8">
        <f>IF($A440="","","W"&amp;WEEKNUM($A440,2))</f>
        <v/>
      </c>
      <c r="D440" s="8">
        <f>IF($A440="","",TEXT($A440,"ddd"))</f>
        <v/>
      </c>
      <c r="E440" s="8" t="inlineStr">
        <is>
          <t>Cost</t>
        </is>
      </c>
      <c r="F440" s="8">
        <f>IFERROR(INDEX(Tbl_KPIMaster[Category],MATCH($G440,Tbl_KPIMaster[KPI],0)),"")</f>
        <v/>
      </c>
      <c r="G440" s="8" t="inlineStr">
        <is>
          <t>Budget Variance %</t>
        </is>
      </c>
      <c r="H440" s="8">
        <f>IFERROR(INDEX(Tbl_KPIMaster[Unit],MATCH($G440,Tbl_KPIMaster[KPI],0)),"")</f>
        <v/>
      </c>
      <c r="I440" s="9">
        <f>IFERROR(INDEX(Tbl_KPIMaster[Maximum Target],MATCH($G440,Tbl_KPIMaster[KPI],0)),"")</f>
        <v/>
      </c>
      <c r="J440" s="9" t="n">
        <v>0.4816</v>
      </c>
      <c r="K440" s="8">
        <f>IFERROR(INDEX(Tbl_KPIMaster[Tolerance],MATCH($G440,Tbl_KPIMaster[KPI],0)),"")</f>
        <v/>
      </c>
      <c r="L440" s="8">
        <f>IFERROR(INDEX(Tbl_KPIMaster[Owner],MATCH($G440,Tbl_KPIMaster[KPI],0)),"")</f>
        <v/>
      </c>
      <c r="M440" s="10" t="inlineStr">
        <is>
          <t>Vendor delay</t>
        </is>
      </c>
      <c r="N440" s="8" t="inlineStr">
        <is>
          <t>Procurement follow-up</t>
        </is>
      </c>
      <c r="O440" s="8" t="inlineStr">
        <is>
          <t>Medium</t>
        </is>
      </c>
      <c r="P440" s="8" t="inlineStr">
        <is>
          <t>Closed</t>
        </is>
      </c>
      <c r="Q440" s="9">
        <f>IFERROR(IF(INDEX(Tbl_KPIMaster[Direction],MATCH($G440,Tbl_KPIMaster[KPI],0))="Lower is Better",IF($J440=0,1,IF($I440=0,0,$I440/$J440)),IF($I440=0,1,$J440/$I440)),0)</f>
        <v/>
      </c>
      <c r="R440" s="8">
        <f>IF(OR($I440="",$J440=""),"",$J440-$I440)</f>
        <v/>
      </c>
      <c r="S440" s="8">
        <f>IFERROR(IF(INDEX(Tbl_KPIMaster[Direction],MATCH($G440,Tbl_KPIMaster[KPI],0))="Lower is Better",IF($J440&lt;=$I440,"Green",IF($J440&lt;=$I440+IF($I440=0,$K440,$I440*$K440),"Amber","Red")),IF($J440&gt;=$I440,"Green",IF($J440&gt;=$I440-IF($I440=0,$K440,$I440*$K440),"Amber","Red"))),"")</f>
        <v/>
      </c>
      <c r="T440" s="10" t="inlineStr"/>
    </row>
    <row r="441">
      <c r="A441" s="3" t="n">
        <v>46151</v>
      </c>
      <c r="B441" s="4">
        <f>IF($A441="","",TEXT($A441,"mmm-yyyy"))</f>
        <v/>
      </c>
      <c r="C441" s="4">
        <f>IF($A441="","","W"&amp;WEEKNUM($A441,2))</f>
        <v/>
      </c>
      <c r="D441" s="4">
        <f>IF($A441="","",TEXT($A441,"ddd"))</f>
        <v/>
      </c>
      <c r="E441" s="4" t="inlineStr">
        <is>
          <t>Energy</t>
        </is>
      </c>
      <c r="F441" s="4">
        <f>IFERROR(INDEX(Tbl_KPIMaster[Category],MATCH($G441,Tbl_KPIMaster[KPI],0)),"")</f>
        <v/>
      </c>
      <c r="G441" s="4" t="inlineStr">
        <is>
          <t>Energy Intensity (kWh/unit)</t>
        </is>
      </c>
      <c r="H441" s="4">
        <f>IFERROR(INDEX(Tbl_KPIMaster[Unit],MATCH($G441,Tbl_KPIMaster[KPI],0)),"")</f>
        <v/>
      </c>
      <c r="I441" s="5">
        <f>IFERROR(INDEX(Tbl_KPIMaster[Maximum Target],MATCH($G441,Tbl_KPIMaster[KPI],0)),"")</f>
        <v/>
      </c>
      <c r="J441" s="5" t="n">
        <v>4.23</v>
      </c>
      <c r="K441" s="4">
        <f>IFERROR(INDEX(Tbl_KPIMaster[Tolerance],MATCH($G441,Tbl_KPIMaster[KPI],0)),"")</f>
        <v/>
      </c>
      <c r="L441" s="4">
        <f>IFERROR(INDEX(Tbl_KPIMaster[Owner],MATCH($G441,Tbl_KPIMaster[KPI],0)),"")</f>
        <v/>
      </c>
      <c r="M441" s="6" t="inlineStr">
        <is>
          <t>Line changeover impact</t>
        </is>
      </c>
      <c r="N441" s="4" t="inlineStr"/>
      <c r="O441" s="4" t="inlineStr">
        <is>
          <t>Medium</t>
        </is>
      </c>
      <c r="P441" s="4" t="inlineStr">
        <is>
          <t>Closed</t>
        </is>
      </c>
      <c r="Q441" s="5">
        <f>IFERROR(IF(INDEX(Tbl_KPIMaster[Direction],MATCH($G441,Tbl_KPIMaster[KPI],0))="Lower is Better",IF($J441=0,1,IF($I441=0,0,$I441/$J441)),IF($I441=0,1,$J441/$I441)),0)</f>
        <v/>
      </c>
      <c r="R441" s="4">
        <f>IF(OR($I441="",$J441=""),"",$J441-$I441)</f>
        <v/>
      </c>
      <c r="S441" s="4">
        <f>IFERROR(IF(INDEX(Tbl_KPIMaster[Direction],MATCH($G441,Tbl_KPIMaster[KPI],0))="Lower is Better",IF($J441&lt;=$I441,"Green",IF($J441&lt;=$I441+IF($I441=0,$K441,$I441*$K441),"Amber","Red")),IF($J441&gt;=$I441,"Green",IF($J441&gt;=$I441-IF($I441=0,$K441,$I441*$K441),"Amber","Red"))),"")</f>
        <v/>
      </c>
      <c r="T441" s="6" t="inlineStr"/>
    </row>
    <row r="442">
      <c r="A442" s="7" t="n">
        <v>46151</v>
      </c>
      <c r="B442" s="8">
        <f>IF($A442="","",TEXT($A442,"mmm-yyyy"))</f>
        <v/>
      </c>
      <c r="C442" s="8">
        <f>IF($A442="","","W"&amp;WEEKNUM($A442,2))</f>
        <v/>
      </c>
      <c r="D442" s="8">
        <f>IF($A442="","",TEXT($A442,"ddd"))</f>
        <v/>
      </c>
      <c r="E442" s="8" t="inlineStr">
        <is>
          <t>Energy</t>
        </is>
      </c>
      <c r="F442" s="8">
        <f>IFERROR(INDEX(Tbl_KPIMaster[Category],MATCH($G442,Tbl_KPIMaster[KPI],0)),"")</f>
        <v/>
      </c>
      <c r="G442" s="8" t="inlineStr">
        <is>
          <t>Renewable Energy Share %</t>
        </is>
      </c>
      <c r="H442" s="8">
        <f>IFERROR(INDEX(Tbl_KPIMaster[Unit],MATCH($G442,Tbl_KPIMaster[KPI],0)),"")</f>
        <v/>
      </c>
      <c r="I442" s="9">
        <f>IFERROR(INDEX(Tbl_KPIMaster[Maximum Target],MATCH($G442,Tbl_KPIMaster[KPI],0)),"")</f>
        <v/>
      </c>
      <c r="J442" s="9" t="n">
        <v>0.2413</v>
      </c>
      <c r="K442" s="8">
        <f>IFERROR(INDEX(Tbl_KPIMaster[Tolerance],MATCH($G442,Tbl_KPIMaster[KPI],0)),"")</f>
        <v/>
      </c>
      <c r="L442" s="8">
        <f>IFERROR(INDEX(Tbl_KPIMaster[Owner],MATCH($G442,Tbl_KPIMaster[KPI],0)),"")</f>
        <v/>
      </c>
      <c r="M442" s="10" t="inlineStr">
        <is>
          <t>Within normal range</t>
        </is>
      </c>
      <c r="N442" s="8" t="inlineStr"/>
      <c r="O442" s="8" t="inlineStr">
        <is>
          <t>Low</t>
        </is>
      </c>
      <c r="P442" s="8" t="inlineStr">
        <is>
          <t>Closed</t>
        </is>
      </c>
      <c r="Q442" s="9">
        <f>IFERROR(IF(INDEX(Tbl_KPIMaster[Direction],MATCH($G442,Tbl_KPIMaster[KPI],0))="Lower is Better",IF($J442=0,1,IF($I442=0,0,$I442/$J442)),IF($I442=0,1,$J442/$I442)),0)</f>
        <v/>
      </c>
      <c r="R442" s="8">
        <f>IF(OR($I442="",$J442=""),"",$J442-$I442)</f>
        <v/>
      </c>
      <c r="S442" s="8">
        <f>IFERROR(IF(INDEX(Tbl_KPIMaster[Direction],MATCH($G442,Tbl_KPIMaster[KPI],0))="Lower is Better",IF($J442&lt;=$I442,"Green",IF($J442&lt;=$I442+IF($I442=0,$K442,$I442*$K442),"Amber","Red")),IF($J442&gt;=$I442,"Green",IF($J442&gt;=$I442-IF($I442=0,$K442,$I442*$K442),"Amber","Red"))),"")</f>
        <v/>
      </c>
      <c r="T442" s="10" t="inlineStr"/>
    </row>
    <row r="443">
      <c r="A443" s="3" t="n">
        <v>46152</v>
      </c>
      <c r="B443" s="4">
        <f>IF($A443="","",TEXT($A443,"mmm-yyyy"))</f>
        <v/>
      </c>
      <c r="C443" s="4">
        <f>IF($A443="","","W"&amp;WEEKNUM($A443,2))</f>
        <v/>
      </c>
      <c r="D443" s="4">
        <f>IF($A443="","",TEXT($A443,"ddd"))</f>
        <v/>
      </c>
      <c r="E443" s="4" t="inlineStr">
        <is>
          <t>Safety</t>
        </is>
      </c>
      <c r="F443" s="4">
        <f>IFERROR(INDEX(Tbl_KPIMaster[Category],MATCH($G443,Tbl_KPIMaster[KPI],0)),"")</f>
        <v/>
      </c>
      <c r="G443" s="4" t="inlineStr">
        <is>
          <t>Safety Incidents (LTI)</t>
        </is>
      </c>
      <c r="H443" s="4">
        <f>IFERROR(INDEX(Tbl_KPIMaster[Unit],MATCH($G443,Tbl_KPIMaster[KPI],0)),"")</f>
        <v/>
      </c>
      <c r="I443" s="5">
        <f>IFERROR(INDEX(Tbl_KPIMaster[Maximum Target],MATCH($G443,Tbl_KPIMaster[KPI],0)),"")</f>
        <v/>
      </c>
      <c r="J443" s="5" t="n">
        <v>0</v>
      </c>
      <c r="K443" s="4">
        <f>IFERROR(INDEX(Tbl_KPIMaster[Tolerance],MATCH($G443,Tbl_KPIMaster[KPI],0)),"")</f>
        <v/>
      </c>
      <c r="L443" s="4">
        <f>IFERROR(INDEX(Tbl_KPIMaster[Owner],MATCH($G443,Tbl_KPIMaster[KPI],0)),"")</f>
        <v/>
      </c>
      <c r="M443" s="6" t="inlineStr">
        <is>
          <t>Manpower shortage</t>
        </is>
      </c>
      <c r="N443" s="4" t="inlineStr"/>
      <c r="O443" s="4" t="inlineStr">
        <is>
          <t>Low</t>
        </is>
      </c>
      <c r="P443" s="4" t="inlineStr">
        <is>
          <t>In Progress</t>
        </is>
      </c>
      <c r="Q443" s="5">
        <f>IFERROR(IF(INDEX(Tbl_KPIMaster[Direction],MATCH($G443,Tbl_KPIMaster[KPI],0))="Lower is Better",IF($J443=0,1,IF($I443=0,0,$I443/$J443)),IF($I443=0,1,$J443/$I443)),0)</f>
        <v/>
      </c>
      <c r="R443" s="4">
        <f>IF(OR($I443="",$J443=""),"",$J443-$I443)</f>
        <v/>
      </c>
      <c r="S443" s="4">
        <f>IFERROR(IF(INDEX(Tbl_KPIMaster[Direction],MATCH($G443,Tbl_KPIMaster[KPI],0))="Lower is Better",IF($J443&lt;=$I443,"Green",IF($J443&lt;=$I443+IF($I443=0,$K443,$I443*$K443),"Amber","Red")),IF($J443&gt;=$I443,"Green",IF($J443&gt;=$I443-IF($I443=0,$K443,$I443*$K443),"Amber","Red"))),"")</f>
        <v/>
      </c>
      <c r="T443" s="6" t="inlineStr"/>
    </row>
    <row r="444">
      <c r="A444" s="7" t="n">
        <v>46152</v>
      </c>
      <c r="B444" s="8">
        <f>IF($A444="","",TEXT($A444,"mmm-yyyy"))</f>
        <v/>
      </c>
      <c r="C444" s="8">
        <f>IF($A444="","","W"&amp;WEEKNUM($A444,2))</f>
        <v/>
      </c>
      <c r="D444" s="8">
        <f>IF($A444="","",TEXT($A444,"ddd"))</f>
        <v/>
      </c>
      <c r="E444" s="8" t="inlineStr">
        <is>
          <t>Safety</t>
        </is>
      </c>
      <c r="F444" s="8">
        <f>IFERROR(INDEX(Tbl_KPIMaster[Category],MATCH($G444,Tbl_KPIMaster[KPI],0)),"")</f>
        <v/>
      </c>
      <c r="G444" s="8" t="inlineStr">
        <is>
          <t>Near Miss Reports</t>
        </is>
      </c>
      <c r="H444" s="8">
        <f>IFERROR(INDEX(Tbl_KPIMaster[Unit],MATCH($G444,Tbl_KPIMaster[KPI],0)),"")</f>
        <v/>
      </c>
      <c r="I444" s="9">
        <f>IFERROR(INDEX(Tbl_KPIMaster[Maximum Target],MATCH($G444,Tbl_KPIMaster[KPI],0)),"")</f>
        <v/>
      </c>
      <c r="J444" s="9" t="n">
        <v>2</v>
      </c>
      <c r="K444" s="8">
        <f>IFERROR(INDEX(Tbl_KPIMaster[Tolerance],MATCH($G444,Tbl_KPIMaster[KPI],0)),"")</f>
        <v/>
      </c>
      <c r="L444" s="8">
        <f>IFERROR(INDEX(Tbl_KPIMaster[Owner],MATCH($G444,Tbl_KPIMaster[KPI],0)),"")</f>
        <v/>
      </c>
      <c r="M444" s="10" t="inlineStr">
        <is>
          <t>Manpower shortage</t>
        </is>
      </c>
      <c r="N444" s="8" t="inlineStr">
        <is>
          <t>Procurement follow-up</t>
        </is>
      </c>
      <c r="O444" s="8" t="inlineStr">
        <is>
          <t>Low</t>
        </is>
      </c>
      <c r="P444" s="8" t="inlineStr">
        <is>
          <t>Closed</t>
        </is>
      </c>
      <c r="Q444" s="9">
        <f>IFERROR(IF(INDEX(Tbl_KPIMaster[Direction],MATCH($G444,Tbl_KPIMaster[KPI],0))="Lower is Better",IF($J444=0,1,IF($I444=0,0,$I444/$J444)),IF($I444=0,1,$J444/$I444)),0)</f>
        <v/>
      </c>
      <c r="R444" s="8">
        <f>IF(OR($I444="",$J444=""),"",$J444-$I444)</f>
        <v/>
      </c>
      <c r="S444" s="8">
        <f>IFERROR(IF(INDEX(Tbl_KPIMaster[Direction],MATCH($G444,Tbl_KPIMaster[KPI],0))="Lower is Better",IF($J444&lt;=$I444,"Green",IF($J444&lt;=$I444+IF($I444=0,$K444,$I444*$K444),"Amber","Red")),IF($J444&gt;=$I444,"Green",IF($J444&gt;=$I444-IF($I444=0,$K444,$I444*$K444),"Amber","Red"))),"")</f>
        <v/>
      </c>
      <c r="T444" s="10" t="inlineStr"/>
    </row>
    <row r="445">
      <c r="A445" s="3" t="n">
        <v>46152</v>
      </c>
      <c r="B445" s="4">
        <f>IF($A445="","",TEXT($A445,"mmm-yyyy"))</f>
        <v/>
      </c>
      <c r="C445" s="4">
        <f>IF($A445="","","W"&amp;WEEKNUM($A445,2))</f>
        <v/>
      </c>
      <c r="D445" s="4">
        <f>IF($A445="","",TEXT($A445,"ddd"))</f>
        <v/>
      </c>
      <c r="E445" s="4" t="inlineStr">
        <is>
          <t>Production</t>
        </is>
      </c>
      <c r="F445" s="4">
        <f>IFERROR(INDEX(Tbl_KPIMaster[Category],MATCH($G445,Tbl_KPIMaster[KPI],0)),"")</f>
        <v/>
      </c>
      <c r="G445" s="4" t="inlineStr">
        <is>
          <t>Production Output</t>
        </is>
      </c>
      <c r="H445" s="4">
        <f>IFERROR(INDEX(Tbl_KPIMaster[Unit],MATCH($G445,Tbl_KPIMaster[KPI],0)),"")</f>
        <v/>
      </c>
      <c r="I445" s="5">
        <f>IFERROR(INDEX(Tbl_KPIMaster[Maximum Target],MATCH($G445,Tbl_KPIMaster[KPI],0)),"")</f>
        <v/>
      </c>
      <c r="J445" s="5" t="n">
        <v>969.09</v>
      </c>
      <c r="K445" s="4">
        <f>IFERROR(INDEX(Tbl_KPIMaster[Tolerance],MATCH($G445,Tbl_KPIMaster[KPI],0)),"")</f>
        <v/>
      </c>
      <c r="L445" s="4">
        <f>IFERROR(INDEX(Tbl_KPIMaster[Owner],MATCH($G445,Tbl_KPIMaster[KPI],0)),"")</f>
        <v/>
      </c>
      <c r="M445" s="6" t="inlineStr">
        <is>
          <t>Within normal range</t>
        </is>
      </c>
      <c r="N445" s="4" t="inlineStr"/>
      <c r="O445" s="4" t="inlineStr">
        <is>
          <t>High</t>
        </is>
      </c>
      <c r="P445" s="4" t="inlineStr">
        <is>
          <t>Closed</t>
        </is>
      </c>
      <c r="Q445" s="5">
        <f>IFERROR(IF(INDEX(Tbl_KPIMaster[Direction],MATCH($G445,Tbl_KPIMaster[KPI],0))="Lower is Better",IF($J445=0,1,IF($I445=0,0,$I445/$J445)),IF($I445=0,1,$J445/$I445)),0)</f>
        <v/>
      </c>
      <c r="R445" s="4">
        <f>IF(OR($I445="",$J445=""),"",$J445-$I445)</f>
        <v/>
      </c>
      <c r="S445" s="4">
        <f>IFERROR(IF(INDEX(Tbl_KPIMaster[Direction],MATCH($G445,Tbl_KPIMaster[KPI],0))="Lower is Better",IF($J445&lt;=$I445,"Green",IF($J445&lt;=$I445+IF($I445=0,$K445,$I445*$K445),"Amber","Red")),IF($J445&gt;=$I445,"Green",IF($J445&gt;=$I445-IF($I445=0,$K445,$I445*$K445),"Amber","Red"))),"")</f>
        <v/>
      </c>
      <c r="T445" s="6" t="inlineStr"/>
    </row>
    <row r="446">
      <c r="A446" s="7" t="n">
        <v>46152</v>
      </c>
      <c r="B446" s="8">
        <f>IF($A446="","",TEXT($A446,"mmm-yyyy"))</f>
        <v/>
      </c>
      <c r="C446" s="8">
        <f>IF($A446="","","W"&amp;WEEKNUM($A446,2))</f>
        <v/>
      </c>
      <c r="D446" s="8">
        <f>IF($A446="","",TEXT($A446,"ddd"))</f>
        <v/>
      </c>
      <c r="E446" s="8" t="inlineStr">
        <is>
          <t>Production</t>
        </is>
      </c>
      <c r="F446" s="8">
        <f>IFERROR(INDEX(Tbl_KPIMaster[Category],MATCH($G446,Tbl_KPIMaster[KPI],0)),"")</f>
        <v/>
      </c>
      <c r="G446" s="8" t="inlineStr">
        <is>
          <t>OEE %</t>
        </is>
      </c>
      <c r="H446" s="8">
        <f>IFERROR(INDEX(Tbl_KPIMaster[Unit],MATCH($G446,Tbl_KPIMaster[KPI],0)),"")</f>
        <v/>
      </c>
      <c r="I446" s="9">
        <f>IFERROR(INDEX(Tbl_KPIMaster[Maximum Target],MATCH($G446,Tbl_KPIMaster[KPI],0)),"")</f>
        <v/>
      </c>
      <c r="J446" s="9" t="n">
        <v>0.7963</v>
      </c>
      <c r="K446" s="8">
        <f>IFERROR(INDEX(Tbl_KPIMaster[Tolerance],MATCH($G446,Tbl_KPIMaster[KPI],0)),"")</f>
        <v/>
      </c>
      <c r="L446" s="8">
        <f>IFERROR(INDEX(Tbl_KPIMaster[Owner],MATCH($G446,Tbl_KPIMaster[KPI],0)),"")</f>
        <v/>
      </c>
      <c r="M446" s="10" t="inlineStr">
        <is>
          <t>Within normal range</t>
        </is>
      </c>
      <c r="N446" s="8" t="inlineStr">
        <is>
          <t>Engineering support needed</t>
        </is>
      </c>
      <c r="O446" s="8" t="inlineStr">
        <is>
          <t>High</t>
        </is>
      </c>
      <c r="P446" s="8" t="inlineStr">
        <is>
          <t>Closed</t>
        </is>
      </c>
      <c r="Q446" s="9">
        <f>IFERROR(IF(INDEX(Tbl_KPIMaster[Direction],MATCH($G446,Tbl_KPIMaster[KPI],0))="Lower is Better",IF($J446=0,1,IF($I446=0,0,$I446/$J446)),IF($I446=0,1,$J446/$I446)),0)</f>
        <v/>
      </c>
      <c r="R446" s="8">
        <f>IF(OR($I446="",$J446=""),"",$J446-$I446)</f>
        <v/>
      </c>
      <c r="S446" s="8">
        <f>IFERROR(IF(INDEX(Tbl_KPIMaster[Direction],MATCH($G446,Tbl_KPIMaster[KPI],0))="Lower is Better",IF($J446&lt;=$I446,"Green",IF($J446&lt;=$I446+IF($I446=0,$K446,$I446*$K446),"Amber","Red")),IF($J446&gt;=$I446,"Green",IF($J446&gt;=$I446-IF($I446=0,$K446,$I446*$K446),"Amber","Red"))),"")</f>
        <v/>
      </c>
      <c r="T446" s="10" t="inlineStr"/>
    </row>
    <row r="447">
      <c r="A447" s="3" t="n">
        <v>46152</v>
      </c>
      <c r="B447" s="4">
        <f>IF($A447="","",TEXT($A447,"mmm-yyyy"))</f>
        <v/>
      </c>
      <c r="C447" s="4">
        <f>IF($A447="","","W"&amp;WEEKNUM($A447,2))</f>
        <v/>
      </c>
      <c r="D447" s="4">
        <f>IF($A447="","",TEXT($A447,"ddd"))</f>
        <v/>
      </c>
      <c r="E447" s="4" t="inlineStr">
        <is>
          <t>Quality</t>
        </is>
      </c>
      <c r="F447" s="4">
        <f>IFERROR(INDEX(Tbl_KPIMaster[Category],MATCH($G447,Tbl_KPIMaster[KPI],0)),"")</f>
        <v/>
      </c>
      <c r="G447" s="4" t="inlineStr">
        <is>
          <t>Defect Rate %</t>
        </is>
      </c>
      <c r="H447" s="4">
        <f>IFERROR(INDEX(Tbl_KPIMaster[Unit],MATCH($G447,Tbl_KPIMaster[KPI],0)),"")</f>
        <v/>
      </c>
      <c r="I447" s="5">
        <f>IFERROR(INDEX(Tbl_KPIMaster[Maximum Target],MATCH($G447,Tbl_KPIMaster[KPI],0)),"")</f>
        <v/>
      </c>
      <c r="J447" s="5" t="n">
        <v>0</v>
      </c>
      <c r="K447" s="4">
        <f>IFERROR(INDEX(Tbl_KPIMaster[Tolerance],MATCH($G447,Tbl_KPIMaster[KPI],0)),"")</f>
        <v/>
      </c>
      <c r="L447" s="4">
        <f>IFERROR(INDEX(Tbl_KPIMaster[Owner],MATCH($G447,Tbl_KPIMaster[KPI],0)),"")</f>
        <v/>
      </c>
      <c r="M447" s="6" t="inlineStr">
        <is>
          <t>Awaiting spares</t>
        </is>
      </c>
      <c r="N447" s="4" t="inlineStr">
        <is>
          <t>Engineering support needed</t>
        </is>
      </c>
      <c r="O447" s="4" t="inlineStr">
        <is>
          <t>Medium</t>
        </is>
      </c>
      <c r="P447" s="4" t="inlineStr">
        <is>
          <t>Closed</t>
        </is>
      </c>
      <c r="Q447" s="5">
        <f>IFERROR(IF(INDEX(Tbl_KPIMaster[Direction],MATCH($G447,Tbl_KPIMaster[KPI],0))="Lower is Better",IF($J447=0,1,IF($I447=0,0,$I447/$J447)),IF($I447=0,1,$J447/$I447)),0)</f>
        <v/>
      </c>
      <c r="R447" s="4">
        <f>IF(OR($I447="",$J447=""),"",$J447-$I447)</f>
        <v/>
      </c>
      <c r="S447" s="4">
        <f>IFERROR(IF(INDEX(Tbl_KPIMaster[Direction],MATCH($G447,Tbl_KPIMaster[KPI],0))="Lower is Better",IF($J447&lt;=$I447,"Green",IF($J447&lt;=$I447+IF($I447=0,$K447,$I447*$K447),"Amber","Red")),IF($J447&gt;=$I447,"Green",IF($J447&gt;=$I447-IF($I447=0,$K447,$I447*$K447),"Amber","Red"))),"")</f>
        <v/>
      </c>
      <c r="T447" s="6" t="inlineStr"/>
    </row>
    <row r="448">
      <c r="A448" s="7" t="n">
        <v>46152</v>
      </c>
      <c r="B448" s="8">
        <f>IF($A448="","",TEXT($A448,"mmm-yyyy"))</f>
        <v/>
      </c>
      <c r="C448" s="8">
        <f>IF($A448="","","W"&amp;WEEKNUM($A448,2))</f>
        <v/>
      </c>
      <c r="D448" s="8">
        <f>IF($A448="","",TEXT($A448,"ddd"))</f>
        <v/>
      </c>
      <c r="E448" s="8" t="inlineStr">
        <is>
          <t>Quality</t>
        </is>
      </c>
      <c r="F448" s="8">
        <f>IFERROR(INDEX(Tbl_KPIMaster[Category],MATCH($G448,Tbl_KPIMaster[KPI],0)),"")</f>
        <v/>
      </c>
      <c r="G448" s="8" t="inlineStr">
        <is>
          <t>Customer Complaints</t>
        </is>
      </c>
      <c r="H448" s="8">
        <f>IFERROR(INDEX(Tbl_KPIMaster[Unit],MATCH($G448,Tbl_KPIMaster[KPI],0)),"")</f>
        <v/>
      </c>
      <c r="I448" s="9">
        <f>IFERROR(INDEX(Tbl_KPIMaster[Maximum Target],MATCH($G448,Tbl_KPIMaster[KPI],0)),"")</f>
        <v/>
      </c>
      <c r="J448" s="9" t="n">
        <v>0</v>
      </c>
      <c r="K448" s="8">
        <f>IFERROR(INDEX(Tbl_KPIMaster[Tolerance],MATCH($G448,Tbl_KPIMaster[KPI],0)),"")</f>
        <v/>
      </c>
      <c r="L448" s="8">
        <f>IFERROR(INDEX(Tbl_KPIMaster[Owner],MATCH($G448,Tbl_KPIMaster[KPI],0)),"")</f>
        <v/>
      </c>
      <c r="M448" s="10" t="inlineStr">
        <is>
          <t>Awaiting spares</t>
        </is>
      </c>
      <c r="N448" s="8" t="inlineStr"/>
      <c r="O448" s="8" t="inlineStr">
        <is>
          <t>Medium</t>
        </is>
      </c>
      <c r="P448" s="8" t="inlineStr">
        <is>
          <t>Closed</t>
        </is>
      </c>
      <c r="Q448" s="9">
        <f>IFERROR(IF(INDEX(Tbl_KPIMaster[Direction],MATCH($G448,Tbl_KPIMaster[KPI],0))="Lower is Better",IF($J448=0,1,IF($I448=0,0,$I448/$J448)),IF($I448=0,1,$J448/$I448)),0)</f>
        <v/>
      </c>
      <c r="R448" s="8">
        <f>IF(OR($I448="",$J448=""),"",$J448-$I448)</f>
        <v/>
      </c>
      <c r="S448" s="8">
        <f>IFERROR(IF(INDEX(Tbl_KPIMaster[Direction],MATCH($G448,Tbl_KPIMaster[KPI],0))="Lower is Better",IF($J448&lt;=$I448,"Green",IF($J448&lt;=$I448+IF($I448=0,$K448,$I448*$K448),"Amber","Red")),IF($J448&gt;=$I448,"Green",IF($J448&gt;=$I448-IF($I448=0,$K448,$I448*$K448),"Amber","Red"))),"")</f>
        <v/>
      </c>
      <c r="T448" s="10" t="inlineStr"/>
    </row>
    <row r="449">
      <c r="A449" s="3" t="n">
        <v>46152</v>
      </c>
      <c r="B449" s="4">
        <f>IF($A449="","",TEXT($A449,"mmm-yyyy"))</f>
        <v/>
      </c>
      <c r="C449" s="4">
        <f>IF($A449="","","W"&amp;WEEKNUM($A449,2))</f>
        <v/>
      </c>
      <c r="D449" s="4">
        <f>IF($A449="","",TEXT($A449,"ddd"))</f>
        <v/>
      </c>
      <c r="E449" s="4" t="inlineStr">
        <is>
          <t>Maintenance</t>
        </is>
      </c>
      <c r="F449" s="4">
        <f>IFERROR(INDEX(Tbl_KPIMaster[Category],MATCH($G449,Tbl_KPIMaster[KPI],0)),"")</f>
        <v/>
      </c>
      <c r="G449" s="4" t="inlineStr">
        <is>
          <t>Unplanned Downtime</t>
        </is>
      </c>
      <c r="H449" s="4">
        <f>IFERROR(INDEX(Tbl_KPIMaster[Unit],MATCH($G449,Tbl_KPIMaster[KPI],0)),"")</f>
        <v/>
      </c>
      <c r="I449" s="5">
        <f>IFERROR(INDEX(Tbl_KPIMaster[Maximum Target],MATCH($G449,Tbl_KPIMaster[KPI],0)),"")</f>
        <v/>
      </c>
      <c r="J449" s="5" t="n">
        <v>0.19</v>
      </c>
      <c r="K449" s="4">
        <f>IFERROR(INDEX(Tbl_KPIMaster[Tolerance],MATCH($G449,Tbl_KPIMaster[KPI],0)),"")</f>
        <v/>
      </c>
      <c r="L449" s="4">
        <f>IFERROR(INDEX(Tbl_KPIMaster[Owner],MATCH($G449,Tbl_KPIMaster[KPI],0)),"")</f>
        <v/>
      </c>
      <c r="M449" s="6" t="inlineStr">
        <is>
          <t>Weather impact</t>
        </is>
      </c>
      <c r="N449" s="4" t="inlineStr">
        <is>
          <t>Management approval pending</t>
        </is>
      </c>
      <c r="O449" s="4" t="inlineStr">
        <is>
          <t>High</t>
        </is>
      </c>
      <c r="P449" s="4" t="inlineStr">
        <is>
          <t>Closed</t>
        </is>
      </c>
      <c r="Q449" s="5">
        <f>IFERROR(IF(INDEX(Tbl_KPIMaster[Direction],MATCH($G449,Tbl_KPIMaster[KPI],0))="Lower is Better",IF($J449=0,1,IF($I449=0,0,$I449/$J449)),IF($I449=0,1,$J449/$I449)),0)</f>
        <v/>
      </c>
      <c r="R449" s="4">
        <f>IF(OR($I449="",$J449=""),"",$J449-$I449)</f>
        <v/>
      </c>
      <c r="S449" s="4">
        <f>IFERROR(IF(INDEX(Tbl_KPIMaster[Direction],MATCH($G449,Tbl_KPIMaster[KPI],0))="Lower is Better",IF($J449&lt;=$I449,"Green",IF($J449&lt;=$I449+IF($I449=0,$K449,$I449*$K449),"Amber","Red")),IF($J449&gt;=$I449,"Green",IF($J449&gt;=$I449-IF($I449=0,$K449,$I449*$K449),"Amber","Red"))),"")</f>
        <v/>
      </c>
      <c r="T449" s="6" t="inlineStr"/>
    </row>
    <row r="450">
      <c r="A450" s="7" t="n">
        <v>46152</v>
      </c>
      <c r="B450" s="8">
        <f>IF($A450="","",TEXT($A450,"mmm-yyyy"))</f>
        <v/>
      </c>
      <c r="C450" s="8">
        <f>IF($A450="","","W"&amp;WEEKNUM($A450,2))</f>
        <v/>
      </c>
      <c r="D450" s="8">
        <f>IF($A450="","",TEXT($A450,"ddd"))</f>
        <v/>
      </c>
      <c r="E450" s="8" t="inlineStr">
        <is>
          <t>Maintenance</t>
        </is>
      </c>
      <c r="F450" s="8">
        <f>IFERROR(INDEX(Tbl_KPIMaster[Category],MATCH($G450,Tbl_KPIMaster[KPI],0)),"")</f>
        <v/>
      </c>
      <c r="G450" s="8" t="inlineStr">
        <is>
          <t>PM Compliance %</t>
        </is>
      </c>
      <c r="H450" s="8">
        <f>IFERROR(INDEX(Tbl_KPIMaster[Unit],MATCH($G450,Tbl_KPIMaster[KPI],0)),"")</f>
        <v/>
      </c>
      <c r="I450" s="9">
        <f>IFERROR(INDEX(Tbl_KPIMaster[Maximum Target],MATCH($G450,Tbl_KPIMaster[KPI],0)),"")</f>
        <v/>
      </c>
      <c r="J450" s="9" t="n">
        <v>0.9339</v>
      </c>
      <c r="K450" s="8">
        <f>IFERROR(INDEX(Tbl_KPIMaster[Tolerance],MATCH($G450,Tbl_KPIMaster[KPI],0)),"")</f>
        <v/>
      </c>
      <c r="L450" s="8">
        <f>IFERROR(INDEX(Tbl_KPIMaster[Owner],MATCH($G450,Tbl_KPIMaster[KPI],0)),"")</f>
        <v/>
      </c>
      <c r="M450" s="10" t="inlineStr">
        <is>
          <t>Within normal range</t>
        </is>
      </c>
      <c r="N450" s="8" t="inlineStr">
        <is>
          <t>Engineering support needed</t>
        </is>
      </c>
      <c r="O450" s="8" t="inlineStr">
        <is>
          <t>Low</t>
        </is>
      </c>
      <c r="P450" s="8" t="inlineStr">
        <is>
          <t>In Progress</t>
        </is>
      </c>
      <c r="Q450" s="9">
        <f>IFERROR(IF(INDEX(Tbl_KPIMaster[Direction],MATCH($G450,Tbl_KPIMaster[KPI],0))="Lower is Better",IF($J450=0,1,IF($I450=0,0,$I450/$J450)),IF($I450=0,1,$J450/$I450)),0)</f>
        <v/>
      </c>
      <c r="R450" s="8">
        <f>IF(OR($I450="",$J450=""),"",$J450-$I450)</f>
        <v/>
      </c>
      <c r="S450" s="8">
        <f>IFERROR(IF(INDEX(Tbl_KPIMaster[Direction],MATCH($G450,Tbl_KPIMaster[KPI],0))="Lower is Better",IF($J450&lt;=$I450,"Green",IF($J450&lt;=$I450+IF($I450=0,$K450,$I450*$K450),"Amber","Red")),IF($J450&gt;=$I450,"Green",IF($J450&gt;=$I450-IF($I450=0,$K450,$I450*$K450),"Amber","Red"))),"")</f>
        <v/>
      </c>
      <c r="T450" s="10" t="inlineStr"/>
    </row>
    <row r="451">
      <c r="A451" s="3" t="n">
        <v>46152</v>
      </c>
      <c r="B451" s="4">
        <f>IF($A451="","",TEXT($A451,"mmm-yyyy"))</f>
        <v/>
      </c>
      <c r="C451" s="4">
        <f>IF($A451="","","W"&amp;WEEKNUM($A451,2))</f>
        <v/>
      </c>
      <c r="D451" s="4">
        <f>IF($A451="","",TEXT($A451,"ddd"))</f>
        <v/>
      </c>
      <c r="E451" s="4" t="inlineStr">
        <is>
          <t>Utilities</t>
        </is>
      </c>
      <c r="F451" s="4">
        <f>IFERROR(INDEX(Tbl_KPIMaster[Category],MATCH($G451,Tbl_KPIMaster[KPI],0)),"")</f>
        <v/>
      </c>
      <c r="G451" s="4" t="inlineStr">
        <is>
          <t>Power Consumption</t>
        </is>
      </c>
      <c r="H451" s="4">
        <f>IFERROR(INDEX(Tbl_KPIMaster[Unit],MATCH($G451,Tbl_KPIMaster[KPI],0)),"")</f>
        <v/>
      </c>
      <c r="I451" s="5">
        <f>IFERROR(INDEX(Tbl_KPIMaster[Maximum Target],MATCH($G451,Tbl_KPIMaster[KPI],0)),"")</f>
        <v/>
      </c>
      <c r="J451" s="5" t="n">
        <v>4050.21</v>
      </c>
      <c r="K451" s="4">
        <f>IFERROR(INDEX(Tbl_KPIMaster[Tolerance],MATCH($G451,Tbl_KPIMaster[KPI],0)),"")</f>
        <v/>
      </c>
      <c r="L451" s="4">
        <f>IFERROR(INDEX(Tbl_KPIMaster[Owner],MATCH($G451,Tbl_KPIMaster[KPI],0)),"")</f>
        <v/>
      </c>
      <c r="M451" s="6" t="inlineStr">
        <is>
          <t>Line changeover impact</t>
        </is>
      </c>
      <c r="N451" s="4" t="inlineStr"/>
      <c r="O451" s="4" t="inlineStr">
        <is>
          <t>Low</t>
        </is>
      </c>
      <c r="P451" s="4" t="inlineStr">
        <is>
          <t>Closed</t>
        </is>
      </c>
      <c r="Q451" s="5">
        <f>IFERROR(IF(INDEX(Tbl_KPIMaster[Direction],MATCH($G451,Tbl_KPIMaster[KPI],0))="Lower is Better",IF($J451=0,1,IF($I451=0,0,$I451/$J451)),IF($I451=0,1,$J451/$I451)),0)</f>
        <v/>
      </c>
      <c r="R451" s="4">
        <f>IF(OR($I451="",$J451=""),"",$J451-$I451)</f>
        <v/>
      </c>
      <c r="S451" s="4">
        <f>IFERROR(IF(INDEX(Tbl_KPIMaster[Direction],MATCH($G451,Tbl_KPIMaster[KPI],0))="Lower is Better",IF($J451&lt;=$I451,"Green",IF($J451&lt;=$I451+IF($I451=0,$K451,$I451*$K451),"Amber","Red")),IF($J451&gt;=$I451,"Green",IF($J451&gt;=$I451-IF($I451=0,$K451,$I451*$K451),"Amber","Red"))),"")</f>
        <v/>
      </c>
      <c r="T451" s="6" t="inlineStr"/>
    </row>
    <row r="452">
      <c r="A452" s="7" t="n">
        <v>46152</v>
      </c>
      <c r="B452" s="8">
        <f>IF($A452="","",TEXT($A452,"mmm-yyyy"))</f>
        <v/>
      </c>
      <c r="C452" s="8">
        <f>IF($A452="","","W"&amp;WEEKNUM($A452,2))</f>
        <v/>
      </c>
      <c r="D452" s="8">
        <f>IF($A452="","",TEXT($A452,"ddd"))</f>
        <v/>
      </c>
      <c r="E452" s="8" t="inlineStr">
        <is>
          <t>Utilities</t>
        </is>
      </c>
      <c r="F452" s="8">
        <f>IFERROR(INDEX(Tbl_KPIMaster[Category],MATCH($G452,Tbl_KPIMaster[KPI],0)),"")</f>
        <v/>
      </c>
      <c r="G452" s="8" t="inlineStr">
        <is>
          <t>Water Consumption</t>
        </is>
      </c>
      <c r="H452" s="8">
        <f>IFERROR(INDEX(Tbl_KPIMaster[Unit],MATCH($G452,Tbl_KPIMaster[KPI],0)),"")</f>
        <v/>
      </c>
      <c r="I452" s="9">
        <f>IFERROR(INDEX(Tbl_KPIMaster[Maximum Target],MATCH($G452,Tbl_KPIMaster[KPI],0)),"")</f>
        <v/>
      </c>
      <c r="J452" s="9" t="n">
        <v>57.79</v>
      </c>
      <c r="K452" s="8">
        <f>IFERROR(INDEX(Tbl_KPIMaster[Tolerance],MATCH($G452,Tbl_KPIMaster[KPI],0)),"")</f>
        <v/>
      </c>
      <c r="L452" s="8">
        <f>IFERROR(INDEX(Tbl_KPIMaster[Owner],MATCH($G452,Tbl_KPIMaster[KPI],0)),"")</f>
        <v/>
      </c>
      <c r="M452" s="10" t="inlineStr">
        <is>
          <t>Equipment breakdown</t>
        </is>
      </c>
      <c r="N452" s="8" t="inlineStr"/>
      <c r="O452" s="8" t="inlineStr">
        <is>
          <t>Low</t>
        </is>
      </c>
      <c r="P452" s="8" t="inlineStr">
        <is>
          <t>In Progress</t>
        </is>
      </c>
      <c r="Q452" s="9">
        <f>IFERROR(IF(INDEX(Tbl_KPIMaster[Direction],MATCH($G452,Tbl_KPIMaster[KPI],0))="Lower is Better",IF($J452=0,1,IF($I452=0,0,$I452/$J452)),IF($I452=0,1,$J452/$I452)),0)</f>
        <v/>
      </c>
      <c r="R452" s="8">
        <f>IF(OR($I452="",$J452=""),"",$J452-$I452)</f>
        <v/>
      </c>
      <c r="S452" s="8">
        <f>IFERROR(IF(INDEX(Tbl_KPIMaster[Direction],MATCH($G452,Tbl_KPIMaster[KPI],0))="Lower is Better",IF($J452&lt;=$I452,"Green",IF($J452&lt;=$I452+IF($I452=0,$K452,$I452*$K452),"Amber","Red")),IF($J452&gt;=$I452,"Green",IF($J452&gt;=$I452-IF($I452=0,$K452,$I452*$K452),"Amber","Red"))),"")</f>
        <v/>
      </c>
      <c r="T452" s="10" t="inlineStr"/>
    </row>
    <row r="453">
      <c r="A453" s="3" t="n">
        <v>46152</v>
      </c>
      <c r="B453" s="4">
        <f>IF($A453="","",TEXT($A453,"mmm-yyyy"))</f>
        <v/>
      </c>
      <c r="C453" s="4">
        <f>IF($A453="","","W"&amp;WEEKNUM($A453,2))</f>
        <v/>
      </c>
      <c r="D453" s="4">
        <f>IF($A453="","",TEXT($A453,"ddd"))</f>
        <v/>
      </c>
      <c r="E453" s="4" t="inlineStr">
        <is>
          <t>Warehouse</t>
        </is>
      </c>
      <c r="F453" s="4">
        <f>IFERROR(INDEX(Tbl_KPIMaster[Category],MATCH($G453,Tbl_KPIMaster[KPI],0)),"")</f>
        <v/>
      </c>
      <c r="G453" s="4" t="inlineStr">
        <is>
          <t>On-Time Dispatch %</t>
        </is>
      </c>
      <c r="H453" s="4">
        <f>IFERROR(INDEX(Tbl_KPIMaster[Unit],MATCH($G453,Tbl_KPIMaster[KPI],0)),"")</f>
        <v/>
      </c>
      <c r="I453" s="5">
        <f>IFERROR(INDEX(Tbl_KPIMaster[Maximum Target],MATCH($G453,Tbl_KPIMaster[KPI],0)),"")</f>
        <v/>
      </c>
      <c r="J453" s="5" t="n">
        <v>0.8889</v>
      </c>
      <c r="K453" s="4">
        <f>IFERROR(INDEX(Tbl_KPIMaster[Tolerance],MATCH($G453,Tbl_KPIMaster[KPI],0)),"")</f>
        <v/>
      </c>
      <c r="L453" s="4">
        <f>IFERROR(INDEX(Tbl_KPIMaster[Owner],MATCH($G453,Tbl_KPIMaster[KPI],0)),"")</f>
        <v/>
      </c>
      <c r="M453" s="6" t="inlineStr">
        <is>
          <t>Line changeover impact</t>
        </is>
      </c>
      <c r="N453" s="4" t="inlineStr">
        <is>
          <t>Procurement follow-up</t>
        </is>
      </c>
      <c r="O453" s="4" t="inlineStr">
        <is>
          <t>Medium</t>
        </is>
      </c>
      <c r="P453" s="4" t="inlineStr">
        <is>
          <t>Open</t>
        </is>
      </c>
      <c r="Q453" s="5">
        <f>IFERROR(IF(INDEX(Tbl_KPIMaster[Direction],MATCH($G453,Tbl_KPIMaster[KPI],0))="Lower is Better",IF($J453=0,1,IF($I453=0,0,$I453/$J453)),IF($I453=0,1,$J453/$I453)),0)</f>
        <v/>
      </c>
      <c r="R453" s="4">
        <f>IF(OR($I453="",$J453=""),"",$J453-$I453)</f>
        <v/>
      </c>
      <c r="S453" s="4">
        <f>IFERROR(IF(INDEX(Tbl_KPIMaster[Direction],MATCH($G453,Tbl_KPIMaster[KPI],0))="Lower is Better",IF($J453&lt;=$I453,"Green",IF($J453&lt;=$I453+IF($I453=0,$K453,$I453*$K453),"Amber","Red")),IF($J453&gt;=$I453,"Green",IF($J453&gt;=$I453-IF($I453=0,$K453,$I453*$K453),"Amber","Red"))),"")</f>
        <v/>
      </c>
      <c r="T453" s="6" t="inlineStr"/>
    </row>
    <row r="454">
      <c r="A454" s="7" t="n">
        <v>46152</v>
      </c>
      <c r="B454" s="8">
        <f>IF($A454="","",TEXT($A454,"mmm-yyyy"))</f>
        <v/>
      </c>
      <c r="C454" s="8">
        <f>IF($A454="","","W"&amp;WEEKNUM($A454,2))</f>
        <v/>
      </c>
      <c r="D454" s="8">
        <f>IF($A454="","",TEXT($A454,"ddd"))</f>
        <v/>
      </c>
      <c r="E454" s="8" t="inlineStr">
        <is>
          <t>Warehouse</t>
        </is>
      </c>
      <c r="F454" s="8">
        <f>IFERROR(INDEX(Tbl_KPIMaster[Category],MATCH($G454,Tbl_KPIMaster[KPI],0)),"")</f>
        <v/>
      </c>
      <c r="G454" s="8" t="inlineStr">
        <is>
          <t>Inventory Accuracy %</t>
        </is>
      </c>
      <c r="H454" s="8">
        <f>IFERROR(INDEX(Tbl_KPIMaster[Unit],MATCH($G454,Tbl_KPIMaster[KPI],0)),"")</f>
        <v/>
      </c>
      <c r="I454" s="9">
        <f>IFERROR(INDEX(Tbl_KPIMaster[Maximum Target],MATCH($G454,Tbl_KPIMaster[KPI],0)),"")</f>
        <v/>
      </c>
      <c r="J454" s="9" t="n">
        <v>1.2918</v>
      </c>
      <c r="K454" s="8">
        <f>IFERROR(INDEX(Tbl_KPIMaster[Tolerance],MATCH($G454,Tbl_KPIMaster[KPI],0)),"")</f>
        <v/>
      </c>
      <c r="L454" s="8">
        <f>IFERROR(INDEX(Tbl_KPIMaster[Owner],MATCH($G454,Tbl_KPIMaster[KPI],0)),"")</f>
        <v/>
      </c>
      <c r="M454" s="10" t="inlineStr">
        <is>
          <t>Within normal range</t>
        </is>
      </c>
      <c r="N454" s="8" t="inlineStr">
        <is>
          <t>Procurement follow-up</t>
        </is>
      </c>
      <c r="O454" s="8" t="inlineStr">
        <is>
          <t>Medium</t>
        </is>
      </c>
      <c r="P454" s="8" t="inlineStr">
        <is>
          <t>Open</t>
        </is>
      </c>
      <c r="Q454" s="9">
        <f>IFERROR(IF(INDEX(Tbl_KPIMaster[Direction],MATCH($G454,Tbl_KPIMaster[KPI],0))="Lower is Better",IF($J454=0,1,IF($I454=0,0,$I454/$J454)),IF($I454=0,1,$J454/$I454)),0)</f>
        <v/>
      </c>
      <c r="R454" s="8">
        <f>IF(OR($I454="",$J454=""),"",$J454-$I454)</f>
        <v/>
      </c>
      <c r="S454" s="8">
        <f>IFERROR(IF(INDEX(Tbl_KPIMaster[Direction],MATCH($G454,Tbl_KPIMaster[KPI],0))="Lower is Better",IF($J454&lt;=$I454,"Green",IF($J454&lt;=$I454+IF($I454=0,$K454,$I454*$K454),"Amber","Red")),IF($J454&gt;=$I454,"Green",IF($J454&gt;=$I454-IF($I454=0,$K454,$I454*$K454),"Amber","Red"))),"")</f>
        <v/>
      </c>
      <c r="T454" s="10" t="inlineStr"/>
    </row>
    <row r="455">
      <c r="A455" s="3" t="n">
        <v>46152</v>
      </c>
      <c r="B455" s="4">
        <f>IF($A455="","",TEXT($A455,"mmm-yyyy"))</f>
        <v/>
      </c>
      <c r="C455" s="4">
        <f>IF($A455="","","W"&amp;WEEKNUM($A455,2))</f>
        <v/>
      </c>
      <c r="D455" s="4">
        <f>IF($A455="","",TEXT($A455,"ddd"))</f>
        <v/>
      </c>
      <c r="E455" s="4" t="inlineStr">
        <is>
          <t>HR</t>
        </is>
      </c>
      <c r="F455" s="4">
        <f>IFERROR(INDEX(Tbl_KPIMaster[Category],MATCH($G455,Tbl_KPIMaster[KPI],0)),"")</f>
        <v/>
      </c>
      <c r="G455" s="4" t="inlineStr">
        <is>
          <t>Absenteeism %</t>
        </is>
      </c>
      <c r="H455" s="4">
        <f>IFERROR(INDEX(Tbl_KPIMaster[Unit],MATCH($G455,Tbl_KPIMaster[KPI],0)),"")</f>
        <v/>
      </c>
      <c r="I455" s="5">
        <f>IFERROR(INDEX(Tbl_KPIMaster[Maximum Target],MATCH($G455,Tbl_KPIMaster[KPI],0)),"")</f>
        <v/>
      </c>
      <c r="J455" s="5" t="n">
        <v>0</v>
      </c>
      <c r="K455" s="4">
        <f>IFERROR(INDEX(Tbl_KPIMaster[Tolerance],MATCH($G455,Tbl_KPIMaster[KPI],0)),"")</f>
        <v/>
      </c>
      <c r="L455" s="4">
        <f>IFERROR(INDEX(Tbl_KPIMaster[Owner],MATCH($G455,Tbl_KPIMaster[KPI],0)),"")</f>
        <v/>
      </c>
      <c r="M455" s="6" t="inlineStr">
        <is>
          <t>Manpower shortage</t>
        </is>
      </c>
      <c r="N455" s="4" t="inlineStr"/>
      <c r="O455" s="4" t="inlineStr">
        <is>
          <t>Low</t>
        </is>
      </c>
      <c r="P455" s="4" t="inlineStr">
        <is>
          <t>Closed</t>
        </is>
      </c>
      <c r="Q455" s="5">
        <f>IFERROR(IF(INDEX(Tbl_KPIMaster[Direction],MATCH($G455,Tbl_KPIMaster[KPI],0))="Lower is Better",IF($J455=0,1,IF($I455=0,0,$I455/$J455)),IF($I455=0,1,$J455/$I455)),0)</f>
        <v/>
      </c>
      <c r="R455" s="4">
        <f>IF(OR($I455="",$J455=""),"",$J455-$I455)</f>
        <v/>
      </c>
      <c r="S455" s="4">
        <f>IFERROR(IF(INDEX(Tbl_KPIMaster[Direction],MATCH($G455,Tbl_KPIMaster[KPI],0))="Lower is Better",IF($J455&lt;=$I455,"Green",IF($J455&lt;=$I455+IF($I455=0,$K455,$I455*$K455),"Amber","Red")),IF($J455&gt;=$I455,"Green",IF($J455&gt;=$I455-IF($I455=0,$K455,$I455*$K455),"Amber","Red"))),"")</f>
        <v/>
      </c>
      <c r="T455" s="6" t="inlineStr"/>
    </row>
    <row r="456">
      <c r="A456" s="7" t="n">
        <v>46152</v>
      </c>
      <c r="B456" s="8">
        <f>IF($A456="","",TEXT($A456,"mmm-yyyy"))</f>
        <v/>
      </c>
      <c r="C456" s="8">
        <f>IF($A456="","","W"&amp;WEEKNUM($A456,2))</f>
        <v/>
      </c>
      <c r="D456" s="8">
        <f>IF($A456="","",TEXT($A456,"ddd"))</f>
        <v/>
      </c>
      <c r="E456" s="8" t="inlineStr">
        <is>
          <t>HR</t>
        </is>
      </c>
      <c r="F456" s="8">
        <f>IFERROR(INDEX(Tbl_KPIMaster[Category],MATCH($G456,Tbl_KPIMaster[KPI],0)),"")</f>
        <v/>
      </c>
      <c r="G456" s="8" t="inlineStr">
        <is>
          <t>Training Hours</t>
        </is>
      </c>
      <c r="H456" s="8">
        <f>IFERROR(INDEX(Tbl_KPIMaster[Unit],MATCH($G456,Tbl_KPIMaster[KPI],0)),"")</f>
        <v/>
      </c>
      <c r="I456" s="9">
        <f>IFERROR(INDEX(Tbl_KPIMaster[Maximum Target],MATCH($G456,Tbl_KPIMaster[KPI],0)),"")</f>
        <v/>
      </c>
      <c r="J456" s="9" t="n">
        <v>1.85</v>
      </c>
      <c r="K456" s="8">
        <f>IFERROR(INDEX(Tbl_KPIMaster[Tolerance],MATCH($G456,Tbl_KPIMaster[KPI],0)),"")</f>
        <v/>
      </c>
      <c r="L456" s="8">
        <f>IFERROR(INDEX(Tbl_KPIMaster[Owner],MATCH($G456,Tbl_KPIMaster[KPI],0)),"")</f>
        <v/>
      </c>
      <c r="M456" s="10" t="inlineStr">
        <is>
          <t>Weather impact</t>
        </is>
      </c>
      <c r="N456" s="8" t="inlineStr"/>
      <c r="O456" s="8" t="inlineStr">
        <is>
          <t>Medium</t>
        </is>
      </c>
      <c r="P456" s="8" t="inlineStr">
        <is>
          <t>Open</t>
        </is>
      </c>
      <c r="Q456" s="9">
        <f>IFERROR(IF(INDEX(Tbl_KPIMaster[Direction],MATCH($G456,Tbl_KPIMaster[KPI],0))="Lower is Better",IF($J456=0,1,IF($I456=0,0,$I456/$J456)),IF($I456=0,1,$J456/$I456)),0)</f>
        <v/>
      </c>
      <c r="R456" s="8">
        <f>IF(OR($I456="",$J456=""),"",$J456-$I456)</f>
        <v/>
      </c>
      <c r="S456" s="8">
        <f>IFERROR(IF(INDEX(Tbl_KPIMaster[Direction],MATCH($G456,Tbl_KPIMaster[KPI],0))="Lower is Better",IF($J456&lt;=$I456,"Green",IF($J456&lt;=$I456+IF($I456=0,$K456,$I456*$K456),"Amber","Red")),IF($J456&gt;=$I456,"Green",IF($J456&gt;=$I456-IF($I456=0,$K456,$I456*$K456),"Amber","Red"))),"")</f>
        <v/>
      </c>
      <c r="T456" s="10" t="inlineStr"/>
    </row>
    <row r="457">
      <c r="A457" s="3" t="n">
        <v>46152</v>
      </c>
      <c r="B457" s="4">
        <f>IF($A457="","",TEXT($A457,"mmm-yyyy"))</f>
        <v/>
      </c>
      <c r="C457" s="4">
        <f>IF($A457="","","W"&amp;WEEKNUM($A457,2))</f>
        <v/>
      </c>
      <c r="D457" s="4">
        <f>IF($A457="","",TEXT($A457,"ddd"))</f>
        <v/>
      </c>
      <c r="E457" s="4" t="inlineStr">
        <is>
          <t>Engineering</t>
        </is>
      </c>
      <c r="F457" s="4">
        <f>IFERROR(INDEX(Tbl_KPIMaster[Category],MATCH($G457,Tbl_KPIMaster[KPI],0)),"")</f>
        <v/>
      </c>
      <c r="G457" s="4" t="inlineStr">
        <is>
          <t>Project Milestone Adherence %</t>
        </is>
      </c>
      <c r="H457" s="4">
        <f>IFERROR(INDEX(Tbl_KPIMaster[Unit],MATCH($G457,Tbl_KPIMaster[KPI],0)),"")</f>
        <v/>
      </c>
      <c r="I457" s="5">
        <f>IFERROR(INDEX(Tbl_KPIMaster[Maximum Target],MATCH($G457,Tbl_KPIMaster[KPI],0)),"")</f>
        <v/>
      </c>
      <c r="J457" s="5" t="n">
        <v>0.8452</v>
      </c>
      <c r="K457" s="4">
        <f>IFERROR(INDEX(Tbl_KPIMaster[Tolerance],MATCH($G457,Tbl_KPIMaster[KPI],0)),"")</f>
        <v/>
      </c>
      <c r="L457" s="4">
        <f>IFERROR(INDEX(Tbl_KPIMaster[Owner],MATCH($G457,Tbl_KPIMaster[KPI],0)),"")</f>
        <v/>
      </c>
      <c r="M457" s="6" t="inlineStr">
        <is>
          <t>Preventive check done</t>
        </is>
      </c>
      <c r="N457" s="4" t="inlineStr"/>
      <c r="O457" s="4" t="inlineStr">
        <is>
          <t>Low</t>
        </is>
      </c>
      <c r="P457" s="4" t="inlineStr">
        <is>
          <t>Closed</t>
        </is>
      </c>
      <c r="Q457" s="5">
        <f>IFERROR(IF(INDEX(Tbl_KPIMaster[Direction],MATCH($G457,Tbl_KPIMaster[KPI],0))="Lower is Better",IF($J457=0,1,IF($I457=0,0,$I457/$J457)),IF($I457=0,1,$J457/$I457)),0)</f>
        <v/>
      </c>
      <c r="R457" s="4">
        <f>IF(OR($I457="",$J457=""),"",$J457-$I457)</f>
        <v/>
      </c>
      <c r="S457" s="4">
        <f>IFERROR(IF(INDEX(Tbl_KPIMaster[Direction],MATCH($G457,Tbl_KPIMaster[KPI],0))="Lower is Better",IF($J457&lt;=$I457,"Green",IF($J457&lt;=$I457+IF($I457=0,$K457,$I457*$K457),"Amber","Red")),IF($J457&gt;=$I457,"Green",IF($J457&gt;=$I457-IF($I457=0,$K457,$I457*$K457),"Amber","Red"))),"")</f>
        <v/>
      </c>
      <c r="T457" s="6" t="inlineStr"/>
    </row>
    <row r="458">
      <c r="A458" s="7" t="n">
        <v>46152</v>
      </c>
      <c r="B458" s="8">
        <f>IF($A458="","",TEXT($A458,"mmm-yyyy"))</f>
        <v/>
      </c>
      <c r="C458" s="8">
        <f>IF($A458="","","W"&amp;WEEKNUM($A458,2))</f>
        <v/>
      </c>
      <c r="D458" s="8">
        <f>IF($A458="","",TEXT($A458,"ddd"))</f>
        <v/>
      </c>
      <c r="E458" s="8" t="inlineStr">
        <is>
          <t>Engineering</t>
        </is>
      </c>
      <c r="F458" s="8">
        <f>IFERROR(INDEX(Tbl_KPIMaster[Category],MATCH($G458,Tbl_KPIMaster[KPI],0)),"")</f>
        <v/>
      </c>
      <c r="G458" s="8" t="inlineStr">
        <is>
          <t>Breakdown Resolution Time</t>
        </is>
      </c>
      <c r="H458" s="8">
        <f>IFERROR(INDEX(Tbl_KPIMaster[Unit],MATCH($G458,Tbl_KPIMaster[KPI],0)),"")</f>
        <v/>
      </c>
      <c r="I458" s="9">
        <f>IFERROR(INDEX(Tbl_KPIMaster[Maximum Target],MATCH($G458,Tbl_KPIMaster[KPI],0)),"")</f>
        <v/>
      </c>
      <c r="J458" s="9" t="n">
        <v>0</v>
      </c>
      <c r="K458" s="8">
        <f>IFERROR(INDEX(Tbl_KPIMaster[Tolerance],MATCH($G458,Tbl_KPIMaster[KPI],0)),"")</f>
        <v/>
      </c>
      <c r="L458" s="8">
        <f>IFERROR(INDEX(Tbl_KPIMaster[Owner],MATCH($G458,Tbl_KPIMaster[KPI],0)),"")</f>
        <v/>
      </c>
      <c r="M458" s="10" t="inlineStr">
        <is>
          <t>Equipment breakdown</t>
        </is>
      </c>
      <c r="N458" s="8" t="inlineStr">
        <is>
          <t>Procurement follow-up</t>
        </is>
      </c>
      <c r="O458" s="8" t="inlineStr">
        <is>
          <t>Medium</t>
        </is>
      </c>
      <c r="P458" s="8" t="inlineStr">
        <is>
          <t>Closed</t>
        </is>
      </c>
      <c r="Q458" s="9">
        <f>IFERROR(IF(INDEX(Tbl_KPIMaster[Direction],MATCH($G458,Tbl_KPIMaster[KPI],0))="Lower is Better",IF($J458=0,1,IF($I458=0,0,$I458/$J458)),IF($I458=0,1,$J458/$I458)),0)</f>
        <v/>
      </c>
      <c r="R458" s="8">
        <f>IF(OR($I458="",$J458=""),"",$J458-$I458)</f>
        <v/>
      </c>
      <c r="S458" s="8">
        <f>IFERROR(IF(INDEX(Tbl_KPIMaster[Direction],MATCH($G458,Tbl_KPIMaster[KPI],0))="Lower is Better",IF($J458&lt;=$I458,"Green",IF($J458&lt;=$I458+IF($I458=0,$K458,$I458*$K458),"Amber","Red")),IF($J458&gt;=$I458,"Green",IF($J458&gt;=$I458-IF($I458=0,$K458,$I458*$K458),"Amber","Red"))),"")</f>
        <v/>
      </c>
      <c r="T458" s="10" t="inlineStr"/>
    </row>
    <row r="459">
      <c r="A459" s="3" t="n">
        <v>46152</v>
      </c>
      <c r="B459" s="4">
        <f>IF($A459="","",TEXT($A459,"mmm-yyyy"))</f>
        <v/>
      </c>
      <c r="C459" s="4">
        <f>IF($A459="","","W"&amp;WEEKNUM($A459,2))</f>
        <v/>
      </c>
      <c r="D459" s="4">
        <f>IF($A459="","",TEXT($A459,"ddd"))</f>
        <v/>
      </c>
      <c r="E459" s="4" t="inlineStr">
        <is>
          <t>Cost</t>
        </is>
      </c>
      <c r="F459" s="4">
        <f>IFERROR(INDEX(Tbl_KPIMaster[Category],MATCH($G459,Tbl_KPIMaster[KPI],0)),"")</f>
        <v/>
      </c>
      <c r="G459" s="4" t="inlineStr">
        <is>
          <t>Cost per Unit</t>
        </is>
      </c>
      <c r="H459" s="4">
        <f>IFERROR(INDEX(Tbl_KPIMaster[Unit],MATCH($G459,Tbl_KPIMaster[KPI],0)),"")</f>
        <v/>
      </c>
      <c r="I459" s="5">
        <f>IFERROR(INDEX(Tbl_KPIMaster[Maximum Target],MATCH($G459,Tbl_KPIMaster[KPI],0)),"")</f>
        <v/>
      </c>
      <c r="J459" s="5" t="n">
        <v>41.98</v>
      </c>
      <c r="K459" s="4">
        <f>IFERROR(INDEX(Tbl_KPIMaster[Tolerance],MATCH($G459,Tbl_KPIMaster[KPI],0)),"")</f>
        <v/>
      </c>
      <c r="L459" s="4">
        <f>IFERROR(INDEX(Tbl_KPIMaster[Owner],MATCH($G459,Tbl_KPIMaster[KPI],0)),"")</f>
        <v/>
      </c>
      <c r="M459" s="6" t="inlineStr">
        <is>
          <t>Awaiting spares</t>
        </is>
      </c>
      <c r="N459" s="4" t="inlineStr">
        <is>
          <t>Procurement follow-up</t>
        </is>
      </c>
      <c r="O459" s="4" t="inlineStr">
        <is>
          <t>Low</t>
        </is>
      </c>
      <c r="P459" s="4" t="inlineStr">
        <is>
          <t>Closed</t>
        </is>
      </c>
      <c r="Q459" s="5">
        <f>IFERROR(IF(INDEX(Tbl_KPIMaster[Direction],MATCH($G459,Tbl_KPIMaster[KPI],0))="Lower is Better",IF($J459=0,1,IF($I459=0,0,$I459/$J459)),IF($I459=0,1,$J459/$I459)),0)</f>
        <v/>
      </c>
      <c r="R459" s="4">
        <f>IF(OR($I459="",$J459=""),"",$J459-$I459)</f>
        <v/>
      </c>
      <c r="S459" s="4">
        <f>IFERROR(IF(INDEX(Tbl_KPIMaster[Direction],MATCH($G459,Tbl_KPIMaster[KPI],0))="Lower is Better",IF($J459&lt;=$I459,"Green",IF($J459&lt;=$I459+IF($I459=0,$K459,$I459*$K459),"Amber","Red")),IF($J459&gt;=$I459,"Green",IF($J459&gt;=$I459-IF($I459=0,$K459,$I459*$K459),"Amber","Red"))),"")</f>
        <v/>
      </c>
      <c r="T459" s="6" t="inlineStr"/>
    </row>
    <row r="460">
      <c r="A460" s="7" t="n">
        <v>46152</v>
      </c>
      <c r="B460" s="8">
        <f>IF($A460="","",TEXT($A460,"mmm-yyyy"))</f>
        <v/>
      </c>
      <c r="C460" s="8">
        <f>IF($A460="","","W"&amp;WEEKNUM($A460,2))</f>
        <v/>
      </c>
      <c r="D460" s="8">
        <f>IF($A460="","",TEXT($A460,"ddd"))</f>
        <v/>
      </c>
      <c r="E460" s="8" t="inlineStr">
        <is>
          <t>Cost</t>
        </is>
      </c>
      <c r="F460" s="8">
        <f>IFERROR(INDEX(Tbl_KPIMaster[Category],MATCH($G460,Tbl_KPIMaster[KPI],0)),"")</f>
        <v/>
      </c>
      <c r="G460" s="8" t="inlineStr">
        <is>
          <t>Budget Variance %</t>
        </is>
      </c>
      <c r="H460" s="8">
        <f>IFERROR(INDEX(Tbl_KPIMaster[Unit],MATCH($G460,Tbl_KPIMaster[KPI],0)),"")</f>
        <v/>
      </c>
      <c r="I460" s="9">
        <f>IFERROR(INDEX(Tbl_KPIMaster[Maximum Target],MATCH($G460,Tbl_KPIMaster[KPI],0)),"")</f>
        <v/>
      </c>
      <c r="J460" s="9" t="n">
        <v>0</v>
      </c>
      <c r="K460" s="8">
        <f>IFERROR(INDEX(Tbl_KPIMaster[Tolerance],MATCH($G460,Tbl_KPIMaster[KPI],0)),"")</f>
        <v/>
      </c>
      <c r="L460" s="8">
        <f>IFERROR(INDEX(Tbl_KPIMaster[Owner],MATCH($G460,Tbl_KPIMaster[KPI],0)),"")</f>
        <v/>
      </c>
      <c r="M460" s="10" t="inlineStr">
        <is>
          <t>Preventive check done</t>
        </is>
      </c>
      <c r="N460" s="8" t="inlineStr">
        <is>
          <t>Procurement follow-up</t>
        </is>
      </c>
      <c r="O460" s="8" t="inlineStr">
        <is>
          <t>Low</t>
        </is>
      </c>
      <c r="P460" s="8" t="inlineStr">
        <is>
          <t>Closed</t>
        </is>
      </c>
      <c r="Q460" s="9">
        <f>IFERROR(IF(INDEX(Tbl_KPIMaster[Direction],MATCH($G460,Tbl_KPIMaster[KPI],0))="Lower is Better",IF($J460=0,1,IF($I460=0,0,$I460/$J460)),IF($I460=0,1,$J460/$I460)),0)</f>
        <v/>
      </c>
      <c r="R460" s="8">
        <f>IF(OR($I460="",$J460=""),"",$J460-$I460)</f>
        <v/>
      </c>
      <c r="S460" s="8">
        <f>IFERROR(IF(INDEX(Tbl_KPIMaster[Direction],MATCH($G460,Tbl_KPIMaster[KPI],0))="Lower is Better",IF($J460&lt;=$I460,"Green",IF($J460&lt;=$I460+IF($I460=0,$K460,$I460*$K460),"Amber","Red")),IF($J460&gt;=$I460,"Green",IF($J460&gt;=$I460-IF($I460=0,$K460,$I460*$K460),"Amber","Red"))),"")</f>
        <v/>
      </c>
      <c r="T460" s="10" t="inlineStr"/>
    </row>
    <row r="461">
      <c r="A461" s="3" t="n">
        <v>46152</v>
      </c>
      <c r="B461" s="4">
        <f>IF($A461="","",TEXT($A461,"mmm-yyyy"))</f>
        <v/>
      </c>
      <c r="C461" s="4">
        <f>IF($A461="","","W"&amp;WEEKNUM($A461,2))</f>
        <v/>
      </c>
      <c r="D461" s="4">
        <f>IF($A461="","",TEXT($A461,"ddd"))</f>
        <v/>
      </c>
      <c r="E461" s="4" t="inlineStr">
        <is>
          <t>Energy</t>
        </is>
      </c>
      <c r="F461" s="4">
        <f>IFERROR(INDEX(Tbl_KPIMaster[Category],MATCH($G461,Tbl_KPIMaster[KPI],0)),"")</f>
        <v/>
      </c>
      <c r="G461" s="4" t="inlineStr">
        <is>
          <t>Energy Intensity (kWh/unit)</t>
        </is>
      </c>
      <c r="H461" s="4">
        <f>IFERROR(INDEX(Tbl_KPIMaster[Unit],MATCH($G461,Tbl_KPIMaster[KPI],0)),"")</f>
        <v/>
      </c>
      <c r="I461" s="5">
        <f>IFERROR(INDEX(Tbl_KPIMaster[Maximum Target],MATCH($G461,Tbl_KPIMaster[KPI],0)),"")</f>
        <v/>
      </c>
      <c r="J461" s="5" t="n">
        <v>3.48</v>
      </c>
      <c r="K461" s="4">
        <f>IFERROR(INDEX(Tbl_KPIMaster[Tolerance],MATCH($G461,Tbl_KPIMaster[KPI],0)),"")</f>
        <v/>
      </c>
      <c r="L461" s="4">
        <f>IFERROR(INDEX(Tbl_KPIMaster[Owner],MATCH($G461,Tbl_KPIMaster[KPI],0)),"")</f>
        <v/>
      </c>
      <c r="M461" s="6" t="inlineStr">
        <is>
          <t>Equipment breakdown</t>
        </is>
      </c>
      <c r="N461" s="4" t="inlineStr"/>
      <c r="O461" s="4" t="inlineStr">
        <is>
          <t>Medium</t>
        </is>
      </c>
      <c r="P461" s="4" t="inlineStr">
        <is>
          <t>Closed</t>
        </is>
      </c>
      <c r="Q461" s="5">
        <f>IFERROR(IF(INDEX(Tbl_KPIMaster[Direction],MATCH($G461,Tbl_KPIMaster[KPI],0))="Lower is Better",IF($J461=0,1,IF($I461=0,0,$I461/$J461)),IF($I461=0,1,$J461/$I461)),0)</f>
        <v/>
      </c>
      <c r="R461" s="4">
        <f>IF(OR($I461="",$J461=""),"",$J461-$I461)</f>
        <v/>
      </c>
      <c r="S461" s="4">
        <f>IFERROR(IF(INDEX(Tbl_KPIMaster[Direction],MATCH($G461,Tbl_KPIMaster[KPI],0))="Lower is Better",IF($J461&lt;=$I461,"Green",IF($J461&lt;=$I461+IF($I461=0,$K461,$I461*$K461),"Amber","Red")),IF($J461&gt;=$I461,"Green",IF($J461&gt;=$I461-IF($I461=0,$K461,$I461*$K461),"Amber","Red"))),"")</f>
        <v/>
      </c>
      <c r="T461" s="6" t="inlineStr"/>
    </row>
    <row r="462">
      <c r="A462" s="7" t="n">
        <v>46152</v>
      </c>
      <c r="B462" s="8">
        <f>IF($A462="","",TEXT($A462,"mmm-yyyy"))</f>
        <v/>
      </c>
      <c r="C462" s="8">
        <f>IF($A462="","","W"&amp;WEEKNUM($A462,2))</f>
        <v/>
      </c>
      <c r="D462" s="8">
        <f>IF($A462="","",TEXT($A462,"ddd"))</f>
        <v/>
      </c>
      <c r="E462" s="8" t="inlineStr">
        <is>
          <t>Energy</t>
        </is>
      </c>
      <c r="F462" s="8">
        <f>IFERROR(INDEX(Tbl_KPIMaster[Category],MATCH($G462,Tbl_KPIMaster[KPI],0)),"")</f>
        <v/>
      </c>
      <c r="G462" s="8" t="inlineStr">
        <is>
          <t>Renewable Energy Share %</t>
        </is>
      </c>
      <c r="H462" s="8">
        <f>IFERROR(INDEX(Tbl_KPIMaster[Unit],MATCH($G462,Tbl_KPIMaster[KPI],0)),"")</f>
        <v/>
      </c>
      <c r="I462" s="9">
        <f>IFERROR(INDEX(Tbl_KPIMaster[Maximum Target],MATCH($G462,Tbl_KPIMaster[KPI],0)),"")</f>
        <v/>
      </c>
      <c r="J462" s="9" t="n">
        <v>0.2189</v>
      </c>
      <c r="K462" s="8">
        <f>IFERROR(INDEX(Tbl_KPIMaster[Tolerance],MATCH($G462,Tbl_KPIMaster[KPI],0)),"")</f>
        <v/>
      </c>
      <c r="L462" s="8">
        <f>IFERROR(INDEX(Tbl_KPIMaster[Owner],MATCH($G462,Tbl_KPIMaster[KPI],0)),"")</f>
        <v/>
      </c>
      <c r="M462" s="10" t="inlineStr">
        <is>
          <t>Within normal range</t>
        </is>
      </c>
      <c r="N462" s="8" t="inlineStr">
        <is>
          <t>Engineering support needed</t>
        </is>
      </c>
      <c r="O462" s="8" t="inlineStr">
        <is>
          <t>High</t>
        </is>
      </c>
      <c r="P462" s="8" t="inlineStr">
        <is>
          <t>Closed</t>
        </is>
      </c>
      <c r="Q462" s="9">
        <f>IFERROR(IF(INDEX(Tbl_KPIMaster[Direction],MATCH($G462,Tbl_KPIMaster[KPI],0))="Lower is Better",IF($J462=0,1,IF($I462=0,0,$I462/$J462)),IF($I462=0,1,$J462/$I462)),0)</f>
        <v/>
      </c>
      <c r="R462" s="8">
        <f>IF(OR($I462="",$J462=""),"",$J462-$I462)</f>
        <v/>
      </c>
      <c r="S462" s="8">
        <f>IFERROR(IF(INDEX(Tbl_KPIMaster[Direction],MATCH($G462,Tbl_KPIMaster[KPI],0))="Lower is Better",IF($J462&lt;=$I462,"Green",IF($J462&lt;=$I462+IF($I462=0,$K462,$I462*$K462),"Amber","Red")),IF($J462&gt;=$I462,"Green",IF($J462&gt;=$I462-IF($I462=0,$K462,$I462*$K462),"Amber","Red"))),"")</f>
        <v/>
      </c>
      <c r="T462" s="10" t="inlineStr"/>
    </row>
    <row r="463">
      <c r="A463" s="3" t="n">
        <v>46153</v>
      </c>
      <c r="B463" s="4">
        <f>IF($A463="","",TEXT($A463,"mmm-yyyy"))</f>
        <v/>
      </c>
      <c r="C463" s="4">
        <f>IF($A463="","","W"&amp;WEEKNUM($A463,2))</f>
        <v/>
      </c>
      <c r="D463" s="4">
        <f>IF($A463="","",TEXT($A463,"ddd"))</f>
        <v/>
      </c>
      <c r="E463" s="4" t="inlineStr">
        <is>
          <t>Safety</t>
        </is>
      </c>
      <c r="F463" s="4">
        <f>IFERROR(INDEX(Tbl_KPIMaster[Category],MATCH($G463,Tbl_KPIMaster[KPI],0)),"")</f>
        <v/>
      </c>
      <c r="G463" s="4" t="inlineStr">
        <is>
          <t>Safety Incidents (LTI)</t>
        </is>
      </c>
      <c r="H463" s="4">
        <f>IFERROR(INDEX(Tbl_KPIMaster[Unit],MATCH($G463,Tbl_KPIMaster[KPI],0)),"")</f>
        <v/>
      </c>
      <c r="I463" s="5">
        <f>IFERROR(INDEX(Tbl_KPIMaster[Maximum Target],MATCH($G463,Tbl_KPIMaster[KPI],0)),"")</f>
        <v/>
      </c>
      <c r="J463" s="5" t="n">
        <v>1</v>
      </c>
      <c r="K463" s="4">
        <f>IFERROR(INDEX(Tbl_KPIMaster[Tolerance],MATCH($G463,Tbl_KPIMaster[KPI],0)),"")</f>
        <v/>
      </c>
      <c r="L463" s="4">
        <f>IFERROR(INDEX(Tbl_KPIMaster[Owner],MATCH($G463,Tbl_KPIMaster[KPI],0)),"")</f>
        <v/>
      </c>
      <c r="M463" s="6" t="inlineStr">
        <is>
          <t>Process improvement in progress</t>
        </is>
      </c>
      <c r="N463" s="4" t="inlineStr"/>
      <c r="O463" s="4" t="inlineStr">
        <is>
          <t>Low</t>
        </is>
      </c>
      <c r="P463" s="4" t="inlineStr">
        <is>
          <t>Closed</t>
        </is>
      </c>
      <c r="Q463" s="5">
        <f>IFERROR(IF(INDEX(Tbl_KPIMaster[Direction],MATCH($G463,Tbl_KPIMaster[KPI],0))="Lower is Better",IF($J463=0,1,IF($I463=0,0,$I463/$J463)),IF($I463=0,1,$J463/$I463)),0)</f>
        <v/>
      </c>
      <c r="R463" s="4">
        <f>IF(OR($I463="",$J463=""),"",$J463-$I463)</f>
        <v/>
      </c>
      <c r="S463" s="4">
        <f>IFERROR(IF(INDEX(Tbl_KPIMaster[Direction],MATCH($G463,Tbl_KPIMaster[KPI],0))="Lower is Better",IF($J463&lt;=$I463,"Green",IF($J463&lt;=$I463+IF($I463=0,$K463,$I463*$K463),"Amber","Red")),IF($J463&gt;=$I463,"Green",IF($J463&gt;=$I463-IF($I463=0,$K463,$I463*$K463),"Amber","Red"))),"")</f>
        <v/>
      </c>
      <c r="T463" s="6" t="inlineStr"/>
    </row>
    <row r="464">
      <c r="A464" s="7" t="n">
        <v>46153</v>
      </c>
      <c r="B464" s="8">
        <f>IF($A464="","",TEXT($A464,"mmm-yyyy"))</f>
        <v/>
      </c>
      <c r="C464" s="8">
        <f>IF($A464="","","W"&amp;WEEKNUM($A464,2))</f>
        <v/>
      </c>
      <c r="D464" s="8">
        <f>IF($A464="","",TEXT($A464,"ddd"))</f>
        <v/>
      </c>
      <c r="E464" s="8" t="inlineStr">
        <is>
          <t>Safety</t>
        </is>
      </c>
      <c r="F464" s="8">
        <f>IFERROR(INDEX(Tbl_KPIMaster[Category],MATCH($G464,Tbl_KPIMaster[KPI],0)),"")</f>
        <v/>
      </c>
      <c r="G464" s="8" t="inlineStr">
        <is>
          <t>Near Miss Reports</t>
        </is>
      </c>
      <c r="H464" s="8">
        <f>IFERROR(INDEX(Tbl_KPIMaster[Unit],MATCH($G464,Tbl_KPIMaster[KPI],0)),"")</f>
        <v/>
      </c>
      <c r="I464" s="9">
        <f>IFERROR(INDEX(Tbl_KPIMaster[Maximum Target],MATCH($G464,Tbl_KPIMaster[KPI],0)),"")</f>
        <v/>
      </c>
      <c r="J464" s="9" t="n">
        <v>2</v>
      </c>
      <c r="K464" s="8">
        <f>IFERROR(INDEX(Tbl_KPIMaster[Tolerance],MATCH($G464,Tbl_KPIMaster[KPI],0)),"")</f>
        <v/>
      </c>
      <c r="L464" s="8">
        <f>IFERROR(INDEX(Tbl_KPIMaster[Owner],MATCH($G464,Tbl_KPIMaster[KPI],0)),"")</f>
        <v/>
      </c>
      <c r="M464" s="10" t="inlineStr">
        <is>
          <t>Equipment breakdown</t>
        </is>
      </c>
      <c r="N464" s="8" t="inlineStr">
        <is>
          <t>Procurement follow-up</t>
        </is>
      </c>
      <c r="O464" s="8" t="inlineStr">
        <is>
          <t>Medium</t>
        </is>
      </c>
      <c r="P464" s="8" t="inlineStr">
        <is>
          <t>Open</t>
        </is>
      </c>
      <c r="Q464" s="9">
        <f>IFERROR(IF(INDEX(Tbl_KPIMaster[Direction],MATCH($G464,Tbl_KPIMaster[KPI],0))="Lower is Better",IF($J464=0,1,IF($I464=0,0,$I464/$J464)),IF($I464=0,1,$J464/$I464)),0)</f>
        <v/>
      </c>
      <c r="R464" s="8">
        <f>IF(OR($I464="",$J464=""),"",$J464-$I464)</f>
        <v/>
      </c>
      <c r="S464" s="8">
        <f>IFERROR(IF(INDEX(Tbl_KPIMaster[Direction],MATCH($G464,Tbl_KPIMaster[KPI],0))="Lower is Better",IF($J464&lt;=$I464,"Green",IF($J464&lt;=$I464+IF($I464=0,$K464,$I464*$K464),"Amber","Red")),IF($J464&gt;=$I464,"Green",IF($J464&gt;=$I464-IF($I464=0,$K464,$I464*$K464),"Amber","Red"))),"")</f>
        <v/>
      </c>
      <c r="T464" s="10" t="inlineStr"/>
    </row>
    <row r="465">
      <c r="A465" s="3" t="n">
        <v>46153</v>
      </c>
      <c r="B465" s="4">
        <f>IF($A465="","",TEXT($A465,"mmm-yyyy"))</f>
        <v/>
      </c>
      <c r="C465" s="4">
        <f>IF($A465="","","W"&amp;WEEKNUM($A465,2))</f>
        <v/>
      </c>
      <c r="D465" s="4">
        <f>IF($A465="","",TEXT($A465,"ddd"))</f>
        <v/>
      </c>
      <c r="E465" s="4" t="inlineStr">
        <is>
          <t>Production</t>
        </is>
      </c>
      <c r="F465" s="4">
        <f>IFERROR(INDEX(Tbl_KPIMaster[Category],MATCH($G465,Tbl_KPIMaster[KPI],0)),"")</f>
        <v/>
      </c>
      <c r="G465" s="4" t="inlineStr">
        <is>
          <t>Production Output</t>
        </is>
      </c>
      <c r="H465" s="4">
        <f>IFERROR(INDEX(Tbl_KPIMaster[Unit],MATCH($G465,Tbl_KPIMaster[KPI],0)),"")</f>
        <v/>
      </c>
      <c r="I465" s="5">
        <f>IFERROR(INDEX(Tbl_KPIMaster[Maximum Target],MATCH($G465,Tbl_KPIMaster[KPI],0)),"")</f>
        <v/>
      </c>
      <c r="J465" s="5" t="n">
        <v>953.1799999999999</v>
      </c>
      <c r="K465" s="4">
        <f>IFERROR(INDEX(Tbl_KPIMaster[Tolerance],MATCH($G465,Tbl_KPIMaster[KPI],0)),"")</f>
        <v/>
      </c>
      <c r="L465" s="4">
        <f>IFERROR(INDEX(Tbl_KPIMaster[Owner],MATCH($G465,Tbl_KPIMaster[KPI],0)),"")</f>
        <v/>
      </c>
      <c r="M465" s="6" t="inlineStr">
        <is>
          <t>New operator training effect</t>
        </is>
      </c>
      <c r="N465" s="4" t="inlineStr">
        <is>
          <t>Procurement follow-up</t>
        </is>
      </c>
      <c r="O465" s="4" t="inlineStr">
        <is>
          <t>Low</t>
        </is>
      </c>
      <c r="P465" s="4" t="inlineStr">
        <is>
          <t>Closed</t>
        </is>
      </c>
      <c r="Q465" s="5">
        <f>IFERROR(IF(INDEX(Tbl_KPIMaster[Direction],MATCH($G465,Tbl_KPIMaster[KPI],0))="Lower is Better",IF($J465=0,1,IF($I465=0,0,$I465/$J465)),IF($I465=0,1,$J465/$I465)),0)</f>
        <v/>
      </c>
      <c r="R465" s="4">
        <f>IF(OR($I465="",$J465=""),"",$J465-$I465)</f>
        <v/>
      </c>
      <c r="S465" s="4">
        <f>IFERROR(IF(INDEX(Tbl_KPIMaster[Direction],MATCH($G465,Tbl_KPIMaster[KPI],0))="Lower is Better",IF($J465&lt;=$I465,"Green",IF($J465&lt;=$I465+IF($I465=0,$K465,$I465*$K465),"Amber","Red")),IF($J465&gt;=$I465,"Green",IF($J465&gt;=$I465-IF($I465=0,$K465,$I465*$K465),"Amber","Red"))),"")</f>
        <v/>
      </c>
      <c r="T465" s="6" t="inlineStr"/>
    </row>
    <row r="466">
      <c r="A466" s="7" t="n">
        <v>46153</v>
      </c>
      <c r="B466" s="8">
        <f>IF($A466="","",TEXT($A466,"mmm-yyyy"))</f>
        <v/>
      </c>
      <c r="C466" s="8">
        <f>IF($A466="","","W"&amp;WEEKNUM($A466,2))</f>
        <v/>
      </c>
      <c r="D466" s="8">
        <f>IF($A466="","",TEXT($A466,"ddd"))</f>
        <v/>
      </c>
      <c r="E466" s="8" t="inlineStr">
        <is>
          <t>Production</t>
        </is>
      </c>
      <c r="F466" s="8">
        <f>IFERROR(INDEX(Tbl_KPIMaster[Category],MATCH($G466,Tbl_KPIMaster[KPI],0)),"")</f>
        <v/>
      </c>
      <c r="G466" s="8" t="inlineStr">
        <is>
          <t>OEE %</t>
        </is>
      </c>
      <c r="H466" s="8">
        <f>IFERROR(INDEX(Tbl_KPIMaster[Unit],MATCH($G466,Tbl_KPIMaster[KPI],0)),"")</f>
        <v/>
      </c>
      <c r="I466" s="9">
        <f>IFERROR(INDEX(Tbl_KPIMaster[Maximum Target],MATCH($G466,Tbl_KPIMaster[KPI],0)),"")</f>
        <v/>
      </c>
      <c r="J466" s="9" t="n">
        <v>0.9525</v>
      </c>
      <c r="K466" s="8">
        <f>IFERROR(INDEX(Tbl_KPIMaster[Tolerance],MATCH($G466,Tbl_KPIMaster[KPI],0)),"")</f>
        <v/>
      </c>
      <c r="L466" s="8">
        <f>IFERROR(INDEX(Tbl_KPIMaster[Owner],MATCH($G466,Tbl_KPIMaster[KPI],0)),"")</f>
        <v/>
      </c>
      <c r="M466" s="10" t="inlineStr">
        <is>
          <t>Manpower shortage</t>
        </is>
      </c>
      <c r="N466" s="8" t="inlineStr">
        <is>
          <t>Management approval pending</t>
        </is>
      </c>
      <c r="O466" s="8" t="inlineStr">
        <is>
          <t>Medium</t>
        </is>
      </c>
      <c r="P466" s="8" t="inlineStr">
        <is>
          <t>In Progress</t>
        </is>
      </c>
      <c r="Q466" s="9">
        <f>IFERROR(IF(INDEX(Tbl_KPIMaster[Direction],MATCH($G466,Tbl_KPIMaster[KPI],0))="Lower is Better",IF($J466=0,1,IF($I466=0,0,$I466/$J466)),IF($I466=0,1,$J466/$I466)),0)</f>
        <v/>
      </c>
      <c r="R466" s="8">
        <f>IF(OR($I466="",$J466=""),"",$J466-$I466)</f>
        <v/>
      </c>
      <c r="S466" s="8">
        <f>IFERROR(IF(INDEX(Tbl_KPIMaster[Direction],MATCH($G466,Tbl_KPIMaster[KPI],0))="Lower is Better",IF($J466&lt;=$I466,"Green",IF($J466&lt;=$I466+IF($I466=0,$K466,$I466*$K466),"Amber","Red")),IF($J466&gt;=$I466,"Green",IF($J466&gt;=$I466-IF($I466=0,$K466,$I466*$K466),"Amber","Red"))),"")</f>
        <v/>
      </c>
      <c r="T466" s="10" t="inlineStr"/>
    </row>
    <row r="467">
      <c r="A467" s="3" t="n">
        <v>46153</v>
      </c>
      <c r="B467" s="4">
        <f>IF($A467="","",TEXT($A467,"mmm-yyyy"))</f>
        <v/>
      </c>
      <c r="C467" s="4">
        <f>IF($A467="","","W"&amp;WEEKNUM($A467,2))</f>
        <v/>
      </c>
      <c r="D467" s="4">
        <f>IF($A467="","",TEXT($A467,"ddd"))</f>
        <v/>
      </c>
      <c r="E467" s="4" t="inlineStr">
        <is>
          <t>Quality</t>
        </is>
      </c>
      <c r="F467" s="4">
        <f>IFERROR(INDEX(Tbl_KPIMaster[Category],MATCH($G467,Tbl_KPIMaster[KPI],0)),"")</f>
        <v/>
      </c>
      <c r="G467" s="4" t="inlineStr">
        <is>
          <t>Defect Rate %</t>
        </is>
      </c>
      <c r="H467" s="4">
        <f>IFERROR(INDEX(Tbl_KPIMaster[Unit],MATCH($G467,Tbl_KPIMaster[KPI],0)),"")</f>
        <v/>
      </c>
      <c r="I467" s="5">
        <f>IFERROR(INDEX(Tbl_KPIMaster[Maximum Target],MATCH($G467,Tbl_KPIMaster[KPI],0)),"")</f>
        <v/>
      </c>
      <c r="J467" s="5" t="n">
        <v>0.3529</v>
      </c>
      <c r="K467" s="4">
        <f>IFERROR(INDEX(Tbl_KPIMaster[Tolerance],MATCH($G467,Tbl_KPIMaster[KPI],0)),"")</f>
        <v/>
      </c>
      <c r="L467" s="4">
        <f>IFERROR(INDEX(Tbl_KPIMaster[Owner],MATCH($G467,Tbl_KPIMaster[KPI],0)),"")</f>
        <v/>
      </c>
      <c r="M467" s="6" t="inlineStr">
        <is>
          <t>Line changeover impact</t>
        </is>
      </c>
      <c r="N467" s="4" t="inlineStr">
        <is>
          <t>Engineering support needed</t>
        </is>
      </c>
      <c r="O467" s="4" t="inlineStr">
        <is>
          <t>Medium</t>
        </is>
      </c>
      <c r="P467" s="4" t="inlineStr">
        <is>
          <t>Closed</t>
        </is>
      </c>
      <c r="Q467" s="5">
        <f>IFERROR(IF(INDEX(Tbl_KPIMaster[Direction],MATCH($G467,Tbl_KPIMaster[KPI],0))="Lower is Better",IF($J467=0,1,IF($I467=0,0,$I467/$J467)),IF($I467=0,1,$J467/$I467)),0)</f>
        <v/>
      </c>
      <c r="R467" s="4">
        <f>IF(OR($I467="",$J467=""),"",$J467-$I467)</f>
        <v/>
      </c>
      <c r="S467" s="4">
        <f>IFERROR(IF(INDEX(Tbl_KPIMaster[Direction],MATCH($G467,Tbl_KPIMaster[KPI],0))="Lower is Better",IF($J467&lt;=$I467,"Green",IF($J467&lt;=$I467+IF($I467=0,$K467,$I467*$K467),"Amber","Red")),IF($J467&gt;=$I467,"Green",IF($J467&gt;=$I467-IF($I467=0,$K467,$I467*$K467),"Amber","Red"))),"")</f>
        <v/>
      </c>
      <c r="T467" s="6" t="inlineStr"/>
    </row>
    <row r="468">
      <c r="A468" s="7" t="n">
        <v>46153</v>
      </c>
      <c r="B468" s="8">
        <f>IF($A468="","",TEXT($A468,"mmm-yyyy"))</f>
        <v/>
      </c>
      <c r="C468" s="8">
        <f>IF($A468="","","W"&amp;WEEKNUM($A468,2))</f>
        <v/>
      </c>
      <c r="D468" s="8">
        <f>IF($A468="","",TEXT($A468,"ddd"))</f>
        <v/>
      </c>
      <c r="E468" s="8" t="inlineStr">
        <is>
          <t>Quality</t>
        </is>
      </c>
      <c r="F468" s="8">
        <f>IFERROR(INDEX(Tbl_KPIMaster[Category],MATCH($G468,Tbl_KPIMaster[KPI],0)),"")</f>
        <v/>
      </c>
      <c r="G468" s="8" t="inlineStr">
        <is>
          <t>Customer Complaints</t>
        </is>
      </c>
      <c r="H468" s="8">
        <f>IFERROR(INDEX(Tbl_KPIMaster[Unit],MATCH($G468,Tbl_KPIMaster[KPI],0)),"")</f>
        <v/>
      </c>
      <c r="I468" s="9">
        <f>IFERROR(INDEX(Tbl_KPIMaster[Maximum Target],MATCH($G468,Tbl_KPIMaster[KPI],0)),"")</f>
        <v/>
      </c>
      <c r="J468" s="9" t="n">
        <v>0</v>
      </c>
      <c r="K468" s="8">
        <f>IFERROR(INDEX(Tbl_KPIMaster[Tolerance],MATCH($G468,Tbl_KPIMaster[KPI],0)),"")</f>
        <v/>
      </c>
      <c r="L468" s="8">
        <f>IFERROR(INDEX(Tbl_KPIMaster[Owner],MATCH($G468,Tbl_KPIMaster[KPI],0)),"")</f>
        <v/>
      </c>
      <c r="M468" s="10" t="inlineStr">
        <is>
          <t>New operator training effect</t>
        </is>
      </c>
      <c r="N468" s="8" t="inlineStr"/>
      <c r="O468" s="8" t="inlineStr">
        <is>
          <t>Low</t>
        </is>
      </c>
      <c r="P468" s="8" t="inlineStr">
        <is>
          <t>Open</t>
        </is>
      </c>
      <c r="Q468" s="9">
        <f>IFERROR(IF(INDEX(Tbl_KPIMaster[Direction],MATCH($G468,Tbl_KPIMaster[KPI],0))="Lower is Better",IF($J468=0,1,IF($I468=0,0,$I468/$J468)),IF($I468=0,1,$J468/$I468)),0)</f>
        <v/>
      </c>
      <c r="R468" s="8">
        <f>IF(OR($I468="",$J468=""),"",$J468-$I468)</f>
        <v/>
      </c>
      <c r="S468" s="8">
        <f>IFERROR(IF(INDEX(Tbl_KPIMaster[Direction],MATCH($G468,Tbl_KPIMaster[KPI],0))="Lower is Better",IF($J468&lt;=$I468,"Green",IF($J468&lt;=$I468+IF($I468=0,$K468,$I468*$K468),"Amber","Red")),IF($J468&gt;=$I468,"Green",IF($J468&gt;=$I468-IF($I468=0,$K468,$I468*$K468),"Amber","Red"))),"")</f>
        <v/>
      </c>
      <c r="T468" s="10" t="inlineStr"/>
    </row>
    <row r="469">
      <c r="A469" s="3" t="n">
        <v>46153</v>
      </c>
      <c r="B469" s="4">
        <f>IF($A469="","",TEXT($A469,"mmm-yyyy"))</f>
        <v/>
      </c>
      <c r="C469" s="4">
        <f>IF($A469="","","W"&amp;WEEKNUM($A469,2))</f>
        <v/>
      </c>
      <c r="D469" s="4">
        <f>IF($A469="","",TEXT($A469,"ddd"))</f>
        <v/>
      </c>
      <c r="E469" s="4" t="inlineStr">
        <is>
          <t>Maintenance</t>
        </is>
      </c>
      <c r="F469" s="4">
        <f>IFERROR(INDEX(Tbl_KPIMaster[Category],MATCH($G469,Tbl_KPIMaster[KPI],0)),"")</f>
        <v/>
      </c>
      <c r="G469" s="4" t="inlineStr">
        <is>
          <t>Unplanned Downtime</t>
        </is>
      </c>
      <c r="H469" s="4">
        <f>IFERROR(INDEX(Tbl_KPIMaster[Unit],MATCH($G469,Tbl_KPIMaster[KPI],0)),"")</f>
        <v/>
      </c>
      <c r="I469" s="5">
        <f>IFERROR(INDEX(Tbl_KPIMaster[Maximum Target],MATCH($G469,Tbl_KPIMaster[KPI],0)),"")</f>
        <v/>
      </c>
      <c r="J469" s="5" t="n">
        <v>0.42</v>
      </c>
      <c r="K469" s="4">
        <f>IFERROR(INDEX(Tbl_KPIMaster[Tolerance],MATCH($G469,Tbl_KPIMaster[KPI],0)),"")</f>
        <v/>
      </c>
      <c r="L469" s="4">
        <f>IFERROR(INDEX(Tbl_KPIMaster[Owner],MATCH($G469,Tbl_KPIMaster[KPI],0)),"")</f>
        <v/>
      </c>
      <c r="M469" s="6" t="inlineStr">
        <is>
          <t>New operator training effect</t>
        </is>
      </c>
      <c r="N469" s="4" t="inlineStr">
        <is>
          <t>Engineering support needed</t>
        </is>
      </c>
      <c r="O469" s="4" t="inlineStr">
        <is>
          <t>Low</t>
        </is>
      </c>
      <c r="P469" s="4" t="inlineStr">
        <is>
          <t>Closed</t>
        </is>
      </c>
      <c r="Q469" s="5">
        <f>IFERROR(IF(INDEX(Tbl_KPIMaster[Direction],MATCH($G469,Tbl_KPIMaster[KPI],0))="Lower is Better",IF($J469=0,1,IF($I469=0,0,$I469/$J469)),IF($I469=0,1,$J469/$I469)),0)</f>
        <v/>
      </c>
      <c r="R469" s="4">
        <f>IF(OR($I469="",$J469=""),"",$J469-$I469)</f>
        <v/>
      </c>
      <c r="S469" s="4">
        <f>IFERROR(IF(INDEX(Tbl_KPIMaster[Direction],MATCH($G469,Tbl_KPIMaster[KPI],0))="Lower is Better",IF($J469&lt;=$I469,"Green",IF($J469&lt;=$I469+IF($I469=0,$K469,$I469*$K469),"Amber","Red")),IF($J469&gt;=$I469,"Green",IF($J469&gt;=$I469-IF($I469=0,$K469,$I469*$K469),"Amber","Red"))),"")</f>
        <v/>
      </c>
      <c r="T469" s="6" t="inlineStr"/>
    </row>
    <row r="470">
      <c r="A470" s="7" t="n">
        <v>46153</v>
      </c>
      <c r="B470" s="8">
        <f>IF($A470="","",TEXT($A470,"mmm-yyyy"))</f>
        <v/>
      </c>
      <c r="C470" s="8">
        <f>IF($A470="","","W"&amp;WEEKNUM($A470,2))</f>
        <v/>
      </c>
      <c r="D470" s="8">
        <f>IF($A470="","",TEXT($A470,"ddd"))</f>
        <v/>
      </c>
      <c r="E470" s="8" t="inlineStr">
        <is>
          <t>Maintenance</t>
        </is>
      </c>
      <c r="F470" s="8">
        <f>IFERROR(INDEX(Tbl_KPIMaster[Category],MATCH($G470,Tbl_KPIMaster[KPI],0)),"")</f>
        <v/>
      </c>
      <c r="G470" s="8" t="inlineStr">
        <is>
          <t>PM Compliance %</t>
        </is>
      </c>
      <c r="H470" s="8">
        <f>IFERROR(INDEX(Tbl_KPIMaster[Unit],MATCH($G470,Tbl_KPIMaster[KPI],0)),"")</f>
        <v/>
      </c>
      <c r="I470" s="9">
        <f>IFERROR(INDEX(Tbl_KPIMaster[Maximum Target],MATCH($G470,Tbl_KPIMaster[KPI],0)),"")</f>
        <v/>
      </c>
      <c r="J470" s="9" t="n">
        <v>1.1103</v>
      </c>
      <c r="K470" s="8">
        <f>IFERROR(INDEX(Tbl_KPIMaster[Tolerance],MATCH($G470,Tbl_KPIMaster[KPI],0)),"")</f>
        <v/>
      </c>
      <c r="L470" s="8">
        <f>IFERROR(INDEX(Tbl_KPIMaster[Owner],MATCH($G470,Tbl_KPIMaster[KPI],0)),"")</f>
        <v/>
      </c>
      <c r="M470" s="10" t="inlineStr">
        <is>
          <t>Equipment breakdown</t>
        </is>
      </c>
      <c r="N470" s="8" t="inlineStr"/>
      <c r="O470" s="8" t="inlineStr">
        <is>
          <t>High</t>
        </is>
      </c>
      <c r="P470" s="8" t="inlineStr">
        <is>
          <t>Closed</t>
        </is>
      </c>
      <c r="Q470" s="9">
        <f>IFERROR(IF(INDEX(Tbl_KPIMaster[Direction],MATCH($G470,Tbl_KPIMaster[KPI],0))="Lower is Better",IF($J470=0,1,IF($I470=0,0,$I470/$J470)),IF($I470=0,1,$J470/$I470)),0)</f>
        <v/>
      </c>
      <c r="R470" s="8">
        <f>IF(OR($I470="",$J470=""),"",$J470-$I470)</f>
        <v/>
      </c>
      <c r="S470" s="8">
        <f>IFERROR(IF(INDEX(Tbl_KPIMaster[Direction],MATCH($G470,Tbl_KPIMaster[KPI],0))="Lower is Better",IF($J470&lt;=$I470,"Green",IF($J470&lt;=$I470+IF($I470=0,$K470,$I470*$K470),"Amber","Red")),IF($J470&gt;=$I470,"Green",IF($J470&gt;=$I470-IF($I470=0,$K470,$I470*$K470),"Amber","Red"))),"")</f>
        <v/>
      </c>
      <c r="T470" s="10" t="inlineStr"/>
    </row>
    <row r="471">
      <c r="A471" s="3" t="n">
        <v>46153</v>
      </c>
      <c r="B471" s="4">
        <f>IF($A471="","",TEXT($A471,"mmm-yyyy"))</f>
        <v/>
      </c>
      <c r="C471" s="4">
        <f>IF($A471="","","W"&amp;WEEKNUM($A471,2))</f>
        <v/>
      </c>
      <c r="D471" s="4">
        <f>IF($A471="","",TEXT($A471,"ddd"))</f>
        <v/>
      </c>
      <c r="E471" s="4" t="inlineStr">
        <is>
          <t>Utilities</t>
        </is>
      </c>
      <c r="F471" s="4">
        <f>IFERROR(INDEX(Tbl_KPIMaster[Category],MATCH($G471,Tbl_KPIMaster[KPI],0)),"")</f>
        <v/>
      </c>
      <c r="G471" s="4" t="inlineStr">
        <is>
          <t>Power Consumption</t>
        </is>
      </c>
      <c r="H471" s="4">
        <f>IFERROR(INDEX(Tbl_KPIMaster[Unit],MATCH($G471,Tbl_KPIMaster[KPI],0)),"")</f>
        <v/>
      </c>
      <c r="I471" s="5">
        <f>IFERROR(INDEX(Tbl_KPIMaster[Maximum Target],MATCH($G471,Tbl_KPIMaster[KPI],0)),"")</f>
        <v/>
      </c>
      <c r="J471" s="5" t="n">
        <v>4773.98</v>
      </c>
      <c r="K471" s="4">
        <f>IFERROR(INDEX(Tbl_KPIMaster[Tolerance],MATCH($G471,Tbl_KPIMaster[KPI],0)),"")</f>
        <v/>
      </c>
      <c r="L471" s="4">
        <f>IFERROR(INDEX(Tbl_KPIMaster[Owner],MATCH($G471,Tbl_KPIMaster[KPI],0)),"")</f>
        <v/>
      </c>
      <c r="M471" s="6" t="inlineStr"/>
      <c r="N471" s="4" t="inlineStr"/>
      <c r="O471" s="4" t="inlineStr">
        <is>
          <t>Medium</t>
        </is>
      </c>
      <c r="P471" s="4" t="inlineStr">
        <is>
          <t>In Progress</t>
        </is>
      </c>
      <c r="Q471" s="5">
        <f>IFERROR(IF(INDEX(Tbl_KPIMaster[Direction],MATCH($G471,Tbl_KPIMaster[KPI],0))="Lower is Better",IF($J471=0,1,IF($I471=0,0,$I471/$J471)),IF($I471=0,1,$J471/$I471)),0)</f>
        <v/>
      </c>
      <c r="R471" s="4">
        <f>IF(OR($I471="",$J471=""),"",$J471-$I471)</f>
        <v/>
      </c>
      <c r="S471" s="4">
        <f>IFERROR(IF(INDEX(Tbl_KPIMaster[Direction],MATCH($G471,Tbl_KPIMaster[KPI],0))="Lower is Better",IF($J471&lt;=$I471,"Green",IF($J471&lt;=$I471+IF($I471=0,$K471,$I471*$K471),"Amber","Red")),IF($J471&gt;=$I471,"Green",IF($J471&gt;=$I471-IF($I471=0,$K471,$I471*$K471),"Amber","Red"))),"")</f>
        <v/>
      </c>
      <c r="T471" s="6" t="inlineStr"/>
    </row>
    <row r="472">
      <c r="A472" s="7" t="n">
        <v>46153</v>
      </c>
      <c r="B472" s="8">
        <f>IF($A472="","",TEXT($A472,"mmm-yyyy"))</f>
        <v/>
      </c>
      <c r="C472" s="8">
        <f>IF($A472="","","W"&amp;WEEKNUM($A472,2))</f>
        <v/>
      </c>
      <c r="D472" s="8">
        <f>IF($A472="","",TEXT($A472,"ddd"))</f>
        <v/>
      </c>
      <c r="E472" s="8" t="inlineStr">
        <is>
          <t>Utilities</t>
        </is>
      </c>
      <c r="F472" s="8">
        <f>IFERROR(INDEX(Tbl_KPIMaster[Category],MATCH($G472,Tbl_KPIMaster[KPI],0)),"")</f>
        <v/>
      </c>
      <c r="G472" s="8" t="inlineStr">
        <is>
          <t>Water Consumption</t>
        </is>
      </c>
      <c r="H472" s="8">
        <f>IFERROR(INDEX(Tbl_KPIMaster[Unit],MATCH($G472,Tbl_KPIMaster[KPI],0)),"")</f>
        <v/>
      </c>
      <c r="I472" s="9">
        <f>IFERROR(INDEX(Tbl_KPIMaster[Maximum Target],MATCH($G472,Tbl_KPIMaster[KPI],0)),"")</f>
        <v/>
      </c>
      <c r="J472" s="9" t="n">
        <v>44.15</v>
      </c>
      <c r="K472" s="8">
        <f>IFERROR(INDEX(Tbl_KPIMaster[Tolerance],MATCH($G472,Tbl_KPIMaster[KPI],0)),"")</f>
        <v/>
      </c>
      <c r="L472" s="8">
        <f>IFERROR(INDEX(Tbl_KPIMaster[Owner],MATCH($G472,Tbl_KPIMaster[KPI],0)),"")</f>
        <v/>
      </c>
      <c r="M472" s="10" t="inlineStr">
        <is>
          <t>New operator training effect</t>
        </is>
      </c>
      <c r="N472" s="8" t="inlineStr">
        <is>
          <t>Engineering support needed</t>
        </is>
      </c>
      <c r="O472" s="8" t="inlineStr">
        <is>
          <t>Low</t>
        </is>
      </c>
      <c r="P472" s="8" t="inlineStr">
        <is>
          <t>Closed</t>
        </is>
      </c>
      <c r="Q472" s="9">
        <f>IFERROR(IF(INDEX(Tbl_KPIMaster[Direction],MATCH($G472,Tbl_KPIMaster[KPI],0))="Lower is Better",IF($J472=0,1,IF($I472=0,0,$I472/$J472)),IF($I472=0,1,$J472/$I472)),0)</f>
        <v/>
      </c>
      <c r="R472" s="8">
        <f>IF(OR($I472="",$J472=""),"",$J472-$I472)</f>
        <v/>
      </c>
      <c r="S472" s="8">
        <f>IFERROR(IF(INDEX(Tbl_KPIMaster[Direction],MATCH($G472,Tbl_KPIMaster[KPI],0))="Lower is Better",IF($J472&lt;=$I472,"Green",IF($J472&lt;=$I472+IF($I472=0,$K472,$I472*$K472),"Amber","Red")),IF($J472&gt;=$I472,"Green",IF($J472&gt;=$I472-IF($I472=0,$K472,$I472*$K472),"Amber","Red"))),"")</f>
        <v/>
      </c>
      <c r="T472" s="10" t="inlineStr"/>
    </row>
    <row r="473">
      <c r="A473" s="3" t="n">
        <v>46153</v>
      </c>
      <c r="B473" s="4">
        <f>IF($A473="","",TEXT($A473,"mmm-yyyy"))</f>
        <v/>
      </c>
      <c r="C473" s="4">
        <f>IF($A473="","","W"&amp;WEEKNUM($A473,2))</f>
        <v/>
      </c>
      <c r="D473" s="4">
        <f>IF($A473="","",TEXT($A473,"ddd"))</f>
        <v/>
      </c>
      <c r="E473" s="4" t="inlineStr">
        <is>
          <t>Warehouse</t>
        </is>
      </c>
      <c r="F473" s="4">
        <f>IFERROR(INDEX(Tbl_KPIMaster[Category],MATCH($G473,Tbl_KPIMaster[KPI],0)),"")</f>
        <v/>
      </c>
      <c r="G473" s="4" t="inlineStr">
        <is>
          <t>On-Time Dispatch %</t>
        </is>
      </c>
      <c r="H473" s="4">
        <f>IFERROR(INDEX(Tbl_KPIMaster[Unit],MATCH($G473,Tbl_KPIMaster[KPI],0)),"")</f>
        <v/>
      </c>
      <c r="I473" s="5">
        <f>IFERROR(INDEX(Tbl_KPIMaster[Maximum Target],MATCH($G473,Tbl_KPIMaster[KPI],0)),"")</f>
        <v/>
      </c>
      <c r="J473" s="5" t="n">
        <v>0.7682</v>
      </c>
      <c r="K473" s="4">
        <f>IFERROR(INDEX(Tbl_KPIMaster[Tolerance],MATCH($G473,Tbl_KPIMaster[KPI],0)),"")</f>
        <v/>
      </c>
      <c r="L473" s="4">
        <f>IFERROR(INDEX(Tbl_KPIMaster[Owner],MATCH($G473,Tbl_KPIMaster[KPI],0)),"")</f>
        <v/>
      </c>
      <c r="M473" s="6" t="inlineStr">
        <is>
          <t>Awaiting spares</t>
        </is>
      </c>
      <c r="N473" s="4" t="inlineStr">
        <is>
          <t>Engineering support needed</t>
        </is>
      </c>
      <c r="O473" s="4" t="inlineStr">
        <is>
          <t>Low</t>
        </is>
      </c>
      <c r="P473" s="4" t="inlineStr">
        <is>
          <t>Closed</t>
        </is>
      </c>
      <c r="Q473" s="5">
        <f>IFERROR(IF(INDEX(Tbl_KPIMaster[Direction],MATCH($G473,Tbl_KPIMaster[KPI],0))="Lower is Better",IF($J473=0,1,IF($I473=0,0,$I473/$J473)),IF($I473=0,1,$J473/$I473)),0)</f>
        <v/>
      </c>
      <c r="R473" s="4">
        <f>IF(OR($I473="",$J473=""),"",$J473-$I473)</f>
        <v/>
      </c>
      <c r="S473" s="4">
        <f>IFERROR(IF(INDEX(Tbl_KPIMaster[Direction],MATCH($G473,Tbl_KPIMaster[KPI],0))="Lower is Better",IF($J473&lt;=$I473,"Green",IF($J473&lt;=$I473+IF($I473=0,$K473,$I473*$K473),"Amber","Red")),IF($J473&gt;=$I473,"Green",IF($J473&gt;=$I473-IF($I473=0,$K473,$I473*$K473),"Amber","Red"))),"")</f>
        <v/>
      </c>
      <c r="T473" s="6" t="inlineStr"/>
    </row>
    <row r="474">
      <c r="A474" s="7" t="n">
        <v>46153</v>
      </c>
      <c r="B474" s="8">
        <f>IF($A474="","",TEXT($A474,"mmm-yyyy"))</f>
        <v/>
      </c>
      <c r="C474" s="8">
        <f>IF($A474="","","W"&amp;WEEKNUM($A474,2))</f>
        <v/>
      </c>
      <c r="D474" s="8">
        <f>IF($A474="","",TEXT($A474,"ddd"))</f>
        <v/>
      </c>
      <c r="E474" s="8" t="inlineStr">
        <is>
          <t>Warehouse</t>
        </is>
      </c>
      <c r="F474" s="8">
        <f>IFERROR(INDEX(Tbl_KPIMaster[Category],MATCH($G474,Tbl_KPIMaster[KPI],0)),"")</f>
        <v/>
      </c>
      <c r="G474" s="8" t="inlineStr">
        <is>
          <t>Inventory Accuracy %</t>
        </is>
      </c>
      <c r="H474" s="8">
        <f>IFERROR(INDEX(Tbl_KPIMaster[Unit],MATCH($G474,Tbl_KPIMaster[KPI],0)),"")</f>
        <v/>
      </c>
      <c r="I474" s="9">
        <f>IFERROR(INDEX(Tbl_KPIMaster[Maximum Target],MATCH($G474,Tbl_KPIMaster[KPI],0)),"")</f>
        <v/>
      </c>
      <c r="J474" s="9" t="n">
        <v>1.0043</v>
      </c>
      <c r="K474" s="8">
        <f>IFERROR(INDEX(Tbl_KPIMaster[Tolerance],MATCH($G474,Tbl_KPIMaster[KPI],0)),"")</f>
        <v/>
      </c>
      <c r="L474" s="8">
        <f>IFERROR(INDEX(Tbl_KPIMaster[Owner],MATCH($G474,Tbl_KPIMaster[KPI],0)),"")</f>
        <v/>
      </c>
      <c r="M474" s="10" t="inlineStr">
        <is>
          <t>Awaiting spares</t>
        </is>
      </c>
      <c r="N474" s="8" t="inlineStr">
        <is>
          <t>Procurement follow-up</t>
        </is>
      </c>
      <c r="O474" s="8" t="inlineStr">
        <is>
          <t>Medium</t>
        </is>
      </c>
      <c r="P474" s="8" t="inlineStr">
        <is>
          <t>Closed</t>
        </is>
      </c>
      <c r="Q474" s="9">
        <f>IFERROR(IF(INDEX(Tbl_KPIMaster[Direction],MATCH($G474,Tbl_KPIMaster[KPI],0))="Lower is Better",IF($J474=0,1,IF($I474=0,0,$I474/$J474)),IF($I474=0,1,$J474/$I474)),0)</f>
        <v/>
      </c>
      <c r="R474" s="8">
        <f>IF(OR($I474="",$J474=""),"",$J474-$I474)</f>
        <v/>
      </c>
      <c r="S474" s="8">
        <f>IFERROR(IF(INDEX(Tbl_KPIMaster[Direction],MATCH($G474,Tbl_KPIMaster[KPI],0))="Lower is Better",IF($J474&lt;=$I474,"Green",IF($J474&lt;=$I474+IF($I474=0,$K474,$I474*$K474),"Amber","Red")),IF($J474&gt;=$I474,"Green",IF($J474&gt;=$I474-IF($I474=0,$K474,$I474*$K474),"Amber","Red"))),"")</f>
        <v/>
      </c>
      <c r="T474" s="10" t="inlineStr"/>
    </row>
    <row r="475">
      <c r="A475" s="3" t="n">
        <v>46153</v>
      </c>
      <c r="B475" s="4">
        <f>IF($A475="","",TEXT($A475,"mmm-yyyy"))</f>
        <v/>
      </c>
      <c r="C475" s="4">
        <f>IF($A475="","","W"&amp;WEEKNUM($A475,2))</f>
        <v/>
      </c>
      <c r="D475" s="4">
        <f>IF($A475="","",TEXT($A475,"ddd"))</f>
        <v/>
      </c>
      <c r="E475" s="4" t="inlineStr">
        <is>
          <t>HR</t>
        </is>
      </c>
      <c r="F475" s="4">
        <f>IFERROR(INDEX(Tbl_KPIMaster[Category],MATCH($G475,Tbl_KPIMaster[KPI],0)),"")</f>
        <v/>
      </c>
      <c r="G475" s="4" t="inlineStr">
        <is>
          <t>Absenteeism %</t>
        </is>
      </c>
      <c r="H475" s="4">
        <f>IFERROR(INDEX(Tbl_KPIMaster[Unit],MATCH($G475,Tbl_KPIMaster[KPI],0)),"")</f>
        <v/>
      </c>
      <c r="I475" s="5">
        <f>IFERROR(INDEX(Tbl_KPIMaster[Maximum Target],MATCH($G475,Tbl_KPIMaster[KPI],0)),"")</f>
        <v/>
      </c>
      <c r="J475" s="5" t="n">
        <v>0.9617</v>
      </c>
      <c r="K475" s="4">
        <f>IFERROR(INDEX(Tbl_KPIMaster[Tolerance],MATCH($G475,Tbl_KPIMaster[KPI],0)),"")</f>
        <v/>
      </c>
      <c r="L475" s="4">
        <f>IFERROR(INDEX(Tbl_KPIMaster[Owner],MATCH($G475,Tbl_KPIMaster[KPI],0)),"")</f>
        <v/>
      </c>
      <c r="M475" s="6" t="inlineStr">
        <is>
          <t>Process improvement in progress</t>
        </is>
      </c>
      <c r="N475" s="4" t="inlineStr">
        <is>
          <t>Management approval pending</t>
        </is>
      </c>
      <c r="O475" s="4" t="inlineStr">
        <is>
          <t>Medium</t>
        </is>
      </c>
      <c r="P475" s="4" t="inlineStr">
        <is>
          <t>Closed</t>
        </is>
      </c>
      <c r="Q475" s="5">
        <f>IFERROR(IF(INDEX(Tbl_KPIMaster[Direction],MATCH($G475,Tbl_KPIMaster[KPI],0))="Lower is Better",IF($J475=0,1,IF($I475=0,0,$I475/$J475)),IF($I475=0,1,$J475/$I475)),0)</f>
        <v/>
      </c>
      <c r="R475" s="4">
        <f>IF(OR($I475="",$J475=""),"",$J475-$I475)</f>
        <v/>
      </c>
      <c r="S475" s="4">
        <f>IFERROR(IF(INDEX(Tbl_KPIMaster[Direction],MATCH($G475,Tbl_KPIMaster[KPI],0))="Lower is Better",IF($J475&lt;=$I475,"Green",IF($J475&lt;=$I475+IF($I475=0,$K475,$I475*$K475),"Amber","Red")),IF($J475&gt;=$I475,"Green",IF($J475&gt;=$I475-IF($I475=0,$K475,$I475*$K475),"Amber","Red"))),"")</f>
        <v/>
      </c>
      <c r="T475" s="6" t="inlineStr"/>
    </row>
    <row r="476">
      <c r="A476" s="7" t="n">
        <v>46153</v>
      </c>
      <c r="B476" s="8">
        <f>IF($A476="","",TEXT($A476,"mmm-yyyy"))</f>
        <v/>
      </c>
      <c r="C476" s="8">
        <f>IF($A476="","","W"&amp;WEEKNUM($A476,2))</f>
        <v/>
      </c>
      <c r="D476" s="8">
        <f>IF($A476="","",TEXT($A476,"ddd"))</f>
        <v/>
      </c>
      <c r="E476" s="8" t="inlineStr">
        <is>
          <t>HR</t>
        </is>
      </c>
      <c r="F476" s="8">
        <f>IFERROR(INDEX(Tbl_KPIMaster[Category],MATCH($G476,Tbl_KPIMaster[KPI],0)),"")</f>
        <v/>
      </c>
      <c r="G476" s="8" t="inlineStr">
        <is>
          <t>Training Hours</t>
        </is>
      </c>
      <c r="H476" s="8">
        <f>IFERROR(INDEX(Tbl_KPIMaster[Unit],MATCH($G476,Tbl_KPIMaster[KPI],0)),"")</f>
        <v/>
      </c>
      <c r="I476" s="9">
        <f>IFERROR(INDEX(Tbl_KPIMaster[Maximum Target],MATCH($G476,Tbl_KPIMaster[KPI],0)),"")</f>
        <v/>
      </c>
      <c r="J476" s="9" t="n">
        <v>2.41</v>
      </c>
      <c r="K476" s="8">
        <f>IFERROR(INDEX(Tbl_KPIMaster[Tolerance],MATCH($G476,Tbl_KPIMaster[KPI],0)),"")</f>
        <v/>
      </c>
      <c r="L476" s="8">
        <f>IFERROR(INDEX(Tbl_KPIMaster[Owner],MATCH($G476,Tbl_KPIMaster[KPI],0)),"")</f>
        <v/>
      </c>
      <c r="M476" s="10" t="inlineStr"/>
      <c r="N476" s="8" t="inlineStr"/>
      <c r="O476" s="8" t="inlineStr">
        <is>
          <t>Medium</t>
        </is>
      </c>
      <c r="P476" s="8" t="inlineStr">
        <is>
          <t>Closed</t>
        </is>
      </c>
      <c r="Q476" s="9">
        <f>IFERROR(IF(INDEX(Tbl_KPIMaster[Direction],MATCH($G476,Tbl_KPIMaster[KPI],0))="Lower is Better",IF($J476=0,1,IF($I476=0,0,$I476/$J476)),IF($I476=0,1,$J476/$I476)),0)</f>
        <v/>
      </c>
      <c r="R476" s="8">
        <f>IF(OR($I476="",$J476=""),"",$J476-$I476)</f>
        <v/>
      </c>
      <c r="S476" s="8">
        <f>IFERROR(IF(INDEX(Tbl_KPIMaster[Direction],MATCH($G476,Tbl_KPIMaster[KPI],0))="Lower is Better",IF($J476&lt;=$I476,"Green",IF($J476&lt;=$I476+IF($I476=0,$K476,$I476*$K476),"Amber","Red")),IF($J476&gt;=$I476,"Green",IF($J476&gt;=$I476-IF($I476=0,$K476,$I476*$K476),"Amber","Red"))),"")</f>
        <v/>
      </c>
      <c r="T476" s="10" t="inlineStr"/>
    </row>
    <row r="477">
      <c r="A477" s="3" t="n">
        <v>46153</v>
      </c>
      <c r="B477" s="4">
        <f>IF($A477="","",TEXT($A477,"mmm-yyyy"))</f>
        <v/>
      </c>
      <c r="C477" s="4">
        <f>IF($A477="","","W"&amp;WEEKNUM($A477,2))</f>
        <v/>
      </c>
      <c r="D477" s="4">
        <f>IF($A477="","",TEXT($A477,"ddd"))</f>
        <v/>
      </c>
      <c r="E477" s="4" t="inlineStr">
        <is>
          <t>Engineering</t>
        </is>
      </c>
      <c r="F477" s="4">
        <f>IFERROR(INDEX(Tbl_KPIMaster[Category],MATCH($G477,Tbl_KPIMaster[KPI],0)),"")</f>
        <v/>
      </c>
      <c r="G477" s="4" t="inlineStr">
        <is>
          <t>Project Milestone Adherence %</t>
        </is>
      </c>
      <c r="H477" s="4">
        <f>IFERROR(INDEX(Tbl_KPIMaster[Unit],MATCH($G477,Tbl_KPIMaster[KPI],0)),"")</f>
        <v/>
      </c>
      <c r="I477" s="5">
        <f>IFERROR(INDEX(Tbl_KPIMaster[Maximum Target],MATCH($G477,Tbl_KPIMaster[KPI],0)),"")</f>
        <v/>
      </c>
      <c r="J477" s="5" t="n">
        <v>1.0668</v>
      </c>
      <c r="K477" s="4">
        <f>IFERROR(INDEX(Tbl_KPIMaster[Tolerance],MATCH($G477,Tbl_KPIMaster[KPI],0)),"")</f>
        <v/>
      </c>
      <c r="L477" s="4">
        <f>IFERROR(INDEX(Tbl_KPIMaster[Owner],MATCH($G477,Tbl_KPIMaster[KPI],0)),"")</f>
        <v/>
      </c>
      <c r="M477" s="6" t="inlineStr">
        <is>
          <t>Process improvement in progress</t>
        </is>
      </c>
      <c r="N477" s="4" t="inlineStr">
        <is>
          <t>Procurement follow-up</t>
        </is>
      </c>
      <c r="O477" s="4" t="inlineStr">
        <is>
          <t>Low</t>
        </is>
      </c>
      <c r="P477" s="4" t="inlineStr">
        <is>
          <t>Open</t>
        </is>
      </c>
      <c r="Q477" s="5">
        <f>IFERROR(IF(INDEX(Tbl_KPIMaster[Direction],MATCH($G477,Tbl_KPIMaster[KPI],0))="Lower is Better",IF($J477=0,1,IF($I477=0,0,$I477/$J477)),IF($I477=0,1,$J477/$I477)),0)</f>
        <v/>
      </c>
      <c r="R477" s="4">
        <f>IF(OR($I477="",$J477=""),"",$J477-$I477)</f>
        <v/>
      </c>
      <c r="S477" s="4">
        <f>IFERROR(IF(INDEX(Tbl_KPIMaster[Direction],MATCH($G477,Tbl_KPIMaster[KPI],0))="Lower is Better",IF($J477&lt;=$I477,"Green",IF($J477&lt;=$I477+IF($I477=0,$K477,$I477*$K477),"Amber","Red")),IF($J477&gt;=$I477,"Green",IF($J477&gt;=$I477-IF($I477=0,$K477,$I477*$K477),"Amber","Red"))),"")</f>
        <v/>
      </c>
      <c r="T477" s="6" t="inlineStr"/>
    </row>
    <row r="478">
      <c r="A478" s="7" t="n">
        <v>46153</v>
      </c>
      <c r="B478" s="8">
        <f>IF($A478="","",TEXT($A478,"mmm-yyyy"))</f>
        <v/>
      </c>
      <c r="C478" s="8">
        <f>IF($A478="","","W"&amp;WEEKNUM($A478,2))</f>
        <v/>
      </c>
      <c r="D478" s="8">
        <f>IF($A478="","",TEXT($A478,"ddd"))</f>
        <v/>
      </c>
      <c r="E478" s="8" t="inlineStr">
        <is>
          <t>Engineering</t>
        </is>
      </c>
      <c r="F478" s="8">
        <f>IFERROR(INDEX(Tbl_KPIMaster[Category],MATCH($G478,Tbl_KPIMaster[KPI],0)),"")</f>
        <v/>
      </c>
      <c r="G478" s="8" t="inlineStr">
        <is>
          <t>Breakdown Resolution Time</t>
        </is>
      </c>
      <c r="H478" s="8">
        <f>IFERROR(INDEX(Tbl_KPIMaster[Unit],MATCH($G478,Tbl_KPIMaster[KPI],0)),"")</f>
        <v/>
      </c>
      <c r="I478" s="9">
        <f>IFERROR(INDEX(Tbl_KPIMaster[Maximum Target],MATCH($G478,Tbl_KPIMaster[KPI],0)),"")</f>
        <v/>
      </c>
      <c r="J478" s="9" t="n">
        <v>0</v>
      </c>
      <c r="K478" s="8">
        <f>IFERROR(INDEX(Tbl_KPIMaster[Tolerance],MATCH($G478,Tbl_KPIMaster[KPI],0)),"")</f>
        <v/>
      </c>
      <c r="L478" s="8">
        <f>IFERROR(INDEX(Tbl_KPIMaster[Owner],MATCH($G478,Tbl_KPIMaster[KPI],0)),"")</f>
        <v/>
      </c>
      <c r="M478" s="10" t="inlineStr">
        <is>
          <t>Weather impact</t>
        </is>
      </c>
      <c r="N478" s="8" t="inlineStr"/>
      <c r="O478" s="8" t="inlineStr">
        <is>
          <t>High</t>
        </is>
      </c>
      <c r="P478" s="8" t="inlineStr">
        <is>
          <t>Closed</t>
        </is>
      </c>
      <c r="Q478" s="9">
        <f>IFERROR(IF(INDEX(Tbl_KPIMaster[Direction],MATCH($G478,Tbl_KPIMaster[KPI],0))="Lower is Better",IF($J478=0,1,IF($I478=0,0,$I478/$J478)),IF($I478=0,1,$J478/$I478)),0)</f>
        <v/>
      </c>
      <c r="R478" s="8">
        <f>IF(OR($I478="",$J478=""),"",$J478-$I478)</f>
        <v/>
      </c>
      <c r="S478" s="8">
        <f>IFERROR(IF(INDEX(Tbl_KPIMaster[Direction],MATCH($G478,Tbl_KPIMaster[KPI],0))="Lower is Better",IF($J478&lt;=$I478,"Green",IF($J478&lt;=$I478+IF($I478=0,$K478,$I478*$K478),"Amber","Red")),IF($J478&gt;=$I478,"Green",IF($J478&gt;=$I478-IF($I478=0,$K478,$I478*$K478),"Amber","Red"))),"")</f>
        <v/>
      </c>
      <c r="T478" s="10" t="inlineStr"/>
    </row>
    <row r="479">
      <c r="A479" s="3" t="n">
        <v>46153</v>
      </c>
      <c r="B479" s="4">
        <f>IF($A479="","",TEXT($A479,"mmm-yyyy"))</f>
        <v/>
      </c>
      <c r="C479" s="4">
        <f>IF($A479="","","W"&amp;WEEKNUM($A479,2))</f>
        <v/>
      </c>
      <c r="D479" s="4">
        <f>IF($A479="","",TEXT($A479,"ddd"))</f>
        <v/>
      </c>
      <c r="E479" s="4" t="inlineStr">
        <is>
          <t>Cost</t>
        </is>
      </c>
      <c r="F479" s="4">
        <f>IFERROR(INDEX(Tbl_KPIMaster[Category],MATCH($G479,Tbl_KPIMaster[KPI],0)),"")</f>
        <v/>
      </c>
      <c r="G479" s="4" t="inlineStr">
        <is>
          <t>Cost per Unit</t>
        </is>
      </c>
      <c r="H479" s="4">
        <f>IFERROR(INDEX(Tbl_KPIMaster[Unit],MATCH($G479,Tbl_KPIMaster[KPI],0)),"")</f>
        <v/>
      </c>
      <c r="I479" s="5">
        <f>IFERROR(INDEX(Tbl_KPIMaster[Maximum Target],MATCH($G479,Tbl_KPIMaster[KPI],0)),"")</f>
        <v/>
      </c>
      <c r="J479" s="5" t="n">
        <v>41.54</v>
      </c>
      <c r="K479" s="4">
        <f>IFERROR(INDEX(Tbl_KPIMaster[Tolerance],MATCH($G479,Tbl_KPIMaster[KPI],0)),"")</f>
        <v/>
      </c>
      <c r="L479" s="4">
        <f>IFERROR(INDEX(Tbl_KPIMaster[Owner],MATCH($G479,Tbl_KPIMaster[KPI],0)),"")</f>
        <v/>
      </c>
      <c r="M479" s="6" t="inlineStr">
        <is>
          <t>Awaiting spares</t>
        </is>
      </c>
      <c r="N479" s="4" t="inlineStr"/>
      <c r="O479" s="4" t="inlineStr">
        <is>
          <t>High</t>
        </is>
      </c>
      <c r="P479" s="4" t="inlineStr">
        <is>
          <t>Closed</t>
        </is>
      </c>
      <c r="Q479" s="5">
        <f>IFERROR(IF(INDEX(Tbl_KPIMaster[Direction],MATCH($G479,Tbl_KPIMaster[KPI],0))="Lower is Better",IF($J479=0,1,IF($I479=0,0,$I479/$J479)),IF($I479=0,1,$J479/$I479)),0)</f>
        <v/>
      </c>
      <c r="R479" s="4">
        <f>IF(OR($I479="",$J479=""),"",$J479-$I479)</f>
        <v/>
      </c>
      <c r="S479" s="4">
        <f>IFERROR(IF(INDEX(Tbl_KPIMaster[Direction],MATCH($G479,Tbl_KPIMaster[KPI],0))="Lower is Better",IF($J479&lt;=$I479,"Green",IF($J479&lt;=$I479+IF($I479=0,$K479,$I479*$K479),"Amber","Red")),IF($J479&gt;=$I479,"Green",IF($J479&gt;=$I479-IF($I479=0,$K479,$I479*$K479),"Amber","Red"))),"")</f>
        <v/>
      </c>
      <c r="T479" s="6" t="inlineStr"/>
    </row>
    <row r="480">
      <c r="A480" s="7" t="n">
        <v>46153</v>
      </c>
      <c r="B480" s="8">
        <f>IF($A480="","",TEXT($A480,"mmm-yyyy"))</f>
        <v/>
      </c>
      <c r="C480" s="8">
        <f>IF($A480="","","W"&amp;WEEKNUM($A480,2))</f>
        <v/>
      </c>
      <c r="D480" s="8">
        <f>IF($A480="","",TEXT($A480,"ddd"))</f>
        <v/>
      </c>
      <c r="E480" s="8" t="inlineStr">
        <is>
          <t>Cost</t>
        </is>
      </c>
      <c r="F480" s="8">
        <f>IFERROR(INDEX(Tbl_KPIMaster[Category],MATCH($G480,Tbl_KPIMaster[KPI],0)),"")</f>
        <v/>
      </c>
      <c r="G480" s="8" t="inlineStr">
        <is>
          <t>Budget Variance %</t>
        </is>
      </c>
      <c r="H480" s="8">
        <f>IFERROR(INDEX(Tbl_KPIMaster[Unit],MATCH($G480,Tbl_KPIMaster[KPI],0)),"")</f>
        <v/>
      </c>
      <c r="I480" s="9">
        <f>IFERROR(INDEX(Tbl_KPIMaster[Maximum Target],MATCH($G480,Tbl_KPIMaster[KPI],0)),"")</f>
        <v/>
      </c>
      <c r="J480" s="9" t="n">
        <v>0</v>
      </c>
      <c r="K480" s="8">
        <f>IFERROR(INDEX(Tbl_KPIMaster[Tolerance],MATCH($G480,Tbl_KPIMaster[KPI],0)),"")</f>
        <v/>
      </c>
      <c r="L480" s="8">
        <f>IFERROR(INDEX(Tbl_KPIMaster[Owner],MATCH($G480,Tbl_KPIMaster[KPI],0)),"")</f>
        <v/>
      </c>
      <c r="M480" s="10" t="inlineStr">
        <is>
          <t>Process improvement in progress</t>
        </is>
      </c>
      <c r="N480" s="8" t="inlineStr">
        <is>
          <t>Procurement follow-up</t>
        </is>
      </c>
      <c r="O480" s="8" t="inlineStr">
        <is>
          <t>Medium</t>
        </is>
      </c>
      <c r="P480" s="8" t="inlineStr">
        <is>
          <t>Closed</t>
        </is>
      </c>
      <c r="Q480" s="9">
        <f>IFERROR(IF(INDEX(Tbl_KPIMaster[Direction],MATCH($G480,Tbl_KPIMaster[KPI],0))="Lower is Better",IF($J480=0,1,IF($I480=0,0,$I480/$J480)),IF($I480=0,1,$J480/$I480)),0)</f>
        <v/>
      </c>
      <c r="R480" s="8">
        <f>IF(OR($I480="",$J480=""),"",$J480-$I480)</f>
        <v/>
      </c>
      <c r="S480" s="8">
        <f>IFERROR(IF(INDEX(Tbl_KPIMaster[Direction],MATCH($G480,Tbl_KPIMaster[KPI],0))="Lower is Better",IF($J480&lt;=$I480,"Green",IF($J480&lt;=$I480+IF($I480=0,$K480,$I480*$K480),"Amber","Red")),IF($J480&gt;=$I480,"Green",IF($J480&gt;=$I480-IF($I480=0,$K480,$I480*$K480),"Amber","Red"))),"")</f>
        <v/>
      </c>
      <c r="T480" s="10" t="inlineStr"/>
    </row>
    <row r="481">
      <c r="A481" s="3" t="n">
        <v>46153</v>
      </c>
      <c r="B481" s="4">
        <f>IF($A481="","",TEXT($A481,"mmm-yyyy"))</f>
        <v/>
      </c>
      <c r="C481" s="4">
        <f>IF($A481="","","W"&amp;WEEKNUM($A481,2))</f>
        <v/>
      </c>
      <c r="D481" s="4">
        <f>IF($A481="","",TEXT($A481,"ddd"))</f>
        <v/>
      </c>
      <c r="E481" s="4" t="inlineStr">
        <is>
          <t>Energy</t>
        </is>
      </c>
      <c r="F481" s="4">
        <f>IFERROR(INDEX(Tbl_KPIMaster[Category],MATCH($G481,Tbl_KPIMaster[KPI],0)),"")</f>
        <v/>
      </c>
      <c r="G481" s="4" t="inlineStr">
        <is>
          <t>Energy Intensity (kWh/unit)</t>
        </is>
      </c>
      <c r="H481" s="4">
        <f>IFERROR(INDEX(Tbl_KPIMaster[Unit],MATCH($G481,Tbl_KPIMaster[KPI],0)),"")</f>
        <v/>
      </c>
      <c r="I481" s="5">
        <f>IFERROR(INDEX(Tbl_KPIMaster[Maximum Target],MATCH($G481,Tbl_KPIMaster[KPI],0)),"")</f>
        <v/>
      </c>
      <c r="J481" s="5" t="n">
        <v>5.29</v>
      </c>
      <c r="K481" s="4">
        <f>IFERROR(INDEX(Tbl_KPIMaster[Tolerance],MATCH($G481,Tbl_KPIMaster[KPI],0)),"")</f>
        <v/>
      </c>
      <c r="L481" s="4">
        <f>IFERROR(INDEX(Tbl_KPIMaster[Owner],MATCH($G481,Tbl_KPIMaster[KPI],0)),"")</f>
        <v/>
      </c>
      <c r="M481" s="6" t="inlineStr">
        <is>
          <t>Manpower shortage</t>
        </is>
      </c>
      <c r="N481" s="4" t="inlineStr"/>
      <c r="O481" s="4" t="inlineStr">
        <is>
          <t>Medium</t>
        </is>
      </c>
      <c r="P481" s="4" t="inlineStr">
        <is>
          <t>Closed</t>
        </is>
      </c>
      <c r="Q481" s="5">
        <f>IFERROR(IF(INDEX(Tbl_KPIMaster[Direction],MATCH($G481,Tbl_KPIMaster[KPI],0))="Lower is Better",IF($J481=0,1,IF($I481=0,0,$I481/$J481)),IF($I481=0,1,$J481/$I481)),0)</f>
        <v/>
      </c>
      <c r="R481" s="4">
        <f>IF(OR($I481="",$J481=""),"",$J481-$I481)</f>
        <v/>
      </c>
      <c r="S481" s="4">
        <f>IFERROR(IF(INDEX(Tbl_KPIMaster[Direction],MATCH($G481,Tbl_KPIMaster[KPI],0))="Lower is Better",IF($J481&lt;=$I481,"Green",IF($J481&lt;=$I481+IF($I481=0,$K481,$I481*$K481),"Amber","Red")),IF($J481&gt;=$I481,"Green",IF($J481&gt;=$I481-IF($I481=0,$K481,$I481*$K481),"Amber","Red"))),"")</f>
        <v/>
      </c>
      <c r="T481" s="6" t="inlineStr"/>
    </row>
    <row r="482">
      <c r="A482" s="7" t="n">
        <v>46153</v>
      </c>
      <c r="B482" s="8">
        <f>IF($A482="","",TEXT($A482,"mmm-yyyy"))</f>
        <v/>
      </c>
      <c r="C482" s="8">
        <f>IF($A482="","","W"&amp;WEEKNUM($A482,2))</f>
        <v/>
      </c>
      <c r="D482" s="8">
        <f>IF($A482="","",TEXT($A482,"ddd"))</f>
        <v/>
      </c>
      <c r="E482" s="8" t="inlineStr">
        <is>
          <t>Energy</t>
        </is>
      </c>
      <c r="F482" s="8">
        <f>IFERROR(INDEX(Tbl_KPIMaster[Category],MATCH($G482,Tbl_KPIMaster[KPI],0)),"")</f>
        <v/>
      </c>
      <c r="G482" s="8" t="inlineStr">
        <is>
          <t>Renewable Energy Share %</t>
        </is>
      </c>
      <c r="H482" s="8">
        <f>IFERROR(INDEX(Tbl_KPIMaster[Unit],MATCH($G482,Tbl_KPIMaster[KPI],0)),"")</f>
        <v/>
      </c>
      <c r="I482" s="9">
        <f>IFERROR(INDEX(Tbl_KPIMaster[Maximum Target],MATCH($G482,Tbl_KPIMaster[KPI],0)),"")</f>
        <v/>
      </c>
      <c r="J482" s="9" t="n">
        <v>0.2425</v>
      </c>
      <c r="K482" s="8">
        <f>IFERROR(INDEX(Tbl_KPIMaster[Tolerance],MATCH($G482,Tbl_KPIMaster[KPI],0)),"")</f>
        <v/>
      </c>
      <c r="L482" s="8">
        <f>IFERROR(INDEX(Tbl_KPIMaster[Owner],MATCH($G482,Tbl_KPIMaster[KPI],0)),"")</f>
        <v/>
      </c>
      <c r="M482" s="10" t="inlineStr">
        <is>
          <t>Equipment breakdown</t>
        </is>
      </c>
      <c r="N482" s="8" t="inlineStr">
        <is>
          <t>Engineering support needed</t>
        </is>
      </c>
      <c r="O482" s="8" t="inlineStr">
        <is>
          <t>Low</t>
        </is>
      </c>
      <c r="P482" s="8" t="inlineStr">
        <is>
          <t>Closed</t>
        </is>
      </c>
      <c r="Q482" s="9">
        <f>IFERROR(IF(INDEX(Tbl_KPIMaster[Direction],MATCH($G482,Tbl_KPIMaster[KPI],0))="Lower is Better",IF($J482=0,1,IF($I482=0,0,$I482/$J482)),IF($I482=0,1,$J482/$I482)),0)</f>
        <v/>
      </c>
      <c r="R482" s="8">
        <f>IF(OR($I482="",$J482=""),"",$J482-$I482)</f>
        <v/>
      </c>
      <c r="S482" s="8">
        <f>IFERROR(IF(INDEX(Tbl_KPIMaster[Direction],MATCH($G482,Tbl_KPIMaster[KPI],0))="Lower is Better",IF($J482&lt;=$I482,"Green",IF($J482&lt;=$I482+IF($I482=0,$K482,$I482*$K482),"Amber","Red")),IF($J482&gt;=$I482,"Green",IF($J482&gt;=$I482-IF($I482=0,$K482,$I482*$K482),"Amber","Red"))),"")</f>
        <v/>
      </c>
      <c r="T482" s="10" t="inlineStr"/>
    </row>
    <row r="483">
      <c r="A483" s="3" t="n">
        <v>46154</v>
      </c>
      <c r="B483" s="4">
        <f>IF($A483="","",TEXT($A483,"mmm-yyyy"))</f>
        <v/>
      </c>
      <c r="C483" s="4">
        <f>IF($A483="","","W"&amp;WEEKNUM($A483,2))</f>
        <v/>
      </c>
      <c r="D483" s="4">
        <f>IF($A483="","",TEXT($A483,"ddd"))</f>
        <v/>
      </c>
      <c r="E483" s="4" t="inlineStr">
        <is>
          <t>Safety</t>
        </is>
      </c>
      <c r="F483" s="4">
        <f>IFERROR(INDEX(Tbl_KPIMaster[Category],MATCH($G483,Tbl_KPIMaster[KPI],0)),"")</f>
        <v/>
      </c>
      <c r="G483" s="4" t="inlineStr">
        <is>
          <t>Safety Incidents (LTI)</t>
        </is>
      </c>
      <c r="H483" s="4">
        <f>IFERROR(INDEX(Tbl_KPIMaster[Unit],MATCH($G483,Tbl_KPIMaster[KPI],0)),"")</f>
        <v/>
      </c>
      <c r="I483" s="5">
        <f>IFERROR(INDEX(Tbl_KPIMaster[Maximum Target],MATCH($G483,Tbl_KPIMaster[KPI],0)),"")</f>
        <v/>
      </c>
      <c r="J483" s="5" t="n">
        <v>0</v>
      </c>
      <c r="K483" s="4">
        <f>IFERROR(INDEX(Tbl_KPIMaster[Tolerance],MATCH($G483,Tbl_KPIMaster[KPI],0)),"")</f>
        <v/>
      </c>
      <c r="L483" s="4">
        <f>IFERROR(INDEX(Tbl_KPIMaster[Owner],MATCH($G483,Tbl_KPIMaster[KPI],0)),"")</f>
        <v/>
      </c>
      <c r="M483" s="6" t="inlineStr">
        <is>
          <t>Awaiting spares</t>
        </is>
      </c>
      <c r="N483" s="4" t="inlineStr">
        <is>
          <t>Procurement follow-up</t>
        </is>
      </c>
      <c r="O483" s="4" t="inlineStr">
        <is>
          <t>Low</t>
        </is>
      </c>
      <c r="P483" s="4" t="inlineStr">
        <is>
          <t>Closed</t>
        </is>
      </c>
      <c r="Q483" s="5">
        <f>IFERROR(IF(INDEX(Tbl_KPIMaster[Direction],MATCH($G483,Tbl_KPIMaster[KPI],0))="Lower is Better",IF($J483=0,1,IF($I483=0,0,$I483/$J483)),IF($I483=0,1,$J483/$I483)),0)</f>
        <v/>
      </c>
      <c r="R483" s="4">
        <f>IF(OR($I483="",$J483=""),"",$J483-$I483)</f>
        <v/>
      </c>
      <c r="S483" s="4">
        <f>IFERROR(IF(INDEX(Tbl_KPIMaster[Direction],MATCH($G483,Tbl_KPIMaster[KPI],0))="Lower is Better",IF($J483&lt;=$I483,"Green",IF($J483&lt;=$I483+IF($I483=0,$K483,$I483*$K483),"Amber","Red")),IF($J483&gt;=$I483,"Green",IF($J483&gt;=$I483-IF($I483=0,$K483,$I483*$K483),"Amber","Red"))),"")</f>
        <v/>
      </c>
      <c r="T483" s="6" t="inlineStr"/>
    </row>
    <row r="484">
      <c r="A484" s="7" t="n">
        <v>46154</v>
      </c>
      <c r="B484" s="8">
        <f>IF($A484="","",TEXT($A484,"mmm-yyyy"))</f>
        <v/>
      </c>
      <c r="C484" s="8">
        <f>IF($A484="","","W"&amp;WEEKNUM($A484,2))</f>
        <v/>
      </c>
      <c r="D484" s="8">
        <f>IF($A484="","",TEXT($A484,"ddd"))</f>
        <v/>
      </c>
      <c r="E484" s="8" t="inlineStr">
        <is>
          <t>Safety</t>
        </is>
      </c>
      <c r="F484" s="8">
        <f>IFERROR(INDEX(Tbl_KPIMaster[Category],MATCH($G484,Tbl_KPIMaster[KPI],0)),"")</f>
        <v/>
      </c>
      <c r="G484" s="8" t="inlineStr">
        <is>
          <t>Near Miss Reports</t>
        </is>
      </c>
      <c r="H484" s="8">
        <f>IFERROR(INDEX(Tbl_KPIMaster[Unit],MATCH($G484,Tbl_KPIMaster[KPI],0)),"")</f>
        <v/>
      </c>
      <c r="I484" s="9">
        <f>IFERROR(INDEX(Tbl_KPIMaster[Maximum Target],MATCH($G484,Tbl_KPIMaster[KPI],0)),"")</f>
        <v/>
      </c>
      <c r="J484" s="9" t="n">
        <v>2</v>
      </c>
      <c r="K484" s="8">
        <f>IFERROR(INDEX(Tbl_KPIMaster[Tolerance],MATCH($G484,Tbl_KPIMaster[KPI],0)),"")</f>
        <v/>
      </c>
      <c r="L484" s="8">
        <f>IFERROR(INDEX(Tbl_KPIMaster[Owner],MATCH($G484,Tbl_KPIMaster[KPI],0)),"")</f>
        <v/>
      </c>
      <c r="M484" s="10" t="inlineStr">
        <is>
          <t>Preventive check done</t>
        </is>
      </c>
      <c r="N484" s="8" t="inlineStr">
        <is>
          <t>Engineering support needed</t>
        </is>
      </c>
      <c r="O484" s="8" t="inlineStr">
        <is>
          <t>Low</t>
        </is>
      </c>
      <c r="P484" s="8" t="inlineStr">
        <is>
          <t>Closed</t>
        </is>
      </c>
      <c r="Q484" s="9">
        <f>IFERROR(IF(INDEX(Tbl_KPIMaster[Direction],MATCH($G484,Tbl_KPIMaster[KPI],0))="Lower is Better",IF($J484=0,1,IF($I484=0,0,$I484/$J484)),IF($I484=0,1,$J484/$I484)),0)</f>
        <v/>
      </c>
      <c r="R484" s="8">
        <f>IF(OR($I484="",$J484=""),"",$J484-$I484)</f>
        <v/>
      </c>
      <c r="S484" s="8">
        <f>IFERROR(IF(INDEX(Tbl_KPIMaster[Direction],MATCH($G484,Tbl_KPIMaster[KPI],0))="Lower is Better",IF($J484&lt;=$I484,"Green",IF($J484&lt;=$I484+IF($I484=0,$K484,$I484*$K484),"Amber","Red")),IF($J484&gt;=$I484,"Green",IF($J484&gt;=$I484-IF($I484=0,$K484,$I484*$K484),"Amber","Red"))),"")</f>
        <v/>
      </c>
      <c r="T484" s="10" t="inlineStr"/>
    </row>
    <row r="485">
      <c r="A485" s="3" t="n">
        <v>46154</v>
      </c>
      <c r="B485" s="4">
        <f>IF($A485="","",TEXT($A485,"mmm-yyyy"))</f>
        <v/>
      </c>
      <c r="C485" s="4">
        <f>IF($A485="","","W"&amp;WEEKNUM($A485,2))</f>
        <v/>
      </c>
      <c r="D485" s="4">
        <f>IF($A485="","",TEXT($A485,"ddd"))</f>
        <v/>
      </c>
      <c r="E485" s="4" t="inlineStr">
        <is>
          <t>Production</t>
        </is>
      </c>
      <c r="F485" s="4">
        <f>IFERROR(INDEX(Tbl_KPIMaster[Category],MATCH($G485,Tbl_KPIMaster[KPI],0)),"")</f>
        <v/>
      </c>
      <c r="G485" s="4" t="inlineStr">
        <is>
          <t>Production Output</t>
        </is>
      </c>
      <c r="H485" s="4">
        <f>IFERROR(INDEX(Tbl_KPIMaster[Unit],MATCH($G485,Tbl_KPIMaster[KPI],0)),"")</f>
        <v/>
      </c>
      <c r="I485" s="5">
        <f>IFERROR(INDEX(Tbl_KPIMaster[Maximum Target],MATCH($G485,Tbl_KPIMaster[KPI],0)),"")</f>
        <v/>
      </c>
      <c r="J485" s="5" t="n">
        <v>997.26</v>
      </c>
      <c r="K485" s="4">
        <f>IFERROR(INDEX(Tbl_KPIMaster[Tolerance],MATCH($G485,Tbl_KPIMaster[KPI],0)),"")</f>
        <v/>
      </c>
      <c r="L485" s="4">
        <f>IFERROR(INDEX(Tbl_KPIMaster[Owner],MATCH($G485,Tbl_KPIMaster[KPI],0)),"")</f>
        <v/>
      </c>
      <c r="M485" s="6" t="inlineStr">
        <is>
          <t>Equipment breakdown</t>
        </is>
      </c>
      <c r="N485" s="4" t="inlineStr">
        <is>
          <t>Engineering support needed</t>
        </is>
      </c>
      <c r="O485" s="4" t="inlineStr">
        <is>
          <t>Low</t>
        </is>
      </c>
      <c r="P485" s="4" t="inlineStr">
        <is>
          <t>Open</t>
        </is>
      </c>
      <c r="Q485" s="5">
        <f>IFERROR(IF(INDEX(Tbl_KPIMaster[Direction],MATCH($G485,Tbl_KPIMaster[KPI],0))="Lower is Better",IF($J485=0,1,IF($I485=0,0,$I485/$J485)),IF($I485=0,1,$J485/$I485)),0)</f>
        <v/>
      </c>
      <c r="R485" s="4">
        <f>IF(OR($I485="",$J485=""),"",$J485-$I485)</f>
        <v/>
      </c>
      <c r="S485" s="4">
        <f>IFERROR(IF(INDEX(Tbl_KPIMaster[Direction],MATCH($G485,Tbl_KPIMaster[KPI],0))="Lower is Better",IF($J485&lt;=$I485,"Green",IF($J485&lt;=$I485+IF($I485=0,$K485,$I485*$K485),"Amber","Red")),IF($J485&gt;=$I485,"Green",IF($J485&gt;=$I485-IF($I485=0,$K485,$I485*$K485),"Amber","Red"))),"")</f>
        <v/>
      </c>
      <c r="T485" s="6" t="inlineStr"/>
    </row>
    <row r="486">
      <c r="A486" s="7" t="n">
        <v>46154</v>
      </c>
      <c r="B486" s="8">
        <f>IF($A486="","",TEXT($A486,"mmm-yyyy"))</f>
        <v/>
      </c>
      <c r="C486" s="8">
        <f>IF($A486="","","W"&amp;WEEKNUM($A486,2))</f>
        <v/>
      </c>
      <c r="D486" s="8">
        <f>IF($A486="","",TEXT($A486,"ddd"))</f>
        <v/>
      </c>
      <c r="E486" s="8" t="inlineStr">
        <is>
          <t>Production</t>
        </is>
      </c>
      <c r="F486" s="8">
        <f>IFERROR(INDEX(Tbl_KPIMaster[Category],MATCH($G486,Tbl_KPIMaster[KPI],0)),"")</f>
        <v/>
      </c>
      <c r="G486" s="8" t="inlineStr">
        <is>
          <t>OEE %</t>
        </is>
      </c>
      <c r="H486" s="8">
        <f>IFERROR(INDEX(Tbl_KPIMaster[Unit],MATCH($G486,Tbl_KPIMaster[KPI],0)),"")</f>
        <v/>
      </c>
      <c r="I486" s="9">
        <f>IFERROR(INDEX(Tbl_KPIMaster[Maximum Target],MATCH($G486,Tbl_KPIMaster[KPI],0)),"")</f>
        <v/>
      </c>
      <c r="J486" s="9" t="n">
        <v>0.8728</v>
      </c>
      <c r="K486" s="8">
        <f>IFERROR(INDEX(Tbl_KPIMaster[Tolerance],MATCH($G486,Tbl_KPIMaster[KPI],0)),"")</f>
        <v/>
      </c>
      <c r="L486" s="8">
        <f>IFERROR(INDEX(Tbl_KPIMaster[Owner],MATCH($G486,Tbl_KPIMaster[KPI],0)),"")</f>
        <v/>
      </c>
      <c r="M486" s="10" t="inlineStr">
        <is>
          <t>Within normal range</t>
        </is>
      </c>
      <c r="N486" s="8" t="inlineStr"/>
      <c r="O486" s="8" t="inlineStr">
        <is>
          <t>Low</t>
        </is>
      </c>
      <c r="P486" s="8" t="inlineStr">
        <is>
          <t>Closed</t>
        </is>
      </c>
      <c r="Q486" s="9">
        <f>IFERROR(IF(INDEX(Tbl_KPIMaster[Direction],MATCH($G486,Tbl_KPIMaster[KPI],0))="Lower is Better",IF($J486=0,1,IF($I486=0,0,$I486/$J486)),IF($I486=0,1,$J486/$I486)),0)</f>
        <v/>
      </c>
      <c r="R486" s="8">
        <f>IF(OR($I486="",$J486=""),"",$J486-$I486)</f>
        <v/>
      </c>
      <c r="S486" s="8">
        <f>IFERROR(IF(INDEX(Tbl_KPIMaster[Direction],MATCH($G486,Tbl_KPIMaster[KPI],0))="Lower is Better",IF($J486&lt;=$I486,"Green",IF($J486&lt;=$I486+IF($I486=0,$K486,$I486*$K486),"Amber","Red")),IF($J486&gt;=$I486,"Green",IF($J486&gt;=$I486-IF($I486=0,$K486,$I486*$K486),"Amber","Red"))),"")</f>
        <v/>
      </c>
      <c r="T486" s="10" t="inlineStr"/>
    </row>
    <row r="487">
      <c r="A487" s="3" t="n">
        <v>46154</v>
      </c>
      <c r="B487" s="4">
        <f>IF($A487="","",TEXT($A487,"mmm-yyyy"))</f>
        <v/>
      </c>
      <c r="C487" s="4">
        <f>IF($A487="","","W"&amp;WEEKNUM($A487,2))</f>
        <v/>
      </c>
      <c r="D487" s="4">
        <f>IF($A487="","",TEXT($A487,"ddd"))</f>
        <v/>
      </c>
      <c r="E487" s="4" t="inlineStr">
        <is>
          <t>Quality</t>
        </is>
      </c>
      <c r="F487" s="4">
        <f>IFERROR(INDEX(Tbl_KPIMaster[Category],MATCH($G487,Tbl_KPIMaster[KPI],0)),"")</f>
        <v/>
      </c>
      <c r="G487" s="4" t="inlineStr">
        <is>
          <t>Defect Rate %</t>
        </is>
      </c>
      <c r="H487" s="4">
        <f>IFERROR(INDEX(Tbl_KPIMaster[Unit],MATCH($G487,Tbl_KPIMaster[KPI],0)),"")</f>
        <v/>
      </c>
      <c r="I487" s="5">
        <f>IFERROR(INDEX(Tbl_KPIMaster[Maximum Target],MATCH($G487,Tbl_KPIMaster[KPI],0)),"")</f>
        <v/>
      </c>
      <c r="J487" s="5" t="n">
        <v>0.3047</v>
      </c>
      <c r="K487" s="4">
        <f>IFERROR(INDEX(Tbl_KPIMaster[Tolerance],MATCH($G487,Tbl_KPIMaster[KPI],0)),"")</f>
        <v/>
      </c>
      <c r="L487" s="4">
        <f>IFERROR(INDEX(Tbl_KPIMaster[Owner],MATCH($G487,Tbl_KPIMaster[KPI],0)),"")</f>
        <v/>
      </c>
      <c r="M487" s="6" t="inlineStr">
        <is>
          <t>Equipment breakdown</t>
        </is>
      </c>
      <c r="N487" s="4" t="inlineStr">
        <is>
          <t>Management approval pending</t>
        </is>
      </c>
      <c r="O487" s="4" t="inlineStr">
        <is>
          <t>High</t>
        </is>
      </c>
      <c r="P487" s="4" t="inlineStr">
        <is>
          <t>Open</t>
        </is>
      </c>
      <c r="Q487" s="5">
        <f>IFERROR(IF(INDEX(Tbl_KPIMaster[Direction],MATCH($G487,Tbl_KPIMaster[KPI],0))="Lower is Better",IF($J487=0,1,IF($I487=0,0,$I487/$J487)),IF($I487=0,1,$J487/$I487)),0)</f>
        <v/>
      </c>
      <c r="R487" s="4">
        <f>IF(OR($I487="",$J487=""),"",$J487-$I487)</f>
        <v/>
      </c>
      <c r="S487" s="4">
        <f>IFERROR(IF(INDEX(Tbl_KPIMaster[Direction],MATCH($G487,Tbl_KPIMaster[KPI],0))="Lower is Better",IF($J487&lt;=$I487,"Green",IF($J487&lt;=$I487+IF($I487=0,$K487,$I487*$K487),"Amber","Red")),IF($J487&gt;=$I487,"Green",IF($J487&gt;=$I487-IF($I487=0,$K487,$I487*$K487),"Amber","Red"))),"")</f>
        <v/>
      </c>
      <c r="T487" s="6" t="inlineStr"/>
    </row>
    <row r="488">
      <c r="A488" s="7" t="n">
        <v>46154</v>
      </c>
      <c r="B488" s="8">
        <f>IF($A488="","",TEXT($A488,"mmm-yyyy"))</f>
        <v/>
      </c>
      <c r="C488" s="8">
        <f>IF($A488="","","W"&amp;WEEKNUM($A488,2))</f>
        <v/>
      </c>
      <c r="D488" s="8">
        <f>IF($A488="","",TEXT($A488,"ddd"))</f>
        <v/>
      </c>
      <c r="E488" s="8" t="inlineStr">
        <is>
          <t>Quality</t>
        </is>
      </c>
      <c r="F488" s="8">
        <f>IFERROR(INDEX(Tbl_KPIMaster[Category],MATCH($G488,Tbl_KPIMaster[KPI],0)),"")</f>
        <v/>
      </c>
      <c r="G488" s="8" t="inlineStr">
        <is>
          <t>Customer Complaints</t>
        </is>
      </c>
      <c r="H488" s="8">
        <f>IFERROR(INDEX(Tbl_KPIMaster[Unit],MATCH($G488,Tbl_KPIMaster[KPI],0)),"")</f>
        <v/>
      </c>
      <c r="I488" s="9">
        <f>IFERROR(INDEX(Tbl_KPIMaster[Maximum Target],MATCH($G488,Tbl_KPIMaster[KPI],0)),"")</f>
        <v/>
      </c>
      <c r="J488" s="9" t="n">
        <v>1</v>
      </c>
      <c r="K488" s="8">
        <f>IFERROR(INDEX(Tbl_KPIMaster[Tolerance],MATCH($G488,Tbl_KPIMaster[KPI],0)),"")</f>
        <v/>
      </c>
      <c r="L488" s="8">
        <f>IFERROR(INDEX(Tbl_KPIMaster[Owner],MATCH($G488,Tbl_KPIMaster[KPI],0)),"")</f>
        <v/>
      </c>
      <c r="M488" s="10" t="inlineStr"/>
      <c r="N488" s="8" t="inlineStr"/>
      <c r="O488" s="8" t="inlineStr">
        <is>
          <t>Low</t>
        </is>
      </c>
      <c r="P488" s="8" t="inlineStr">
        <is>
          <t>Closed</t>
        </is>
      </c>
      <c r="Q488" s="9">
        <f>IFERROR(IF(INDEX(Tbl_KPIMaster[Direction],MATCH($G488,Tbl_KPIMaster[KPI],0))="Lower is Better",IF($J488=0,1,IF($I488=0,0,$I488/$J488)),IF($I488=0,1,$J488/$I488)),0)</f>
        <v/>
      </c>
      <c r="R488" s="8">
        <f>IF(OR($I488="",$J488=""),"",$J488-$I488)</f>
        <v/>
      </c>
      <c r="S488" s="8">
        <f>IFERROR(IF(INDEX(Tbl_KPIMaster[Direction],MATCH($G488,Tbl_KPIMaster[KPI],0))="Lower is Better",IF($J488&lt;=$I488,"Green",IF($J488&lt;=$I488+IF($I488=0,$K488,$I488*$K488),"Amber","Red")),IF($J488&gt;=$I488,"Green",IF($J488&gt;=$I488-IF($I488=0,$K488,$I488*$K488),"Amber","Red"))),"")</f>
        <v/>
      </c>
      <c r="T488" s="10" t="inlineStr"/>
    </row>
    <row r="489">
      <c r="A489" s="3" t="n">
        <v>46154</v>
      </c>
      <c r="B489" s="4">
        <f>IF($A489="","",TEXT($A489,"mmm-yyyy"))</f>
        <v/>
      </c>
      <c r="C489" s="4">
        <f>IF($A489="","","W"&amp;WEEKNUM($A489,2))</f>
        <v/>
      </c>
      <c r="D489" s="4">
        <f>IF($A489="","",TEXT($A489,"ddd"))</f>
        <v/>
      </c>
      <c r="E489" s="4" t="inlineStr">
        <is>
          <t>Maintenance</t>
        </is>
      </c>
      <c r="F489" s="4">
        <f>IFERROR(INDEX(Tbl_KPIMaster[Category],MATCH($G489,Tbl_KPIMaster[KPI],0)),"")</f>
        <v/>
      </c>
      <c r="G489" s="4" t="inlineStr">
        <is>
          <t>Unplanned Downtime</t>
        </is>
      </c>
      <c r="H489" s="4">
        <f>IFERROR(INDEX(Tbl_KPIMaster[Unit],MATCH($G489,Tbl_KPIMaster[KPI],0)),"")</f>
        <v/>
      </c>
      <c r="I489" s="5">
        <f>IFERROR(INDEX(Tbl_KPIMaster[Maximum Target],MATCH($G489,Tbl_KPIMaster[KPI],0)),"")</f>
        <v/>
      </c>
      <c r="J489" s="5" t="n">
        <v>0.36</v>
      </c>
      <c r="K489" s="4">
        <f>IFERROR(INDEX(Tbl_KPIMaster[Tolerance],MATCH($G489,Tbl_KPIMaster[KPI],0)),"")</f>
        <v/>
      </c>
      <c r="L489" s="4">
        <f>IFERROR(INDEX(Tbl_KPIMaster[Owner],MATCH($G489,Tbl_KPIMaster[KPI],0)),"")</f>
        <v/>
      </c>
      <c r="M489" s="6" t="inlineStr">
        <is>
          <t>Equipment breakdown</t>
        </is>
      </c>
      <c r="N489" s="4" t="inlineStr">
        <is>
          <t>Procurement follow-up</t>
        </is>
      </c>
      <c r="O489" s="4" t="inlineStr">
        <is>
          <t>Low</t>
        </is>
      </c>
      <c r="P489" s="4" t="inlineStr">
        <is>
          <t>Closed</t>
        </is>
      </c>
      <c r="Q489" s="5">
        <f>IFERROR(IF(INDEX(Tbl_KPIMaster[Direction],MATCH($G489,Tbl_KPIMaster[KPI],0))="Lower is Better",IF($J489=0,1,IF($I489=0,0,$I489/$J489)),IF($I489=0,1,$J489/$I489)),0)</f>
        <v/>
      </c>
      <c r="R489" s="4">
        <f>IF(OR($I489="",$J489=""),"",$J489-$I489)</f>
        <v/>
      </c>
      <c r="S489" s="4">
        <f>IFERROR(IF(INDEX(Tbl_KPIMaster[Direction],MATCH($G489,Tbl_KPIMaster[KPI],0))="Lower is Better",IF($J489&lt;=$I489,"Green",IF($J489&lt;=$I489+IF($I489=0,$K489,$I489*$K489),"Amber","Red")),IF($J489&gt;=$I489,"Green",IF($J489&gt;=$I489-IF($I489=0,$K489,$I489*$K489),"Amber","Red"))),"")</f>
        <v/>
      </c>
      <c r="T489" s="6" t="inlineStr"/>
    </row>
    <row r="490">
      <c r="A490" s="7" t="n">
        <v>46154</v>
      </c>
      <c r="B490" s="8">
        <f>IF($A490="","",TEXT($A490,"mmm-yyyy"))</f>
        <v/>
      </c>
      <c r="C490" s="8">
        <f>IF($A490="","","W"&amp;WEEKNUM($A490,2))</f>
        <v/>
      </c>
      <c r="D490" s="8">
        <f>IF($A490="","",TEXT($A490,"ddd"))</f>
        <v/>
      </c>
      <c r="E490" s="8" t="inlineStr">
        <is>
          <t>Maintenance</t>
        </is>
      </c>
      <c r="F490" s="8">
        <f>IFERROR(INDEX(Tbl_KPIMaster[Category],MATCH($G490,Tbl_KPIMaster[KPI],0)),"")</f>
        <v/>
      </c>
      <c r="G490" s="8" t="inlineStr">
        <is>
          <t>PM Compliance %</t>
        </is>
      </c>
      <c r="H490" s="8">
        <f>IFERROR(INDEX(Tbl_KPIMaster[Unit],MATCH($G490,Tbl_KPIMaster[KPI],0)),"")</f>
        <v/>
      </c>
      <c r="I490" s="9">
        <f>IFERROR(INDEX(Tbl_KPIMaster[Maximum Target],MATCH($G490,Tbl_KPIMaster[KPI],0)),"")</f>
        <v/>
      </c>
      <c r="J490" s="9" t="n">
        <v>0.9451000000000001</v>
      </c>
      <c r="K490" s="8">
        <f>IFERROR(INDEX(Tbl_KPIMaster[Tolerance],MATCH($G490,Tbl_KPIMaster[KPI],0)),"")</f>
        <v/>
      </c>
      <c r="L490" s="8">
        <f>IFERROR(INDEX(Tbl_KPIMaster[Owner],MATCH($G490,Tbl_KPIMaster[KPI],0)),"")</f>
        <v/>
      </c>
      <c r="M490" s="10" t="inlineStr">
        <is>
          <t>Awaiting spares</t>
        </is>
      </c>
      <c r="N490" s="8" t="inlineStr"/>
      <c r="O490" s="8" t="inlineStr">
        <is>
          <t>Medium</t>
        </is>
      </c>
      <c r="P490" s="8" t="inlineStr">
        <is>
          <t>In Progress</t>
        </is>
      </c>
      <c r="Q490" s="9">
        <f>IFERROR(IF(INDEX(Tbl_KPIMaster[Direction],MATCH($G490,Tbl_KPIMaster[KPI],0))="Lower is Better",IF($J490=0,1,IF($I490=0,0,$I490/$J490)),IF($I490=0,1,$J490/$I490)),0)</f>
        <v/>
      </c>
      <c r="R490" s="8">
        <f>IF(OR($I490="",$J490=""),"",$J490-$I490)</f>
        <v/>
      </c>
      <c r="S490" s="8">
        <f>IFERROR(IF(INDEX(Tbl_KPIMaster[Direction],MATCH($G490,Tbl_KPIMaster[KPI],0))="Lower is Better",IF($J490&lt;=$I490,"Green",IF($J490&lt;=$I490+IF($I490=0,$K490,$I490*$K490),"Amber","Red")),IF($J490&gt;=$I490,"Green",IF($J490&gt;=$I490-IF($I490=0,$K490,$I490*$K490),"Amber","Red"))),"")</f>
        <v/>
      </c>
      <c r="T490" s="10" t="inlineStr"/>
    </row>
    <row r="491">
      <c r="A491" s="3" t="n">
        <v>46154</v>
      </c>
      <c r="B491" s="4">
        <f>IF($A491="","",TEXT($A491,"mmm-yyyy"))</f>
        <v/>
      </c>
      <c r="C491" s="4">
        <f>IF($A491="","","W"&amp;WEEKNUM($A491,2))</f>
        <v/>
      </c>
      <c r="D491" s="4">
        <f>IF($A491="","",TEXT($A491,"ddd"))</f>
        <v/>
      </c>
      <c r="E491" s="4" t="inlineStr">
        <is>
          <t>Utilities</t>
        </is>
      </c>
      <c r="F491" s="4">
        <f>IFERROR(INDEX(Tbl_KPIMaster[Category],MATCH($G491,Tbl_KPIMaster[KPI],0)),"")</f>
        <v/>
      </c>
      <c r="G491" s="4" t="inlineStr">
        <is>
          <t>Power Consumption</t>
        </is>
      </c>
      <c r="H491" s="4">
        <f>IFERROR(INDEX(Tbl_KPIMaster[Unit],MATCH($G491,Tbl_KPIMaster[KPI],0)),"")</f>
        <v/>
      </c>
      <c r="I491" s="5">
        <f>IFERROR(INDEX(Tbl_KPIMaster[Maximum Target],MATCH($G491,Tbl_KPIMaster[KPI],0)),"")</f>
        <v/>
      </c>
      <c r="J491" s="5" t="n">
        <v>4385.86</v>
      </c>
      <c r="K491" s="4">
        <f>IFERROR(INDEX(Tbl_KPIMaster[Tolerance],MATCH($G491,Tbl_KPIMaster[KPI],0)),"")</f>
        <v/>
      </c>
      <c r="L491" s="4">
        <f>IFERROR(INDEX(Tbl_KPIMaster[Owner],MATCH($G491,Tbl_KPIMaster[KPI],0)),"")</f>
        <v/>
      </c>
      <c r="M491" s="6" t="inlineStr">
        <is>
          <t>Preventive check done</t>
        </is>
      </c>
      <c r="N491" s="4" t="inlineStr">
        <is>
          <t>Engineering support needed</t>
        </is>
      </c>
      <c r="O491" s="4" t="inlineStr">
        <is>
          <t>Medium</t>
        </is>
      </c>
      <c r="P491" s="4" t="inlineStr">
        <is>
          <t>In Progress</t>
        </is>
      </c>
      <c r="Q491" s="5">
        <f>IFERROR(IF(INDEX(Tbl_KPIMaster[Direction],MATCH($G491,Tbl_KPIMaster[KPI],0))="Lower is Better",IF($J491=0,1,IF($I491=0,0,$I491/$J491)),IF($I491=0,1,$J491/$I491)),0)</f>
        <v/>
      </c>
      <c r="R491" s="4">
        <f>IF(OR($I491="",$J491=""),"",$J491-$I491)</f>
        <v/>
      </c>
      <c r="S491" s="4">
        <f>IFERROR(IF(INDEX(Tbl_KPIMaster[Direction],MATCH($G491,Tbl_KPIMaster[KPI],0))="Lower is Better",IF($J491&lt;=$I491,"Green",IF($J491&lt;=$I491+IF($I491=0,$K491,$I491*$K491),"Amber","Red")),IF($J491&gt;=$I491,"Green",IF($J491&gt;=$I491-IF($I491=0,$K491,$I491*$K491),"Amber","Red"))),"")</f>
        <v/>
      </c>
      <c r="T491" s="6" t="inlineStr"/>
    </row>
    <row r="492">
      <c r="A492" s="7" t="n">
        <v>46154</v>
      </c>
      <c r="B492" s="8">
        <f>IF($A492="","",TEXT($A492,"mmm-yyyy"))</f>
        <v/>
      </c>
      <c r="C492" s="8">
        <f>IF($A492="","","W"&amp;WEEKNUM($A492,2))</f>
        <v/>
      </c>
      <c r="D492" s="8">
        <f>IF($A492="","",TEXT($A492,"ddd"))</f>
        <v/>
      </c>
      <c r="E492" s="8" t="inlineStr">
        <is>
          <t>Utilities</t>
        </is>
      </c>
      <c r="F492" s="8">
        <f>IFERROR(INDEX(Tbl_KPIMaster[Category],MATCH($G492,Tbl_KPIMaster[KPI],0)),"")</f>
        <v/>
      </c>
      <c r="G492" s="8" t="inlineStr">
        <is>
          <t>Water Consumption</t>
        </is>
      </c>
      <c r="H492" s="8">
        <f>IFERROR(INDEX(Tbl_KPIMaster[Unit],MATCH($G492,Tbl_KPIMaster[KPI],0)),"")</f>
        <v/>
      </c>
      <c r="I492" s="9">
        <f>IFERROR(INDEX(Tbl_KPIMaster[Maximum Target],MATCH($G492,Tbl_KPIMaster[KPI],0)),"")</f>
        <v/>
      </c>
      <c r="J492" s="9" t="n">
        <v>48.31</v>
      </c>
      <c r="K492" s="8">
        <f>IFERROR(INDEX(Tbl_KPIMaster[Tolerance],MATCH($G492,Tbl_KPIMaster[KPI],0)),"")</f>
        <v/>
      </c>
      <c r="L492" s="8">
        <f>IFERROR(INDEX(Tbl_KPIMaster[Owner],MATCH($G492,Tbl_KPIMaster[KPI],0)),"")</f>
        <v/>
      </c>
      <c r="M492" s="10" t="inlineStr">
        <is>
          <t>Line changeover impact</t>
        </is>
      </c>
      <c r="N492" s="8" t="inlineStr">
        <is>
          <t>Procurement follow-up</t>
        </is>
      </c>
      <c r="O492" s="8" t="inlineStr">
        <is>
          <t>Low</t>
        </is>
      </c>
      <c r="P492" s="8" t="inlineStr">
        <is>
          <t>In Progress</t>
        </is>
      </c>
      <c r="Q492" s="9">
        <f>IFERROR(IF(INDEX(Tbl_KPIMaster[Direction],MATCH($G492,Tbl_KPIMaster[KPI],0))="Lower is Better",IF($J492=0,1,IF($I492=0,0,$I492/$J492)),IF($I492=0,1,$J492/$I492)),0)</f>
        <v/>
      </c>
      <c r="R492" s="8">
        <f>IF(OR($I492="",$J492=""),"",$J492-$I492)</f>
        <v/>
      </c>
      <c r="S492" s="8">
        <f>IFERROR(IF(INDEX(Tbl_KPIMaster[Direction],MATCH($G492,Tbl_KPIMaster[KPI],0))="Lower is Better",IF($J492&lt;=$I492,"Green",IF($J492&lt;=$I492+IF($I492=0,$K492,$I492*$K492),"Amber","Red")),IF($J492&gt;=$I492,"Green",IF($J492&gt;=$I492-IF($I492=0,$K492,$I492*$K492),"Amber","Red"))),"")</f>
        <v/>
      </c>
      <c r="T492" s="10" t="inlineStr"/>
    </row>
    <row r="493">
      <c r="A493" s="3" t="n">
        <v>46154</v>
      </c>
      <c r="B493" s="4">
        <f>IF($A493="","",TEXT($A493,"mmm-yyyy"))</f>
        <v/>
      </c>
      <c r="C493" s="4">
        <f>IF($A493="","","W"&amp;WEEKNUM($A493,2))</f>
        <v/>
      </c>
      <c r="D493" s="4">
        <f>IF($A493="","",TEXT($A493,"ddd"))</f>
        <v/>
      </c>
      <c r="E493" s="4" t="inlineStr">
        <is>
          <t>Warehouse</t>
        </is>
      </c>
      <c r="F493" s="4">
        <f>IFERROR(INDEX(Tbl_KPIMaster[Category],MATCH($G493,Tbl_KPIMaster[KPI],0)),"")</f>
        <v/>
      </c>
      <c r="G493" s="4" t="inlineStr">
        <is>
          <t>On-Time Dispatch %</t>
        </is>
      </c>
      <c r="H493" s="4">
        <f>IFERROR(INDEX(Tbl_KPIMaster[Unit],MATCH($G493,Tbl_KPIMaster[KPI],0)),"")</f>
        <v/>
      </c>
      <c r="I493" s="5">
        <f>IFERROR(INDEX(Tbl_KPIMaster[Maximum Target],MATCH($G493,Tbl_KPIMaster[KPI],0)),"")</f>
        <v/>
      </c>
      <c r="J493" s="5" t="n">
        <v>0.9318</v>
      </c>
      <c r="K493" s="4">
        <f>IFERROR(INDEX(Tbl_KPIMaster[Tolerance],MATCH($G493,Tbl_KPIMaster[KPI],0)),"")</f>
        <v/>
      </c>
      <c r="L493" s="4">
        <f>IFERROR(INDEX(Tbl_KPIMaster[Owner],MATCH($G493,Tbl_KPIMaster[KPI],0)),"")</f>
        <v/>
      </c>
      <c r="M493" s="6" t="inlineStr">
        <is>
          <t>Process improvement in progress</t>
        </is>
      </c>
      <c r="N493" s="4" t="inlineStr"/>
      <c r="O493" s="4" t="inlineStr">
        <is>
          <t>High</t>
        </is>
      </c>
      <c r="P493" s="4" t="inlineStr">
        <is>
          <t>Closed</t>
        </is>
      </c>
      <c r="Q493" s="5">
        <f>IFERROR(IF(INDEX(Tbl_KPIMaster[Direction],MATCH($G493,Tbl_KPIMaster[KPI],0))="Lower is Better",IF($J493=0,1,IF($I493=0,0,$I493/$J493)),IF($I493=0,1,$J493/$I493)),0)</f>
        <v/>
      </c>
      <c r="R493" s="4">
        <f>IF(OR($I493="",$J493=""),"",$J493-$I493)</f>
        <v/>
      </c>
      <c r="S493" s="4">
        <f>IFERROR(IF(INDEX(Tbl_KPIMaster[Direction],MATCH($G493,Tbl_KPIMaster[KPI],0))="Lower is Better",IF($J493&lt;=$I493,"Green",IF($J493&lt;=$I493+IF($I493=0,$K493,$I493*$K493),"Amber","Red")),IF($J493&gt;=$I493,"Green",IF($J493&gt;=$I493-IF($I493=0,$K493,$I493*$K493),"Amber","Red"))),"")</f>
        <v/>
      </c>
      <c r="T493" s="6" t="inlineStr"/>
    </row>
    <row r="494">
      <c r="A494" s="7" t="n">
        <v>46154</v>
      </c>
      <c r="B494" s="8">
        <f>IF($A494="","",TEXT($A494,"mmm-yyyy"))</f>
        <v/>
      </c>
      <c r="C494" s="8">
        <f>IF($A494="","","W"&amp;WEEKNUM($A494,2))</f>
        <v/>
      </c>
      <c r="D494" s="8">
        <f>IF($A494="","",TEXT($A494,"ddd"))</f>
        <v/>
      </c>
      <c r="E494" s="8" t="inlineStr">
        <is>
          <t>Warehouse</t>
        </is>
      </c>
      <c r="F494" s="8">
        <f>IFERROR(INDEX(Tbl_KPIMaster[Category],MATCH($G494,Tbl_KPIMaster[KPI],0)),"")</f>
        <v/>
      </c>
      <c r="G494" s="8" t="inlineStr">
        <is>
          <t>Inventory Accuracy %</t>
        </is>
      </c>
      <c r="H494" s="8">
        <f>IFERROR(INDEX(Tbl_KPIMaster[Unit],MATCH($G494,Tbl_KPIMaster[KPI],0)),"")</f>
        <v/>
      </c>
      <c r="I494" s="9">
        <f>IFERROR(INDEX(Tbl_KPIMaster[Maximum Target],MATCH($G494,Tbl_KPIMaster[KPI],0)),"")</f>
        <v/>
      </c>
      <c r="J494" s="9" t="n">
        <v>0.9387</v>
      </c>
      <c r="K494" s="8">
        <f>IFERROR(INDEX(Tbl_KPIMaster[Tolerance],MATCH($G494,Tbl_KPIMaster[KPI],0)),"")</f>
        <v/>
      </c>
      <c r="L494" s="8">
        <f>IFERROR(INDEX(Tbl_KPIMaster[Owner],MATCH($G494,Tbl_KPIMaster[KPI],0)),"")</f>
        <v/>
      </c>
      <c r="M494" s="10" t="inlineStr">
        <is>
          <t>Weather impact</t>
        </is>
      </c>
      <c r="N494" s="8" t="inlineStr"/>
      <c r="O494" s="8" t="inlineStr">
        <is>
          <t>Low</t>
        </is>
      </c>
      <c r="P494" s="8" t="inlineStr">
        <is>
          <t>Closed</t>
        </is>
      </c>
      <c r="Q494" s="9">
        <f>IFERROR(IF(INDEX(Tbl_KPIMaster[Direction],MATCH($G494,Tbl_KPIMaster[KPI],0))="Lower is Better",IF($J494=0,1,IF($I494=0,0,$I494/$J494)),IF($I494=0,1,$J494/$I494)),0)</f>
        <v/>
      </c>
      <c r="R494" s="8">
        <f>IF(OR($I494="",$J494=""),"",$J494-$I494)</f>
        <v/>
      </c>
      <c r="S494" s="8">
        <f>IFERROR(IF(INDEX(Tbl_KPIMaster[Direction],MATCH($G494,Tbl_KPIMaster[KPI],0))="Lower is Better",IF($J494&lt;=$I494,"Green",IF($J494&lt;=$I494+IF($I494=0,$K494,$I494*$K494),"Amber","Red")),IF($J494&gt;=$I494,"Green",IF($J494&gt;=$I494-IF($I494=0,$K494,$I494*$K494),"Amber","Red"))),"")</f>
        <v/>
      </c>
      <c r="T494" s="10" t="inlineStr"/>
    </row>
    <row r="495">
      <c r="A495" s="3" t="n">
        <v>46154</v>
      </c>
      <c r="B495" s="4">
        <f>IF($A495="","",TEXT($A495,"mmm-yyyy"))</f>
        <v/>
      </c>
      <c r="C495" s="4">
        <f>IF($A495="","","W"&amp;WEEKNUM($A495,2))</f>
        <v/>
      </c>
      <c r="D495" s="4">
        <f>IF($A495="","",TEXT($A495,"ddd"))</f>
        <v/>
      </c>
      <c r="E495" s="4" t="inlineStr">
        <is>
          <t>HR</t>
        </is>
      </c>
      <c r="F495" s="4">
        <f>IFERROR(INDEX(Tbl_KPIMaster[Category],MATCH($G495,Tbl_KPIMaster[KPI],0)),"")</f>
        <v/>
      </c>
      <c r="G495" s="4" t="inlineStr">
        <is>
          <t>Absenteeism %</t>
        </is>
      </c>
      <c r="H495" s="4">
        <f>IFERROR(INDEX(Tbl_KPIMaster[Unit],MATCH($G495,Tbl_KPIMaster[KPI],0)),"")</f>
        <v/>
      </c>
      <c r="I495" s="5">
        <f>IFERROR(INDEX(Tbl_KPIMaster[Maximum Target],MATCH($G495,Tbl_KPIMaster[KPI],0)),"")</f>
        <v/>
      </c>
      <c r="J495" s="5" t="n">
        <v>0</v>
      </c>
      <c r="K495" s="4">
        <f>IFERROR(INDEX(Tbl_KPIMaster[Tolerance],MATCH($G495,Tbl_KPIMaster[KPI],0)),"")</f>
        <v/>
      </c>
      <c r="L495" s="4">
        <f>IFERROR(INDEX(Tbl_KPIMaster[Owner],MATCH($G495,Tbl_KPIMaster[KPI],0)),"")</f>
        <v/>
      </c>
      <c r="M495" s="6" t="inlineStr">
        <is>
          <t>Awaiting spares</t>
        </is>
      </c>
      <c r="N495" s="4" t="inlineStr"/>
      <c r="O495" s="4" t="inlineStr">
        <is>
          <t>High</t>
        </is>
      </c>
      <c r="P495" s="4" t="inlineStr">
        <is>
          <t>In Progress</t>
        </is>
      </c>
      <c r="Q495" s="5">
        <f>IFERROR(IF(INDEX(Tbl_KPIMaster[Direction],MATCH($G495,Tbl_KPIMaster[KPI],0))="Lower is Better",IF($J495=0,1,IF($I495=0,0,$I495/$J495)),IF($I495=0,1,$J495/$I495)),0)</f>
        <v/>
      </c>
      <c r="R495" s="4">
        <f>IF(OR($I495="",$J495=""),"",$J495-$I495)</f>
        <v/>
      </c>
      <c r="S495" s="4">
        <f>IFERROR(IF(INDEX(Tbl_KPIMaster[Direction],MATCH($G495,Tbl_KPIMaster[KPI],0))="Lower is Better",IF($J495&lt;=$I495,"Green",IF($J495&lt;=$I495+IF($I495=0,$K495,$I495*$K495),"Amber","Red")),IF($J495&gt;=$I495,"Green",IF($J495&gt;=$I495-IF($I495=0,$K495,$I495*$K495),"Amber","Red"))),"")</f>
        <v/>
      </c>
      <c r="T495" s="6" t="inlineStr"/>
    </row>
    <row r="496">
      <c r="A496" s="7" t="n">
        <v>46154</v>
      </c>
      <c r="B496" s="8">
        <f>IF($A496="","",TEXT($A496,"mmm-yyyy"))</f>
        <v/>
      </c>
      <c r="C496" s="8">
        <f>IF($A496="","","W"&amp;WEEKNUM($A496,2))</f>
        <v/>
      </c>
      <c r="D496" s="8">
        <f>IF($A496="","",TEXT($A496,"ddd"))</f>
        <v/>
      </c>
      <c r="E496" s="8" t="inlineStr">
        <is>
          <t>HR</t>
        </is>
      </c>
      <c r="F496" s="8">
        <f>IFERROR(INDEX(Tbl_KPIMaster[Category],MATCH($G496,Tbl_KPIMaster[KPI],0)),"")</f>
        <v/>
      </c>
      <c r="G496" s="8" t="inlineStr">
        <is>
          <t>Training Hours</t>
        </is>
      </c>
      <c r="H496" s="8">
        <f>IFERROR(INDEX(Tbl_KPIMaster[Unit],MATCH($G496,Tbl_KPIMaster[KPI],0)),"")</f>
        <v/>
      </c>
      <c r="I496" s="9">
        <f>IFERROR(INDEX(Tbl_KPIMaster[Maximum Target],MATCH($G496,Tbl_KPIMaster[KPI],0)),"")</f>
        <v/>
      </c>
      <c r="J496" s="9" t="n">
        <v>1.42</v>
      </c>
      <c r="K496" s="8">
        <f>IFERROR(INDEX(Tbl_KPIMaster[Tolerance],MATCH($G496,Tbl_KPIMaster[KPI],0)),"")</f>
        <v/>
      </c>
      <c r="L496" s="8">
        <f>IFERROR(INDEX(Tbl_KPIMaster[Owner],MATCH($G496,Tbl_KPIMaster[KPI],0)),"")</f>
        <v/>
      </c>
      <c r="M496" s="10" t="inlineStr">
        <is>
          <t>Manpower shortage</t>
        </is>
      </c>
      <c r="N496" s="8" t="inlineStr">
        <is>
          <t>Engineering support needed</t>
        </is>
      </c>
      <c r="O496" s="8" t="inlineStr">
        <is>
          <t>Medium</t>
        </is>
      </c>
      <c r="P496" s="8" t="inlineStr">
        <is>
          <t>Closed</t>
        </is>
      </c>
      <c r="Q496" s="9">
        <f>IFERROR(IF(INDEX(Tbl_KPIMaster[Direction],MATCH($G496,Tbl_KPIMaster[KPI],0))="Lower is Better",IF($J496=0,1,IF($I496=0,0,$I496/$J496)),IF($I496=0,1,$J496/$I496)),0)</f>
        <v/>
      </c>
      <c r="R496" s="8">
        <f>IF(OR($I496="",$J496=""),"",$J496-$I496)</f>
        <v/>
      </c>
      <c r="S496" s="8">
        <f>IFERROR(IF(INDEX(Tbl_KPIMaster[Direction],MATCH($G496,Tbl_KPIMaster[KPI],0))="Lower is Better",IF($J496&lt;=$I496,"Green",IF($J496&lt;=$I496+IF($I496=0,$K496,$I496*$K496),"Amber","Red")),IF($J496&gt;=$I496,"Green",IF($J496&gt;=$I496-IF($I496=0,$K496,$I496*$K496),"Amber","Red"))),"")</f>
        <v/>
      </c>
      <c r="T496" s="10" t="inlineStr"/>
    </row>
    <row r="497">
      <c r="A497" s="3" t="n">
        <v>46154</v>
      </c>
      <c r="B497" s="4">
        <f>IF($A497="","",TEXT($A497,"mmm-yyyy"))</f>
        <v/>
      </c>
      <c r="C497" s="4">
        <f>IF($A497="","","W"&amp;WEEKNUM($A497,2))</f>
        <v/>
      </c>
      <c r="D497" s="4">
        <f>IF($A497="","",TEXT($A497,"ddd"))</f>
        <v/>
      </c>
      <c r="E497" s="4" t="inlineStr">
        <is>
          <t>Engineering</t>
        </is>
      </c>
      <c r="F497" s="4">
        <f>IFERROR(INDEX(Tbl_KPIMaster[Category],MATCH($G497,Tbl_KPIMaster[KPI],0)),"")</f>
        <v/>
      </c>
      <c r="G497" s="4" t="inlineStr">
        <is>
          <t>Project Milestone Adherence %</t>
        </is>
      </c>
      <c r="H497" s="4">
        <f>IFERROR(INDEX(Tbl_KPIMaster[Unit],MATCH($G497,Tbl_KPIMaster[KPI],0)),"")</f>
        <v/>
      </c>
      <c r="I497" s="5">
        <f>IFERROR(INDEX(Tbl_KPIMaster[Maximum Target],MATCH($G497,Tbl_KPIMaster[KPI],0)),"")</f>
        <v/>
      </c>
      <c r="J497" s="5" t="n">
        <v>1.0166</v>
      </c>
      <c r="K497" s="4">
        <f>IFERROR(INDEX(Tbl_KPIMaster[Tolerance],MATCH($G497,Tbl_KPIMaster[KPI],0)),"")</f>
        <v/>
      </c>
      <c r="L497" s="4">
        <f>IFERROR(INDEX(Tbl_KPIMaster[Owner],MATCH($G497,Tbl_KPIMaster[KPI],0)),"")</f>
        <v/>
      </c>
      <c r="M497" s="6" t="inlineStr">
        <is>
          <t>Awaiting spares</t>
        </is>
      </c>
      <c r="N497" s="4" t="inlineStr">
        <is>
          <t>Management approval pending</t>
        </is>
      </c>
      <c r="O497" s="4" t="inlineStr">
        <is>
          <t>Low</t>
        </is>
      </c>
      <c r="P497" s="4" t="inlineStr">
        <is>
          <t>Closed</t>
        </is>
      </c>
      <c r="Q497" s="5">
        <f>IFERROR(IF(INDEX(Tbl_KPIMaster[Direction],MATCH($G497,Tbl_KPIMaster[KPI],0))="Lower is Better",IF($J497=0,1,IF($I497=0,0,$I497/$J497)),IF($I497=0,1,$J497/$I497)),0)</f>
        <v/>
      </c>
      <c r="R497" s="4">
        <f>IF(OR($I497="",$J497=""),"",$J497-$I497)</f>
        <v/>
      </c>
      <c r="S497" s="4">
        <f>IFERROR(IF(INDEX(Tbl_KPIMaster[Direction],MATCH($G497,Tbl_KPIMaster[KPI],0))="Lower is Better",IF($J497&lt;=$I497,"Green",IF($J497&lt;=$I497+IF($I497=0,$K497,$I497*$K497),"Amber","Red")),IF($J497&gt;=$I497,"Green",IF($J497&gt;=$I497-IF($I497=0,$K497,$I497*$K497),"Amber","Red"))),"")</f>
        <v/>
      </c>
      <c r="T497" s="6" t="inlineStr"/>
    </row>
    <row r="498">
      <c r="A498" s="7" t="n">
        <v>46154</v>
      </c>
      <c r="B498" s="8">
        <f>IF($A498="","",TEXT($A498,"mmm-yyyy"))</f>
        <v/>
      </c>
      <c r="C498" s="8">
        <f>IF($A498="","","W"&amp;WEEKNUM($A498,2))</f>
        <v/>
      </c>
      <c r="D498" s="8">
        <f>IF($A498="","",TEXT($A498,"ddd"))</f>
        <v/>
      </c>
      <c r="E498" s="8" t="inlineStr">
        <is>
          <t>Engineering</t>
        </is>
      </c>
      <c r="F498" s="8">
        <f>IFERROR(INDEX(Tbl_KPIMaster[Category],MATCH($G498,Tbl_KPIMaster[KPI],0)),"")</f>
        <v/>
      </c>
      <c r="G498" s="8" t="inlineStr">
        <is>
          <t>Breakdown Resolution Time</t>
        </is>
      </c>
      <c r="H498" s="8">
        <f>IFERROR(INDEX(Tbl_KPIMaster[Unit],MATCH($G498,Tbl_KPIMaster[KPI],0)),"")</f>
        <v/>
      </c>
      <c r="I498" s="9">
        <f>IFERROR(INDEX(Tbl_KPIMaster[Maximum Target],MATCH($G498,Tbl_KPIMaster[KPI],0)),"")</f>
        <v/>
      </c>
      <c r="J498" s="9" t="n">
        <v>1.07</v>
      </c>
      <c r="K498" s="8">
        <f>IFERROR(INDEX(Tbl_KPIMaster[Tolerance],MATCH($G498,Tbl_KPIMaster[KPI],0)),"")</f>
        <v/>
      </c>
      <c r="L498" s="8">
        <f>IFERROR(INDEX(Tbl_KPIMaster[Owner],MATCH($G498,Tbl_KPIMaster[KPI],0)),"")</f>
        <v/>
      </c>
      <c r="M498" s="10" t="inlineStr">
        <is>
          <t>Weather impact</t>
        </is>
      </c>
      <c r="N498" s="8" t="inlineStr"/>
      <c r="O498" s="8" t="inlineStr">
        <is>
          <t>Medium</t>
        </is>
      </c>
      <c r="P498" s="8" t="inlineStr">
        <is>
          <t>Closed</t>
        </is>
      </c>
      <c r="Q498" s="9">
        <f>IFERROR(IF(INDEX(Tbl_KPIMaster[Direction],MATCH($G498,Tbl_KPIMaster[KPI],0))="Lower is Better",IF($J498=0,1,IF($I498=0,0,$I498/$J498)),IF($I498=0,1,$J498/$I498)),0)</f>
        <v/>
      </c>
      <c r="R498" s="8">
        <f>IF(OR($I498="",$J498=""),"",$J498-$I498)</f>
        <v/>
      </c>
      <c r="S498" s="8">
        <f>IFERROR(IF(INDEX(Tbl_KPIMaster[Direction],MATCH($G498,Tbl_KPIMaster[KPI],0))="Lower is Better",IF($J498&lt;=$I498,"Green",IF($J498&lt;=$I498+IF($I498=0,$K498,$I498*$K498),"Amber","Red")),IF($J498&gt;=$I498,"Green",IF($J498&gt;=$I498-IF($I498=0,$K498,$I498*$K498),"Amber","Red"))),"")</f>
        <v/>
      </c>
      <c r="T498" s="10" t="inlineStr"/>
    </row>
    <row r="499">
      <c r="A499" s="3" t="n">
        <v>46154</v>
      </c>
      <c r="B499" s="4">
        <f>IF($A499="","",TEXT($A499,"mmm-yyyy"))</f>
        <v/>
      </c>
      <c r="C499" s="4">
        <f>IF($A499="","","W"&amp;WEEKNUM($A499,2))</f>
        <v/>
      </c>
      <c r="D499" s="4">
        <f>IF($A499="","",TEXT($A499,"ddd"))</f>
        <v/>
      </c>
      <c r="E499" s="4" t="inlineStr">
        <is>
          <t>Cost</t>
        </is>
      </c>
      <c r="F499" s="4">
        <f>IFERROR(INDEX(Tbl_KPIMaster[Category],MATCH($G499,Tbl_KPIMaster[KPI],0)),"")</f>
        <v/>
      </c>
      <c r="G499" s="4" t="inlineStr">
        <is>
          <t>Cost per Unit</t>
        </is>
      </c>
      <c r="H499" s="4">
        <f>IFERROR(INDEX(Tbl_KPIMaster[Unit],MATCH($G499,Tbl_KPIMaster[KPI],0)),"")</f>
        <v/>
      </c>
      <c r="I499" s="5">
        <f>IFERROR(INDEX(Tbl_KPIMaster[Maximum Target],MATCH($G499,Tbl_KPIMaster[KPI],0)),"")</f>
        <v/>
      </c>
      <c r="J499" s="5" t="n">
        <v>30.1</v>
      </c>
      <c r="K499" s="4">
        <f>IFERROR(INDEX(Tbl_KPIMaster[Tolerance],MATCH($G499,Tbl_KPIMaster[KPI],0)),"")</f>
        <v/>
      </c>
      <c r="L499" s="4">
        <f>IFERROR(INDEX(Tbl_KPIMaster[Owner],MATCH($G499,Tbl_KPIMaster[KPI],0)),"")</f>
        <v/>
      </c>
      <c r="M499" s="6" t="inlineStr">
        <is>
          <t>Manpower shortage</t>
        </is>
      </c>
      <c r="N499" s="4" t="inlineStr">
        <is>
          <t>Procurement follow-up</t>
        </is>
      </c>
      <c r="O499" s="4" t="inlineStr">
        <is>
          <t>Low</t>
        </is>
      </c>
      <c r="P499" s="4" t="inlineStr">
        <is>
          <t>In Progress</t>
        </is>
      </c>
      <c r="Q499" s="5">
        <f>IFERROR(IF(INDEX(Tbl_KPIMaster[Direction],MATCH($G499,Tbl_KPIMaster[KPI],0))="Lower is Better",IF($J499=0,1,IF($I499=0,0,$I499/$J499)),IF($I499=0,1,$J499/$I499)),0)</f>
        <v/>
      </c>
      <c r="R499" s="4">
        <f>IF(OR($I499="",$J499=""),"",$J499-$I499)</f>
        <v/>
      </c>
      <c r="S499" s="4">
        <f>IFERROR(IF(INDEX(Tbl_KPIMaster[Direction],MATCH($G499,Tbl_KPIMaster[KPI],0))="Lower is Better",IF($J499&lt;=$I499,"Green",IF($J499&lt;=$I499+IF($I499=0,$K499,$I499*$K499),"Amber","Red")),IF($J499&gt;=$I499,"Green",IF($J499&gt;=$I499-IF($I499=0,$K499,$I499*$K499),"Amber","Red"))),"")</f>
        <v/>
      </c>
      <c r="T499" s="6" t="inlineStr"/>
    </row>
    <row r="500">
      <c r="A500" s="7" t="n">
        <v>46154</v>
      </c>
      <c r="B500" s="8">
        <f>IF($A500="","",TEXT($A500,"mmm-yyyy"))</f>
        <v/>
      </c>
      <c r="C500" s="8">
        <f>IF($A500="","","W"&amp;WEEKNUM($A500,2))</f>
        <v/>
      </c>
      <c r="D500" s="8">
        <f>IF($A500="","",TEXT($A500,"ddd"))</f>
        <v/>
      </c>
      <c r="E500" s="8" t="inlineStr">
        <is>
          <t>Cost</t>
        </is>
      </c>
      <c r="F500" s="8">
        <f>IFERROR(INDEX(Tbl_KPIMaster[Category],MATCH($G500,Tbl_KPIMaster[KPI],0)),"")</f>
        <v/>
      </c>
      <c r="G500" s="8" t="inlineStr">
        <is>
          <t>Budget Variance %</t>
        </is>
      </c>
      <c r="H500" s="8">
        <f>IFERROR(INDEX(Tbl_KPIMaster[Unit],MATCH($G500,Tbl_KPIMaster[KPI],0)),"")</f>
        <v/>
      </c>
      <c r="I500" s="9">
        <f>IFERROR(INDEX(Tbl_KPIMaster[Maximum Target],MATCH($G500,Tbl_KPIMaster[KPI],0)),"")</f>
        <v/>
      </c>
      <c r="J500" s="9" t="n">
        <v>1.6785</v>
      </c>
      <c r="K500" s="8">
        <f>IFERROR(INDEX(Tbl_KPIMaster[Tolerance],MATCH($G500,Tbl_KPIMaster[KPI],0)),"")</f>
        <v/>
      </c>
      <c r="L500" s="8">
        <f>IFERROR(INDEX(Tbl_KPIMaster[Owner],MATCH($G500,Tbl_KPIMaster[KPI],0)),"")</f>
        <v/>
      </c>
      <c r="M500" s="10" t="inlineStr">
        <is>
          <t>Process improvement in progress</t>
        </is>
      </c>
      <c r="N500" s="8" t="inlineStr"/>
      <c r="O500" s="8" t="inlineStr">
        <is>
          <t>Low</t>
        </is>
      </c>
      <c r="P500" s="8" t="inlineStr">
        <is>
          <t>In Progress</t>
        </is>
      </c>
      <c r="Q500" s="9">
        <f>IFERROR(IF(INDEX(Tbl_KPIMaster[Direction],MATCH($G500,Tbl_KPIMaster[KPI],0))="Lower is Better",IF($J500=0,1,IF($I500=0,0,$I500/$J500)),IF($I500=0,1,$J500/$I500)),0)</f>
        <v/>
      </c>
      <c r="R500" s="8">
        <f>IF(OR($I500="",$J500=""),"",$J500-$I500)</f>
        <v/>
      </c>
      <c r="S500" s="8">
        <f>IFERROR(IF(INDEX(Tbl_KPIMaster[Direction],MATCH($G500,Tbl_KPIMaster[KPI],0))="Lower is Better",IF($J500&lt;=$I500,"Green",IF($J500&lt;=$I500+IF($I500=0,$K500,$I500*$K500),"Amber","Red")),IF($J500&gt;=$I500,"Green",IF($J500&gt;=$I500-IF($I500=0,$K500,$I500*$K500),"Amber","Red"))),"")</f>
        <v/>
      </c>
      <c r="T500" s="10" t="inlineStr"/>
    </row>
    <row r="501">
      <c r="A501" s="3" t="n">
        <v>46154</v>
      </c>
      <c r="B501" s="4">
        <f>IF($A501="","",TEXT($A501,"mmm-yyyy"))</f>
        <v/>
      </c>
      <c r="C501" s="4">
        <f>IF($A501="","","W"&amp;WEEKNUM($A501,2))</f>
        <v/>
      </c>
      <c r="D501" s="4">
        <f>IF($A501="","",TEXT($A501,"ddd"))</f>
        <v/>
      </c>
      <c r="E501" s="4" t="inlineStr">
        <is>
          <t>Energy</t>
        </is>
      </c>
      <c r="F501" s="4">
        <f>IFERROR(INDEX(Tbl_KPIMaster[Category],MATCH($G501,Tbl_KPIMaster[KPI],0)),"")</f>
        <v/>
      </c>
      <c r="G501" s="4" t="inlineStr">
        <is>
          <t>Energy Intensity (kWh/unit)</t>
        </is>
      </c>
      <c r="H501" s="4">
        <f>IFERROR(INDEX(Tbl_KPIMaster[Unit],MATCH($G501,Tbl_KPIMaster[KPI],0)),"")</f>
        <v/>
      </c>
      <c r="I501" s="5">
        <f>IFERROR(INDEX(Tbl_KPIMaster[Maximum Target],MATCH($G501,Tbl_KPIMaster[KPI],0)),"")</f>
        <v/>
      </c>
      <c r="J501" s="5" t="n">
        <v>2.9</v>
      </c>
      <c r="K501" s="4">
        <f>IFERROR(INDEX(Tbl_KPIMaster[Tolerance],MATCH($G501,Tbl_KPIMaster[KPI],0)),"")</f>
        <v/>
      </c>
      <c r="L501" s="4">
        <f>IFERROR(INDEX(Tbl_KPIMaster[Owner],MATCH($G501,Tbl_KPIMaster[KPI],0)),"")</f>
        <v/>
      </c>
      <c r="M501" s="6" t="inlineStr">
        <is>
          <t>Vendor delay</t>
        </is>
      </c>
      <c r="N501" s="4" t="inlineStr"/>
      <c r="O501" s="4" t="inlineStr">
        <is>
          <t>Low</t>
        </is>
      </c>
      <c r="P501" s="4" t="inlineStr">
        <is>
          <t>Open</t>
        </is>
      </c>
      <c r="Q501" s="5">
        <f>IFERROR(IF(INDEX(Tbl_KPIMaster[Direction],MATCH($G501,Tbl_KPIMaster[KPI],0))="Lower is Better",IF($J501=0,1,IF($I501=0,0,$I501/$J501)),IF($I501=0,1,$J501/$I501)),0)</f>
        <v/>
      </c>
      <c r="R501" s="4">
        <f>IF(OR($I501="",$J501=""),"",$J501-$I501)</f>
        <v/>
      </c>
      <c r="S501" s="4">
        <f>IFERROR(IF(INDEX(Tbl_KPIMaster[Direction],MATCH($G501,Tbl_KPIMaster[KPI],0))="Lower is Better",IF($J501&lt;=$I501,"Green",IF($J501&lt;=$I501+IF($I501=0,$K501,$I501*$K501),"Amber","Red")),IF($J501&gt;=$I501,"Green",IF($J501&gt;=$I501-IF($I501=0,$K501,$I501*$K501),"Amber","Red"))),"")</f>
        <v/>
      </c>
      <c r="T501" s="6" t="inlineStr"/>
    </row>
    <row r="502">
      <c r="A502" s="7" t="n">
        <v>46154</v>
      </c>
      <c r="B502" s="8">
        <f>IF($A502="","",TEXT($A502,"mmm-yyyy"))</f>
        <v/>
      </c>
      <c r="C502" s="8">
        <f>IF($A502="","","W"&amp;WEEKNUM($A502,2))</f>
        <v/>
      </c>
      <c r="D502" s="8">
        <f>IF($A502="","",TEXT($A502,"ddd"))</f>
        <v/>
      </c>
      <c r="E502" s="8" t="inlineStr">
        <is>
          <t>Energy</t>
        </is>
      </c>
      <c r="F502" s="8">
        <f>IFERROR(INDEX(Tbl_KPIMaster[Category],MATCH($G502,Tbl_KPIMaster[KPI],0)),"")</f>
        <v/>
      </c>
      <c r="G502" s="8" t="inlineStr">
        <is>
          <t>Renewable Energy Share %</t>
        </is>
      </c>
      <c r="H502" s="8">
        <f>IFERROR(INDEX(Tbl_KPIMaster[Unit],MATCH($G502,Tbl_KPIMaster[KPI],0)),"")</f>
        <v/>
      </c>
      <c r="I502" s="9">
        <f>IFERROR(INDEX(Tbl_KPIMaster[Maximum Target],MATCH($G502,Tbl_KPIMaster[KPI],0)),"")</f>
        <v/>
      </c>
      <c r="J502" s="9" t="n">
        <v>0.2756</v>
      </c>
      <c r="K502" s="8">
        <f>IFERROR(INDEX(Tbl_KPIMaster[Tolerance],MATCH($G502,Tbl_KPIMaster[KPI],0)),"")</f>
        <v/>
      </c>
      <c r="L502" s="8">
        <f>IFERROR(INDEX(Tbl_KPIMaster[Owner],MATCH($G502,Tbl_KPIMaster[KPI],0)),"")</f>
        <v/>
      </c>
      <c r="M502" s="10" t="inlineStr">
        <is>
          <t>Vendor delay</t>
        </is>
      </c>
      <c r="N502" s="8" t="inlineStr">
        <is>
          <t>Management approval pending</t>
        </is>
      </c>
      <c r="O502" s="8" t="inlineStr">
        <is>
          <t>High</t>
        </is>
      </c>
      <c r="P502" s="8" t="inlineStr">
        <is>
          <t>Open</t>
        </is>
      </c>
      <c r="Q502" s="9">
        <f>IFERROR(IF(INDEX(Tbl_KPIMaster[Direction],MATCH($G502,Tbl_KPIMaster[KPI],0))="Lower is Better",IF($J502=0,1,IF($I502=0,0,$I502/$J502)),IF($I502=0,1,$J502/$I502)),0)</f>
        <v/>
      </c>
      <c r="R502" s="8">
        <f>IF(OR($I502="",$J502=""),"",$J502-$I502)</f>
        <v/>
      </c>
      <c r="S502" s="8">
        <f>IFERROR(IF(INDEX(Tbl_KPIMaster[Direction],MATCH($G502,Tbl_KPIMaster[KPI],0))="Lower is Better",IF($J502&lt;=$I502,"Green",IF($J502&lt;=$I502+IF($I502=0,$K502,$I502*$K502),"Amber","Red")),IF($J502&gt;=$I502,"Green",IF($J502&gt;=$I502-IF($I502=0,$K502,$I502*$K502),"Amber","Red"))),"")</f>
        <v/>
      </c>
      <c r="T502" s="10" t="inlineStr"/>
    </row>
    <row r="503">
      <c r="A503" s="3" t="n">
        <v>46155</v>
      </c>
      <c r="B503" s="4">
        <f>IF($A503="","",TEXT($A503,"mmm-yyyy"))</f>
        <v/>
      </c>
      <c r="C503" s="4">
        <f>IF($A503="","","W"&amp;WEEKNUM($A503,2))</f>
        <v/>
      </c>
      <c r="D503" s="4">
        <f>IF($A503="","",TEXT($A503,"ddd"))</f>
        <v/>
      </c>
      <c r="E503" s="4" t="inlineStr">
        <is>
          <t>Safety</t>
        </is>
      </c>
      <c r="F503" s="4">
        <f>IFERROR(INDEX(Tbl_KPIMaster[Category],MATCH($G503,Tbl_KPIMaster[KPI],0)),"")</f>
        <v/>
      </c>
      <c r="G503" s="4" t="inlineStr">
        <is>
          <t>Safety Incidents (LTI)</t>
        </is>
      </c>
      <c r="H503" s="4">
        <f>IFERROR(INDEX(Tbl_KPIMaster[Unit],MATCH($G503,Tbl_KPIMaster[KPI],0)),"")</f>
        <v/>
      </c>
      <c r="I503" s="5">
        <f>IFERROR(INDEX(Tbl_KPIMaster[Maximum Target],MATCH($G503,Tbl_KPIMaster[KPI],0)),"")</f>
        <v/>
      </c>
      <c r="J503" s="5" t="n">
        <v>1</v>
      </c>
      <c r="K503" s="4">
        <f>IFERROR(INDEX(Tbl_KPIMaster[Tolerance],MATCH($G503,Tbl_KPIMaster[KPI],0)),"")</f>
        <v/>
      </c>
      <c r="L503" s="4">
        <f>IFERROR(INDEX(Tbl_KPIMaster[Owner],MATCH($G503,Tbl_KPIMaster[KPI],0)),"")</f>
        <v/>
      </c>
      <c r="M503" s="6" t="inlineStr">
        <is>
          <t>Vendor delay</t>
        </is>
      </c>
      <c r="N503" s="4" t="inlineStr"/>
      <c r="O503" s="4" t="inlineStr">
        <is>
          <t>Low</t>
        </is>
      </c>
      <c r="P503" s="4" t="inlineStr">
        <is>
          <t>In Progress</t>
        </is>
      </c>
      <c r="Q503" s="5">
        <f>IFERROR(IF(INDEX(Tbl_KPIMaster[Direction],MATCH($G503,Tbl_KPIMaster[KPI],0))="Lower is Better",IF($J503=0,1,IF($I503=0,0,$I503/$J503)),IF($I503=0,1,$J503/$I503)),0)</f>
        <v/>
      </c>
      <c r="R503" s="4">
        <f>IF(OR($I503="",$J503=""),"",$J503-$I503)</f>
        <v/>
      </c>
      <c r="S503" s="4">
        <f>IFERROR(IF(INDEX(Tbl_KPIMaster[Direction],MATCH($G503,Tbl_KPIMaster[KPI],0))="Lower is Better",IF($J503&lt;=$I503,"Green",IF($J503&lt;=$I503+IF($I503=0,$K503,$I503*$K503),"Amber","Red")),IF($J503&gt;=$I503,"Green",IF($J503&gt;=$I503-IF($I503=0,$K503,$I503*$K503),"Amber","Red"))),"")</f>
        <v/>
      </c>
      <c r="T503" s="6" t="inlineStr"/>
    </row>
    <row r="504">
      <c r="A504" s="7" t="n">
        <v>46155</v>
      </c>
      <c r="B504" s="8">
        <f>IF($A504="","",TEXT($A504,"mmm-yyyy"))</f>
        <v/>
      </c>
      <c r="C504" s="8">
        <f>IF($A504="","","W"&amp;WEEKNUM($A504,2))</f>
        <v/>
      </c>
      <c r="D504" s="8">
        <f>IF($A504="","",TEXT($A504,"ddd"))</f>
        <v/>
      </c>
      <c r="E504" s="8" t="inlineStr">
        <is>
          <t>Safety</t>
        </is>
      </c>
      <c r="F504" s="8">
        <f>IFERROR(INDEX(Tbl_KPIMaster[Category],MATCH($G504,Tbl_KPIMaster[KPI],0)),"")</f>
        <v/>
      </c>
      <c r="G504" s="8" t="inlineStr">
        <is>
          <t>Near Miss Reports</t>
        </is>
      </c>
      <c r="H504" s="8">
        <f>IFERROR(INDEX(Tbl_KPIMaster[Unit],MATCH($G504,Tbl_KPIMaster[KPI],0)),"")</f>
        <v/>
      </c>
      <c r="I504" s="9">
        <f>IFERROR(INDEX(Tbl_KPIMaster[Maximum Target],MATCH($G504,Tbl_KPIMaster[KPI],0)),"")</f>
        <v/>
      </c>
      <c r="J504" s="9" t="n">
        <v>2</v>
      </c>
      <c r="K504" s="8">
        <f>IFERROR(INDEX(Tbl_KPIMaster[Tolerance],MATCH($G504,Tbl_KPIMaster[KPI],0)),"")</f>
        <v/>
      </c>
      <c r="L504" s="8">
        <f>IFERROR(INDEX(Tbl_KPIMaster[Owner],MATCH($G504,Tbl_KPIMaster[KPI],0)),"")</f>
        <v/>
      </c>
      <c r="M504" s="10" t="inlineStr">
        <is>
          <t>New operator training effect</t>
        </is>
      </c>
      <c r="N504" s="8" t="inlineStr">
        <is>
          <t>Management approval pending</t>
        </is>
      </c>
      <c r="O504" s="8" t="inlineStr">
        <is>
          <t>Medium</t>
        </is>
      </c>
      <c r="P504" s="8" t="inlineStr">
        <is>
          <t>Closed</t>
        </is>
      </c>
      <c r="Q504" s="9">
        <f>IFERROR(IF(INDEX(Tbl_KPIMaster[Direction],MATCH($G504,Tbl_KPIMaster[KPI],0))="Lower is Better",IF($J504=0,1,IF($I504=0,0,$I504/$J504)),IF($I504=0,1,$J504/$I504)),0)</f>
        <v/>
      </c>
      <c r="R504" s="8">
        <f>IF(OR($I504="",$J504=""),"",$J504-$I504)</f>
        <v/>
      </c>
      <c r="S504" s="8">
        <f>IFERROR(IF(INDEX(Tbl_KPIMaster[Direction],MATCH($G504,Tbl_KPIMaster[KPI],0))="Lower is Better",IF($J504&lt;=$I504,"Green",IF($J504&lt;=$I504+IF($I504=0,$K504,$I504*$K504),"Amber","Red")),IF($J504&gt;=$I504,"Green",IF($J504&gt;=$I504-IF($I504=0,$K504,$I504*$K504),"Amber","Red"))),"")</f>
        <v/>
      </c>
      <c r="T504" s="10" t="inlineStr"/>
    </row>
    <row r="505">
      <c r="A505" s="3" t="n">
        <v>46155</v>
      </c>
      <c r="B505" s="4">
        <f>IF($A505="","",TEXT($A505,"mmm-yyyy"))</f>
        <v/>
      </c>
      <c r="C505" s="4">
        <f>IF($A505="","","W"&amp;WEEKNUM($A505,2))</f>
        <v/>
      </c>
      <c r="D505" s="4">
        <f>IF($A505="","",TEXT($A505,"ddd"))</f>
        <v/>
      </c>
      <c r="E505" s="4" t="inlineStr">
        <is>
          <t>Production</t>
        </is>
      </c>
      <c r="F505" s="4">
        <f>IFERROR(INDEX(Tbl_KPIMaster[Category],MATCH($G505,Tbl_KPIMaster[KPI],0)),"")</f>
        <v/>
      </c>
      <c r="G505" s="4" t="inlineStr">
        <is>
          <t>Production Output</t>
        </is>
      </c>
      <c r="H505" s="4">
        <f>IFERROR(INDEX(Tbl_KPIMaster[Unit],MATCH($G505,Tbl_KPIMaster[KPI],0)),"")</f>
        <v/>
      </c>
      <c r="I505" s="5">
        <f>IFERROR(INDEX(Tbl_KPIMaster[Maximum Target],MATCH($G505,Tbl_KPIMaster[KPI],0)),"")</f>
        <v/>
      </c>
      <c r="J505" s="5" t="n">
        <v>937.55</v>
      </c>
      <c r="K505" s="4">
        <f>IFERROR(INDEX(Tbl_KPIMaster[Tolerance],MATCH($G505,Tbl_KPIMaster[KPI],0)),"")</f>
        <v/>
      </c>
      <c r="L505" s="4">
        <f>IFERROR(INDEX(Tbl_KPIMaster[Owner],MATCH($G505,Tbl_KPIMaster[KPI],0)),"")</f>
        <v/>
      </c>
      <c r="M505" s="6" t="inlineStr">
        <is>
          <t>Vendor delay</t>
        </is>
      </c>
      <c r="N505" s="4" t="inlineStr">
        <is>
          <t>Engineering support needed</t>
        </is>
      </c>
      <c r="O505" s="4" t="inlineStr">
        <is>
          <t>Medium</t>
        </is>
      </c>
      <c r="P505" s="4" t="inlineStr">
        <is>
          <t>Closed</t>
        </is>
      </c>
      <c r="Q505" s="5">
        <f>IFERROR(IF(INDEX(Tbl_KPIMaster[Direction],MATCH($G505,Tbl_KPIMaster[KPI],0))="Lower is Better",IF($J505=0,1,IF($I505=0,0,$I505/$J505)),IF($I505=0,1,$J505/$I505)),0)</f>
        <v/>
      </c>
      <c r="R505" s="4">
        <f>IF(OR($I505="",$J505=""),"",$J505-$I505)</f>
        <v/>
      </c>
      <c r="S505" s="4">
        <f>IFERROR(IF(INDEX(Tbl_KPIMaster[Direction],MATCH($G505,Tbl_KPIMaster[KPI],0))="Lower is Better",IF($J505&lt;=$I505,"Green",IF($J505&lt;=$I505+IF($I505=0,$K505,$I505*$K505),"Amber","Red")),IF($J505&gt;=$I505,"Green",IF($J505&gt;=$I505-IF($I505=0,$K505,$I505*$K505),"Amber","Red"))),"")</f>
        <v/>
      </c>
      <c r="T505" s="6" t="inlineStr"/>
    </row>
    <row r="506">
      <c r="A506" s="7" t="n">
        <v>46155</v>
      </c>
      <c r="B506" s="8">
        <f>IF($A506="","",TEXT($A506,"mmm-yyyy"))</f>
        <v/>
      </c>
      <c r="C506" s="8">
        <f>IF($A506="","","W"&amp;WEEKNUM($A506,2))</f>
        <v/>
      </c>
      <c r="D506" s="8">
        <f>IF($A506="","",TEXT($A506,"ddd"))</f>
        <v/>
      </c>
      <c r="E506" s="8" t="inlineStr">
        <is>
          <t>Production</t>
        </is>
      </c>
      <c r="F506" s="8">
        <f>IFERROR(INDEX(Tbl_KPIMaster[Category],MATCH($G506,Tbl_KPIMaster[KPI],0)),"")</f>
        <v/>
      </c>
      <c r="G506" s="8" t="inlineStr">
        <is>
          <t>OEE %</t>
        </is>
      </c>
      <c r="H506" s="8">
        <f>IFERROR(INDEX(Tbl_KPIMaster[Unit],MATCH($G506,Tbl_KPIMaster[KPI],0)),"")</f>
        <v/>
      </c>
      <c r="I506" s="9">
        <f>IFERROR(INDEX(Tbl_KPIMaster[Maximum Target],MATCH($G506,Tbl_KPIMaster[KPI],0)),"")</f>
        <v/>
      </c>
      <c r="J506" s="9" t="n">
        <v>0.8895</v>
      </c>
      <c r="K506" s="8">
        <f>IFERROR(INDEX(Tbl_KPIMaster[Tolerance],MATCH($G506,Tbl_KPIMaster[KPI],0)),"")</f>
        <v/>
      </c>
      <c r="L506" s="8">
        <f>IFERROR(INDEX(Tbl_KPIMaster[Owner],MATCH($G506,Tbl_KPIMaster[KPI],0)),"")</f>
        <v/>
      </c>
      <c r="M506" s="10" t="inlineStr">
        <is>
          <t>New operator training effect</t>
        </is>
      </c>
      <c r="N506" s="8" t="inlineStr">
        <is>
          <t>Engineering support needed</t>
        </is>
      </c>
      <c r="O506" s="8" t="inlineStr">
        <is>
          <t>Low</t>
        </is>
      </c>
      <c r="P506" s="8" t="inlineStr">
        <is>
          <t>Closed</t>
        </is>
      </c>
      <c r="Q506" s="9">
        <f>IFERROR(IF(INDEX(Tbl_KPIMaster[Direction],MATCH($G506,Tbl_KPIMaster[KPI],0))="Lower is Better",IF($J506=0,1,IF($I506=0,0,$I506/$J506)),IF($I506=0,1,$J506/$I506)),0)</f>
        <v/>
      </c>
      <c r="R506" s="8">
        <f>IF(OR($I506="",$J506=""),"",$J506-$I506)</f>
        <v/>
      </c>
      <c r="S506" s="8">
        <f>IFERROR(IF(INDEX(Tbl_KPIMaster[Direction],MATCH($G506,Tbl_KPIMaster[KPI],0))="Lower is Better",IF($J506&lt;=$I506,"Green",IF($J506&lt;=$I506+IF($I506=0,$K506,$I506*$K506),"Amber","Red")),IF($J506&gt;=$I506,"Green",IF($J506&gt;=$I506-IF($I506=0,$K506,$I506*$K506),"Amber","Red"))),"")</f>
        <v/>
      </c>
      <c r="T506" s="10" t="inlineStr"/>
    </row>
    <row r="507">
      <c r="A507" s="3" t="n">
        <v>46155</v>
      </c>
      <c r="B507" s="4">
        <f>IF($A507="","",TEXT($A507,"mmm-yyyy"))</f>
        <v/>
      </c>
      <c r="C507" s="4">
        <f>IF($A507="","","W"&amp;WEEKNUM($A507,2))</f>
        <v/>
      </c>
      <c r="D507" s="4">
        <f>IF($A507="","",TEXT($A507,"ddd"))</f>
        <v/>
      </c>
      <c r="E507" s="4" t="inlineStr">
        <is>
          <t>Quality</t>
        </is>
      </c>
      <c r="F507" s="4">
        <f>IFERROR(INDEX(Tbl_KPIMaster[Category],MATCH($G507,Tbl_KPIMaster[KPI],0)),"")</f>
        <v/>
      </c>
      <c r="G507" s="4" t="inlineStr">
        <is>
          <t>Defect Rate %</t>
        </is>
      </c>
      <c r="H507" s="4">
        <f>IFERROR(INDEX(Tbl_KPIMaster[Unit],MATCH($G507,Tbl_KPIMaster[KPI],0)),"")</f>
        <v/>
      </c>
      <c r="I507" s="5">
        <f>IFERROR(INDEX(Tbl_KPIMaster[Maximum Target],MATCH($G507,Tbl_KPIMaster[KPI],0)),"")</f>
        <v/>
      </c>
      <c r="J507" s="5" t="n">
        <v>0</v>
      </c>
      <c r="K507" s="4">
        <f>IFERROR(INDEX(Tbl_KPIMaster[Tolerance],MATCH($G507,Tbl_KPIMaster[KPI],0)),"")</f>
        <v/>
      </c>
      <c r="L507" s="4">
        <f>IFERROR(INDEX(Tbl_KPIMaster[Owner],MATCH($G507,Tbl_KPIMaster[KPI],0)),"")</f>
        <v/>
      </c>
      <c r="M507" s="6" t="inlineStr">
        <is>
          <t>Equipment breakdown</t>
        </is>
      </c>
      <c r="N507" s="4" t="inlineStr"/>
      <c r="O507" s="4" t="inlineStr">
        <is>
          <t>Medium</t>
        </is>
      </c>
      <c r="P507" s="4" t="inlineStr">
        <is>
          <t>In Progress</t>
        </is>
      </c>
      <c r="Q507" s="5">
        <f>IFERROR(IF(INDEX(Tbl_KPIMaster[Direction],MATCH($G507,Tbl_KPIMaster[KPI],0))="Lower is Better",IF($J507=0,1,IF($I507=0,0,$I507/$J507)),IF($I507=0,1,$J507/$I507)),0)</f>
        <v/>
      </c>
      <c r="R507" s="4">
        <f>IF(OR($I507="",$J507=""),"",$J507-$I507)</f>
        <v/>
      </c>
      <c r="S507" s="4">
        <f>IFERROR(IF(INDEX(Tbl_KPIMaster[Direction],MATCH($G507,Tbl_KPIMaster[KPI],0))="Lower is Better",IF($J507&lt;=$I507,"Green",IF($J507&lt;=$I507+IF($I507=0,$K507,$I507*$K507),"Amber","Red")),IF($J507&gt;=$I507,"Green",IF($J507&gt;=$I507-IF($I507=0,$K507,$I507*$K507),"Amber","Red"))),"")</f>
        <v/>
      </c>
      <c r="T507" s="6" t="inlineStr"/>
    </row>
    <row r="508">
      <c r="A508" s="7" t="n">
        <v>46155</v>
      </c>
      <c r="B508" s="8">
        <f>IF($A508="","",TEXT($A508,"mmm-yyyy"))</f>
        <v/>
      </c>
      <c r="C508" s="8">
        <f>IF($A508="","","W"&amp;WEEKNUM($A508,2))</f>
        <v/>
      </c>
      <c r="D508" s="8">
        <f>IF($A508="","",TEXT($A508,"ddd"))</f>
        <v/>
      </c>
      <c r="E508" s="8" t="inlineStr">
        <is>
          <t>Quality</t>
        </is>
      </c>
      <c r="F508" s="8">
        <f>IFERROR(INDEX(Tbl_KPIMaster[Category],MATCH($G508,Tbl_KPIMaster[KPI],0)),"")</f>
        <v/>
      </c>
      <c r="G508" s="8" t="inlineStr">
        <is>
          <t>Customer Complaints</t>
        </is>
      </c>
      <c r="H508" s="8">
        <f>IFERROR(INDEX(Tbl_KPIMaster[Unit],MATCH($G508,Tbl_KPIMaster[KPI],0)),"")</f>
        <v/>
      </c>
      <c r="I508" s="9">
        <f>IFERROR(INDEX(Tbl_KPIMaster[Maximum Target],MATCH($G508,Tbl_KPIMaster[KPI],0)),"")</f>
        <v/>
      </c>
      <c r="J508" s="9" t="n">
        <v>0</v>
      </c>
      <c r="K508" s="8">
        <f>IFERROR(INDEX(Tbl_KPIMaster[Tolerance],MATCH($G508,Tbl_KPIMaster[KPI],0)),"")</f>
        <v/>
      </c>
      <c r="L508" s="8">
        <f>IFERROR(INDEX(Tbl_KPIMaster[Owner],MATCH($G508,Tbl_KPIMaster[KPI],0)),"")</f>
        <v/>
      </c>
      <c r="M508" s="10" t="inlineStr">
        <is>
          <t>Manpower shortage</t>
        </is>
      </c>
      <c r="N508" s="8" t="inlineStr">
        <is>
          <t>Management approval pending</t>
        </is>
      </c>
      <c r="O508" s="8" t="inlineStr">
        <is>
          <t>Medium</t>
        </is>
      </c>
      <c r="P508" s="8" t="inlineStr">
        <is>
          <t>Closed</t>
        </is>
      </c>
      <c r="Q508" s="9">
        <f>IFERROR(IF(INDEX(Tbl_KPIMaster[Direction],MATCH($G508,Tbl_KPIMaster[KPI],0))="Lower is Better",IF($J508=0,1,IF($I508=0,0,$I508/$J508)),IF($I508=0,1,$J508/$I508)),0)</f>
        <v/>
      </c>
      <c r="R508" s="8">
        <f>IF(OR($I508="",$J508=""),"",$J508-$I508)</f>
        <v/>
      </c>
      <c r="S508" s="8">
        <f>IFERROR(IF(INDEX(Tbl_KPIMaster[Direction],MATCH($G508,Tbl_KPIMaster[KPI],0))="Lower is Better",IF($J508&lt;=$I508,"Green",IF($J508&lt;=$I508+IF($I508=0,$K508,$I508*$K508),"Amber","Red")),IF($J508&gt;=$I508,"Green",IF($J508&gt;=$I508-IF($I508=0,$K508,$I508*$K508),"Amber","Red"))),"")</f>
        <v/>
      </c>
      <c r="T508" s="10" t="inlineStr"/>
    </row>
    <row r="509">
      <c r="A509" s="3" t="n">
        <v>46155</v>
      </c>
      <c r="B509" s="4">
        <f>IF($A509="","",TEXT($A509,"mmm-yyyy"))</f>
        <v/>
      </c>
      <c r="C509" s="4">
        <f>IF($A509="","","W"&amp;WEEKNUM($A509,2))</f>
        <v/>
      </c>
      <c r="D509" s="4">
        <f>IF($A509="","",TEXT($A509,"ddd"))</f>
        <v/>
      </c>
      <c r="E509" s="4" t="inlineStr">
        <is>
          <t>Maintenance</t>
        </is>
      </c>
      <c r="F509" s="4">
        <f>IFERROR(INDEX(Tbl_KPIMaster[Category],MATCH($G509,Tbl_KPIMaster[KPI],0)),"")</f>
        <v/>
      </c>
      <c r="G509" s="4" t="inlineStr">
        <is>
          <t>Unplanned Downtime</t>
        </is>
      </c>
      <c r="H509" s="4">
        <f>IFERROR(INDEX(Tbl_KPIMaster[Unit],MATCH($G509,Tbl_KPIMaster[KPI],0)),"")</f>
        <v/>
      </c>
      <c r="I509" s="5">
        <f>IFERROR(INDEX(Tbl_KPIMaster[Maximum Target],MATCH($G509,Tbl_KPIMaster[KPI],0)),"")</f>
        <v/>
      </c>
      <c r="J509" s="5" t="n">
        <v>0.87</v>
      </c>
      <c r="K509" s="4">
        <f>IFERROR(INDEX(Tbl_KPIMaster[Tolerance],MATCH($G509,Tbl_KPIMaster[KPI],0)),"")</f>
        <v/>
      </c>
      <c r="L509" s="4">
        <f>IFERROR(INDEX(Tbl_KPIMaster[Owner],MATCH($G509,Tbl_KPIMaster[KPI],0)),"")</f>
        <v/>
      </c>
      <c r="M509" s="6" t="inlineStr">
        <is>
          <t>Weather impact</t>
        </is>
      </c>
      <c r="N509" s="4" t="inlineStr">
        <is>
          <t>Procurement follow-up</t>
        </is>
      </c>
      <c r="O509" s="4" t="inlineStr">
        <is>
          <t>Low</t>
        </is>
      </c>
      <c r="P509" s="4" t="inlineStr">
        <is>
          <t>In Progress</t>
        </is>
      </c>
      <c r="Q509" s="5">
        <f>IFERROR(IF(INDEX(Tbl_KPIMaster[Direction],MATCH($G509,Tbl_KPIMaster[KPI],0))="Lower is Better",IF($J509=0,1,IF($I509=0,0,$I509/$J509)),IF($I509=0,1,$J509/$I509)),0)</f>
        <v/>
      </c>
      <c r="R509" s="4">
        <f>IF(OR($I509="",$J509=""),"",$J509-$I509)</f>
        <v/>
      </c>
      <c r="S509" s="4">
        <f>IFERROR(IF(INDEX(Tbl_KPIMaster[Direction],MATCH($G509,Tbl_KPIMaster[KPI],0))="Lower is Better",IF($J509&lt;=$I509,"Green",IF($J509&lt;=$I509+IF($I509=0,$K509,$I509*$K509),"Amber","Red")),IF($J509&gt;=$I509,"Green",IF($J509&gt;=$I509-IF($I509=0,$K509,$I509*$K509),"Amber","Red"))),"")</f>
        <v/>
      </c>
      <c r="T509" s="6" t="inlineStr"/>
    </row>
    <row r="510">
      <c r="A510" s="7" t="n">
        <v>46155</v>
      </c>
      <c r="B510" s="8">
        <f>IF($A510="","",TEXT($A510,"mmm-yyyy"))</f>
        <v/>
      </c>
      <c r="C510" s="8">
        <f>IF($A510="","","W"&amp;WEEKNUM($A510,2))</f>
        <v/>
      </c>
      <c r="D510" s="8">
        <f>IF($A510="","",TEXT($A510,"ddd"))</f>
        <v/>
      </c>
      <c r="E510" s="8" t="inlineStr">
        <is>
          <t>Maintenance</t>
        </is>
      </c>
      <c r="F510" s="8">
        <f>IFERROR(INDEX(Tbl_KPIMaster[Category],MATCH($G510,Tbl_KPIMaster[KPI],0)),"")</f>
        <v/>
      </c>
      <c r="G510" s="8" t="inlineStr">
        <is>
          <t>PM Compliance %</t>
        </is>
      </c>
      <c r="H510" s="8">
        <f>IFERROR(INDEX(Tbl_KPIMaster[Unit],MATCH($G510,Tbl_KPIMaster[KPI],0)),"")</f>
        <v/>
      </c>
      <c r="I510" s="9">
        <f>IFERROR(INDEX(Tbl_KPIMaster[Maximum Target],MATCH($G510,Tbl_KPIMaster[KPI],0)),"")</f>
        <v/>
      </c>
      <c r="J510" s="9" t="n">
        <v>1.0282</v>
      </c>
      <c r="K510" s="8">
        <f>IFERROR(INDEX(Tbl_KPIMaster[Tolerance],MATCH($G510,Tbl_KPIMaster[KPI],0)),"")</f>
        <v/>
      </c>
      <c r="L510" s="8">
        <f>IFERROR(INDEX(Tbl_KPIMaster[Owner],MATCH($G510,Tbl_KPIMaster[KPI],0)),"")</f>
        <v/>
      </c>
      <c r="M510" s="10" t="inlineStr">
        <is>
          <t>Equipment breakdown</t>
        </is>
      </c>
      <c r="N510" s="8" t="inlineStr">
        <is>
          <t>Engineering support needed</t>
        </is>
      </c>
      <c r="O510" s="8" t="inlineStr">
        <is>
          <t>Medium</t>
        </is>
      </c>
      <c r="P510" s="8" t="inlineStr">
        <is>
          <t>Closed</t>
        </is>
      </c>
      <c r="Q510" s="9">
        <f>IFERROR(IF(INDEX(Tbl_KPIMaster[Direction],MATCH($G510,Tbl_KPIMaster[KPI],0))="Lower is Better",IF($J510=0,1,IF($I510=0,0,$I510/$J510)),IF($I510=0,1,$J510/$I510)),0)</f>
        <v/>
      </c>
      <c r="R510" s="8">
        <f>IF(OR($I510="",$J510=""),"",$J510-$I510)</f>
        <v/>
      </c>
      <c r="S510" s="8">
        <f>IFERROR(IF(INDEX(Tbl_KPIMaster[Direction],MATCH($G510,Tbl_KPIMaster[KPI],0))="Lower is Better",IF($J510&lt;=$I510,"Green",IF($J510&lt;=$I510+IF($I510=0,$K510,$I510*$K510),"Amber","Red")),IF($J510&gt;=$I510,"Green",IF($J510&gt;=$I510-IF($I510=0,$K510,$I510*$K510),"Amber","Red"))),"")</f>
        <v/>
      </c>
      <c r="T510" s="10" t="inlineStr"/>
    </row>
    <row r="511">
      <c r="A511" s="3" t="n">
        <v>46155</v>
      </c>
      <c r="B511" s="4">
        <f>IF($A511="","",TEXT($A511,"mmm-yyyy"))</f>
        <v/>
      </c>
      <c r="C511" s="4">
        <f>IF($A511="","","W"&amp;WEEKNUM($A511,2))</f>
        <v/>
      </c>
      <c r="D511" s="4">
        <f>IF($A511="","",TEXT($A511,"ddd"))</f>
        <v/>
      </c>
      <c r="E511" s="4" t="inlineStr">
        <is>
          <t>Utilities</t>
        </is>
      </c>
      <c r="F511" s="4">
        <f>IFERROR(INDEX(Tbl_KPIMaster[Category],MATCH($G511,Tbl_KPIMaster[KPI],0)),"")</f>
        <v/>
      </c>
      <c r="G511" s="4" t="inlineStr">
        <is>
          <t>Power Consumption</t>
        </is>
      </c>
      <c r="H511" s="4">
        <f>IFERROR(INDEX(Tbl_KPIMaster[Unit],MATCH($G511,Tbl_KPIMaster[KPI],0)),"")</f>
        <v/>
      </c>
      <c r="I511" s="5">
        <f>IFERROR(INDEX(Tbl_KPIMaster[Maximum Target],MATCH($G511,Tbl_KPIMaster[KPI],0)),"")</f>
        <v/>
      </c>
      <c r="J511" s="5" t="n">
        <v>3833.72</v>
      </c>
      <c r="K511" s="4">
        <f>IFERROR(INDEX(Tbl_KPIMaster[Tolerance],MATCH($G511,Tbl_KPIMaster[KPI],0)),"")</f>
        <v/>
      </c>
      <c r="L511" s="4">
        <f>IFERROR(INDEX(Tbl_KPIMaster[Owner],MATCH($G511,Tbl_KPIMaster[KPI],0)),"")</f>
        <v/>
      </c>
      <c r="M511" s="6" t="inlineStr">
        <is>
          <t>New operator training effect</t>
        </is>
      </c>
      <c r="N511" s="4" t="inlineStr">
        <is>
          <t>Management approval pending</t>
        </is>
      </c>
      <c r="O511" s="4" t="inlineStr">
        <is>
          <t>Low</t>
        </is>
      </c>
      <c r="P511" s="4" t="inlineStr">
        <is>
          <t>Open</t>
        </is>
      </c>
      <c r="Q511" s="5">
        <f>IFERROR(IF(INDEX(Tbl_KPIMaster[Direction],MATCH($G511,Tbl_KPIMaster[KPI],0))="Lower is Better",IF($J511=0,1,IF($I511=0,0,$I511/$J511)),IF($I511=0,1,$J511/$I511)),0)</f>
        <v/>
      </c>
      <c r="R511" s="4">
        <f>IF(OR($I511="",$J511=""),"",$J511-$I511)</f>
        <v/>
      </c>
      <c r="S511" s="4">
        <f>IFERROR(IF(INDEX(Tbl_KPIMaster[Direction],MATCH($G511,Tbl_KPIMaster[KPI],0))="Lower is Better",IF($J511&lt;=$I511,"Green",IF($J511&lt;=$I511+IF($I511=0,$K511,$I511*$K511),"Amber","Red")),IF($J511&gt;=$I511,"Green",IF($J511&gt;=$I511-IF($I511=0,$K511,$I511*$K511),"Amber","Red"))),"")</f>
        <v/>
      </c>
      <c r="T511" s="6" t="inlineStr"/>
    </row>
    <row r="512">
      <c r="A512" s="7" t="n">
        <v>46155</v>
      </c>
      <c r="B512" s="8">
        <f>IF($A512="","",TEXT($A512,"mmm-yyyy"))</f>
        <v/>
      </c>
      <c r="C512" s="8">
        <f>IF($A512="","","W"&amp;WEEKNUM($A512,2))</f>
        <v/>
      </c>
      <c r="D512" s="8">
        <f>IF($A512="","",TEXT($A512,"ddd"))</f>
        <v/>
      </c>
      <c r="E512" s="8" t="inlineStr">
        <is>
          <t>Utilities</t>
        </is>
      </c>
      <c r="F512" s="8">
        <f>IFERROR(INDEX(Tbl_KPIMaster[Category],MATCH($G512,Tbl_KPIMaster[KPI],0)),"")</f>
        <v/>
      </c>
      <c r="G512" s="8" t="inlineStr">
        <is>
          <t>Water Consumption</t>
        </is>
      </c>
      <c r="H512" s="8">
        <f>IFERROR(INDEX(Tbl_KPIMaster[Unit],MATCH($G512,Tbl_KPIMaster[KPI],0)),"")</f>
        <v/>
      </c>
      <c r="I512" s="9">
        <f>IFERROR(INDEX(Tbl_KPIMaster[Maximum Target],MATCH($G512,Tbl_KPIMaster[KPI],0)),"")</f>
        <v/>
      </c>
      <c r="J512" s="9" t="n">
        <v>49.11</v>
      </c>
      <c r="K512" s="8">
        <f>IFERROR(INDEX(Tbl_KPIMaster[Tolerance],MATCH($G512,Tbl_KPIMaster[KPI],0)),"")</f>
        <v/>
      </c>
      <c r="L512" s="8">
        <f>IFERROR(INDEX(Tbl_KPIMaster[Owner],MATCH($G512,Tbl_KPIMaster[KPI],0)),"")</f>
        <v/>
      </c>
      <c r="M512" s="10" t="inlineStr">
        <is>
          <t>Weather impact</t>
        </is>
      </c>
      <c r="N512" s="8" t="inlineStr"/>
      <c r="O512" s="8" t="inlineStr">
        <is>
          <t>Low</t>
        </is>
      </c>
      <c r="P512" s="8" t="inlineStr">
        <is>
          <t>Closed</t>
        </is>
      </c>
      <c r="Q512" s="9">
        <f>IFERROR(IF(INDEX(Tbl_KPIMaster[Direction],MATCH($G512,Tbl_KPIMaster[KPI],0))="Lower is Better",IF($J512=0,1,IF($I512=0,0,$I512/$J512)),IF($I512=0,1,$J512/$I512)),0)</f>
        <v/>
      </c>
      <c r="R512" s="8">
        <f>IF(OR($I512="",$J512=""),"",$J512-$I512)</f>
        <v/>
      </c>
      <c r="S512" s="8">
        <f>IFERROR(IF(INDEX(Tbl_KPIMaster[Direction],MATCH($G512,Tbl_KPIMaster[KPI],0))="Lower is Better",IF($J512&lt;=$I512,"Green",IF($J512&lt;=$I512+IF($I512=0,$K512,$I512*$K512),"Amber","Red")),IF($J512&gt;=$I512,"Green",IF($J512&gt;=$I512-IF($I512=0,$K512,$I512*$K512),"Amber","Red"))),"")</f>
        <v/>
      </c>
      <c r="T512" s="10" t="inlineStr"/>
    </row>
    <row r="513">
      <c r="A513" s="3" t="n">
        <v>46155</v>
      </c>
      <c r="B513" s="4">
        <f>IF($A513="","",TEXT($A513,"mmm-yyyy"))</f>
        <v/>
      </c>
      <c r="C513" s="4">
        <f>IF($A513="","","W"&amp;WEEKNUM($A513,2))</f>
        <v/>
      </c>
      <c r="D513" s="4">
        <f>IF($A513="","",TEXT($A513,"ddd"))</f>
        <v/>
      </c>
      <c r="E513" s="4" t="inlineStr">
        <is>
          <t>Warehouse</t>
        </is>
      </c>
      <c r="F513" s="4">
        <f>IFERROR(INDEX(Tbl_KPIMaster[Category],MATCH($G513,Tbl_KPIMaster[KPI],0)),"")</f>
        <v/>
      </c>
      <c r="G513" s="4" t="inlineStr">
        <is>
          <t>On-Time Dispatch %</t>
        </is>
      </c>
      <c r="H513" s="4">
        <f>IFERROR(INDEX(Tbl_KPIMaster[Unit],MATCH($G513,Tbl_KPIMaster[KPI],0)),"")</f>
        <v/>
      </c>
      <c r="I513" s="5">
        <f>IFERROR(INDEX(Tbl_KPIMaster[Maximum Target],MATCH($G513,Tbl_KPIMaster[KPI],0)),"")</f>
        <v/>
      </c>
      <c r="J513" s="5" t="n">
        <v>1.0304</v>
      </c>
      <c r="K513" s="4">
        <f>IFERROR(INDEX(Tbl_KPIMaster[Tolerance],MATCH($G513,Tbl_KPIMaster[KPI],0)),"")</f>
        <v/>
      </c>
      <c r="L513" s="4">
        <f>IFERROR(INDEX(Tbl_KPIMaster[Owner],MATCH($G513,Tbl_KPIMaster[KPI],0)),"")</f>
        <v/>
      </c>
      <c r="M513" s="6" t="inlineStr">
        <is>
          <t>Equipment breakdown</t>
        </is>
      </c>
      <c r="N513" s="4" t="inlineStr"/>
      <c r="O513" s="4" t="inlineStr">
        <is>
          <t>Low</t>
        </is>
      </c>
      <c r="P513" s="4" t="inlineStr">
        <is>
          <t>Open</t>
        </is>
      </c>
      <c r="Q513" s="5">
        <f>IFERROR(IF(INDEX(Tbl_KPIMaster[Direction],MATCH($G513,Tbl_KPIMaster[KPI],0))="Lower is Better",IF($J513=0,1,IF($I513=0,0,$I513/$J513)),IF($I513=0,1,$J513/$I513)),0)</f>
        <v/>
      </c>
      <c r="R513" s="4">
        <f>IF(OR($I513="",$J513=""),"",$J513-$I513)</f>
        <v/>
      </c>
      <c r="S513" s="4">
        <f>IFERROR(IF(INDEX(Tbl_KPIMaster[Direction],MATCH($G513,Tbl_KPIMaster[KPI],0))="Lower is Better",IF($J513&lt;=$I513,"Green",IF($J513&lt;=$I513+IF($I513=0,$K513,$I513*$K513),"Amber","Red")),IF($J513&gt;=$I513,"Green",IF($J513&gt;=$I513-IF($I513=0,$K513,$I513*$K513),"Amber","Red"))),"")</f>
        <v/>
      </c>
      <c r="T513" s="6" t="inlineStr"/>
    </row>
    <row r="514">
      <c r="A514" s="7" t="n">
        <v>46155</v>
      </c>
      <c r="B514" s="8">
        <f>IF($A514="","",TEXT($A514,"mmm-yyyy"))</f>
        <v/>
      </c>
      <c r="C514" s="8">
        <f>IF($A514="","","W"&amp;WEEKNUM($A514,2))</f>
        <v/>
      </c>
      <c r="D514" s="8">
        <f>IF($A514="","",TEXT($A514,"ddd"))</f>
        <v/>
      </c>
      <c r="E514" s="8" t="inlineStr">
        <is>
          <t>Warehouse</t>
        </is>
      </c>
      <c r="F514" s="8">
        <f>IFERROR(INDEX(Tbl_KPIMaster[Category],MATCH($G514,Tbl_KPIMaster[KPI],0)),"")</f>
        <v/>
      </c>
      <c r="G514" s="8" t="inlineStr">
        <is>
          <t>Inventory Accuracy %</t>
        </is>
      </c>
      <c r="H514" s="8">
        <f>IFERROR(INDEX(Tbl_KPIMaster[Unit],MATCH($G514,Tbl_KPIMaster[KPI],0)),"")</f>
        <v/>
      </c>
      <c r="I514" s="9">
        <f>IFERROR(INDEX(Tbl_KPIMaster[Maximum Target],MATCH($G514,Tbl_KPIMaster[KPI],0)),"")</f>
        <v/>
      </c>
      <c r="J514" s="9" t="n">
        <v>1.212</v>
      </c>
      <c r="K514" s="8">
        <f>IFERROR(INDEX(Tbl_KPIMaster[Tolerance],MATCH($G514,Tbl_KPIMaster[KPI],0)),"")</f>
        <v/>
      </c>
      <c r="L514" s="8">
        <f>IFERROR(INDEX(Tbl_KPIMaster[Owner],MATCH($G514,Tbl_KPIMaster[KPI],0)),"")</f>
        <v/>
      </c>
      <c r="M514" s="10" t="inlineStr"/>
      <c r="N514" s="8" t="inlineStr">
        <is>
          <t>Management approval pending</t>
        </is>
      </c>
      <c r="O514" s="8" t="inlineStr">
        <is>
          <t>Low</t>
        </is>
      </c>
      <c r="P514" s="8" t="inlineStr">
        <is>
          <t>Open</t>
        </is>
      </c>
      <c r="Q514" s="9">
        <f>IFERROR(IF(INDEX(Tbl_KPIMaster[Direction],MATCH($G514,Tbl_KPIMaster[KPI],0))="Lower is Better",IF($J514=0,1,IF($I514=0,0,$I514/$J514)),IF($I514=0,1,$J514/$I514)),0)</f>
        <v/>
      </c>
      <c r="R514" s="8">
        <f>IF(OR($I514="",$J514=""),"",$J514-$I514)</f>
        <v/>
      </c>
      <c r="S514" s="8">
        <f>IFERROR(IF(INDEX(Tbl_KPIMaster[Direction],MATCH($G514,Tbl_KPIMaster[KPI],0))="Lower is Better",IF($J514&lt;=$I514,"Green",IF($J514&lt;=$I514+IF($I514=0,$K514,$I514*$K514),"Amber","Red")),IF($J514&gt;=$I514,"Green",IF($J514&gt;=$I514-IF($I514=0,$K514,$I514*$K514),"Amber","Red"))),"")</f>
        <v/>
      </c>
      <c r="T514" s="10" t="inlineStr"/>
    </row>
    <row r="515">
      <c r="A515" s="3" t="n">
        <v>46155</v>
      </c>
      <c r="B515" s="4">
        <f>IF($A515="","",TEXT($A515,"mmm-yyyy"))</f>
        <v/>
      </c>
      <c r="C515" s="4">
        <f>IF($A515="","","W"&amp;WEEKNUM($A515,2))</f>
        <v/>
      </c>
      <c r="D515" s="4">
        <f>IF($A515="","",TEXT($A515,"ddd"))</f>
        <v/>
      </c>
      <c r="E515" s="4" t="inlineStr">
        <is>
          <t>HR</t>
        </is>
      </c>
      <c r="F515" s="4">
        <f>IFERROR(INDEX(Tbl_KPIMaster[Category],MATCH($G515,Tbl_KPIMaster[KPI],0)),"")</f>
        <v/>
      </c>
      <c r="G515" s="4" t="inlineStr">
        <is>
          <t>Absenteeism %</t>
        </is>
      </c>
      <c r="H515" s="4">
        <f>IFERROR(INDEX(Tbl_KPIMaster[Unit],MATCH($G515,Tbl_KPIMaster[KPI],0)),"")</f>
        <v/>
      </c>
      <c r="I515" s="5">
        <f>IFERROR(INDEX(Tbl_KPIMaster[Maximum Target],MATCH($G515,Tbl_KPIMaster[KPI],0)),"")</f>
        <v/>
      </c>
      <c r="J515" s="5" t="n">
        <v>0.0306</v>
      </c>
      <c r="K515" s="4">
        <f>IFERROR(INDEX(Tbl_KPIMaster[Tolerance],MATCH($G515,Tbl_KPIMaster[KPI],0)),"")</f>
        <v/>
      </c>
      <c r="L515" s="4">
        <f>IFERROR(INDEX(Tbl_KPIMaster[Owner],MATCH($G515,Tbl_KPIMaster[KPI],0)),"")</f>
        <v/>
      </c>
      <c r="M515" s="6" t="inlineStr">
        <is>
          <t>Equipment breakdown</t>
        </is>
      </c>
      <c r="N515" s="4" t="inlineStr"/>
      <c r="O515" s="4" t="inlineStr">
        <is>
          <t>Medium</t>
        </is>
      </c>
      <c r="P515" s="4" t="inlineStr">
        <is>
          <t>In Progress</t>
        </is>
      </c>
      <c r="Q515" s="5">
        <f>IFERROR(IF(INDEX(Tbl_KPIMaster[Direction],MATCH($G515,Tbl_KPIMaster[KPI],0))="Lower is Better",IF($J515=0,1,IF($I515=0,0,$I515/$J515)),IF($I515=0,1,$J515/$I515)),0)</f>
        <v/>
      </c>
      <c r="R515" s="4">
        <f>IF(OR($I515="",$J515=""),"",$J515-$I515)</f>
        <v/>
      </c>
      <c r="S515" s="4">
        <f>IFERROR(IF(INDEX(Tbl_KPIMaster[Direction],MATCH($G515,Tbl_KPIMaster[KPI],0))="Lower is Better",IF($J515&lt;=$I515,"Green",IF($J515&lt;=$I515+IF($I515=0,$K515,$I515*$K515),"Amber","Red")),IF($J515&gt;=$I515,"Green",IF($J515&gt;=$I515-IF($I515=0,$K515,$I515*$K515),"Amber","Red"))),"")</f>
        <v/>
      </c>
      <c r="T515" s="6" t="inlineStr"/>
    </row>
    <row r="516">
      <c r="A516" s="7" t="n">
        <v>46155</v>
      </c>
      <c r="B516" s="8">
        <f>IF($A516="","",TEXT($A516,"mmm-yyyy"))</f>
        <v/>
      </c>
      <c r="C516" s="8">
        <f>IF($A516="","","W"&amp;WEEKNUM($A516,2))</f>
        <v/>
      </c>
      <c r="D516" s="8">
        <f>IF($A516="","",TEXT($A516,"ddd"))</f>
        <v/>
      </c>
      <c r="E516" s="8" t="inlineStr">
        <is>
          <t>HR</t>
        </is>
      </c>
      <c r="F516" s="8">
        <f>IFERROR(INDEX(Tbl_KPIMaster[Category],MATCH($G516,Tbl_KPIMaster[KPI],0)),"")</f>
        <v/>
      </c>
      <c r="G516" s="8" t="inlineStr">
        <is>
          <t>Training Hours</t>
        </is>
      </c>
      <c r="H516" s="8">
        <f>IFERROR(INDEX(Tbl_KPIMaster[Unit],MATCH($G516,Tbl_KPIMaster[KPI],0)),"")</f>
        <v/>
      </c>
      <c r="I516" s="9">
        <f>IFERROR(INDEX(Tbl_KPIMaster[Maximum Target],MATCH($G516,Tbl_KPIMaster[KPI],0)),"")</f>
        <v/>
      </c>
      <c r="J516" s="9" t="n">
        <v>1.99</v>
      </c>
      <c r="K516" s="8">
        <f>IFERROR(INDEX(Tbl_KPIMaster[Tolerance],MATCH($G516,Tbl_KPIMaster[KPI],0)),"")</f>
        <v/>
      </c>
      <c r="L516" s="8">
        <f>IFERROR(INDEX(Tbl_KPIMaster[Owner],MATCH($G516,Tbl_KPIMaster[KPI],0)),"")</f>
        <v/>
      </c>
      <c r="M516" s="10" t="inlineStr">
        <is>
          <t>Weather impact</t>
        </is>
      </c>
      <c r="N516" s="8" t="inlineStr"/>
      <c r="O516" s="8" t="inlineStr">
        <is>
          <t>Low</t>
        </is>
      </c>
      <c r="P516" s="8" t="inlineStr">
        <is>
          <t>Closed</t>
        </is>
      </c>
      <c r="Q516" s="9">
        <f>IFERROR(IF(INDEX(Tbl_KPIMaster[Direction],MATCH($G516,Tbl_KPIMaster[KPI],0))="Lower is Better",IF($J516=0,1,IF($I516=0,0,$I516/$J516)),IF($I516=0,1,$J516/$I516)),0)</f>
        <v/>
      </c>
      <c r="R516" s="8">
        <f>IF(OR($I516="",$J516=""),"",$J516-$I516)</f>
        <v/>
      </c>
      <c r="S516" s="8">
        <f>IFERROR(IF(INDEX(Tbl_KPIMaster[Direction],MATCH($G516,Tbl_KPIMaster[KPI],0))="Lower is Better",IF($J516&lt;=$I516,"Green",IF($J516&lt;=$I516+IF($I516=0,$K516,$I516*$K516),"Amber","Red")),IF($J516&gt;=$I516,"Green",IF($J516&gt;=$I516-IF($I516=0,$K516,$I516*$K516),"Amber","Red"))),"")</f>
        <v/>
      </c>
      <c r="T516" s="10" t="inlineStr"/>
    </row>
    <row r="517">
      <c r="A517" s="3" t="n">
        <v>46155</v>
      </c>
      <c r="B517" s="4">
        <f>IF($A517="","",TEXT($A517,"mmm-yyyy"))</f>
        <v/>
      </c>
      <c r="C517" s="4">
        <f>IF($A517="","","W"&amp;WEEKNUM($A517,2))</f>
        <v/>
      </c>
      <c r="D517" s="4">
        <f>IF($A517="","",TEXT($A517,"ddd"))</f>
        <v/>
      </c>
      <c r="E517" s="4" t="inlineStr">
        <is>
          <t>Engineering</t>
        </is>
      </c>
      <c r="F517" s="4">
        <f>IFERROR(INDEX(Tbl_KPIMaster[Category],MATCH($G517,Tbl_KPIMaster[KPI],0)),"")</f>
        <v/>
      </c>
      <c r="G517" s="4" t="inlineStr">
        <is>
          <t>Project Milestone Adherence %</t>
        </is>
      </c>
      <c r="H517" s="4">
        <f>IFERROR(INDEX(Tbl_KPIMaster[Unit],MATCH($G517,Tbl_KPIMaster[KPI],0)),"")</f>
        <v/>
      </c>
      <c r="I517" s="5">
        <f>IFERROR(INDEX(Tbl_KPIMaster[Maximum Target],MATCH($G517,Tbl_KPIMaster[KPI],0)),"")</f>
        <v/>
      </c>
      <c r="J517" s="5" t="n">
        <v>1.0093</v>
      </c>
      <c r="K517" s="4">
        <f>IFERROR(INDEX(Tbl_KPIMaster[Tolerance],MATCH($G517,Tbl_KPIMaster[KPI],0)),"")</f>
        <v/>
      </c>
      <c r="L517" s="4">
        <f>IFERROR(INDEX(Tbl_KPIMaster[Owner],MATCH($G517,Tbl_KPIMaster[KPI],0)),"")</f>
        <v/>
      </c>
      <c r="M517" s="6" t="inlineStr">
        <is>
          <t>New operator training effect</t>
        </is>
      </c>
      <c r="N517" s="4" t="inlineStr">
        <is>
          <t>Procurement follow-up</t>
        </is>
      </c>
      <c r="O517" s="4" t="inlineStr">
        <is>
          <t>Medium</t>
        </is>
      </c>
      <c r="P517" s="4" t="inlineStr">
        <is>
          <t>Closed</t>
        </is>
      </c>
      <c r="Q517" s="5">
        <f>IFERROR(IF(INDEX(Tbl_KPIMaster[Direction],MATCH($G517,Tbl_KPIMaster[KPI],0))="Lower is Better",IF($J517=0,1,IF($I517=0,0,$I517/$J517)),IF($I517=0,1,$J517/$I517)),0)</f>
        <v/>
      </c>
      <c r="R517" s="4">
        <f>IF(OR($I517="",$J517=""),"",$J517-$I517)</f>
        <v/>
      </c>
      <c r="S517" s="4">
        <f>IFERROR(IF(INDEX(Tbl_KPIMaster[Direction],MATCH($G517,Tbl_KPIMaster[KPI],0))="Lower is Better",IF($J517&lt;=$I517,"Green",IF($J517&lt;=$I517+IF($I517=0,$K517,$I517*$K517),"Amber","Red")),IF($J517&gt;=$I517,"Green",IF($J517&gt;=$I517-IF($I517=0,$K517,$I517*$K517),"Amber","Red"))),"")</f>
        <v/>
      </c>
      <c r="T517" s="6" t="inlineStr"/>
    </row>
    <row r="518">
      <c r="A518" s="7" t="n">
        <v>46155</v>
      </c>
      <c r="B518" s="8">
        <f>IF($A518="","",TEXT($A518,"mmm-yyyy"))</f>
        <v/>
      </c>
      <c r="C518" s="8">
        <f>IF($A518="","","W"&amp;WEEKNUM($A518,2))</f>
        <v/>
      </c>
      <c r="D518" s="8">
        <f>IF($A518="","",TEXT($A518,"ddd"))</f>
        <v/>
      </c>
      <c r="E518" s="8" t="inlineStr">
        <is>
          <t>Engineering</t>
        </is>
      </c>
      <c r="F518" s="8">
        <f>IFERROR(INDEX(Tbl_KPIMaster[Category],MATCH($G518,Tbl_KPIMaster[KPI],0)),"")</f>
        <v/>
      </c>
      <c r="G518" s="8" t="inlineStr">
        <is>
          <t>Breakdown Resolution Time</t>
        </is>
      </c>
      <c r="H518" s="8">
        <f>IFERROR(INDEX(Tbl_KPIMaster[Unit],MATCH($G518,Tbl_KPIMaster[KPI],0)),"")</f>
        <v/>
      </c>
      <c r="I518" s="9">
        <f>IFERROR(INDEX(Tbl_KPIMaster[Maximum Target],MATCH($G518,Tbl_KPIMaster[KPI],0)),"")</f>
        <v/>
      </c>
      <c r="J518" s="9" t="n">
        <v>0.28</v>
      </c>
      <c r="K518" s="8">
        <f>IFERROR(INDEX(Tbl_KPIMaster[Tolerance],MATCH($G518,Tbl_KPIMaster[KPI],0)),"")</f>
        <v/>
      </c>
      <c r="L518" s="8">
        <f>IFERROR(INDEX(Tbl_KPIMaster[Owner],MATCH($G518,Tbl_KPIMaster[KPI],0)),"")</f>
        <v/>
      </c>
      <c r="M518" s="10" t="inlineStr">
        <is>
          <t>Preventive check done</t>
        </is>
      </c>
      <c r="N518" s="8" t="inlineStr"/>
      <c r="O518" s="8" t="inlineStr">
        <is>
          <t>Low</t>
        </is>
      </c>
      <c r="P518" s="8" t="inlineStr">
        <is>
          <t>Open</t>
        </is>
      </c>
      <c r="Q518" s="9">
        <f>IFERROR(IF(INDEX(Tbl_KPIMaster[Direction],MATCH($G518,Tbl_KPIMaster[KPI],0))="Lower is Better",IF($J518=0,1,IF($I518=0,0,$I518/$J518)),IF($I518=0,1,$J518/$I518)),0)</f>
        <v/>
      </c>
      <c r="R518" s="8">
        <f>IF(OR($I518="",$J518=""),"",$J518-$I518)</f>
        <v/>
      </c>
      <c r="S518" s="8">
        <f>IFERROR(IF(INDEX(Tbl_KPIMaster[Direction],MATCH($G518,Tbl_KPIMaster[KPI],0))="Lower is Better",IF($J518&lt;=$I518,"Green",IF($J518&lt;=$I518+IF($I518=0,$K518,$I518*$K518),"Amber","Red")),IF($J518&gt;=$I518,"Green",IF($J518&gt;=$I518-IF($I518=0,$K518,$I518*$K518),"Amber","Red"))),"")</f>
        <v/>
      </c>
      <c r="T518" s="10" t="inlineStr"/>
    </row>
    <row r="519">
      <c r="A519" s="3" t="n">
        <v>46155</v>
      </c>
      <c r="B519" s="4">
        <f>IF($A519="","",TEXT($A519,"mmm-yyyy"))</f>
        <v/>
      </c>
      <c r="C519" s="4">
        <f>IF($A519="","","W"&amp;WEEKNUM($A519,2))</f>
        <v/>
      </c>
      <c r="D519" s="4">
        <f>IF($A519="","",TEXT($A519,"ddd"))</f>
        <v/>
      </c>
      <c r="E519" s="4" t="inlineStr">
        <is>
          <t>Cost</t>
        </is>
      </c>
      <c r="F519" s="4">
        <f>IFERROR(INDEX(Tbl_KPIMaster[Category],MATCH($G519,Tbl_KPIMaster[KPI],0)),"")</f>
        <v/>
      </c>
      <c r="G519" s="4" t="inlineStr">
        <is>
          <t>Cost per Unit</t>
        </is>
      </c>
      <c r="H519" s="4">
        <f>IFERROR(INDEX(Tbl_KPIMaster[Unit],MATCH($G519,Tbl_KPIMaster[KPI],0)),"")</f>
        <v/>
      </c>
      <c r="I519" s="5">
        <f>IFERROR(INDEX(Tbl_KPIMaster[Maximum Target],MATCH($G519,Tbl_KPIMaster[KPI],0)),"")</f>
        <v/>
      </c>
      <c r="J519" s="5" t="n">
        <v>40.82</v>
      </c>
      <c r="K519" s="4">
        <f>IFERROR(INDEX(Tbl_KPIMaster[Tolerance],MATCH($G519,Tbl_KPIMaster[KPI],0)),"")</f>
        <v/>
      </c>
      <c r="L519" s="4">
        <f>IFERROR(INDEX(Tbl_KPIMaster[Owner],MATCH($G519,Tbl_KPIMaster[KPI],0)),"")</f>
        <v/>
      </c>
      <c r="M519" s="6" t="inlineStr">
        <is>
          <t>Equipment breakdown</t>
        </is>
      </c>
      <c r="N519" s="4" t="inlineStr">
        <is>
          <t>Management approval pending</t>
        </is>
      </c>
      <c r="O519" s="4" t="inlineStr">
        <is>
          <t>Low</t>
        </is>
      </c>
      <c r="P519" s="4" t="inlineStr">
        <is>
          <t>Open</t>
        </is>
      </c>
      <c r="Q519" s="5">
        <f>IFERROR(IF(INDEX(Tbl_KPIMaster[Direction],MATCH($G519,Tbl_KPIMaster[KPI],0))="Lower is Better",IF($J519=0,1,IF($I519=0,0,$I519/$J519)),IF($I519=0,1,$J519/$I519)),0)</f>
        <v/>
      </c>
      <c r="R519" s="4">
        <f>IF(OR($I519="",$J519=""),"",$J519-$I519)</f>
        <v/>
      </c>
      <c r="S519" s="4">
        <f>IFERROR(IF(INDEX(Tbl_KPIMaster[Direction],MATCH($G519,Tbl_KPIMaster[KPI],0))="Lower is Better",IF($J519&lt;=$I519,"Green",IF($J519&lt;=$I519+IF($I519=0,$K519,$I519*$K519),"Amber","Red")),IF($J519&gt;=$I519,"Green",IF($J519&gt;=$I519-IF($I519=0,$K519,$I519*$K519),"Amber","Red"))),"")</f>
        <v/>
      </c>
      <c r="T519" s="6" t="inlineStr"/>
    </row>
    <row r="520">
      <c r="A520" s="7" t="n">
        <v>46155</v>
      </c>
      <c r="B520" s="8">
        <f>IF($A520="","",TEXT($A520,"mmm-yyyy"))</f>
        <v/>
      </c>
      <c r="C520" s="8">
        <f>IF($A520="","","W"&amp;WEEKNUM($A520,2))</f>
        <v/>
      </c>
      <c r="D520" s="8">
        <f>IF($A520="","",TEXT($A520,"ddd"))</f>
        <v/>
      </c>
      <c r="E520" s="8" t="inlineStr">
        <is>
          <t>Cost</t>
        </is>
      </c>
      <c r="F520" s="8">
        <f>IFERROR(INDEX(Tbl_KPIMaster[Category],MATCH($G520,Tbl_KPIMaster[KPI],0)),"")</f>
        <v/>
      </c>
      <c r="G520" s="8" t="inlineStr">
        <is>
          <t>Budget Variance %</t>
        </is>
      </c>
      <c r="H520" s="8">
        <f>IFERROR(INDEX(Tbl_KPIMaster[Unit],MATCH($G520,Tbl_KPIMaster[KPI],0)),"")</f>
        <v/>
      </c>
      <c r="I520" s="9">
        <f>IFERROR(INDEX(Tbl_KPIMaster[Maximum Target],MATCH($G520,Tbl_KPIMaster[KPI],0)),"")</f>
        <v/>
      </c>
      <c r="J520" s="9" t="n">
        <v>0.014</v>
      </c>
      <c r="K520" s="8">
        <f>IFERROR(INDEX(Tbl_KPIMaster[Tolerance],MATCH($G520,Tbl_KPIMaster[KPI],0)),"")</f>
        <v/>
      </c>
      <c r="L520" s="8">
        <f>IFERROR(INDEX(Tbl_KPIMaster[Owner],MATCH($G520,Tbl_KPIMaster[KPI],0)),"")</f>
        <v/>
      </c>
      <c r="M520" s="10" t="inlineStr">
        <is>
          <t>Preventive check done</t>
        </is>
      </c>
      <c r="N520" s="8" t="inlineStr"/>
      <c r="O520" s="8" t="inlineStr">
        <is>
          <t>Medium</t>
        </is>
      </c>
      <c r="P520" s="8" t="inlineStr">
        <is>
          <t>Closed</t>
        </is>
      </c>
      <c r="Q520" s="9">
        <f>IFERROR(IF(INDEX(Tbl_KPIMaster[Direction],MATCH($G520,Tbl_KPIMaster[KPI],0))="Lower is Better",IF($J520=0,1,IF($I520=0,0,$I520/$J520)),IF($I520=0,1,$J520/$I520)),0)</f>
        <v/>
      </c>
      <c r="R520" s="8">
        <f>IF(OR($I520="",$J520=""),"",$J520-$I520)</f>
        <v/>
      </c>
      <c r="S520" s="8">
        <f>IFERROR(IF(INDEX(Tbl_KPIMaster[Direction],MATCH($G520,Tbl_KPIMaster[KPI],0))="Lower is Better",IF($J520&lt;=$I520,"Green",IF($J520&lt;=$I520+IF($I520=0,$K520,$I520*$K520),"Amber","Red")),IF($J520&gt;=$I520,"Green",IF($J520&gt;=$I520-IF($I520=0,$K520,$I520*$K520),"Amber","Red"))),"")</f>
        <v/>
      </c>
      <c r="T520" s="10" t="inlineStr"/>
    </row>
    <row r="521">
      <c r="A521" s="3" t="n">
        <v>46155</v>
      </c>
      <c r="B521" s="4">
        <f>IF($A521="","",TEXT($A521,"mmm-yyyy"))</f>
        <v/>
      </c>
      <c r="C521" s="4">
        <f>IF($A521="","","W"&amp;WEEKNUM($A521,2))</f>
        <v/>
      </c>
      <c r="D521" s="4">
        <f>IF($A521="","",TEXT($A521,"ddd"))</f>
        <v/>
      </c>
      <c r="E521" s="4" t="inlineStr">
        <is>
          <t>Energy</t>
        </is>
      </c>
      <c r="F521" s="4">
        <f>IFERROR(INDEX(Tbl_KPIMaster[Category],MATCH($G521,Tbl_KPIMaster[KPI],0)),"")</f>
        <v/>
      </c>
      <c r="G521" s="4" t="inlineStr">
        <is>
          <t>Energy Intensity (kWh/unit)</t>
        </is>
      </c>
      <c r="H521" s="4">
        <f>IFERROR(INDEX(Tbl_KPIMaster[Unit],MATCH($G521,Tbl_KPIMaster[KPI],0)),"")</f>
        <v/>
      </c>
      <c r="I521" s="5">
        <f>IFERROR(INDEX(Tbl_KPIMaster[Maximum Target],MATCH($G521,Tbl_KPIMaster[KPI],0)),"")</f>
        <v/>
      </c>
      <c r="J521" s="5" t="n">
        <v>3.87</v>
      </c>
      <c r="K521" s="4">
        <f>IFERROR(INDEX(Tbl_KPIMaster[Tolerance],MATCH($G521,Tbl_KPIMaster[KPI],0)),"")</f>
        <v/>
      </c>
      <c r="L521" s="4">
        <f>IFERROR(INDEX(Tbl_KPIMaster[Owner],MATCH($G521,Tbl_KPIMaster[KPI],0)),"")</f>
        <v/>
      </c>
      <c r="M521" s="6" t="inlineStr">
        <is>
          <t>Equipment breakdown</t>
        </is>
      </c>
      <c r="N521" s="4" t="inlineStr"/>
      <c r="O521" s="4" t="inlineStr">
        <is>
          <t>Medium</t>
        </is>
      </c>
      <c r="P521" s="4" t="inlineStr">
        <is>
          <t>Closed</t>
        </is>
      </c>
      <c r="Q521" s="5">
        <f>IFERROR(IF(INDEX(Tbl_KPIMaster[Direction],MATCH($G521,Tbl_KPIMaster[KPI],0))="Lower is Better",IF($J521=0,1,IF($I521=0,0,$I521/$J521)),IF($I521=0,1,$J521/$I521)),0)</f>
        <v/>
      </c>
      <c r="R521" s="4">
        <f>IF(OR($I521="",$J521=""),"",$J521-$I521)</f>
        <v/>
      </c>
      <c r="S521" s="4">
        <f>IFERROR(IF(INDEX(Tbl_KPIMaster[Direction],MATCH($G521,Tbl_KPIMaster[KPI],0))="Lower is Better",IF($J521&lt;=$I521,"Green",IF($J521&lt;=$I521+IF($I521=0,$K521,$I521*$K521),"Amber","Red")),IF($J521&gt;=$I521,"Green",IF($J521&gt;=$I521-IF($I521=0,$K521,$I521*$K521),"Amber","Red"))),"")</f>
        <v/>
      </c>
      <c r="T521" s="6" t="inlineStr"/>
    </row>
    <row r="522">
      <c r="A522" s="7" t="n">
        <v>46155</v>
      </c>
      <c r="B522" s="8">
        <f>IF($A522="","",TEXT($A522,"mmm-yyyy"))</f>
        <v/>
      </c>
      <c r="C522" s="8">
        <f>IF($A522="","","W"&amp;WEEKNUM($A522,2))</f>
        <v/>
      </c>
      <c r="D522" s="8">
        <f>IF($A522="","",TEXT($A522,"ddd"))</f>
        <v/>
      </c>
      <c r="E522" s="8" t="inlineStr">
        <is>
          <t>Energy</t>
        </is>
      </c>
      <c r="F522" s="8">
        <f>IFERROR(INDEX(Tbl_KPIMaster[Category],MATCH($G522,Tbl_KPIMaster[KPI],0)),"")</f>
        <v/>
      </c>
      <c r="G522" s="8" t="inlineStr">
        <is>
          <t>Renewable Energy Share %</t>
        </is>
      </c>
      <c r="H522" s="8">
        <f>IFERROR(INDEX(Tbl_KPIMaster[Unit],MATCH($G522,Tbl_KPIMaster[KPI],0)),"")</f>
        <v/>
      </c>
      <c r="I522" s="9">
        <f>IFERROR(INDEX(Tbl_KPIMaster[Maximum Target],MATCH($G522,Tbl_KPIMaster[KPI],0)),"")</f>
        <v/>
      </c>
      <c r="J522" s="9" t="n">
        <v>0.2334</v>
      </c>
      <c r="K522" s="8">
        <f>IFERROR(INDEX(Tbl_KPIMaster[Tolerance],MATCH($G522,Tbl_KPIMaster[KPI],0)),"")</f>
        <v/>
      </c>
      <c r="L522" s="8">
        <f>IFERROR(INDEX(Tbl_KPIMaster[Owner],MATCH($G522,Tbl_KPIMaster[KPI],0)),"")</f>
        <v/>
      </c>
      <c r="M522" s="10" t="inlineStr">
        <is>
          <t>Equipment breakdown</t>
        </is>
      </c>
      <c r="N522" s="8" t="inlineStr"/>
      <c r="O522" s="8" t="inlineStr">
        <is>
          <t>Low</t>
        </is>
      </c>
      <c r="P522" s="8" t="inlineStr">
        <is>
          <t>Closed</t>
        </is>
      </c>
      <c r="Q522" s="9">
        <f>IFERROR(IF(INDEX(Tbl_KPIMaster[Direction],MATCH($G522,Tbl_KPIMaster[KPI],0))="Lower is Better",IF($J522=0,1,IF($I522=0,0,$I522/$J522)),IF($I522=0,1,$J522/$I522)),0)</f>
        <v/>
      </c>
      <c r="R522" s="8">
        <f>IF(OR($I522="",$J522=""),"",$J522-$I522)</f>
        <v/>
      </c>
      <c r="S522" s="8">
        <f>IFERROR(IF(INDEX(Tbl_KPIMaster[Direction],MATCH($G522,Tbl_KPIMaster[KPI],0))="Lower is Better",IF($J522&lt;=$I522,"Green",IF($J522&lt;=$I522+IF($I522=0,$K522,$I522*$K522),"Amber","Red")),IF($J522&gt;=$I522,"Green",IF($J522&gt;=$I522-IF($I522=0,$K522,$I522*$K522),"Amber","Red"))),"")</f>
        <v/>
      </c>
      <c r="T522" s="10" t="inlineStr"/>
    </row>
    <row r="523">
      <c r="A523" s="3" t="n">
        <v>46156</v>
      </c>
      <c r="B523" s="4">
        <f>IF($A523="","",TEXT($A523,"mmm-yyyy"))</f>
        <v/>
      </c>
      <c r="C523" s="4">
        <f>IF($A523="","","W"&amp;WEEKNUM($A523,2))</f>
        <v/>
      </c>
      <c r="D523" s="4">
        <f>IF($A523="","",TEXT($A523,"ddd"))</f>
        <v/>
      </c>
      <c r="E523" s="4" t="inlineStr">
        <is>
          <t>Safety</t>
        </is>
      </c>
      <c r="F523" s="4">
        <f>IFERROR(INDEX(Tbl_KPIMaster[Category],MATCH($G523,Tbl_KPIMaster[KPI],0)),"")</f>
        <v/>
      </c>
      <c r="G523" s="4" t="inlineStr">
        <is>
          <t>Safety Incidents (LTI)</t>
        </is>
      </c>
      <c r="H523" s="4">
        <f>IFERROR(INDEX(Tbl_KPIMaster[Unit],MATCH($G523,Tbl_KPIMaster[KPI],0)),"")</f>
        <v/>
      </c>
      <c r="I523" s="5">
        <f>IFERROR(INDEX(Tbl_KPIMaster[Maximum Target],MATCH($G523,Tbl_KPIMaster[KPI],0)),"")</f>
        <v/>
      </c>
      <c r="J523" s="5" t="n">
        <v>0</v>
      </c>
      <c r="K523" s="4">
        <f>IFERROR(INDEX(Tbl_KPIMaster[Tolerance],MATCH($G523,Tbl_KPIMaster[KPI],0)),"")</f>
        <v/>
      </c>
      <c r="L523" s="4">
        <f>IFERROR(INDEX(Tbl_KPIMaster[Owner],MATCH($G523,Tbl_KPIMaster[KPI],0)),"")</f>
        <v/>
      </c>
      <c r="M523" s="6" t="inlineStr">
        <is>
          <t>Weather impact</t>
        </is>
      </c>
      <c r="N523" s="4" t="inlineStr"/>
      <c r="O523" s="4" t="inlineStr">
        <is>
          <t>High</t>
        </is>
      </c>
      <c r="P523" s="4" t="inlineStr">
        <is>
          <t>Closed</t>
        </is>
      </c>
      <c r="Q523" s="5">
        <f>IFERROR(IF(INDEX(Tbl_KPIMaster[Direction],MATCH($G523,Tbl_KPIMaster[KPI],0))="Lower is Better",IF($J523=0,1,IF($I523=0,0,$I523/$J523)),IF($I523=0,1,$J523/$I523)),0)</f>
        <v/>
      </c>
      <c r="R523" s="4">
        <f>IF(OR($I523="",$J523=""),"",$J523-$I523)</f>
        <v/>
      </c>
      <c r="S523" s="4">
        <f>IFERROR(IF(INDEX(Tbl_KPIMaster[Direction],MATCH($G523,Tbl_KPIMaster[KPI],0))="Lower is Better",IF($J523&lt;=$I523,"Green",IF($J523&lt;=$I523+IF($I523=0,$K523,$I523*$K523),"Amber","Red")),IF($J523&gt;=$I523,"Green",IF($J523&gt;=$I523-IF($I523=0,$K523,$I523*$K523),"Amber","Red"))),"")</f>
        <v/>
      </c>
      <c r="T523" s="6" t="inlineStr"/>
    </row>
    <row r="524">
      <c r="A524" s="7" t="n">
        <v>46156</v>
      </c>
      <c r="B524" s="8">
        <f>IF($A524="","",TEXT($A524,"mmm-yyyy"))</f>
        <v/>
      </c>
      <c r="C524" s="8">
        <f>IF($A524="","","W"&amp;WEEKNUM($A524,2))</f>
        <v/>
      </c>
      <c r="D524" s="8">
        <f>IF($A524="","",TEXT($A524,"ddd"))</f>
        <v/>
      </c>
      <c r="E524" s="8" t="inlineStr">
        <is>
          <t>Safety</t>
        </is>
      </c>
      <c r="F524" s="8">
        <f>IFERROR(INDEX(Tbl_KPIMaster[Category],MATCH($G524,Tbl_KPIMaster[KPI],0)),"")</f>
        <v/>
      </c>
      <c r="G524" s="8" t="inlineStr">
        <is>
          <t>Near Miss Reports</t>
        </is>
      </c>
      <c r="H524" s="8">
        <f>IFERROR(INDEX(Tbl_KPIMaster[Unit],MATCH($G524,Tbl_KPIMaster[KPI],0)),"")</f>
        <v/>
      </c>
      <c r="I524" s="9">
        <f>IFERROR(INDEX(Tbl_KPIMaster[Maximum Target],MATCH($G524,Tbl_KPIMaster[KPI],0)),"")</f>
        <v/>
      </c>
      <c r="J524" s="9" t="n">
        <v>2</v>
      </c>
      <c r="K524" s="8">
        <f>IFERROR(INDEX(Tbl_KPIMaster[Tolerance],MATCH($G524,Tbl_KPIMaster[KPI],0)),"")</f>
        <v/>
      </c>
      <c r="L524" s="8">
        <f>IFERROR(INDEX(Tbl_KPIMaster[Owner],MATCH($G524,Tbl_KPIMaster[KPI],0)),"")</f>
        <v/>
      </c>
      <c r="M524" s="10" t="inlineStr">
        <is>
          <t>Vendor delay</t>
        </is>
      </c>
      <c r="N524" s="8" t="inlineStr">
        <is>
          <t>Procurement follow-up</t>
        </is>
      </c>
      <c r="O524" s="8" t="inlineStr">
        <is>
          <t>Low</t>
        </is>
      </c>
      <c r="P524" s="8" t="inlineStr">
        <is>
          <t>In Progress</t>
        </is>
      </c>
      <c r="Q524" s="9">
        <f>IFERROR(IF(INDEX(Tbl_KPIMaster[Direction],MATCH($G524,Tbl_KPIMaster[KPI],0))="Lower is Better",IF($J524=0,1,IF($I524=0,0,$I524/$J524)),IF($I524=0,1,$J524/$I524)),0)</f>
        <v/>
      </c>
      <c r="R524" s="8">
        <f>IF(OR($I524="",$J524=""),"",$J524-$I524)</f>
        <v/>
      </c>
      <c r="S524" s="8">
        <f>IFERROR(IF(INDEX(Tbl_KPIMaster[Direction],MATCH($G524,Tbl_KPIMaster[KPI],0))="Lower is Better",IF($J524&lt;=$I524,"Green",IF($J524&lt;=$I524+IF($I524=0,$K524,$I524*$K524),"Amber","Red")),IF($J524&gt;=$I524,"Green",IF($J524&gt;=$I524-IF($I524=0,$K524,$I524*$K524),"Amber","Red"))),"")</f>
        <v/>
      </c>
      <c r="T524" s="10" t="inlineStr"/>
    </row>
    <row r="525">
      <c r="A525" s="3" t="n">
        <v>46156</v>
      </c>
      <c r="B525" s="4">
        <f>IF($A525="","",TEXT($A525,"mmm-yyyy"))</f>
        <v/>
      </c>
      <c r="C525" s="4">
        <f>IF($A525="","","W"&amp;WEEKNUM($A525,2))</f>
        <v/>
      </c>
      <c r="D525" s="4">
        <f>IF($A525="","",TEXT($A525,"ddd"))</f>
        <v/>
      </c>
      <c r="E525" s="4" t="inlineStr">
        <is>
          <t>Production</t>
        </is>
      </c>
      <c r="F525" s="4">
        <f>IFERROR(INDEX(Tbl_KPIMaster[Category],MATCH($G525,Tbl_KPIMaster[KPI],0)),"")</f>
        <v/>
      </c>
      <c r="G525" s="4" t="inlineStr">
        <is>
          <t>Production Output</t>
        </is>
      </c>
      <c r="H525" s="4">
        <f>IFERROR(INDEX(Tbl_KPIMaster[Unit],MATCH($G525,Tbl_KPIMaster[KPI],0)),"")</f>
        <v/>
      </c>
      <c r="I525" s="5">
        <f>IFERROR(INDEX(Tbl_KPIMaster[Maximum Target],MATCH($G525,Tbl_KPIMaster[KPI],0)),"")</f>
        <v/>
      </c>
      <c r="J525" s="5" t="n">
        <v>942.53</v>
      </c>
      <c r="K525" s="4">
        <f>IFERROR(INDEX(Tbl_KPIMaster[Tolerance],MATCH($G525,Tbl_KPIMaster[KPI],0)),"")</f>
        <v/>
      </c>
      <c r="L525" s="4">
        <f>IFERROR(INDEX(Tbl_KPIMaster[Owner],MATCH($G525,Tbl_KPIMaster[KPI],0)),"")</f>
        <v/>
      </c>
      <c r="M525" s="6" t="inlineStr">
        <is>
          <t>Within normal range</t>
        </is>
      </c>
      <c r="N525" s="4" t="inlineStr">
        <is>
          <t>Management approval pending</t>
        </is>
      </c>
      <c r="O525" s="4" t="inlineStr">
        <is>
          <t>Low</t>
        </is>
      </c>
      <c r="P525" s="4" t="inlineStr">
        <is>
          <t>Closed</t>
        </is>
      </c>
      <c r="Q525" s="5">
        <f>IFERROR(IF(INDEX(Tbl_KPIMaster[Direction],MATCH($G525,Tbl_KPIMaster[KPI],0))="Lower is Better",IF($J525=0,1,IF($I525=0,0,$I525/$J525)),IF($I525=0,1,$J525/$I525)),0)</f>
        <v/>
      </c>
      <c r="R525" s="4">
        <f>IF(OR($I525="",$J525=""),"",$J525-$I525)</f>
        <v/>
      </c>
      <c r="S525" s="4">
        <f>IFERROR(IF(INDEX(Tbl_KPIMaster[Direction],MATCH($G525,Tbl_KPIMaster[KPI],0))="Lower is Better",IF($J525&lt;=$I525,"Green",IF($J525&lt;=$I525+IF($I525=0,$K525,$I525*$K525),"Amber","Red")),IF($J525&gt;=$I525,"Green",IF($J525&gt;=$I525-IF($I525=0,$K525,$I525*$K525),"Amber","Red"))),"")</f>
        <v/>
      </c>
      <c r="T525" s="6" t="inlineStr"/>
    </row>
    <row r="526">
      <c r="A526" s="7" t="n">
        <v>46156</v>
      </c>
      <c r="B526" s="8">
        <f>IF($A526="","",TEXT($A526,"mmm-yyyy"))</f>
        <v/>
      </c>
      <c r="C526" s="8">
        <f>IF($A526="","","W"&amp;WEEKNUM($A526,2))</f>
        <v/>
      </c>
      <c r="D526" s="8">
        <f>IF($A526="","",TEXT($A526,"ddd"))</f>
        <v/>
      </c>
      <c r="E526" s="8" t="inlineStr">
        <is>
          <t>Production</t>
        </is>
      </c>
      <c r="F526" s="8">
        <f>IFERROR(INDEX(Tbl_KPIMaster[Category],MATCH($G526,Tbl_KPIMaster[KPI],0)),"")</f>
        <v/>
      </c>
      <c r="G526" s="8" t="inlineStr">
        <is>
          <t>OEE %</t>
        </is>
      </c>
      <c r="H526" s="8">
        <f>IFERROR(INDEX(Tbl_KPIMaster[Unit],MATCH($G526,Tbl_KPIMaster[KPI],0)),"")</f>
        <v/>
      </c>
      <c r="I526" s="9">
        <f>IFERROR(INDEX(Tbl_KPIMaster[Maximum Target],MATCH($G526,Tbl_KPIMaster[KPI],0)),"")</f>
        <v/>
      </c>
      <c r="J526" s="9" t="n">
        <v>0.8459</v>
      </c>
      <c r="K526" s="8">
        <f>IFERROR(INDEX(Tbl_KPIMaster[Tolerance],MATCH($G526,Tbl_KPIMaster[KPI],0)),"")</f>
        <v/>
      </c>
      <c r="L526" s="8">
        <f>IFERROR(INDEX(Tbl_KPIMaster[Owner],MATCH($G526,Tbl_KPIMaster[KPI],0)),"")</f>
        <v/>
      </c>
      <c r="M526" s="10" t="inlineStr">
        <is>
          <t>Equipment breakdown</t>
        </is>
      </c>
      <c r="N526" s="8" t="inlineStr">
        <is>
          <t>Management approval pending</t>
        </is>
      </c>
      <c r="O526" s="8" t="inlineStr">
        <is>
          <t>Low</t>
        </is>
      </c>
      <c r="P526" s="8" t="inlineStr">
        <is>
          <t>Closed</t>
        </is>
      </c>
      <c r="Q526" s="9">
        <f>IFERROR(IF(INDEX(Tbl_KPIMaster[Direction],MATCH($G526,Tbl_KPIMaster[KPI],0))="Lower is Better",IF($J526=0,1,IF($I526=0,0,$I526/$J526)),IF($I526=0,1,$J526/$I526)),0)</f>
        <v/>
      </c>
      <c r="R526" s="8">
        <f>IF(OR($I526="",$J526=""),"",$J526-$I526)</f>
        <v/>
      </c>
      <c r="S526" s="8">
        <f>IFERROR(IF(INDEX(Tbl_KPIMaster[Direction],MATCH($G526,Tbl_KPIMaster[KPI],0))="Lower is Better",IF($J526&lt;=$I526,"Green",IF($J526&lt;=$I526+IF($I526=0,$K526,$I526*$K526),"Amber","Red")),IF($J526&gt;=$I526,"Green",IF($J526&gt;=$I526-IF($I526=0,$K526,$I526*$K526),"Amber","Red"))),"")</f>
        <v/>
      </c>
      <c r="T526" s="10" t="inlineStr"/>
    </row>
    <row r="527">
      <c r="A527" s="3" t="n">
        <v>46156</v>
      </c>
      <c r="B527" s="4">
        <f>IF($A527="","",TEXT($A527,"mmm-yyyy"))</f>
        <v/>
      </c>
      <c r="C527" s="4">
        <f>IF($A527="","","W"&amp;WEEKNUM($A527,2))</f>
        <v/>
      </c>
      <c r="D527" s="4">
        <f>IF($A527="","",TEXT($A527,"ddd"))</f>
        <v/>
      </c>
      <c r="E527" s="4" t="inlineStr">
        <is>
          <t>Quality</t>
        </is>
      </c>
      <c r="F527" s="4">
        <f>IFERROR(INDEX(Tbl_KPIMaster[Category],MATCH($G527,Tbl_KPIMaster[KPI],0)),"")</f>
        <v/>
      </c>
      <c r="G527" s="4" t="inlineStr">
        <is>
          <t>Defect Rate %</t>
        </is>
      </c>
      <c r="H527" s="4">
        <f>IFERROR(INDEX(Tbl_KPIMaster[Unit],MATCH($G527,Tbl_KPIMaster[KPI],0)),"")</f>
        <v/>
      </c>
      <c r="I527" s="5">
        <f>IFERROR(INDEX(Tbl_KPIMaster[Maximum Target],MATCH($G527,Tbl_KPIMaster[KPI],0)),"")</f>
        <v/>
      </c>
      <c r="J527" s="5" t="n">
        <v>0.8421</v>
      </c>
      <c r="K527" s="4">
        <f>IFERROR(INDEX(Tbl_KPIMaster[Tolerance],MATCH($G527,Tbl_KPIMaster[KPI],0)),"")</f>
        <v/>
      </c>
      <c r="L527" s="4">
        <f>IFERROR(INDEX(Tbl_KPIMaster[Owner],MATCH($G527,Tbl_KPIMaster[KPI],0)),"")</f>
        <v/>
      </c>
      <c r="M527" s="6" t="inlineStr">
        <is>
          <t>Vendor delay</t>
        </is>
      </c>
      <c r="N527" s="4" t="inlineStr"/>
      <c r="O527" s="4" t="inlineStr">
        <is>
          <t>Medium</t>
        </is>
      </c>
      <c r="P527" s="4" t="inlineStr">
        <is>
          <t>Closed</t>
        </is>
      </c>
      <c r="Q527" s="5">
        <f>IFERROR(IF(INDEX(Tbl_KPIMaster[Direction],MATCH($G527,Tbl_KPIMaster[KPI],0))="Lower is Better",IF($J527=0,1,IF($I527=0,0,$I527/$J527)),IF($I527=0,1,$J527/$I527)),0)</f>
        <v/>
      </c>
      <c r="R527" s="4">
        <f>IF(OR($I527="",$J527=""),"",$J527-$I527)</f>
        <v/>
      </c>
      <c r="S527" s="4">
        <f>IFERROR(IF(INDEX(Tbl_KPIMaster[Direction],MATCH($G527,Tbl_KPIMaster[KPI],0))="Lower is Better",IF($J527&lt;=$I527,"Green",IF($J527&lt;=$I527+IF($I527=0,$K527,$I527*$K527),"Amber","Red")),IF($J527&gt;=$I527,"Green",IF($J527&gt;=$I527-IF($I527=0,$K527,$I527*$K527),"Amber","Red"))),"")</f>
        <v/>
      </c>
      <c r="T527" s="6" t="inlineStr"/>
    </row>
    <row r="528">
      <c r="A528" s="7" t="n">
        <v>46156</v>
      </c>
      <c r="B528" s="8">
        <f>IF($A528="","",TEXT($A528,"mmm-yyyy"))</f>
        <v/>
      </c>
      <c r="C528" s="8">
        <f>IF($A528="","","W"&amp;WEEKNUM($A528,2))</f>
        <v/>
      </c>
      <c r="D528" s="8">
        <f>IF($A528="","",TEXT($A528,"ddd"))</f>
        <v/>
      </c>
      <c r="E528" s="8" t="inlineStr">
        <is>
          <t>Quality</t>
        </is>
      </c>
      <c r="F528" s="8">
        <f>IFERROR(INDEX(Tbl_KPIMaster[Category],MATCH($G528,Tbl_KPIMaster[KPI],0)),"")</f>
        <v/>
      </c>
      <c r="G528" s="8" t="inlineStr">
        <is>
          <t>Customer Complaints</t>
        </is>
      </c>
      <c r="H528" s="8">
        <f>IFERROR(INDEX(Tbl_KPIMaster[Unit],MATCH($G528,Tbl_KPIMaster[KPI],0)),"")</f>
        <v/>
      </c>
      <c r="I528" s="9">
        <f>IFERROR(INDEX(Tbl_KPIMaster[Maximum Target],MATCH($G528,Tbl_KPIMaster[KPI],0)),"")</f>
        <v/>
      </c>
      <c r="J528" s="9" t="n">
        <v>0</v>
      </c>
      <c r="K528" s="8">
        <f>IFERROR(INDEX(Tbl_KPIMaster[Tolerance],MATCH($G528,Tbl_KPIMaster[KPI],0)),"")</f>
        <v/>
      </c>
      <c r="L528" s="8">
        <f>IFERROR(INDEX(Tbl_KPIMaster[Owner],MATCH($G528,Tbl_KPIMaster[KPI],0)),"")</f>
        <v/>
      </c>
      <c r="M528" s="10" t="inlineStr">
        <is>
          <t>Vendor delay</t>
        </is>
      </c>
      <c r="N528" s="8" t="inlineStr">
        <is>
          <t>Procurement follow-up</t>
        </is>
      </c>
      <c r="O528" s="8" t="inlineStr">
        <is>
          <t>High</t>
        </is>
      </c>
      <c r="P528" s="8" t="inlineStr">
        <is>
          <t>Closed</t>
        </is>
      </c>
      <c r="Q528" s="9">
        <f>IFERROR(IF(INDEX(Tbl_KPIMaster[Direction],MATCH($G528,Tbl_KPIMaster[KPI],0))="Lower is Better",IF($J528=0,1,IF($I528=0,0,$I528/$J528)),IF($I528=0,1,$J528/$I528)),0)</f>
        <v/>
      </c>
      <c r="R528" s="8">
        <f>IF(OR($I528="",$J528=""),"",$J528-$I528)</f>
        <v/>
      </c>
      <c r="S528" s="8">
        <f>IFERROR(IF(INDEX(Tbl_KPIMaster[Direction],MATCH($G528,Tbl_KPIMaster[KPI],0))="Lower is Better",IF($J528&lt;=$I528,"Green",IF($J528&lt;=$I528+IF($I528=0,$K528,$I528*$K528),"Amber","Red")),IF($J528&gt;=$I528,"Green",IF($J528&gt;=$I528-IF($I528=0,$K528,$I528*$K528),"Amber","Red"))),"")</f>
        <v/>
      </c>
      <c r="T528" s="10" t="inlineStr"/>
    </row>
    <row r="529">
      <c r="A529" s="3" t="n">
        <v>46156</v>
      </c>
      <c r="B529" s="4">
        <f>IF($A529="","",TEXT($A529,"mmm-yyyy"))</f>
        <v/>
      </c>
      <c r="C529" s="4">
        <f>IF($A529="","","W"&amp;WEEKNUM($A529,2))</f>
        <v/>
      </c>
      <c r="D529" s="4">
        <f>IF($A529="","",TEXT($A529,"ddd"))</f>
        <v/>
      </c>
      <c r="E529" s="4" t="inlineStr">
        <is>
          <t>Maintenance</t>
        </is>
      </c>
      <c r="F529" s="4">
        <f>IFERROR(INDEX(Tbl_KPIMaster[Category],MATCH($G529,Tbl_KPIMaster[KPI],0)),"")</f>
        <v/>
      </c>
      <c r="G529" s="4" t="inlineStr">
        <is>
          <t>Unplanned Downtime</t>
        </is>
      </c>
      <c r="H529" s="4">
        <f>IFERROR(INDEX(Tbl_KPIMaster[Unit],MATCH($G529,Tbl_KPIMaster[KPI],0)),"")</f>
        <v/>
      </c>
      <c r="I529" s="5">
        <f>IFERROR(INDEX(Tbl_KPIMaster[Maximum Target],MATCH($G529,Tbl_KPIMaster[KPI],0)),"")</f>
        <v/>
      </c>
      <c r="J529" s="5" t="n">
        <v>0</v>
      </c>
      <c r="K529" s="4">
        <f>IFERROR(INDEX(Tbl_KPIMaster[Tolerance],MATCH($G529,Tbl_KPIMaster[KPI],0)),"")</f>
        <v/>
      </c>
      <c r="L529" s="4">
        <f>IFERROR(INDEX(Tbl_KPIMaster[Owner],MATCH($G529,Tbl_KPIMaster[KPI],0)),"")</f>
        <v/>
      </c>
      <c r="M529" s="6" t="inlineStr">
        <is>
          <t>Line changeover impact</t>
        </is>
      </c>
      <c r="N529" s="4" t="inlineStr"/>
      <c r="O529" s="4" t="inlineStr">
        <is>
          <t>Medium</t>
        </is>
      </c>
      <c r="P529" s="4" t="inlineStr">
        <is>
          <t>In Progress</t>
        </is>
      </c>
      <c r="Q529" s="5">
        <f>IFERROR(IF(INDEX(Tbl_KPIMaster[Direction],MATCH($G529,Tbl_KPIMaster[KPI],0))="Lower is Better",IF($J529=0,1,IF($I529=0,0,$I529/$J529)),IF($I529=0,1,$J529/$I529)),0)</f>
        <v/>
      </c>
      <c r="R529" s="4">
        <f>IF(OR($I529="",$J529=""),"",$J529-$I529)</f>
        <v/>
      </c>
      <c r="S529" s="4">
        <f>IFERROR(IF(INDEX(Tbl_KPIMaster[Direction],MATCH($G529,Tbl_KPIMaster[KPI],0))="Lower is Better",IF($J529&lt;=$I529,"Green",IF($J529&lt;=$I529+IF($I529=0,$K529,$I529*$K529),"Amber","Red")),IF($J529&gt;=$I529,"Green",IF($J529&gt;=$I529-IF($I529=0,$K529,$I529*$K529),"Amber","Red"))),"")</f>
        <v/>
      </c>
      <c r="T529" s="6" t="inlineStr"/>
    </row>
    <row r="530">
      <c r="A530" s="7" t="n">
        <v>46156</v>
      </c>
      <c r="B530" s="8">
        <f>IF($A530="","",TEXT($A530,"mmm-yyyy"))</f>
        <v/>
      </c>
      <c r="C530" s="8">
        <f>IF($A530="","","W"&amp;WEEKNUM($A530,2))</f>
        <v/>
      </c>
      <c r="D530" s="8">
        <f>IF($A530="","",TEXT($A530,"ddd"))</f>
        <v/>
      </c>
      <c r="E530" s="8" t="inlineStr">
        <is>
          <t>Maintenance</t>
        </is>
      </c>
      <c r="F530" s="8">
        <f>IFERROR(INDEX(Tbl_KPIMaster[Category],MATCH($G530,Tbl_KPIMaster[KPI],0)),"")</f>
        <v/>
      </c>
      <c r="G530" s="8" t="inlineStr">
        <is>
          <t>PM Compliance %</t>
        </is>
      </c>
      <c r="H530" s="8">
        <f>IFERROR(INDEX(Tbl_KPIMaster[Unit],MATCH($G530,Tbl_KPIMaster[KPI],0)),"")</f>
        <v/>
      </c>
      <c r="I530" s="9">
        <f>IFERROR(INDEX(Tbl_KPIMaster[Maximum Target],MATCH($G530,Tbl_KPIMaster[KPI],0)),"")</f>
        <v/>
      </c>
      <c r="J530" s="9" t="n">
        <v>0.9194</v>
      </c>
      <c r="K530" s="8">
        <f>IFERROR(INDEX(Tbl_KPIMaster[Tolerance],MATCH($G530,Tbl_KPIMaster[KPI],0)),"")</f>
        <v/>
      </c>
      <c r="L530" s="8">
        <f>IFERROR(INDEX(Tbl_KPIMaster[Owner],MATCH($G530,Tbl_KPIMaster[KPI],0)),"")</f>
        <v/>
      </c>
      <c r="M530" s="10" t="inlineStr">
        <is>
          <t>New operator training effect</t>
        </is>
      </c>
      <c r="N530" s="8" t="inlineStr">
        <is>
          <t>Engineering support needed</t>
        </is>
      </c>
      <c r="O530" s="8" t="inlineStr">
        <is>
          <t>Medium</t>
        </is>
      </c>
      <c r="P530" s="8" t="inlineStr">
        <is>
          <t>Closed</t>
        </is>
      </c>
      <c r="Q530" s="9">
        <f>IFERROR(IF(INDEX(Tbl_KPIMaster[Direction],MATCH($G530,Tbl_KPIMaster[KPI],0))="Lower is Better",IF($J530=0,1,IF($I530=0,0,$I530/$J530)),IF($I530=0,1,$J530/$I530)),0)</f>
        <v/>
      </c>
      <c r="R530" s="8">
        <f>IF(OR($I530="",$J530=""),"",$J530-$I530)</f>
        <v/>
      </c>
      <c r="S530" s="8">
        <f>IFERROR(IF(INDEX(Tbl_KPIMaster[Direction],MATCH($G530,Tbl_KPIMaster[KPI],0))="Lower is Better",IF($J530&lt;=$I530,"Green",IF($J530&lt;=$I530+IF($I530=0,$K530,$I530*$K530),"Amber","Red")),IF($J530&gt;=$I530,"Green",IF($J530&gt;=$I530-IF($I530=0,$K530,$I530*$K530),"Amber","Red"))),"")</f>
        <v/>
      </c>
      <c r="T530" s="10" t="inlineStr"/>
    </row>
    <row r="531">
      <c r="A531" s="3" t="n">
        <v>46156</v>
      </c>
      <c r="B531" s="4">
        <f>IF($A531="","",TEXT($A531,"mmm-yyyy"))</f>
        <v/>
      </c>
      <c r="C531" s="4">
        <f>IF($A531="","","W"&amp;WEEKNUM($A531,2))</f>
        <v/>
      </c>
      <c r="D531" s="4">
        <f>IF($A531="","",TEXT($A531,"ddd"))</f>
        <v/>
      </c>
      <c r="E531" s="4" t="inlineStr">
        <is>
          <t>Utilities</t>
        </is>
      </c>
      <c r="F531" s="4">
        <f>IFERROR(INDEX(Tbl_KPIMaster[Category],MATCH($G531,Tbl_KPIMaster[KPI],0)),"")</f>
        <v/>
      </c>
      <c r="G531" s="4" t="inlineStr">
        <is>
          <t>Power Consumption</t>
        </is>
      </c>
      <c r="H531" s="4">
        <f>IFERROR(INDEX(Tbl_KPIMaster[Unit],MATCH($G531,Tbl_KPIMaster[KPI],0)),"")</f>
        <v/>
      </c>
      <c r="I531" s="5">
        <f>IFERROR(INDEX(Tbl_KPIMaster[Maximum Target],MATCH($G531,Tbl_KPIMaster[KPI],0)),"")</f>
        <v/>
      </c>
      <c r="J531" s="5" t="n">
        <v>3404.52</v>
      </c>
      <c r="K531" s="4">
        <f>IFERROR(INDEX(Tbl_KPIMaster[Tolerance],MATCH($G531,Tbl_KPIMaster[KPI],0)),"")</f>
        <v/>
      </c>
      <c r="L531" s="4">
        <f>IFERROR(INDEX(Tbl_KPIMaster[Owner],MATCH($G531,Tbl_KPIMaster[KPI],0)),"")</f>
        <v/>
      </c>
      <c r="M531" s="6" t="inlineStr">
        <is>
          <t>New operator training effect</t>
        </is>
      </c>
      <c r="N531" s="4" t="inlineStr">
        <is>
          <t>Management approval pending</t>
        </is>
      </c>
      <c r="O531" s="4" t="inlineStr">
        <is>
          <t>Medium</t>
        </is>
      </c>
      <c r="P531" s="4" t="inlineStr">
        <is>
          <t>Closed</t>
        </is>
      </c>
      <c r="Q531" s="5">
        <f>IFERROR(IF(INDEX(Tbl_KPIMaster[Direction],MATCH($G531,Tbl_KPIMaster[KPI],0))="Lower is Better",IF($J531=0,1,IF($I531=0,0,$I531/$J531)),IF($I531=0,1,$J531/$I531)),0)</f>
        <v/>
      </c>
      <c r="R531" s="4">
        <f>IF(OR($I531="",$J531=""),"",$J531-$I531)</f>
        <v/>
      </c>
      <c r="S531" s="4">
        <f>IFERROR(IF(INDEX(Tbl_KPIMaster[Direction],MATCH($G531,Tbl_KPIMaster[KPI],0))="Lower is Better",IF($J531&lt;=$I531,"Green",IF($J531&lt;=$I531+IF($I531=0,$K531,$I531*$K531),"Amber","Red")),IF($J531&gt;=$I531,"Green",IF($J531&gt;=$I531-IF($I531=0,$K531,$I531*$K531),"Amber","Red"))),"")</f>
        <v/>
      </c>
      <c r="T531" s="6" t="inlineStr"/>
    </row>
    <row r="532">
      <c r="A532" s="7" t="n">
        <v>46156</v>
      </c>
      <c r="B532" s="8">
        <f>IF($A532="","",TEXT($A532,"mmm-yyyy"))</f>
        <v/>
      </c>
      <c r="C532" s="8">
        <f>IF($A532="","","W"&amp;WEEKNUM($A532,2))</f>
        <v/>
      </c>
      <c r="D532" s="8">
        <f>IF($A532="","",TEXT($A532,"ddd"))</f>
        <v/>
      </c>
      <c r="E532" s="8" t="inlineStr">
        <is>
          <t>Utilities</t>
        </is>
      </c>
      <c r="F532" s="8">
        <f>IFERROR(INDEX(Tbl_KPIMaster[Category],MATCH($G532,Tbl_KPIMaster[KPI],0)),"")</f>
        <v/>
      </c>
      <c r="G532" s="8" t="inlineStr">
        <is>
          <t>Water Consumption</t>
        </is>
      </c>
      <c r="H532" s="8">
        <f>IFERROR(INDEX(Tbl_KPIMaster[Unit],MATCH($G532,Tbl_KPIMaster[KPI],0)),"")</f>
        <v/>
      </c>
      <c r="I532" s="9">
        <f>IFERROR(INDEX(Tbl_KPIMaster[Maximum Target],MATCH($G532,Tbl_KPIMaster[KPI],0)),"")</f>
        <v/>
      </c>
      <c r="J532" s="9" t="n">
        <v>55.29</v>
      </c>
      <c r="K532" s="8">
        <f>IFERROR(INDEX(Tbl_KPIMaster[Tolerance],MATCH($G532,Tbl_KPIMaster[KPI],0)),"")</f>
        <v/>
      </c>
      <c r="L532" s="8">
        <f>IFERROR(INDEX(Tbl_KPIMaster[Owner],MATCH($G532,Tbl_KPIMaster[KPI],0)),"")</f>
        <v/>
      </c>
      <c r="M532" s="10" t="inlineStr">
        <is>
          <t>Awaiting spares</t>
        </is>
      </c>
      <c r="N532" s="8" t="inlineStr"/>
      <c r="O532" s="8" t="inlineStr">
        <is>
          <t>Medium</t>
        </is>
      </c>
      <c r="P532" s="8" t="inlineStr">
        <is>
          <t>Open</t>
        </is>
      </c>
      <c r="Q532" s="9">
        <f>IFERROR(IF(INDEX(Tbl_KPIMaster[Direction],MATCH($G532,Tbl_KPIMaster[KPI],0))="Lower is Better",IF($J532=0,1,IF($I532=0,0,$I532/$J532)),IF($I532=0,1,$J532/$I532)),0)</f>
        <v/>
      </c>
      <c r="R532" s="8">
        <f>IF(OR($I532="",$J532=""),"",$J532-$I532)</f>
        <v/>
      </c>
      <c r="S532" s="8">
        <f>IFERROR(IF(INDEX(Tbl_KPIMaster[Direction],MATCH($G532,Tbl_KPIMaster[KPI],0))="Lower is Better",IF($J532&lt;=$I532,"Green",IF($J532&lt;=$I532+IF($I532=0,$K532,$I532*$K532),"Amber","Red")),IF($J532&gt;=$I532,"Green",IF($J532&gt;=$I532-IF($I532=0,$K532,$I532*$K532),"Amber","Red"))),"")</f>
        <v/>
      </c>
      <c r="T532" s="10" t="inlineStr"/>
    </row>
    <row r="533">
      <c r="A533" s="3" t="n">
        <v>46156</v>
      </c>
      <c r="B533" s="4">
        <f>IF($A533="","",TEXT($A533,"mmm-yyyy"))</f>
        <v/>
      </c>
      <c r="C533" s="4">
        <f>IF($A533="","","W"&amp;WEEKNUM($A533,2))</f>
        <v/>
      </c>
      <c r="D533" s="4">
        <f>IF($A533="","",TEXT($A533,"ddd"))</f>
        <v/>
      </c>
      <c r="E533" s="4" t="inlineStr">
        <is>
          <t>Warehouse</t>
        </is>
      </c>
      <c r="F533" s="4">
        <f>IFERROR(INDEX(Tbl_KPIMaster[Category],MATCH($G533,Tbl_KPIMaster[KPI],0)),"")</f>
        <v/>
      </c>
      <c r="G533" s="4" t="inlineStr">
        <is>
          <t>On-Time Dispatch %</t>
        </is>
      </c>
      <c r="H533" s="4">
        <f>IFERROR(INDEX(Tbl_KPIMaster[Unit],MATCH($G533,Tbl_KPIMaster[KPI],0)),"")</f>
        <v/>
      </c>
      <c r="I533" s="5">
        <f>IFERROR(INDEX(Tbl_KPIMaster[Maximum Target],MATCH($G533,Tbl_KPIMaster[KPI],0)),"")</f>
        <v/>
      </c>
      <c r="J533" s="5" t="n">
        <v>1.0232</v>
      </c>
      <c r="K533" s="4">
        <f>IFERROR(INDEX(Tbl_KPIMaster[Tolerance],MATCH($G533,Tbl_KPIMaster[KPI],0)),"")</f>
        <v/>
      </c>
      <c r="L533" s="4">
        <f>IFERROR(INDEX(Tbl_KPIMaster[Owner],MATCH($G533,Tbl_KPIMaster[KPI],0)),"")</f>
        <v/>
      </c>
      <c r="M533" s="6" t="inlineStr">
        <is>
          <t>Line changeover impact</t>
        </is>
      </c>
      <c r="N533" s="4" t="inlineStr"/>
      <c r="O533" s="4" t="inlineStr">
        <is>
          <t>Low</t>
        </is>
      </c>
      <c r="P533" s="4" t="inlineStr">
        <is>
          <t>Closed</t>
        </is>
      </c>
      <c r="Q533" s="5">
        <f>IFERROR(IF(INDEX(Tbl_KPIMaster[Direction],MATCH($G533,Tbl_KPIMaster[KPI],0))="Lower is Better",IF($J533=0,1,IF($I533=0,0,$I533/$J533)),IF($I533=0,1,$J533/$I533)),0)</f>
        <v/>
      </c>
      <c r="R533" s="4">
        <f>IF(OR($I533="",$J533=""),"",$J533-$I533)</f>
        <v/>
      </c>
      <c r="S533" s="4">
        <f>IFERROR(IF(INDEX(Tbl_KPIMaster[Direction],MATCH($G533,Tbl_KPIMaster[KPI],0))="Lower is Better",IF($J533&lt;=$I533,"Green",IF($J533&lt;=$I533+IF($I533=0,$K533,$I533*$K533),"Amber","Red")),IF($J533&gt;=$I533,"Green",IF($J533&gt;=$I533-IF($I533=0,$K533,$I533*$K533),"Amber","Red"))),"")</f>
        <v/>
      </c>
      <c r="T533" s="6" t="inlineStr"/>
    </row>
    <row r="534">
      <c r="A534" s="7" t="n">
        <v>46156</v>
      </c>
      <c r="B534" s="8">
        <f>IF($A534="","",TEXT($A534,"mmm-yyyy"))</f>
        <v/>
      </c>
      <c r="C534" s="8">
        <f>IF($A534="","","W"&amp;WEEKNUM($A534,2))</f>
        <v/>
      </c>
      <c r="D534" s="8">
        <f>IF($A534="","",TEXT($A534,"ddd"))</f>
        <v/>
      </c>
      <c r="E534" s="8" t="inlineStr">
        <is>
          <t>Warehouse</t>
        </is>
      </c>
      <c r="F534" s="8">
        <f>IFERROR(INDEX(Tbl_KPIMaster[Category],MATCH($G534,Tbl_KPIMaster[KPI],0)),"")</f>
        <v/>
      </c>
      <c r="G534" s="8" t="inlineStr">
        <is>
          <t>Inventory Accuracy %</t>
        </is>
      </c>
      <c r="H534" s="8">
        <f>IFERROR(INDEX(Tbl_KPIMaster[Unit],MATCH($G534,Tbl_KPIMaster[KPI],0)),"")</f>
        <v/>
      </c>
      <c r="I534" s="9">
        <f>IFERROR(INDEX(Tbl_KPIMaster[Maximum Target],MATCH($G534,Tbl_KPIMaster[KPI],0)),"")</f>
        <v/>
      </c>
      <c r="J534" s="9" t="n">
        <v>1.0015</v>
      </c>
      <c r="K534" s="8">
        <f>IFERROR(INDEX(Tbl_KPIMaster[Tolerance],MATCH($G534,Tbl_KPIMaster[KPI],0)),"")</f>
        <v/>
      </c>
      <c r="L534" s="8">
        <f>IFERROR(INDEX(Tbl_KPIMaster[Owner],MATCH($G534,Tbl_KPIMaster[KPI],0)),"")</f>
        <v/>
      </c>
      <c r="M534" s="10" t="inlineStr">
        <is>
          <t>Preventive check done</t>
        </is>
      </c>
      <c r="N534" s="8" t="inlineStr">
        <is>
          <t>Engineering support needed</t>
        </is>
      </c>
      <c r="O534" s="8" t="inlineStr">
        <is>
          <t>Medium</t>
        </is>
      </c>
      <c r="P534" s="8" t="inlineStr">
        <is>
          <t>Open</t>
        </is>
      </c>
      <c r="Q534" s="9">
        <f>IFERROR(IF(INDEX(Tbl_KPIMaster[Direction],MATCH($G534,Tbl_KPIMaster[KPI],0))="Lower is Better",IF($J534=0,1,IF($I534=0,0,$I534/$J534)),IF($I534=0,1,$J534/$I534)),0)</f>
        <v/>
      </c>
      <c r="R534" s="8">
        <f>IF(OR($I534="",$J534=""),"",$J534-$I534)</f>
        <v/>
      </c>
      <c r="S534" s="8">
        <f>IFERROR(IF(INDEX(Tbl_KPIMaster[Direction],MATCH($G534,Tbl_KPIMaster[KPI],0))="Lower is Better",IF($J534&lt;=$I534,"Green",IF($J534&lt;=$I534+IF($I534=0,$K534,$I534*$K534),"Amber","Red")),IF($J534&gt;=$I534,"Green",IF($J534&gt;=$I534-IF($I534=0,$K534,$I534*$K534),"Amber","Red"))),"")</f>
        <v/>
      </c>
      <c r="T534" s="10" t="inlineStr"/>
    </row>
    <row r="535">
      <c r="A535" s="3" t="n">
        <v>46156</v>
      </c>
      <c r="B535" s="4">
        <f>IF($A535="","",TEXT($A535,"mmm-yyyy"))</f>
        <v/>
      </c>
      <c r="C535" s="4">
        <f>IF($A535="","","W"&amp;WEEKNUM($A535,2))</f>
        <v/>
      </c>
      <c r="D535" s="4">
        <f>IF($A535="","",TEXT($A535,"ddd"))</f>
        <v/>
      </c>
      <c r="E535" s="4" t="inlineStr">
        <is>
          <t>HR</t>
        </is>
      </c>
      <c r="F535" s="4">
        <f>IFERROR(INDEX(Tbl_KPIMaster[Category],MATCH($G535,Tbl_KPIMaster[KPI],0)),"")</f>
        <v/>
      </c>
      <c r="G535" s="4" t="inlineStr">
        <is>
          <t>Absenteeism %</t>
        </is>
      </c>
      <c r="H535" s="4">
        <f>IFERROR(INDEX(Tbl_KPIMaster[Unit],MATCH($G535,Tbl_KPIMaster[KPI],0)),"")</f>
        <v/>
      </c>
      <c r="I535" s="5">
        <f>IFERROR(INDEX(Tbl_KPIMaster[Maximum Target],MATCH($G535,Tbl_KPIMaster[KPI],0)),"")</f>
        <v/>
      </c>
      <c r="J535" s="5" t="n">
        <v>0.2771</v>
      </c>
      <c r="K535" s="4">
        <f>IFERROR(INDEX(Tbl_KPIMaster[Tolerance],MATCH($G535,Tbl_KPIMaster[KPI],0)),"")</f>
        <v/>
      </c>
      <c r="L535" s="4">
        <f>IFERROR(INDEX(Tbl_KPIMaster[Owner],MATCH($G535,Tbl_KPIMaster[KPI],0)),"")</f>
        <v/>
      </c>
      <c r="M535" s="6" t="inlineStr">
        <is>
          <t>Weather impact</t>
        </is>
      </c>
      <c r="N535" s="4" t="inlineStr"/>
      <c r="O535" s="4" t="inlineStr">
        <is>
          <t>Low</t>
        </is>
      </c>
      <c r="P535" s="4" t="inlineStr">
        <is>
          <t>Open</t>
        </is>
      </c>
      <c r="Q535" s="5">
        <f>IFERROR(IF(INDEX(Tbl_KPIMaster[Direction],MATCH($G535,Tbl_KPIMaster[KPI],0))="Lower is Better",IF($J535=0,1,IF($I535=0,0,$I535/$J535)),IF($I535=0,1,$J535/$I535)),0)</f>
        <v/>
      </c>
      <c r="R535" s="4">
        <f>IF(OR($I535="",$J535=""),"",$J535-$I535)</f>
        <v/>
      </c>
      <c r="S535" s="4">
        <f>IFERROR(IF(INDEX(Tbl_KPIMaster[Direction],MATCH($G535,Tbl_KPIMaster[KPI],0))="Lower is Better",IF($J535&lt;=$I535,"Green",IF($J535&lt;=$I535+IF($I535=0,$K535,$I535*$K535),"Amber","Red")),IF($J535&gt;=$I535,"Green",IF($J535&gt;=$I535-IF($I535=0,$K535,$I535*$K535),"Amber","Red"))),"")</f>
        <v/>
      </c>
      <c r="T535" s="6" t="inlineStr"/>
    </row>
    <row r="536">
      <c r="A536" s="7" t="n">
        <v>46156</v>
      </c>
      <c r="B536" s="8">
        <f>IF($A536="","",TEXT($A536,"mmm-yyyy"))</f>
        <v/>
      </c>
      <c r="C536" s="8">
        <f>IF($A536="","","W"&amp;WEEKNUM($A536,2))</f>
        <v/>
      </c>
      <c r="D536" s="8">
        <f>IF($A536="","",TEXT($A536,"ddd"))</f>
        <v/>
      </c>
      <c r="E536" s="8" t="inlineStr">
        <is>
          <t>HR</t>
        </is>
      </c>
      <c r="F536" s="8">
        <f>IFERROR(INDEX(Tbl_KPIMaster[Category],MATCH($G536,Tbl_KPIMaster[KPI],0)),"")</f>
        <v/>
      </c>
      <c r="G536" s="8" t="inlineStr">
        <is>
          <t>Training Hours</t>
        </is>
      </c>
      <c r="H536" s="8">
        <f>IFERROR(INDEX(Tbl_KPIMaster[Unit],MATCH($G536,Tbl_KPIMaster[KPI],0)),"")</f>
        <v/>
      </c>
      <c r="I536" s="9">
        <f>IFERROR(INDEX(Tbl_KPIMaster[Maximum Target],MATCH($G536,Tbl_KPIMaster[KPI],0)),"")</f>
        <v/>
      </c>
      <c r="J536" s="9" t="n">
        <v>2.34</v>
      </c>
      <c r="K536" s="8">
        <f>IFERROR(INDEX(Tbl_KPIMaster[Tolerance],MATCH($G536,Tbl_KPIMaster[KPI],0)),"")</f>
        <v/>
      </c>
      <c r="L536" s="8">
        <f>IFERROR(INDEX(Tbl_KPIMaster[Owner],MATCH($G536,Tbl_KPIMaster[KPI],0)),"")</f>
        <v/>
      </c>
      <c r="M536" s="10" t="inlineStr">
        <is>
          <t>New operator training effect</t>
        </is>
      </c>
      <c r="N536" s="8" t="inlineStr"/>
      <c r="O536" s="8" t="inlineStr">
        <is>
          <t>Low</t>
        </is>
      </c>
      <c r="P536" s="8" t="inlineStr">
        <is>
          <t>In Progress</t>
        </is>
      </c>
      <c r="Q536" s="9">
        <f>IFERROR(IF(INDEX(Tbl_KPIMaster[Direction],MATCH($G536,Tbl_KPIMaster[KPI],0))="Lower is Better",IF($J536=0,1,IF($I536=0,0,$I536/$J536)),IF($I536=0,1,$J536/$I536)),0)</f>
        <v/>
      </c>
      <c r="R536" s="8">
        <f>IF(OR($I536="",$J536=""),"",$J536-$I536)</f>
        <v/>
      </c>
      <c r="S536" s="8">
        <f>IFERROR(IF(INDEX(Tbl_KPIMaster[Direction],MATCH($G536,Tbl_KPIMaster[KPI],0))="Lower is Better",IF($J536&lt;=$I536,"Green",IF($J536&lt;=$I536+IF($I536=0,$K536,$I536*$K536),"Amber","Red")),IF($J536&gt;=$I536,"Green",IF($J536&gt;=$I536-IF($I536=0,$K536,$I536*$K536),"Amber","Red"))),"")</f>
        <v/>
      </c>
      <c r="T536" s="10" t="inlineStr"/>
    </row>
    <row r="537">
      <c r="A537" s="3" t="n">
        <v>46156</v>
      </c>
      <c r="B537" s="4">
        <f>IF($A537="","",TEXT($A537,"mmm-yyyy"))</f>
        <v/>
      </c>
      <c r="C537" s="4">
        <f>IF($A537="","","W"&amp;WEEKNUM($A537,2))</f>
        <v/>
      </c>
      <c r="D537" s="4">
        <f>IF($A537="","",TEXT($A537,"ddd"))</f>
        <v/>
      </c>
      <c r="E537" s="4" t="inlineStr">
        <is>
          <t>Engineering</t>
        </is>
      </c>
      <c r="F537" s="4">
        <f>IFERROR(INDEX(Tbl_KPIMaster[Category],MATCH($G537,Tbl_KPIMaster[KPI],0)),"")</f>
        <v/>
      </c>
      <c r="G537" s="4" t="inlineStr">
        <is>
          <t>Project Milestone Adherence %</t>
        </is>
      </c>
      <c r="H537" s="4">
        <f>IFERROR(INDEX(Tbl_KPIMaster[Unit],MATCH($G537,Tbl_KPIMaster[KPI],0)),"")</f>
        <v/>
      </c>
      <c r="I537" s="5">
        <f>IFERROR(INDEX(Tbl_KPIMaster[Maximum Target],MATCH($G537,Tbl_KPIMaster[KPI],0)),"")</f>
        <v/>
      </c>
      <c r="J537" s="5" t="n">
        <v>1.0901</v>
      </c>
      <c r="K537" s="4">
        <f>IFERROR(INDEX(Tbl_KPIMaster[Tolerance],MATCH($G537,Tbl_KPIMaster[KPI],0)),"")</f>
        <v/>
      </c>
      <c r="L537" s="4">
        <f>IFERROR(INDEX(Tbl_KPIMaster[Owner],MATCH($G537,Tbl_KPIMaster[KPI],0)),"")</f>
        <v/>
      </c>
      <c r="M537" s="6" t="inlineStr">
        <is>
          <t>Within normal range</t>
        </is>
      </c>
      <c r="N537" s="4" t="inlineStr"/>
      <c r="O537" s="4" t="inlineStr">
        <is>
          <t>High</t>
        </is>
      </c>
      <c r="P537" s="4" t="inlineStr">
        <is>
          <t>Closed</t>
        </is>
      </c>
      <c r="Q537" s="5">
        <f>IFERROR(IF(INDEX(Tbl_KPIMaster[Direction],MATCH($G537,Tbl_KPIMaster[KPI],0))="Lower is Better",IF($J537=0,1,IF($I537=0,0,$I537/$J537)),IF($I537=0,1,$J537/$I537)),0)</f>
        <v/>
      </c>
      <c r="R537" s="4">
        <f>IF(OR($I537="",$J537=""),"",$J537-$I537)</f>
        <v/>
      </c>
      <c r="S537" s="4">
        <f>IFERROR(IF(INDEX(Tbl_KPIMaster[Direction],MATCH($G537,Tbl_KPIMaster[KPI],0))="Lower is Better",IF($J537&lt;=$I537,"Green",IF($J537&lt;=$I537+IF($I537=0,$K537,$I537*$K537),"Amber","Red")),IF($J537&gt;=$I537,"Green",IF($J537&gt;=$I537-IF($I537=0,$K537,$I537*$K537),"Amber","Red"))),"")</f>
        <v/>
      </c>
      <c r="T537" s="6" t="inlineStr"/>
    </row>
    <row r="538">
      <c r="A538" s="7" t="n">
        <v>46156</v>
      </c>
      <c r="B538" s="8">
        <f>IF($A538="","",TEXT($A538,"mmm-yyyy"))</f>
        <v/>
      </c>
      <c r="C538" s="8">
        <f>IF($A538="","","W"&amp;WEEKNUM($A538,2))</f>
        <v/>
      </c>
      <c r="D538" s="8">
        <f>IF($A538="","",TEXT($A538,"ddd"))</f>
        <v/>
      </c>
      <c r="E538" s="8" t="inlineStr">
        <is>
          <t>Engineering</t>
        </is>
      </c>
      <c r="F538" s="8">
        <f>IFERROR(INDEX(Tbl_KPIMaster[Category],MATCH($G538,Tbl_KPIMaster[KPI],0)),"")</f>
        <v/>
      </c>
      <c r="G538" s="8" t="inlineStr">
        <is>
          <t>Breakdown Resolution Time</t>
        </is>
      </c>
      <c r="H538" s="8">
        <f>IFERROR(INDEX(Tbl_KPIMaster[Unit],MATCH($G538,Tbl_KPIMaster[KPI],0)),"")</f>
        <v/>
      </c>
      <c r="I538" s="9">
        <f>IFERROR(INDEX(Tbl_KPIMaster[Maximum Target],MATCH($G538,Tbl_KPIMaster[KPI],0)),"")</f>
        <v/>
      </c>
      <c r="J538" s="9" t="n">
        <v>0</v>
      </c>
      <c r="K538" s="8">
        <f>IFERROR(INDEX(Tbl_KPIMaster[Tolerance],MATCH($G538,Tbl_KPIMaster[KPI],0)),"")</f>
        <v/>
      </c>
      <c r="L538" s="8">
        <f>IFERROR(INDEX(Tbl_KPIMaster[Owner],MATCH($G538,Tbl_KPIMaster[KPI],0)),"")</f>
        <v/>
      </c>
      <c r="M538" s="10" t="inlineStr"/>
      <c r="N538" s="8" t="inlineStr"/>
      <c r="O538" s="8" t="inlineStr">
        <is>
          <t>High</t>
        </is>
      </c>
      <c r="P538" s="8" t="inlineStr">
        <is>
          <t>Open</t>
        </is>
      </c>
      <c r="Q538" s="9">
        <f>IFERROR(IF(INDEX(Tbl_KPIMaster[Direction],MATCH($G538,Tbl_KPIMaster[KPI],0))="Lower is Better",IF($J538=0,1,IF($I538=0,0,$I538/$J538)),IF($I538=0,1,$J538/$I538)),0)</f>
        <v/>
      </c>
      <c r="R538" s="8">
        <f>IF(OR($I538="",$J538=""),"",$J538-$I538)</f>
        <v/>
      </c>
      <c r="S538" s="8">
        <f>IFERROR(IF(INDEX(Tbl_KPIMaster[Direction],MATCH($G538,Tbl_KPIMaster[KPI],0))="Lower is Better",IF($J538&lt;=$I538,"Green",IF($J538&lt;=$I538+IF($I538=0,$K538,$I538*$K538),"Amber","Red")),IF($J538&gt;=$I538,"Green",IF($J538&gt;=$I538-IF($I538=0,$K538,$I538*$K538),"Amber","Red"))),"")</f>
        <v/>
      </c>
      <c r="T538" s="10" t="inlineStr"/>
    </row>
    <row r="539">
      <c r="A539" s="3" t="n">
        <v>46156</v>
      </c>
      <c r="B539" s="4">
        <f>IF($A539="","",TEXT($A539,"mmm-yyyy"))</f>
        <v/>
      </c>
      <c r="C539" s="4">
        <f>IF($A539="","","W"&amp;WEEKNUM($A539,2))</f>
        <v/>
      </c>
      <c r="D539" s="4">
        <f>IF($A539="","",TEXT($A539,"ddd"))</f>
        <v/>
      </c>
      <c r="E539" s="4" t="inlineStr">
        <is>
          <t>Cost</t>
        </is>
      </c>
      <c r="F539" s="4">
        <f>IFERROR(INDEX(Tbl_KPIMaster[Category],MATCH($G539,Tbl_KPIMaster[KPI],0)),"")</f>
        <v/>
      </c>
      <c r="G539" s="4" t="inlineStr">
        <is>
          <t>Cost per Unit</t>
        </is>
      </c>
      <c r="H539" s="4">
        <f>IFERROR(INDEX(Tbl_KPIMaster[Unit],MATCH($G539,Tbl_KPIMaster[KPI],0)),"")</f>
        <v/>
      </c>
      <c r="I539" s="5">
        <f>IFERROR(INDEX(Tbl_KPIMaster[Maximum Target],MATCH($G539,Tbl_KPIMaster[KPI],0)),"")</f>
        <v/>
      </c>
      <c r="J539" s="5" t="n">
        <v>46.06</v>
      </c>
      <c r="K539" s="4">
        <f>IFERROR(INDEX(Tbl_KPIMaster[Tolerance],MATCH($G539,Tbl_KPIMaster[KPI],0)),"")</f>
        <v/>
      </c>
      <c r="L539" s="4">
        <f>IFERROR(INDEX(Tbl_KPIMaster[Owner],MATCH($G539,Tbl_KPIMaster[KPI],0)),"")</f>
        <v/>
      </c>
      <c r="M539" s="6" t="inlineStr">
        <is>
          <t>Within normal range</t>
        </is>
      </c>
      <c r="N539" s="4" t="inlineStr"/>
      <c r="O539" s="4" t="inlineStr">
        <is>
          <t>High</t>
        </is>
      </c>
      <c r="P539" s="4" t="inlineStr">
        <is>
          <t>Open</t>
        </is>
      </c>
      <c r="Q539" s="5">
        <f>IFERROR(IF(INDEX(Tbl_KPIMaster[Direction],MATCH($G539,Tbl_KPIMaster[KPI],0))="Lower is Better",IF($J539=0,1,IF($I539=0,0,$I539/$J539)),IF($I539=0,1,$J539/$I539)),0)</f>
        <v/>
      </c>
      <c r="R539" s="4">
        <f>IF(OR($I539="",$J539=""),"",$J539-$I539)</f>
        <v/>
      </c>
      <c r="S539" s="4">
        <f>IFERROR(IF(INDEX(Tbl_KPIMaster[Direction],MATCH($G539,Tbl_KPIMaster[KPI],0))="Lower is Better",IF($J539&lt;=$I539,"Green",IF($J539&lt;=$I539+IF($I539=0,$K539,$I539*$K539),"Amber","Red")),IF($J539&gt;=$I539,"Green",IF($J539&gt;=$I539-IF($I539=0,$K539,$I539*$K539),"Amber","Red"))),"")</f>
        <v/>
      </c>
      <c r="T539" s="6" t="inlineStr"/>
    </row>
    <row r="540">
      <c r="A540" s="7" t="n">
        <v>46156</v>
      </c>
      <c r="B540" s="8">
        <f>IF($A540="","",TEXT($A540,"mmm-yyyy"))</f>
        <v/>
      </c>
      <c r="C540" s="8">
        <f>IF($A540="","","W"&amp;WEEKNUM($A540,2))</f>
        <v/>
      </c>
      <c r="D540" s="8">
        <f>IF($A540="","",TEXT($A540,"ddd"))</f>
        <v/>
      </c>
      <c r="E540" s="8" t="inlineStr">
        <is>
          <t>Cost</t>
        </is>
      </c>
      <c r="F540" s="8">
        <f>IFERROR(INDEX(Tbl_KPIMaster[Category],MATCH($G540,Tbl_KPIMaster[KPI],0)),"")</f>
        <v/>
      </c>
      <c r="G540" s="8" t="inlineStr">
        <is>
          <t>Budget Variance %</t>
        </is>
      </c>
      <c r="H540" s="8">
        <f>IFERROR(INDEX(Tbl_KPIMaster[Unit],MATCH($G540,Tbl_KPIMaster[KPI],0)),"")</f>
        <v/>
      </c>
      <c r="I540" s="9">
        <f>IFERROR(INDEX(Tbl_KPIMaster[Maximum Target],MATCH($G540,Tbl_KPIMaster[KPI],0)),"")</f>
        <v/>
      </c>
      <c r="J540" s="9" t="n">
        <v>0.4539</v>
      </c>
      <c r="K540" s="8">
        <f>IFERROR(INDEX(Tbl_KPIMaster[Tolerance],MATCH($G540,Tbl_KPIMaster[KPI],0)),"")</f>
        <v/>
      </c>
      <c r="L540" s="8">
        <f>IFERROR(INDEX(Tbl_KPIMaster[Owner],MATCH($G540,Tbl_KPIMaster[KPI],0)),"")</f>
        <v/>
      </c>
      <c r="M540" s="10" t="inlineStr">
        <is>
          <t>Process improvement in progress</t>
        </is>
      </c>
      <c r="N540" s="8" t="inlineStr">
        <is>
          <t>Procurement follow-up</t>
        </is>
      </c>
      <c r="O540" s="8" t="inlineStr">
        <is>
          <t>High</t>
        </is>
      </c>
      <c r="P540" s="8" t="inlineStr">
        <is>
          <t>In Progress</t>
        </is>
      </c>
      <c r="Q540" s="9">
        <f>IFERROR(IF(INDEX(Tbl_KPIMaster[Direction],MATCH($G540,Tbl_KPIMaster[KPI],0))="Lower is Better",IF($J540=0,1,IF($I540=0,0,$I540/$J540)),IF($I540=0,1,$J540/$I540)),0)</f>
        <v/>
      </c>
      <c r="R540" s="8">
        <f>IF(OR($I540="",$J540=""),"",$J540-$I540)</f>
        <v/>
      </c>
      <c r="S540" s="8">
        <f>IFERROR(IF(INDEX(Tbl_KPIMaster[Direction],MATCH($G540,Tbl_KPIMaster[KPI],0))="Lower is Better",IF($J540&lt;=$I540,"Green",IF($J540&lt;=$I540+IF($I540=0,$K540,$I540*$K540),"Amber","Red")),IF($J540&gt;=$I540,"Green",IF($J540&gt;=$I540-IF($I540=0,$K540,$I540*$K540),"Amber","Red"))),"")</f>
        <v/>
      </c>
      <c r="T540" s="10" t="inlineStr"/>
    </row>
    <row r="541">
      <c r="A541" s="3" t="n">
        <v>46156</v>
      </c>
      <c r="B541" s="4">
        <f>IF($A541="","",TEXT($A541,"mmm-yyyy"))</f>
        <v/>
      </c>
      <c r="C541" s="4">
        <f>IF($A541="","","W"&amp;WEEKNUM($A541,2))</f>
        <v/>
      </c>
      <c r="D541" s="4">
        <f>IF($A541="","",TEXT($A541,"ddd"))</f>
        <v/>
      </c>
      <c r="E541" s="4" t="inlineStr">
        <is>
          <t>Energy</t>
        </is>
      </c>
      <c r="F541" s="4">
        <f>IFERROR(INDEX(Tbl_KPIMaster[Category],MATCH($G541,Tbl_KPIMaster[KPI],0)),"")</f>
        <v/>
      </c>
      <c r="G541" s="4" t="inlineStr">
        <is>
          <t>Energy Intensity (kWh/unit)</t>
        </is>
      </c>
      <c r="H541" s="4">
        <f>IFERROR(INDEX(Tbl_KPIMaster[Unit],MATCH($G541,Tbl_KPIMaster[KPI],0)),"")</f>
        <v/>
      </c>
      <c r="I541" s="5">
        <f>IFERROR(INDEX(Tbl_KPIMaster[Maximum Target],MATCH($G541,Tbl_KPIMaster[KPI],0)),"")</f>
        <v/>
      </c>
      <c r="J541" s="5" t="n">
        <v>4.09</v>
      </c>
      <c r="K541" s="4">
        <f>IFERROR(INDEX(Tbl_KPIMaster[Tolerance],MATCH($G541,Tbl_KPIMaster[KPI],0)),"")</f>
        <v/>
      </c>
      <c r="L541" s="4">
        <f>IFERROR(INDEX(Tbl_KPIMaster[Owner],MATCH($G541,Tbl_KPIMaster[KPI],0)),"")</f>
        <v/>
      </c>
      <c r="M541" s="6" t="inlineStr">
        <is>
          <t>Awaiting spares</t>
        </is>
      </c>
      <c r="N541" s="4" t="inlineStr"/>
      <c r="O541" s="4" t="inlineStr">
        <is>
          <t>Low</t>
        </is>
      </c>
      <c r="P541" s="4" t="inlineStr">
        <is>
          <t>Closed</t>
        </is>
      </c>
      <c r="Q541" s="5">
        <f>IFERROR(IF(INDEX(Tbl_KPIMaster[Direction],MATCH($G541,Tbl_KPIMaster[KPI],0))="Lower is Better",IF($J541=0,1,IF($I541=0,0,$I541/$J541)),IF($I541=0,1,$J541/$I541)),0)</f>
        <v/>
      </c>
      <c r="R541" s="4">
        <f>IF(OR($I541="",$J541=""),"",$J541-$I541)</f>
        <v/>
      </c>
      <c r="S541" s="4">
        <f>IFERROR(IF(INDEX(Tbl_KPIMaster[Direction],MATCH($G541,Tbl_KPIMaster[KPI],0))="Lower is Better",IF($J541&lt;=$I541,"Green",IF($J541&lt;=$I541+IF($I541=0,$K541,$I541*$K541),"Amber","Red")),IF($J541&gt;=$I541,"Green",IF($J541&gt;=$I541-IF($I541=0,$K541,$I541*$K541),"Amber","Red"))),"")</f>
        <v/>
      </c>
      <c r="T541" s="6" t="inlineStr"/>
    </row>
    <row r="542">
      <c r="A542" s="7" t="n">
        <v>46156</v>
      </c>
      <c r="B542" s="8">
        <f>IF($A542="","",TEXT($A542,"mmm-yyyy"))</f>
        <v/>
      </c>
      <c r="C542" s="8">
        <f>IF($A542="","","W"&amp;WEEKNUM($A542,2))</f>
        <v/>
      </c>
      <c r="D542" s="8">
        <f>IF($A542="","",TEXT($A542,"ddd"))</f>
        <v/>
      </c>
      <c r="E542" s="8" t="inlineStr">
        <is>
          <t>Energy</t>
        </is>
      </c>
      <c r="F542" s="8">
        <f>IFERROR(INDEX(Tbl_KPIMaster[Category],MATCH($G542,Tbl_KPIMaster[KPI],0)),"")</f>
        <v/>
      </c>
      <c r="G542" s="8" t="inlineStr">
        <is>
          <t>Renewable Energy Share %</t>
        </is>
      </c>
      <c r="H542" s="8">
        <f>IFERROR(INDEX(Tbl_KPIMaster[Unit],MATCH($G542,Tbl_KPIMaster[KPI],0)),"")</f>
        <v/>
      </c>
      <c r="I542" s="9">
        <f>IFERROR(INDEX(Tbl_KPIMaster[Maximum Target],MATCH($G542,Tbl_KPIMaster[KPI],0)),"")</f>
        <v/>
      </c>
      <c r="J542" s="9" t="n">
        <v>0.2024</v>
      </c>
      <c r="K542" s="8">
        <f>IFERROR(INDEX(Tbl_KPIMaster[Tolerance],MATCH($G542,Tbl_KPIMaster[KPI],0)),"")</f>
        <v/>
      </c>
      <c r="L542" s="8">
        <f>IFERROR(INDEX(Tbl_KPIMaster[Owner],MATCH($G542,Tbl_KPIMaster[KPI],0)),"")</f>
        <v/>
      </c>
      <c r="M542" s="10" t="inlineStr"/>
      <c r="N542" s="8" t="inlineStr">
        <is>
          <t>Procurement follow-up</t>
        </is>
      </c>
      <c r="O542" s="8" t="inlineStr">
        <is>
          <t>Low</t>
        </is>
      </c>
      <c r="P542" s="8" t="inlineStr">
        <is>
          <t>Open</t>
        </is>
      </c>
      <c r="Q542" s="9">
        <f>IFERROR(IF(INDEX(Tbl_KPIMaster[Direction],MATCH($G542,Tbl_KPIMaster[KPI],0))="Lower is Better",IF($J542=0,1,IF($I542=0,0,$I542/$J542)),IF($I542=0,1,$J542/$I542)),0)</f>
        <v/>
      </c>
      <c r="R542" s="8">
        <f>IF(OR($I542="",$J542=""),"",$J542-$I542)</f>
        <v/>
      </c>
      <c r="S542" s="8">
        <f>IFERROR(IF(INDEX(Tbl_KPIMaster[Direction],MATCH($G542,Tbl_KPIMaster[KPI],0))="Lower is Better",IF($J542&lt;=$I542,"Green",IF($J542&lt;=$I542+IF($I542=0,$K542,$I542*$K542),"Amber","Red")),IF($J542&gt;=$I542,"Green",IF($J542&gt;=$I542-IF($I542=0,$K542,$I542*$K542),"Amber","Red"))),"")</f>
        <v/>
      </c>
      <c r="T542" s="10" t="inlineStr"/>
    </row>
    <row r="543">
      <c r="A543" s="3" t="n">
        <v>46157</v>
      </c>
      <c r="B543" s="4">
        <f>IF($A543="","",TEXT($A543,"mmm-yyyy"))</f>
        <v/>
      </c>
      <c r="C543" s="4">
        <f>IF($A543="","","W"&amp;WEEKNUM($A543,2))</f>
        <v/>
      </c>
      <c r="D543" s="4">
        <f>IF($A543="","",TEXT($A543,"ddd"))</f>
        <v/>
      </c>
      <c r="E543" s="4" t="inlineStr">
        <is>
          <t>Safety</t>
        </is>
      </c>
      <c r="F543" s="4">
        <f>IFERROR(INDEX(Tbl_KPIMaster[Category],MATCH($G543,Tbl_KPIMaster[KPI],0)),"")</f>
        <v/>
      </c>
      <c r="G543" s="4" t="inlineStr">
        <is>
          <t>Safety Incidents (LTI)</t>
        </is>
      </c>
      <c r="H543" s="4">
        <f>IFERROR(INDEX(Tbl_KPIMaster[Unit],MATCH($G543,Tbl_KPIMaster[KPI],0)),"")</f>
        <v/>
      </c>
      <c r="I543" s="5">
        <f>IFERROR(INDEX(Tbl_KPIMaster[Maximum Target],MATCH($G543,Tbl_KPIMaster[KPI],0)),"")</f>
        <v/>
      </c>
      <c r="J543" s="5" t="n">
        <v>0</v>
      </c>
      <c r="K543" s="4">
        <f>IFERROR(INDEX(Tbl_KPIMaster[Tolerance],MATCH($G543,Tbl_KPIMaster[KPI],0)),"")</f>
        <v/>
      </c>
      <c r="L543" s="4">
        <f>IFERROR(INDEX(Tbl_KPIMaster[Owner],MATCH($G543,Tbl_KPIMaster[KPI],0)),"")</f>
        <v/>
      </c>
      <c r="M543" s="6" t="inlineStr">
        <is>
          <t>Manpower shortage</t>
        </is>
      </c>
      <c r="N543" s="4" t="inlineStr">
        <is>
          <t>Management approval pending</t>
        </is>
      </c>
      <c r="O543" s="4" t="inlineStr">
        <is>
          <t>Medium</t>
        </is>
      </c>
      <c r="P543" s="4" t="inlineStr">
        <is>
          <t>Open</t>
        </is>
      </c>
      <c r="Q543" s="5">
        <f>IFERROR(IF(INDEX(Tbl_KPIMaster[Direction],MATCH($G543,Tbl_KPIMaster[KPI],0))="Lower is Better",IF($J543=0,1,IF($I543=0,0,$I543/$J543)),IF($I543=0,1,$J543/$I543)),0)</f>
        <v/>
      </c>
      <c r="R543" s="4">
        <f>IF(OR($I543="",$J543=""),"",$J543-$I543)</f>
        <v/>
      </c>
      <c r="S543" s="4">
        <f>IFERROR(IF(INDEX(Tbl_KPIMaster[Direction],MATCH($G543,Tbl_KPIMaster[KPI],0))="Lower is Better",IF($J543&lt;=$I543,"Green",IF($J543&lt;=$I543+IF($I543=0,$K543,$I543*$K543),"Amber","Red")),IF($J543&gt;=$I543,"Green",IF($J543&gt;=$I543-IF($I543=0,$K543,$I543*$K543),"Amber","Red"))),"")</f>
        <v/>
      </c>
      <c r="T543" s="6" t="inlineStr"/>
    </row>
    <row r="544">
      <c r="A544" s="7" t="n">
        <v>46157</v>
      </c>
      <c r="B544" s="8">
        <f>IF($A544="","",TEXT($A544,"mmm-yyyy"))</f>
        <v/>
      </c>
      <c r="C544" s="8">
        <f>IF($A544="","","W"&amp;WEEKNUM($A544,2))</f>
        <v/>
      </c>
      <c r="D544" s="8">
        <f>IF($A544="","",TEXT($A544,"ddd"))</f>
        <v/>
      </c>
      <c r="E544" s="8" t="inlineStr">
        <is>
          <t>Safety</t>
        </is>
      </c>
      <c r="F544" s="8">
        <f>IFERROR(INDEX(Tbl_KPIMaster[Category],MATCH($G544,Tbl_KPIMaster[KPI],0)),"")</f>
        <v/>
      </c>
      <c r="G544" s="8" t="inlineStr">
        <is>
          <t>Near Miss Reports</t>
        </is>
      </c>
      <c r="H544" s="8">
        <f>IFERROR(INDEX(Tbl_KPIMaster[Unit],MATCH($G544,Tbl_KPIMaster[KPI],0)),"")</f>
        <v/>
      </c>
      <c r="I544" s="9">
        <f>IFERROR(INDEX(Tbl_KPIMaster[Maximum Target],MATCH($G544,Tbl_KPIMaster[KPI],0)),"")</f>
        <v/>
      </c>
      <c r="J544" s="9" t="n">
        <v>2</v>
      </c>
      <c r="K544" s="8">
        <f>IFERROR(INDEX(Tbl_KPIMaster[Tolerance],MATCH($G544,Tbl_KPIMaster[KPI],0)),"")</f>
        <v/>
      </c>
      <c r="L544" s="8">
        <f>IFERROR(INDEX(Tbl_KPIMaster[Owner],MATCH($G544,Tbl_KPIMaster[KPI],0)),"")</f>
        <v/>
      </c>
      <c r="M544" s="10" t="inlineStr">
        <is>
          <t>Weather impact</t>
        </is>
      </c>
      <c r="N544" s="8" t="inlineStr"/>
      <c r="O544" s="8" t="inlineStr">
        <is>
          <t>Medium</t>
        </is>
      </c>
      <c r="P544" s="8" t="inlineStr">
        <is>
          <t>In Progress</t>
        </is>
      </c>
      <c r="Q544" s="9">
        <f>IFERROR(IF(INDEX(Tbl_KPIMaster[Direction],MATCH($G544,Tbl_KPIMaster[KPI],0))="Lower is Better",IF($J544=0,1,IF($I544=0,0,$I544/$J544)),IF($I544=0,1,$J544/$I544)),0)</f>
        <v/>
      </c>
      <c r="R544" s="8">
        <f>IF(OR($I544="",$J544=""),"",$J544-$I544)</f>
        <v/>
      </c>
      <c r="S544" s="8">
        <f>IFERROR(IF(INDEX(Tbl_KPIMaster[Direction],MATCH($G544,Tbl_KPIMaster[KPI],0))="Lower is Better",IF($J544&lt;=$I544,"Green",IF($J544&lt;=$I544+IF($I544=0,$K544,$I544*$K544),"Amber","Red")),IF($J544&gt;=$I544,"Green",IF($J544&gt;=$I544-IF($I544=0,$K544,$I544*$K544),"Amber","Red"))),"")</f>
        <v/>
      </c>
      <c r="T544" s="10" t="inlineStr"/>
    </row>
    <row r="545">
      <c r="A545" s="3" t="n">
        <v>46157</v>
      </c>
      <c r="B545" s="4">
        <f>IF($A545="","",TEXT($A545,"mmm-yyyy"))</f>
        <v/>
      </c>
      <c r="C545" s="4">
        <f>IF($A545="","","W"&amp;WEEKNUM($A545,2))</f>
        <v/>
      </c>
      <c r="D545" s="4">
        <f>IF($A545="","",TEXT($A545,"ddd"))</f>
        <v/>
      </c>
      <c r="E545" s="4" t="inlineStr">
        <is>
          <t>Production</t>
        </is>
      </c>
      <c r="F545" s="4">
        <f>IFERROR(INDEX(Tbl_KPIMaster[Category],MATCH($G545,Tbl_KPIMaster[KPI],0)),"")</f>
        <v/>
      </c>
      <c r="G545" s="4" t="inlineStr">
        <is>
          <t>Production Output</t>
        </is>
      </c>
      <c r="H545" s="4">
        <f>IFERROR(INDEX(Tbl_KPIMaster[Unit],MATCH($G545,Tbl_KPIMaster[KPI],0)),"")</f>
        <v/>
      </c>
      <c r="I545" s="5">
        <f>IFERROR(INDEX(Tbl_KPIMaster[Maximum Target],MATCH($G545,Tbl_KPIMaster[KPI],0)),"")</f>
        <v/>
      </c>
      <c r="J545" s="5" t="n">
        <v>1104.66</v>
      </c>
      <c r="K545" s="4">
        <f>IFERROR(INDEX(Tbl_KPIMaster[Tolerance],MATCH($G545,Tbl_KPIMaster[KPI],0)),"")</f>
        <v/>
      </c>
      <c r="L545" s="4">
        <f>IFERROR(INDEX(Tbl_KPIMaster[Owner],MATCH($G545,Tbl_KPIMaster[KPI],0)),"")</f>
        <v/>
      </c>
      <c r="M545" s="6" t="inlineStr">
        <is>
          <t>Awaiting spares</t>
        </is>
      </c>
      <c r="N545" s="4" t="inlineStr">
        <is>
          <t>Procurement follow-up</t>
        </is>
      </c>
      <c r="O545" s="4" t="inlineStr">
        <is>
          <t>Low</t>
        </is>
      </c>
      <c r="P545" s="4" t="inlineStr">
        <is>
          <t>Closed</t>
        </is>
      </c>
      <c r="Q545" s="5">
        <f>IFERROR(IF(INDEX(Tbl_KPIMaster[Direction],MATCH($G545,Tbl_KPIMaster[KPI],0))="Lower is Better",IF($J545=0,1,IF($I545=0,0,$I545/$J545)),IF($I545=0,1,$J545/$I545)),0)</f>
        <v/>
      </c>
      <c r="R545" s="4">
        <f>IF(OR($I545="",$J545=""),"",$J545-$I545)</f>
        <v/>
      </c>
      <c r="S545" s="4">
        <f>IFERROR(IF(INDEX(Tbl_KPIMaster[Direction],MATCH($G545,Tbl_KPIMaster[KPI],0))="Lower is Better",IF($J545&lt;=$I545,"Green",IF($J545&lt;=$I545+IF($I545=0,$K545,$I545*$K545),"Amber","Red")),IF($J545&gt;=$I545,"Green",IF($J545&gt;=$I545-IF($I545=0,$K545,$I545*$K545),"Amber","Red"))),"")</f>
        <v/>
      </c>
      <c r="T545" s="6" t="inlineStr"/>
    </row>
    <row r="546">
      <c r="A546" s="7" t="n">
        <v>46157</v>
      </c>
      <c r="B546" s="8">
        <f>IF($A546="","",TEXT($A546,"mmm-yyyy"))</f>
        <v/>
      </c>
      <c r="C546" s="8">
        <f>IF($A546="","","W"&amp;WEEKNUM($A546,2))</f>
        <v/>
      </c>
      <c r="D546" s="8">
        <f>IF($A546="","",TEXT($A546,"ddd"))</f>
        <v/>
      </c>
      <c r="E546" s="8" t="inlineStr">
        <is>
          <t>Production</t>
        </is>
      </c>
      <c r="F546" s="8">
        <f>IFERROR(INDEX(Tbl_KPIMaster[Category],MATCH($G546,Tbl_KPIMaster[KPI],0)),"")</f>
        <v/>
      </c>
      <c r="G546" s="8" t="inlineStr">
        <is>
          <t>OEE %</t>
        </is>
      </c>
      <c r="H546" s="8">
        <f>IFERROR(INDEX(Tbl_KPIMaster[Unit],MATCH($G546,Tbl_KPIMaster[KPI],0)),"")</f>
        <v/>
      </c>
      <c r="I546" s="9">
        <f>IFERROR(INDEX(Tbl_KPIMaster[Maximum Target],MATCH($G546,Tbl_KPIMaster[KPI],0)),"")</f>
        <v/>
      </c>
      <c r="J546" s="9" t="n">
        <v>0.9105</v>
      </c>
      <c r="K546" s="8">
        <f>IFERROR(INDEX(Tbl_KPIMaster[Tolerance],MATCH($G546,Tbl_KPIMaster[KPI],0)),"")</f>
        <v/>
      </c>
      <c r="L546" s="8">
        <f>IFERROR(INDEX(Tbl_KPIMaster[Owner],MATCH($G546,Tbl_KPIMaster[KPI],0)),"")</f>
        <v/>
      </c>
      <c r="M546" s="10" t="inlineStr">
        <is>
          <t>Line changeover impact</t>
        </is>
      </c>
      <c r="N546" s="8" t="inlineStr"/>
      <c r="O546" s="8" t="inlineStr">
        <is>
          <t>Low</t>
        </is>
      </c>
      <c r="P546" s="8" t="inlineStr">
        <is>
          <t>Closed</t>
        </is>
      </c>
      <c r="Q546" s="9">
        <f>IFERROR(IF(INDEX(Tbl_KPIMaster[Direction],MATCH($G546,Tbl_KPIMaster[KPI],0))="Lower is Better",IF($J546=0,1,IF($I546=0,0,$I546/$J546)),IF($I546=0,1,$J546/$I546)),0)</f>
        <v/>
      </c>
      <c r="R546" s="8">
        <f>IF(OR($I546="",$J546=""),"",$J546-$I546)</f>
        <v/>
      </c>
      <c r="S546" s="8">
        <f>IFERROR(IF(INDEX(Tbl_KPIMaster[Direction],MATCH($G546,Tbl_KPIMaster[KPI],0))="Lower is Better",IF($J546&lt;=$I546,"Green",IF($J546&lt;=$I546+IF($I546=0,$K546,$I546*$K546),"Amber","Red")),IF($J546&gt;=$I546,"Green",IF($J546&gt;=$I546-IF($I546=0,$K546,$I546*$K546),"Amber","Red"))),"")</f>
        <v/>
      </c>
      <c r="T546" s="10" t="inlineStr"/>
    </row>
    <row r="547">
      <c r="A547" s="3" t="n">
        <v>46157</v>
      </c>
      <c r="B547" s="4">
        <f>IF($A547="","",TEXT($A547,"mmm-yyyy"))</f>
        <v/>
      </c>
      <c r="C547" s="4">
        <f>IF($A547="","","W"&amp;WEEKNUM($A547,2))</f>
        <v/>
      </c>
      <c r="D547" s="4">
        <f>IF($A547="","",TEXT($A547,"ddd"))</f>
        <v/>
      </c>
      <c r="E547" s="4" t="inlineStr">
        <is>
          <t>Quality</t>
        </is>
      </c>
      <c r="F547" s="4">
        <f>IFERROR(INDEX(Tbl_KPIMaster[Category],MATCH($G547,Tbl_KPIMaster[KPI],0)),"")</f>
        <v/>
      </c>
      <c r="G547" s="4" t="inlineStr">
        <is>
          <t>Defect Rate %</t>
        </is>
      </c>
      <c r="H547" s="4">
        <f>IFERROR(INDEX(Tbl_KPIMaster[Unit],MATCH($G547,Tbl_KPIMaster[KPI],0)),"")</f>
        <v/>
      </c>
      <c r="I547" s="5">
        <f>IFERROR(INDEX(Tbl_KPIMaster[Maximum Target],MATCH($G547,Tbl_KPIMaster[KPI],0)),"")</f>
        <v/>
      </c>
      <c r="J547" s="5" t="n">
        <v>0.6502</v>
      </c>
      <c r="K547" s="4">
        <f>IFERROR(INDEX(Tbl_KPIMaster[Tolerance],MATCH($G547,Tbl_KPIMaster[KPI],0)),"")</f>
        <v/>
      </c>
      <c r="L547" s="4">
        <f>IFERROR(INDEX(Tbl_KPIMaster[Owner],MATCH($G547,Tbl_KPIMaster[KPI],0)),"")</f>
        <v/>
      </c>
      <c r="M547" s="6" t="inlineStr"/>
      <c r="N547" s="4" t="inlineStr">
        <is>
          <t>Engineering support needed</t>
        </is>
      </c>
      <c r="O547" s="4" t="inlineStr">
        <is>
          <t>Low</t>
        </is>
      </c>
      <c r="P547" s="4" t="inlineStr">
        <is>
          <t>Open</t>
        </is>
      </c>
      <c r="Q547" s="5">
        <f>IFERROR(IF(INDEX(Tbl_KPIMaster[Direction],MATCH($G547,Tbl_KPIMaster[KPI],0))="Lower is Better",IF($J547=0,1,IF($I547=0,0,$I547/$J547)),IF($I547=0,1,$J547/$I547)),0)</f>
        <v/>
      </c>
      <c r="R547" s="4">
        <f>IF(OR($I547="",$J547=""),"",$J547-$I547)</f>
        <v/>
      </c>
      <c r="S547" s="4">
        <f>IFERROR(IF(INDEX(Tbl_KPIMaster[Direction],MATCH($G547,Tbl_KPIMaster[KPI],0))="Lower is Better",IF($J547&lt;=$I547,"Green",IF($J547&lt;=$I547+IF($I547=0,$K547,$I547*$K547),"Amber","Red")),IF($J547&gt;=$I547,"Green",IF($J547&gt;=$I547-IF($I547=0,$K547,$I547*$K547),"Amber","Red"))),"")</f>
        <v/>
      </c>
      <c r="T547" s="6" t="inlineStr"/>
    </row>
    <row r="548">
      <c r="A548" s="7" t="n">
        <v>46157</v>
      </c>
      <c r="B548" s="8">
        <f>IF($A548="","",TEXT($A548,"mmm-yyyy"))</f>
        <v/>
      </c>
      <c r="C548" s="8">
        <f>IF($A548="","","W"&amp;WEEKNUM($A548,2))</f>
        <v/>
      </c>
      <c r="D548" s="8">
        <f>IF($A548="","",TEXT($A548,"ddd"))</f>
        <v/>
      </c>
      <c r="E548" s="8" t="inlineStr">
        <is>
          <t>Quality</t>
        </is>
      </c>
      <c r="F548" s="8">
        <f>IFERROR(INDEX(Tbl_KPIMaster[Category],MATCH($G548,Tbl_KPIMaster[KPI],0)),"")</f>
        <v/>
      </c>
      <c r="G548" s="8" t="inlineStr">
        <is>
          <t>Customer Complaints</t>
        </is>
      </c>
      <c r="H548" s="8">
        <f>IFERROR(INDEX(Tbl_KPIMaster[Unit],MATCH($G548,Tbl_KPIMaster[KPI],0)),"")</f>
        <v/>
      </c>
      <c r="I548" s="9">
        <f>IFERROR(INDEX(Tbl_KPIMaster[Maximum Target],MATCH($G548,Tbl_KPIMaster[KPI],0)),"")</f>
        <v/>
      </c>
      <c r="J548" s="9" t="n">
        <v>5</v>
      </c>
      <c r="K548" s="8">
        <f>IFERROR(INDEX(Tbl_KPIMaster[Tolerance],MATCH($G548,Tbl_KPIMaster[KPI],0)),"")</f>
        <v/>
      </c>
      <c r="L548" s="8">
        <f>IFERROR(INDEX(Tbl_KPIMaster[Owner],MATCH($G548,Tbl_KPIMaster[KPI],0)),"")</f>
        <v/>
      </c>
      <c r="M548" s="10" t="inlineStr">
        <is>
          <t>Preventive check done</t>
        </is>
      </c>
      <c r="N548" s="8" t="inlineStr"/>
      <c r="O548" s="8" t="inlineStr">
        <is>
          <t>Low</t>
        </is>
      </c>
      <c r="P548" s="8" t="inlineStr">
        <is>
          <t>Open</t>
        </is>
      </c>
      <c r="Q548" s="9">
        <f>IFERROR(IF(INDEX(Tbl_KPIMaster[Direction],MATCH($G548,Tbl_KPIMaster[KPI],0))="Lower is Better",IF($J548=0,1,IF($I548=0,0,$I548/$J548)),IF($I548=0,1,$J548/$I548)),0)</f>
        <v/>
      </c>
      <c r="R548" s="8">
        <f>IF(OR($I548="",$J548=""),"",$J548-$I548)</f>
        <v/>
      </c>
      <c r="S548" s="8">
        <f>IFERROR(IF(INDEX(Tbl_KPIMaster[Direction],MATCH($G548,Tbl_KPIMaster[KPI],0))="Lower is Better",IF($J548&lt;=$I548,"Green",IF($J548&lt;=$I548+IF($I548=0,$K548,$I548*$K548),"Amber","Red")),IF($J548&gt;=$I548,"Green",IF($J548&gt;=$I548-IF($I548=0,$K548,$I548*$K548),"Amber","Red"))),"")</f>
        <v/>
      </c>
      <c r="T548" s="10" t="inlineStr"/>
    </row>
    <row r="549">
      <c r="A549" s="3" t="n">
        <v>46157</v>
      </c>
      <c r="B549" s="4">
        <f>IF($A549="","",TEXT($A549,"mmm-yyyy"))</f>
        <v/>
      </c>
      <c r="C549" s="4">
        <f>IF($A549="","","W"&amp;WEEKNUM($A549,2))</f>
        <v/>
      </c>
      <c r="D549" s="4">
        <f>IF($A549="","",TEXT($A549,"ddd"))</f>
        <v/>
      </c>
      <c r="E549" s="4" t="inlineStr">
        <is>
          <t>Maintenance</t>
        </is>
      </c>
      <c r="F549" s="4">
        <f>IFERROR(INDEX(Tbl_KPIMaster[Category],MATCH($G549,Tbl_KPIMaster[KPI],0)),"")</f>
        <v/>
      </c>
      <c r="G549" s="4" t="inlineStr">
        <is>
          <t>Unplanned Downtime</t>
        </is>
      </c>
      <c r="H549" s="4">
        <f>IFERROR(INDEX(Tbl_KPIMaster[Unit],MATCH($G549,Tbl_KPIMaster[KPI],0)),"")</f>
        <v/>
      </c>
      <c r="I549" s="5">
        <f>IFERROR(INDEX(Tbl_KPIMaster[Maximum Target],MATCH($G549,Tbl_KPIMaster[KPI],0)),"")</f>
        <v/>
      </c>
      <c r="J549" s="5" t="n">
        <v>0.19</v>
      </c>
      <c r="K549" s="4">
        <f>IFERROR(INDEX(Tbl_KPIMaster[Tolerance],MATCH($G549,Tbl_KPIMaster[KPI],0)),"")</f>
        <v/>
      </c>
      <c r="L549" s="4">
        <f>IFERROR(INDEX(Tbl_KPIMaster[Owner],MATCH($G549,Tbl_KPIMaster[KPI],0)),"")</f>
        <v/>
      </c>
      <c r="M549" s="6" t="inlineStr">
        <is>
          <t>Within normal range</t>
        </is>
      </c>
      <c r="N549" s="4" t="inlineStr">
        <is>
          <t>Procurement follow-up</t>
        </is>
      </c>
      <c r="O549" s="4" t="inlineStr">
        <is>
          <t>Medium</t>
        </is>
      </c>
      <c r="P549" s="4" t="inlineStr">
        <is>
          <t>In Progress</t>
        </is>
      </c>
      <c r="Q549" s="5">
        <f>IFERROR(IF(INDEX(Tbl_KPIMaster[Direction],MATCH($G549,Tbl_KPIMaster[KPI],0))="Lower is Better",IF($J549=0,1,IF($I549=0,0,$I549/$J549)),IF($I549=0,1,$J549/$I549)),0)</f>
        <v/>
      </c>
      <c r="R549" s="4">
        <f>IF(OR($I549="",$J549=""),"",$J549-$I549)</f>
        <v/>
      </c>
      <c r="S549" s="4">
        <f>IFERROR(IF(INDEX(Tbl_KPIMaster[Direction],MATCH($G549,Tbl_KPIMaster[KPI],0))="Lower is Better",IF($J549&lt;=$I549,"Green",IF($J549&lt;=$I549+IF($I549=0,$K549,$I549*$K549),"Amber","Red")),IF($J549&gt;=$I549,"Green",IF($J549&gt;=$I549-IF($I549=0,$K549,$I549*$K549),"Amber","Red"))),"")</f>
        <v/>
      </c>
      <c r="T549" s="6" t="inlineStr"/>
    </row>
    <row r="550">
      <c r="A550" s="7" t="n">
        <v>46157</v>
      </c>
      <c r="B550" s="8">
        <f>IF($A550="","",TEXT($A550,"mmm-yyyy"))</f>
        <v/>
      </c>
      <c r="C550" s="8">
        <f>IF($A550="","","W"&amp;WEEKNUM($A550,2))</f>
        <v/>
      </c>
      <c r="D550" s="8">
        <f>IF($A550="","",TEXT($A550,"ddd"))</f>
        <v/>
      </c>
      <c r="E550" s="8" t="inlineStr">
        <is>
          <t>Maintenance</t>
        </is>
      </c>
      <c r="F550" s="8">
        <f>IFERROR(INDEX(Tbl_KPIMaster[Category],MATCH($G550,Tbl_KPIMaster[KPI],0)),"")</f>
        <v/>
      </c>
      <c r="G550" s="8" t="inlineStr">
        <is>
          <t>PM Compliance %</t>
        </is>
      </c>
      <c r="H550" s="8">
        <f>IFERROR(INDEX(Tbl_KPIMaster[Unit],MATCH($G550,Tbl_KPIMaster[KPI],0)),"")</f>
        <v/>
      </c>
      <c r="I550" s="9">
        <f>IFERROR(INDEX(Tbl_KPIMaster[Maximum Target],MATCH($G550,Tbl_KPIMaster[KPI],0)),"")</f>
        <v/>
      </c>
      <c r="J550" s="9" t="n">
        <v>1.0299</v>
      </c>
      <c r="K550" s="8">
        <f>IFERROR(INDEX(Tbl_KPIMaster[Tolerance],MATCH($G550,Tbl_KPIMaster[KPI],0)),"")</f>
        <v/>
      </c>
      <c r="L550" s="8">
        <f>IFERROR(INDEX(Tbl_KPIMaster[Owner],MATCH($G550,Tbl_KPIMaster[KPI],0)),"")</f>
        <v/>
      </c>
      <c r="M550" s="10" t="inlineStr">
        <is>
          <t>Equipment breakdown</t>
        </is>
      </c>
      <c r="N550" s="8" t="inlineStr">
        <is>
          <t>Management approval pending</t>
        </is>
      </c>
      <c r="O550" s="8" t="inlineStr">
        <is>
          <t>Low</t>
        </is>
      </c>
      <c r="P550" s="8" t="inlineStr">
        <is>
          <t>In Progress</t>
        </is>
      </c>
      <c r="Q550" s="9">
        <f>IFERROR(IF(INDEX(Tbl_KPIMaster[Direction],MATCH($G550,Tbl_KPIMaster[KPI],0))="Lower is Better",IF($J550=0,1,IF($I550=0,0,$I550/$J550)),IF($I550=0,1,$J550/$I550)),0)</f>
        <v/>
      </c>
      <c r="R550" s="8">
        <f>IF(OR($I550="",$J550=""),"",$J550-$I550)</f>
        <v/>
      </c>
      <c r="S550" s="8">
        <f>IFERROR(IF(INDEX(Tbl_KPIMaster[Direction],MATCH($G550,Tbl_KPIMaster[KPI],0))="Lower is Better",IF($J550&lt;=$I550,"Green",IF($J550&lt;=$I550+IF($I550=0,$K550,$I550*$K550),"Amber","Red")),IF($J550&gt;=$I550,"Green",IF($J550&gt;=$I550-IF($I550=0,$K550,$I550*$K550),"Amber","Red"))),"")</f>
        <v/>
      </c>
      <c r="T550" s="10" t="inlineStr"/>
    </row>
    <row r="551">
      <c r="A551" s="3" t="n">
        <v>46157</v>
      </c>
      <c r="B551" s="4">
        <f>IF($A551="","",TEXT($A551,"mmm-yyyy"))</f>
        <v/>
      </c>
      <c r="C551" s="4">
        <f>IF($A551="","","W"&amp;WEEKNUM($A551,2))</f>
        <v/>
      </c>
      <c r="D551" s="4">
        <f>IF($A551="","",TEXT($A551,"ddd"))</f>
        <v/>
      </c>
      <c r="E551" s="4" t="inlineStr">
        <is>
          <t>Utilities</t>
        </is>
      </c>
      <c r="F551" s="4">
        <f>IFERROR(INDEX(Tbl_KPIMaster[Category],MATCH($G551,Tbl_KPIMaster[KPI],0)),"")</f>
        <v/>
      </c>
      <c r="G551" s="4" t="inlineStr">
        <is>
          <t>Power Consumption</t>
        </is>
      </c>
      <c r="H551" s="4">
        <f>IFERROR(INDEX(Tbl_KPIMaster[Unit],MATCH($G551,Tbl_KPIMaster[KPI],0)),"")</f>
        <v/>
      </c>
      <c r="I551" s="5">
        <f>IFERROR(INDEX(Tbl_KPIMaster[Maximum Target],MATCH($G551,Tbl_KPIMaster[KPI],0)),"")</f>
        <v/>
      </c>
      <c r="J551" s="5" t="n">
        <v>3401.71</v>
      </c>
      <c r="K551" s="4">
        <f>IFERROR(INDEX(Tbl_KPIMaster[Tolerance],MATCH($G551,Tbl_KPIMaster[KPI],0)),"")</f>
        <v/>
      </c>
      <c r="L551" s="4">
        <f>IFERROR(INDEX(Tbl_KPIMaster[Owner],MATCH($G551,Tbl_KPIMaster[KPI],0)),"")</f>
        <v/>
      </c>
      <c r="M551" s="6" t="inlineStr">
        <is>
          <t>Line changeover impact</t>
        </is>
      </c>
      <c r="N551" s="4" t="inlineStr">
        <is>
          <t>Procurement follow-up</t>
        </is>
      </c>
      <c r="O551" s="4" t="inlineStr">
        <is>
          <t>Low</t>
        </is>
      </c>
      <c r="P551" s="4" t="inlineStr">
        <is>
          <t>Open</t>
        </is>
      </c>
      <c r="Q551" s="5">
        <f>IFERROR(IF(INDEX(Tbl_KPIMaster[Direction],MATCH($G551,Tbl_KPIMaster[KPI],0))="Lower is Better",IF($J551=0,1,IF($I551=0,0,$I551/$J551)),IF($I551=0,1,$J551/$I551)),0)</f>
        <v/>
      </c>
      <c r="R551" s="4">
        <f>IF(OR($I551="",$J551=""),"",$J551-$I551)</f>
        <v/>
      </c>
      <c r="S551" s="4">
        <f>IFERROR(IF(INDEX(Tbl_KPIMaster[Direction],MATCH($G551,Tbl_KPIMaster[KPI],0))="Lower is Better",IF($J551&lt;=$I551,"Green",IF($J551&lt;=$I551+IF($I551=0,$K551,$I551*$K551),"Amber","Red")),IF($J551&gt;=$I551,"Green",IF($J551&gt;=$I551-IF($I551=0,$K551,$I551*$K551),"Amber","Red"))),"")</f>
        <v/>
      </c>
      <c r="T551" s="6" t="inlineStr"/>
    </row>
    <row r="552">
      <c r="A552" s="7" t="n">
        <v>46157</v>
      </c>
      <c r="B552" s="8">
        <f>IF($A552="","",TEXT($A552,"mmm-yyyy"))</f>
        <v/>
      </c>
      <c r="C552" s="8">
        <f>IF($A552="","","W"&amp;WEEKNUM($A552,2))</f>
        <v/>
      </c>
      <c r="D552" s="8">
        <f>IF($A552="","",TEXT($A552,"ddd"))</f>
        <v/>
      </c>
      <c r="E552" s="8" t="inlineStr">
        <is>
          <t>Utilities</t>
        </is>
      </c>
      <c r="F552" s="8">
        <f>IFERROR(INDEX(Tbl_KPIMaster[Category],MATCH($G552,Tbl_KPIMaster[KPI],0)),"")</f>
        <v/>
      </c>
      <c r="G552" s="8" t="inlineStr">
        <is>
          <t>Water Consumption</t>
        </is>
      </c>
      <c r="H552" s="8">
        <f>IFERROR(INDEX(Tbl_KPIMaster[Unit],MATCH($G552,Tbl_KPIMaster[KPI],0)),"")</f>
        <v/>
      </c>
      <c r="I552" s="9">
        <f>IFERROR(INDEX(Tbl_KPIMaster[Maximum Target],MATCH($G552,Tbl_KPIMaster[KPI],0)),"")</f>
        <v/>
      </c>
      <c r="J552" s="9" t="n">
        <v>47.23</v>
      </c>
      <c r="K552" s="8">
        <f>IFERROR(INDEX(Tbl_KPIMaster[Tolerance],MATCH($G552,Tbl_KPIMaster[KPI],0)),"")</f>
        <v/>
      </c>
      <c r="L552" s="8">
        <f>IFERROR(INDEX(Tbl_KPIMaster[Owner],MATCH($G552,Tbl_KPIMaster[KPI],0)),"")</f>
        <v/>
      </c>
      <c r="M552" s="10" t="inlineStr"/>
      <c r="N552" s="8" t="inlineStr">
        <is>
          <t>Procurement follow-up</t>
        </is>
      </c>
      <c r="O552" s="8" t="inlineStr">
        <is>
          <t>High</t>
        </is>
      </c>
      <c r="P552" s="8" t="inlineStr">
        <is>
          <t>Closed</t>
        </is>
      </c>
      <c r="Q552" s="9">
        <f>IFERROR(IF(INDEX(Tbl_KPIMaster[Direction],MATCH($G552,Tbl_KPIMaster[KPI],0))="Lower is Better",IF($J552=0,1,IF($I552=0,0,$I552/$J552)),IF($I552=0,1,$J552/$I552)),0)</f>
        <v/>
      </c>
      <c r="R552" s="8">
        <f>IF(OR($I552="",$J552=""),"",$J552-$I552)</f>
        <v/>
      </c>
      <c r="S552" s="8">
        <f>IFERROR(IF(INDEX(Tbl_KPIMaster[Direction],MATCH($G552,Tbl_KPIMaster[KPI],0))="Lower is Better",IF($J552&lt;=$I552,"Green",IF($J552&lt;=$I552+IF($I552=0,$K552,$I552*$K552),"Amber","Red")),IF($J552&gt;=$I552,"Green",IF($J552&gt;=$I552-IF($I552=0,$K552,$I552*$K552),"Amber","Red"))),"")</f>
        <v/>
      </c>
      <c r="T552" s="10" t="inlineStr"/>
    </row>
    <row r="553">
      <c r="A553" s="3" t="n">
        <v>46157</v>
      </c>
      <c r="B553" s="4">
        <f>IF($A553="","",TEXT($A553,"mmm-yyyy"))</f>
        <v/>
      </c>
      <c r="C553" s="4">
        <f>IF($A553="","","W"&amp;WEEKNUM($A553,2))</f>
        <v/>
      </c>
      <c r="D553" s="4">
        <f>IF($A553="","",TEXT($A553,"ddd"))</f>
        <v/>
      </c>
      <c r="E553" s="4" t="inlineStr">
        <is>
          <t>Warehouse</t>
        </is>
      </c>
      <c r="F553" s="4">
        <f>IFERROR(INDEX(Tbl_KPIMaster[Category],MATCH($G553,Tbl_KPIMaster[KPI],0)),"")</f>
        <v/>
      </c>
      <c r="G553" s="4" t="inlineStr">
        <is>
          <t>On-Time Dispatch %</t>
        </is>
      </c>
      <c r="H553" s="4">
        <f>IFERROR(INDEX(Tbl_KPIMaster[Unit],MATCH($G553,Tbl_KPIMaster[KPI],0)),"")</f>
        <v/>
      </c>
      <c r="I553" s="5">
        <f>IFERROR(INDEX(Tbl_KPIMaster[Maximum Target],MATCH($G553,Tbl_KPIMaster[KPI],0)),"")</f>
        <v/>
      </c>
      <c r="J553" s="5" t="n">
        <v>1.059</v>
      </c>
      <c r="K553" s="4">
        <f>IFERROR(INDEX(Tbl_KPIMaster[Tolerance],MATCH($G553,Tbl_KPIMaster[KPI],0)),"")</f>
        <v/>
      </c>
      <c r="L553" s="4">
        <f>IFERROR(INDEX(Tbl_KPIMaster[Owner],MATCH($G553,Tbl_KPIMaster[KPI],0)),"")</f>
        <v/>
      </c>
      <c r="M553" s="6" t="inlineStr">
        <is>
          <t>Line changeover impact</t>
        </is>
      </c>
      <c r="N553" s="4" t="inlineStr">
        <is>
          <t>Management approval pending</t>
        </is>
      </c>
      <c r="O553" s="4" t="inlineStr">
        <is>
          <t>Low</t>
        </is>
      </c>
      <c r="P553" s="4" t="inlineStr">
        <is>
          <t>Closed</t>
        </is>
      </c>
      <c r="Q553" s="5">
        <f>IFERROR(IF(INDEX(Tbl_KPIMaster[Direction],MATCH($G553,Tbl_KPIMaster[KPI],0))="Lower is Better",IF($J553=0,1,IF($I553=0,0,$I553/$J553)),IF($I553=0,1,$J553/$I553)),0)</f>
        <v/>
      </c>
      <c r="R553" s="4">
        <f>IF(OR($I553="",$J553=""),"",$J553-$I553)</f>
        <v/>
      </c>
      <c r="S553" s="4">
        <f>IFERROR(IF(INDEX(Tbl_KPIMaster[Direction],MATCH($G553,Tbl_KPIMaster[KPI],0))="Lower is Better",IF($J553&lt;=$I553,"Green",IF($J553&lt;=$I553+IF($I553=0,$K553,$I553*$K553),"Amber","Red")),IF($J553&gt;=$I553,"Green",IF($J553&gt;=$I553-IF($I553=0,$K553,$I553*$K553),"Amber","Red"))),"")</f>
        <v/>
      </c>
      <c r="T553" s="6" t="inlineStr"/>
    </row>
    <row r="554">
      <c r="A554" s="7" t="n">
        <v>46157</v>
      </c>
      <c r="B554" s="8">
        <f>IF($A554="","",TEXT($A554,"mmm-yyyy"))</f>
        <v/>
      </c>
      <c r="C554" s="8">
        <f>IF($A554="","","W"&amp;WEEKNUM($A554,2))</f>
        <v/>
      </c>
      <c r="D554" s="8">
        <f>IF($A554="","",TEXT($A554,"ddd"))</f>
        <v/>
      </c>
      <c r="E554" s="8" t="inlineStr">
        <is>
          <t>Warehouse</t>
        </is>
      </c>
      <c r="F554" s="8">
        <f>IFERROR(INDEX(Tbl_KPIMaster[Category],MATCH($G554,Tbl_KPIMaster[KPI],0)),"")</f>
        <v/>
      </c>
      <c r="G554" s="8" t="inlineStr">
        <is>
          <t>Inventory Accuracy %</t>
        </is>
      </c>
      <c r="H554" s="8">
        <f>IFERROR(INDEX(Tbl_KPIMaster[Unit],MATCH($G554,Tbl_KPIMaster[KPI],0)),"")</f>
        <v/>
      </c>
      <c r="I554" s="9">
        <f>IFERROR(INDEX(Tbl_KPIMaster[Maximum Target],MATCH($G554,Tbl_KPIMaster[KPI],0)),"")</f>
        <v/>
      </c>
      <c r="J554" s="9" t="n">
        <v>1.0563</v>
      </c>
      <c r="K554" s="8">
        <f>IFERROR(INDEX(Tbl_KPIMaster[Tolerance],MATCH($G554,Tbl_KPIMaster[KPI],0)),"")</f>
        <v/>
      </c>
      <c r="L554" s="8">
        <f>IFERROR(INDEX(Tbl_KPIMaster[Owner],MATCH($G554,Tbl_KPIMaster[KPI],0)),"")</f>
        <v/>
      </c>
      <c r="M554" s="10" t="inlineStr"/>
      <c r="N554" s="8" t="inlineStr"/>
      <c r="O554" s="8" t="inlineStr">
        <is>
          <t>Medium</t>
        </is>
      </c>
      <c r="P554" s="8" t="inlineStr">
        <is>
          <t>In Progress</t>
        </is>
      </c>
      <c r="Q554" s="9">
        <f>IFERROR(IF(INDEX(Tbl_KPIMaster[Direction],MATCH($G554,Tbl_KPIMaster[KPI],0))="Lower is Better",IF($J554=0,1,IF($I554=0,0,$I554/$J554)),IF($I554=0,1,$J554/$I554)),0)</f>
        <v/>
      </c>
      <c r="R554" s="8">
        <f>IF(OR($I554="",$J554=""),"",$J554-$I554)</f>
        <v/>
      </c>
      <c r="S554" s="8">
        <f>IFERROR(IF(INDEX(Tbl_KPIMaster[Direction],MATCH($G554,Tbl_KPIMaster[KPI],0))="Lower is Better",IF($J554&lt;=$I554,"Green",IF($J554&lt;=$I554+IF($I554=0,$K554,$I554*$K554),"Amber","Red")),IF($J554&gt;=$I554,"Green",IF($J554&gt;=$I554-IF($I554=0,$K554,$I554*$K554),"Amber","Red"))),"")</f>
        <v/>
      </c>
      <c r="T554" s="10" t="inlineStr"/>
    </row>
    <row r="555">
      <c r="A555" s="3" t="n">
        <v>46157</v>
      </c>
      <c r="B555" s="4">
        <f>IF($A555="","",TEXT($A555,"mmm-yyyy"))</f>
        <v/>
      </c>
      <c r="C555" s="4">
        <f>IF($A555="","","W"&amp;WEEKNUM($A555,2))</f>
        <v/>
      </c>
      <c r="D555" s="4">
        <f>IF($A555="","",TEXT($A555,"ddd"))</f>
        <v/>
      </c>
      <c r="E555" s="4" t="inlineStr">
        <is>
          <t>HR</t>
        </is>
      </c>
      <c r="F555" s="4">
        <f>IFERROR(INDEX(Tbl_KPIMaster[Category],MATCH($G555,Tbl_KPIMaster[KPI],0)),"")</f>
        <v/>
      </c>
      <c r="G555" s="4" t="inlineStr">
        <is>
          <t>Absenteeism %</t>
        </is>
      </c>
      <c r="H555" s="4">
        <f>IFERROR(INDEX(Tbl_KPIMaster[Unit],MATCH($G555,Tbl_KPIMaster[KPI],0)),"")</f>
        <v/>
      </c>
      <c r="I555" s="5">
        <f>IFERROR(INDEX(Tbl_KPIMaster[Maximum Target],MATCH($G555,Tbl_KPIMaster[KPI],0)),"")</f>
        <v/>
      </c>
      <c r="J555" s="5" t="n">
        <v>0.5399</v>
      </c>
      <c r="K555" s="4">
        <f>IFERROR(INDEX(Tbl_KPIMaster[Tolerance],MATCH($G555,Tbl_KPIMaster[KPI],0)),"")</f>
        <v/>
      </c>
      <c r="L555" s="4">
        <f>IFERROR(INDEX(Tbl_KPIMaster[Owner],MATCH($G555,Tbl_KPIMaster[KPI],0)),"")</f>
        <v/>
      </c>
      <c r="M555" s="6" t="inlineStr">
        <is>
          <t>Preventive check done</t>
        </is>
      </c>
      <c r="N555" s="4" t="inlineStr">
        <is>
          <t>Engineering support needed</t>
        </is>
      </c>
      <c r="O555" s="4" t="inlineStr">
        <is>
          <t>Medium</t>
        </is>
      </c>
      <c r="P555" s="4" t="inlineStr">
        <is>
          <t>Open</t>
        </is>
      </c>
      <c r="Q555" s="5">
        <f>IFERROR(IF(INDEX(Tbl_KPIMaster[Direction],MATCH($G555,Tbl_KPIMaster[KPI],0))="Lower is Better",IF($J555=0,1,IF($I555=0,0,$I555/$J555)),IF($I555=0,1,$J555/$I555)),0)</f>
        <v/>
      </c>
      <c r="R555" s="4">
        <f>IF(OR($I555="",$J555=""),"",$J555-$I555)</f>
        <v/>
      </c>
      <c r="S555" s="4">
        <f>IFERROR(IF(INDEX(Tbl_KPIMaster[Direction],MATCH($G555,Tbl_KPIMaster[KPI],0))="Lower is Better",IF($J555&lt;=$I555,"Green",IF($J555&lt;=$I555+IF($I555=0,$K555,$I555*$K555),"Amber","Red")),IF($J555&gt;=$I555,"Green",IF($J555&gt;=$I555-IF($I555=0,$K555,$I555*$K555),"Amber","Red"))),"")</f>
        <v/>
      </c>
      <c r="T555" s="6" t="inlineStr"/>
    </row>
    <row r="556">
      <c r="A556" s="7" t="n">
        <v>46157</v>
      </c>
      <c r="B556" s="8">
        <f>IF($A556="","",TEXT($A556,"mmm-yyyy"))</f>
        <v/>
      </c>
      <c r="C556" s="8">
        <f>IF($A556="","","W"&amp;WEEKNUM($A556,2))</f>
        <v/>
      </c>
      <c r="D556" s="8">
        <f>IF($A556="","",TEXT($A556,"ddd"))</f>
        <v/>
      </c>
      <c r="E556" s="8" t="inlineStr">
        <is>
          <t>HR</t>
        </is>
      </c>
      <c r="F556" s="8">
        <f>IFERROR(INDEX(Tbl_KPIMaster[Category],MATCH($G556,Tbl_KPIMaster[KPI],0)),"")</f>
        <v/>
      </c>
      <c r="G556" s="8" t="inlineStr">
        <is>
          <t>Training Hours</t>
        </is>
      </c>
      <c r="H556" s="8">
        <f>IFERROR(INDEX(Tbl_KPIMaster[Unit],MATCH($G556,Tbl_KPIMaster[KPI],0)),"")</f>
        <v/>
      </c>
      <c r="I556" s="9">
        <f>IFERROR(INDEX(Tbl_KPIMaster[Maximum Target],MATCH($G556,Tbl_KPIMaster[KPI],0)),"")</f>
        <v/>
      </c>
      <c r="J556" s="9" t="n">
        <v>1.72</v>
      </c>
      <c r="K556" s="8">
        <f>IFERROR(INDEX(Tbl_KPIMaster[Tolerance],MATCH($G556,Tbl_KPIMaster[KPI],0)),"")</f>
        <v/>
      </c>
      <c r="L556" s="8">
        <f>IFERROR(INDEX(Tbl_KPIMaster[Owner],MATCH($G556,Tbl_KPIMaster[KPI],0)),"")</f>
        <v/>
      </c>
      <c r="M556" s="10" t="inlineStr">
        <is>
          <t>Awaiting spares</t>
        </is>
      </c>
      <c r="N556" s="8" t="inlineStr"/>
      <c r="O556" s="8" t="inlineStr">
        <is>
          <t>Low</t>
        </is>
      </c>
      <c r="P556" s="8" t="inlineStr">
        <is>
          <t>Closed</t>
        </is>
      </c>
      <c r="Q556" s="9">
        <f>IFERROR(IF(INDEX(Tbl_KPIMaster[Direction],MATCH($G556,Tbl_KPIMaster[KPI],0))="Lower is Better",IF($J556=0,1,IF($I556=0,0,$I556/$J556)),IF($I556=0,1,$J556/$I556)),0)</f>
        <v/>
      </c>
      <c r="R556" s="8">
        <f>IF(OR($I556="",$J556=""),"",$J556-$I556)</f>
        <v/>
      </c>
      <c r="S556" s="8">
        <f>IFERROR(IF(INDEX(Tbl_KPIMaster[Direction],MATCH($G556,Tbl_KPIMaster[KPI],0))="Lower is Better",IF($J556&lt;=$I556,"Green",IF($J556&lt;=$I556+IF($I556=0,$K556,$I556*$K556),"Amber","Red")),IF($J556&gt;=$I556,"Green",IF($J556&gt;=$I556-IF($I556=0,$K556,$I556*$K556),"Amber","Red"))),"")</f>
        <v/>
      </c>
      <c r="T556" s="10" t="inlineStr"/>
    </row>
    <row r="557">
      <c r="A557" s="3" t="n">
        <v>46157</v>
      </c>
      <c r="B557" s="4">
        <f>IF($A557="","",TEXT($A557,"mmm-yyyy"))</f>
        <v/>
      </c>
      <c r="C557" s="4">
        <f>IF($A557="","","W"&amp;WEEKNUM($A557,2))</f>
        <v/>
      </c>
      <c r="D557" s="4">
        <f>IF($A557="","",TEXT($A557,"ddd"))</f>
        <v/>
      </c>
      <c r="E557" s="4" t="inlineStr">
        <is>
          <t>Engineering</t>
        </is>
      </c>
      <c r="F557" s="4">
        <f>IFERROR(INDEX(Tbl_KPIMaster[Category],MATCH($G557,Tbl_KPIMaster[KPI],0)),"")</f>
        <v/>
      </c>
      <c r="G557" s="4" t="inlineStr">
        <is>
          <t>Project Milestone Adherence %</t>
        </is>
      </c>
      <c r="H557" s="4">
        <f>IFERROR(INDEX(Tbl_KPIMaster[Unit],MATCH($G557,Tbl_KPIMaster[KPI],0)),"")</f>
        <v/>
      </c>
      <c r="I557" s="5">
        <f>IFERROR(INDEX(Tbl_KPIMaster[Maximum Target],MATCH($G557,Tbl_KPIMaster[KPI],0)),"")</f>
        <v/>
      </c>
      <c r="J557" s="5" t="n">
        <v>0.8607</v>
      </c>
      <c r="K557" s="4">
        <f>IFERROR(INDEX(Tbl_KPIMaster[Tolerance],MATCH($G557,Tbl_KPIMaster[KPI],0)),"")</f>
        <v/>
      </c>
      <c r="L557" s="4">
        <f>IFERROR(INDEX(Tbl_KPIMaster[Owner],MATCH($G557,Tbl_KPIMaster[KPI],0)),"")</f>
        <v/>
      </c>
      <c r="M557" s="6" t="inlineStr">
        <is>
          <t>Within normal range</t>
        </is>
      </c>
      <c r="N557" s="4" t="inlineStr">
        <is>
          <t>Engineering support needed</t>
        </is>
      </c>
      <c r="O557" s="4" t="inlineStr">
        <is>
          <t>Low</t>
        </is>
      </c>
      <c r="P557" s="4" t="inlineStr">
        <is>
          <t>In Progress</t>
        </is>
      </c>
      <c r="Q557" s="5">
        <f>IFERROR(IF(INDEX(Tbl_KPIMaster[Direction],MATCH($G557,Tbl_KPIMaster[KPI],0))="Lower is Better",IF($J557=0,1,IF($I557=0,0,$I557/$J557)),IF($I557=0,1,$J557/$I557)),0)</f>
        <v/>
      </c>
      <c r="R557" s="4">
        <f>IF(OR($I557="",$J557=""),"",$J557-$I557)</f>
        <v/>
      </c>
      <c r="S557" s="4">
        <f>IFERROR(IF(INDEX(Tbl_KPIMaster[Direction],MATCH($G557,Tbl_KPIMaster[KPI],0))="Lower is Better",IF($J557&lt;=$I557,"Green",IF($J557&lt;=$I557+IF($I557=0,$K557,$I557*$K557),"Amber","Red")),IF($J557&gt;=$I557,"Green",IF($J557&gt;=$I557-IF($I557=0,$K557,$I557*$K557),"Amber","Red"))),"")</f>
        <v/>
      </c>
      <c r="T557" s="6" t="inlineStr"/>
    </row>
    <row r="558">
      <c r="A558" s="7" t="n">
        <v>46157</v>
      </c>
      <c r="B558" s="8">
        <f>IF($A558="","",TEXT($A558,"mmm-yyyy"))</f>
        <v/>
      </c>
      <c r="C558" s="8">
        <f>IF($A558="","","W"&amp;WEEKNUM($A558,2))</f>
        <v/>
      </c>
      <c r="D558" s="8">
        <f>IF($A558="","",TEXT($A558,"ddd"))</f>
        <v/>
      </c>
      <c r="E558" s="8" t="inlineStr">
        <is>
          <t>Engineering</t>
        </is>
      </c>
      <c r="F558" s="8">
        <f>IFERROR(INDEX(Tbl_KPIMaster[Category],MATCH($G558,Tbl_KPIMaster[KPI],0)),"")</f>
        <v/>
      </c>
      <c r="G558" s="8" t="inlineStr">
        <is>
          <t>Breakdown Resolution Time</t>
        </is>
      </c>
      <c r="H558" s="8">
        <f>IFERROR(INDEX(Tbl_KPIMaster[Unit],MATCH($G558,Tbl_KPIMaster[KPI],0)),"")</f>
        <v/>
      </c>
      <c r="I558" s="9">
        <f>IFERROR(INDEX(Tbl_KPIMaster[Maximum Target],MATCH($G558,Tbl_KPIMaster[KPI],0)),"")</f>
        <v/>
      </c>
      <c r="J558" s="9" t="n">
        <v>0.53</v>
      </c>
      <c r="K558" s="8">
        <f>IFERROR(INDEX(Tbl_KPIMaster[Tolerance],MATCH($G558,Tbl_KPIMaster[KPI],0)),"")</f>
        <v/>
      </c>
      <c r="L558" s="8">
        <f>IFERROR(INDEX(Tbl_KPIMaster[Owner],MATCH($G558,Tbl_KPIMaster[KPI],0)),"")</f>
        <v/>
      </c>
      <c r="M558" s="10" t="inlineStr">
        <is>
          <t>Preventive check done</t>
        </is>
      </c>
      <c r="N558" s="8" t="inlineStr"/>
      <c r="O558" s="8" t="inlineStr">
        <is>
          <t>Low</t>
        </is>
      </c>
      <c r="P558" s="8" t="inlineStr">
        <is>
          <t>Closed</t>
        </is>
      </c>
      <c r="Q558" s="9">
        <f>IFERROR(IF(INDEX(Tbl_KPIMaster[Direction],MATCH($G558,Tbl_KPIMaster[KPI],0))="Lower is Better",IF($J558=0,1,IF($I558=0,0,$I558/$J558)),IF($I558=0,1,$J558/$I558)),0)</f>
        <v/>
      </c>
      <c r="R558" s="8">
        <f>IF(OR($I558="",$J558=""),"",$J558-$I558)</f>
        <v/>
      </c>
      <c r="S558" s="8">
        <f>IFERROR(IF(INDEX(Tbl_KPIMaster[Direction],MATCH($G558,Tbl_KPIMaster[KPI],0))="Lower is Better",IF($J558&lt;=$I558,"Green",IF($J558&lt;=$I558+IF($I558=0,$K558,$I558*$K558),"Amber","Red")),IF($J558&gt;=$I558,"Green",IF($J558&gt;=$I558-IF($I558=0,$K558,$I558*$K558),"Amber","Red"))),"")</f>
        <v/>
      </c>
      <c r="T558" s="10" t="inlineStr"/>
    </row>
    <row r="559">
      <c r="A559" s="3" t="n">
        <v>46157</v>
      </c>
      <c r="B559" s="4">
        <f>IF($A559="","",TEXT($A559,"mmm-yyyy"))</f>
        <v/>
      </c>
      <c r="C559" s="4">
        <f>IF($A559="","","W"&amp;WEEKNUM($A559,2))</f>
        <v/>
      </c>
      <c r="D559" s="4">
        <f>IF($A559="","",TEXT($A559,"ddd"))</f>
        <v/>
      </c>
      <c r="E559" s="4" t="inlineStr">
        <is>
          <t>Cost</t>
        </is>
      </c>
      <c r="F559" s="4">
        <f>IFERROR(INDEX(Tbl_KPIMaster[Category],MATCH($G559,Tbl_KPIMaster[KPI],0)),"")</f>
        <v/>
      </c>
      <c r="G559" s="4" t="inlineStr">
        <is>
          <t>Cost per Unit</t>
        </is>
      </c>
      <c r="H559" s="4">
        <f>IFERROR(INDEX(Tbl_KPIMaster[Unit],MATCH($G559,Tbl_KPIMaster[KPI],0)),"")</f>
        <v/>
      </c>
      <c r="I559" s="5">
        <f>IFERROR(INDEX(Tbl_KPIMaster[Maximum Target],MATCH($G559,Tbl_KPIMaster[KPI],0)),"")</f>
        <v/>
      </c>
      <c r="J559" s="5" t="n">
        <v>40.37</v>
      </c>
      <c r="K559" s="4">
        <f>IFERROR(INDEX(Tbl_KPIMaster[Tolerance],MATCH($G559,Tbl_KPIMaster[KPI],0)),"")</f>
        <v/>
      </c>
      <c r="L559" s="4">
        <f>IFERROR(INDEX(Tbl_KPIMaster[Owner],MATCH($G559,Tbl_KPIMaster[KPI],0)),"")</f>
        <v/>
      </c>
      <c r="M559" s="6" t="inlineStr">
        <is>
          <t>Manpower shortage</t>
        </is>
      </c>
      <c r="N559" s="4" t="inlineStr">
        <is>
          <t>Procurement follow-up</t>
        </is>
      </c>
      <c r="O559" s="4" t="inlineStr">
        <is>
          <t>Low</t>
        </is>
      </c>
      <c r="P559" s="4" t="inlineStr">
        <is>
          <t>Open</t>
        </is>
      </c>
      <c r="Q559" s="5">
        <f>IFERROR(IF(INDEX(Tbl_KPIMaster[Direction],MATCH($G559,Tbl_KPIMaster[KPI],0))="Lower is Better",IF($J559=0,1,IF($I559=0,0,$I559/$J559)),IF($I559=0,1,$J559/$I559)),0)</f>
        <v/>
      </c>
      <c r="R559" s="4">
        <f>IF(OR($I559="",$J559=""),"",$J559-$I559)</f>
        <v/>
      </c>
      <c r="S559" s="4">
        <f>IFERROR(IF(INDEX(Tbl_KPIMaster[Direction],MATCH($G559,Tbl_KPIMaster[KPI],0))="Lower is Better",IF($J559&lt;=$I559,"Green",IF($J559&lt;=$I559+IF($I559=0,$K559,$I559*$K559),"Amber","Red")),IF($J559&gt;=$I559,"Green",IF($J559&gt;=$I559-IF($I559=0,$K559,$I559*$K559),"Amber","Red"))),"")</f>
        <v/>
      </c>
      <c r="T559" s="6" t="inlineStr"/>
    </row>
    <row r="560">
      <c r="A560" s="7" t="n">
        <v>46157</v>
      </c>
      <c r="B560" s="8">
        <f>IF($A560="","",TEXT($A560,"mmm-yyyy"))</f>
        <v/>
      </c>
      <c r="C560" s="8">
        <f>IF($A560="","","W"&amp;WEEKNUM($A560,2))</f>
        <v/>
      </c>
      <c r="D560" s="8">
        <f>IF($A560="","",TEXT($A560,"ddd"))</f>
        <v/>
      </c>
      <c r="E560" s="8" t="inlineStr">
        <is>
          <t>Cost</t>
        </is>
      </c>
      <c r="F560" s="8">
        <f>IFERROR(INDEX(Tbl_KPIMaster[Category],MATCH($G560,Tbl_KPIMaster[KPI],0)),"")</f>
        <v/>
      </c>
      <c r="G560" s="8" t="inlineStr">
        <is>
          <t>Budget Variance %</t>
        </is>
      </c>
      <c r="H560" s="8">
        <f>IFERROR(INDEX(Tbl_KPIMaster[Unit],MATCH($G560,Tbl_KPIMaster[KPI],0)),"")</f>
        <v/>
      </c>
      <c r="I560" s="9">
        <f>IFERROR(INDEX(Tbl_KPIMaster[Maximum Target],MATCH($G560,Tbl_KPIMaster[KPI],0)),"")</f>
        <v/>
      </c>
      <c r="J560" s="9" t="n">
        <v>0.2362</v>
      </c>
      <c r="K560" s="8">
        <f>IFERROR(INDEX(Tbl_KPIMaster[Tolerance],MATCH($G560,Tbl_KPIMaster[KPI],0)),"")</f>
        <v/>
      </c>
      <c r="L560" s="8">
        <f>IFERROR(INDEX(Tbl_KPIMaster[Owner],MATCH($G560,Tbl_KPIMaster[KPI],0)),"")</f>
        <v/>
      </c>
      <c r="M560" s="10" t="inlineStr">
        <is>
          <t>Line changeover impact</t>
        </is>
      </c>
      <c r="N560" s="8" t="inlineStr"/>
      <c r="O560" s="8" t="inlineStr">
        <is>
          <t>Medium</t>
        </is>
      </c>
      <c r="P560" s="8" t="inlineStr">
        <is>
          <t>Closed</t>
        </is>
      </c>
      <c r="Q560" s="9">
        <f>IFERROR(IF(INDEX(Tbl_KPIMaster[Direction],MATCH($G560,Tbl_KPIMaster[KPI],0))="Lower is Better",IF($J560=0,1,IF($I560=0,0,$I560/$J560)),IF($I560=0,1,$J560/$I560)),0)</f>
        <v/>
      </c>
      <c r="R560" s="8">
        <f>IF(OR($I560="",$J560=""),"",$J560-$I560)</f>
        <v/>
      </c>
      <c r="S560" s="8">
        <f>IFERROR(IF(INDEX(Tbl_KPIMaster[Direction],MATCH($G560,Tbl_KPIMaster[KPI],0))="Lower is Better",IF($J560&lt;=$I560,"Green",IF($J560&lt;=$I560+IF($I560=0,$K560,$I560*$K560),"Amber","Red")),IF($J560&gt;=$I560,"Green",IF($J560&gt;=$I560-IF($I560=0,$K560,$I560*$K560),"Amber","Red"))),"")</f>
        <v/>
      </c>
      <c r="T560" s="10" t="inlineStr"/>
    </row>
    <row r="561">
      <c r="A561" s="3" t="n">
        <v>46157</v>
      </c>
      <c r="B561" s="4">
        <f>IF($A561="","",TEXT($A561,"mmm-yyyy"))</f>
        <v/>
      </c>
      <c r="C561" s="4">
        <f>IF($A561="","","W"&amp;WEEKNUM($A561,2))</f>
        <v/>
      </c>
      <c r="D561" s="4">
        <f>IF($A561="","",TEXT($A561,"ddd"))</f>
        <v/>
      </c>
      <c r="E561" s="4" t="inlineStr">
        <is>
          <t>Energy</t>
        </is>
      </c>
      <c r="F561" s="4">
        <f>IFERROR(INDEX(Tbl_KPIMaster[Category],MATCH($G561,Tbl_KPIMaster[KPI],0)),"")</f>
        <v/>
      </c>
      <c r="G561" s="4" t="inlineStr">
        <is>
          <t>Energy Intensity (kWh/unit)</t>
        </is>
      </c>
      <c r="H561" s="4">
        <f>IFERROR(INDEX(Tbl_KPIMaster[Unit],MATCH($G561,Tbl_KPIMaster[KPI],0)),"")</f>
        <v/>
      </c>
      <c r="I561" s="5">
        <f>IFERROR(INDEX(Tbl_KPIMaster[Maximum Target],MATCH($G561,Tbl_KPIMaster[KPI],0)),"")</f>
        <v/>
      </c>
      <c r="J561" s="5" t="n">
        <v>4.05</v>
      </c>
      <c r="K561" s="4">
        <f>IFERROR(INDEX(Tbl_KPIMaster[Tolerance],MATCH($G561,Tbl_KPIMaster[KPI],0)),"")</f>
        <v/>
      </c>
      <c r="L561" s="4">
        <f>IFERROR(INDEX(Tbl_KPIMaster[Owner],MATCH($G561,Tbl_KPIMaster[KPI],0)),"")</f>
        <v/>
      </c>
      <c r="M561" s="6" t="inlineStr">
        <is>
          <t>Equipment breakdown</t>
        </is>
      </c>
      <c r="N561" s="4" t="inlineStr">
        <is>
          <t>Management approval pending</t>
        </is>
      </c>
      <c r="O561" s="4" t="inlineStr">
        <is>
          <t>Low</t>
        </is>
      </c>
      <c r="P561" s="4" t="inlineStr">
        <is>
          <t>Closed</t>
        </is>
      </c>
      <c r="Q561" s="5">
        <f>IFERROR(IF(INDEX(Tbl_KPIMaster[Direction],MATCH($G561,Tbl_KPIMaster[KPI],0))="Lower is Better",IF($J561=0,1,IF($I561=0,0,$I561/$J561)),IF($I561=0,1,$J561/$I561)),0)</f>
        <v/>
      </c>
      <c r="R561" s="4">
        <f>IF(OR($I561="",$J561=""),"",$J561-$I561)</f>
        <v/>
      </c>
      <c r="S561" s="4">
        <f>IFERROR(IF(INDEX(Tbl_KPIMaster[Direction],MATCH($G561,Tbl_KPIMaster[KPI],0))="Lower is Better",IF($J561&lt;=$I561,"Green",IF($J561&lt;=$I561+IF($I561=0,$K561,$I561*$K561),"Amber","Red")),IF($J561&gt;=$I561,"Green",IF($J561&gt;=$I561-IF($I561=0,$K561,$I561*$K561),"Amber","Red"))),"")</f>
        <v/>
      </c>
      <c r="T561" s="6" t="inlineStr"/>
    </row>
    <row r="562">
      <c r="A562" s="7" t="n">
        <v>46157</v>
      </c>
      <c r="B562" s="8">
        <f>IF($A562="","",TEXT($A562,"mmm-yyyy"))</f>
        <v/>
      </c>
      <c r="C562" s="8">
        <f>IF($A562="","","W"&amp;WEEKNUM($A562,2))</f>
        <v/>
      </c>
      <c r="D562" s="8">
        <f>IF($A562="","",TEXT($A562,"ddd"))</f>
        <v/>
      </c>
      <c r="E562" s="8" t="inlineStr">
        <is>
          <t>Energy</t>
        </is>
      </c>
      <c r="F562" s="8">
        <f>IFERROR(INDEX(Tbl_KPIMaster[Category],MATCH($G562,Tbl_KPIMaster[KPI],0)),"")</f>
        <v/>
      </c>
      <c r="G562" s="8" t="inlineStr">
        <is>
          <t>Renewable Energy Share %</t>
        </is>
      </c>
      <c r="H562" s="8">
        <f>IFERROR(INDEX(Tbl_KPIMaster[Unit],MATCH($G562,Tbl_KPIMaster[KPI],0)),"")</f>
        <v/>
      </c>
      <c r="I562" s="9">
        <f>IFERROR(INDEX(Tbl_KPIMaster[Maximum Target],MATCH($G562,Tbl_KPIMaster[KPI],0)),"")</f>
        <v/>
      </c>
      <c r="J562" s="9" t="n">
        <v>0.2109</v>
      </c>
      <c r="K562" s="8">
        <f>IFERROR(INDEX(Tbl_KPIMaster[Tolerance],MATCH($G562,Tbl_KPIMaster[KPI],0)),"")</f>
        <v/>
      </c>
      <c r="L562" s="8">
        <f>IFERROR(INDEX(Tbl_KPIMaster[Owner],MATCH($G562,Tbl_KPIMaster[KPI],0)),"")</f>
        <v/>
      </c>
      <c r="M562" s="10" t="inlineStr">
        <is>
          <t>Preventive check done</t>
        </is>
      </c>
      <c r="N562" s="8" t="inlineStr"/>
      <c r="O562" s="8" t="inlineStr">
        <is>
          <t>Low</t>
        </is>
      </c>
      <c r="P562" s="8" t="inlineStr">
        <is>
          <t>Closed</t>
        </is>
      </c>
      <c r="Q562" s="9">
        <f>IFERROR(IF(INDEX(Tbl_KPIMaster[Direction],MATCH($G562,Tbl_KPIMaster[KPI],0))="Lower is Better",IF($J562=0,1,IF($I562=0,0,$I562/$J562)),IF($I562=0,1,$J562/$I562)),0)</f>
        <v/>
      </c>
      <c r="R562" s="8">
        <f>IF(OR($I562="",$J562=""),"",$J562-$I562)</f>
        <v/>
      </c>
      <c r="S562" s="8">
        <f>IFERROR(IF(INDEX(Tbl_KPIMaster[Direction],MATCH($G562,Tbl_KPIMaster[KPI],0))="Lower is Better",IF($J562&lt;=$I562,"Green",IF($J562&lt;=$I562+IF($I562=0,$K562,$I562*$K562),"Amber","Red")),IF($J562&gt;=$I562,"Green",IF($J562&gt;=$I562-IF($I562=0,$K562,$I562*$K562),"Amber","Red"))),"")</f>
        <v/>
      </c>
      <c r="T562" s="10" t="inlineStr"/>
    </row>
    <row r="563">
      <c r="A563" s="3" t="n">
        <v>46158</v>
      </c>
      <c r="B563" s="4">
        <f>IF($A563="","",TEXT($A563,"mmm-yyyy"))</f>
        <v/>
      </c>
      <c r="C563" s="4">
        <f>IF($A563="","","W"&amp;WEEKNUM($A563,2))</f>
        <v/>
      </c>
      <c r="D563" s="4">
        <f>IF($A563="","",TEXT($A563,"ddd"))</f>
        <v/>
      </c>
      <c r="E563" s="4" t="inlineStr">
        <is>
          <t>Safety</t>
        </is>
      </c>
      <c r="F563" s="4">
        <f>IFERROR(INDEX(Tbl_KPIMaster[Category],MATCH($G563,Tbl_KPIMaster[KPI],0)),"")</f>
        <v/>
      </c>
      <c r="G563" s="4" t="inlineStr">
        <is>
          <t>Safety Incidents (LTI)</t>
        </is>
      </c>
      <c r="H563" s="4">
        <f>IFERROR(INDEX(Tbl_KPIMaster[Unit],MATCH($G563,Tbl_KPIMaster[KPI],0)),"")</f>
        <v/>
      </c>
      <c r="I563" s="5">
        <f>IFERROR(INDEX(Tbl_KPIMaster[Maximum Target],MATCH($G563,Tbl_KPIMaster[KPI],0)),"")</f>
        <v/>
      </c>
      <c r="J563" s="5" t="n">
        <v>2</v>
      </c>
      <c r="K563" s="4">
        <f>IFERROR(INDEX(Tbl_KPIMaster[Tolerance],MATCH($G563,Tbl_KPIMaster[KPI],0)),"")</f>
        <v/>
      </c>
      <c r="L563" s="4">
        <f>IFERROR(INDEX(Tbl_KPIMaster[Owner],MATCH($G563,Tbl_KPIMaster[KPI],0)),"")</f>
        <v/>
      </c>
      <c r="M563" s="6" t="inlineStr">
        <is>
          <t>Preventive check done</t>
        </is>
      </c>
      <c r="N563" s="4" t="inlineStr">
        <is>
          <t>Engineering support needed</t>
        </is>
      </c>
      <c r="O563" s="4" t="inlineStr">
        <is>
          <t>Low</t>
        </is>
      </c>
      <c r="P563" s="4" t="inlineStr">
        <is>
          <t>Closed</t>
        </is>
      </c>
      <c r="Q563" s="5">
        <f>IFERROR(IF(INDEX(Tbl_KPIMaster[Direction],MATCH($G563,Tbl_KPIMaster[KPI],0))="Lower is Better",IF($J563=0,1,IF($I563=0,0,$I563/$J563)),IF($I563=0,1,$J563/$I563)),0)</f>
        <v/>
      </c>
      <c r="R563" s="4">
        <f>IF(OR($I563="",$J563=""),"",$J563-$I563)</f>
        <v/>
      </c>
      <c r="S563" s="4">
        <f>IFERROR(IF(INDEX(Tbl_KPIMaster[Direction],MATCH($G563,Tbl_KPIMaster[KPI],0))="Lower is Better",IF($J563&lt;=$I563,"Green",IF($J563&lt;=$I563+IF($I563=0,$K563,$I563*$K563),"Amber","Red")),IF($J563&gt;=$I563,"Green",IF($J563&gt;=$I563-IF($I563=0,$K563,$I563*$K563),"Amber","Red"))),"")</f>
        <v/>
      </c>
      <c r="T563" s="6" t="inlineStr"/>
    </row>
    <row r="564">
      <c r="A564" s="7" t="n">
        <v>46158</v>
      </c>
      <c r="B564" s="8">
        <f>IF($A564="","",TEXT($A564,"mmm-yyyy"))</f>
        <v/>
      </c>
      <c r="C564" s="8">
        <f>IF($A564="","","W"&amp;WEEKNUM($A564,2))</f>
        <v/>
      </c>
      <c r="D564" s="8">
        <f>IF($A564="","",TEXT($A564,"ddd"))</f>
        <v/>
      </c>
      <c r="E564" s="8" t="inlineStr">
        <is>
          <t>Safety</t>
        </is>
      </c>
      <c r="F564" s="8">
        <f>IFERROR(INDEX(Tbl_KPIMaster[Category],MATCH($G564,Tbl_KPIMaster[KPI],0)),"")</f>
        <v/>
      </c>
      <c r="G564" s="8" t="inlineStr">
        <is>
          <t>Near Miss Reports</t>
        </is>
      </c>
      <c r="H564" s="8">
        <f>IFERROR(INDEX(Tbl_KPIMaster[Unit],MATCH($G564,Tbl_KPIMaster[KPI],0)),"")</f>
        <v/>
      </c>
      <c r="I564" s="9">
        <f>IFERROR(INDEX(Tbl_KPIMaster[Maximum Target],MATCH($G564,Tbl_KPIMaster[KPI],0)),"")</f>
        <v/>
      </c>
      <c r="J564" s="9" t="n">
        <v>2</v>
      </c>
      <c r="K564" s="8">
        <f>IFERROR(INDEX(Tbl_KPIMaster[Tolerance],MATCH($G564,Tbl_KPIMaster[KPI],0)),"")</f>
        <v/>
      </c>
      <c r="L564" s="8">
        <f>IFERROR(INDEX(Tbl_KPIMaster[Owner],MATCH($G564,Tbl_KPIMaster[KPI],0)),"")</f>
        <v/>
      </c>
      <c r="M564" s="10" t="inlineStr"/>
      <c r="N564" s="8" t="inlineStr">
        <is>
          <t>Management approval pending</t>
        </is>
      </c>
      <c r="O564" s="8" t="inlineStr">
        <is>
          <t>Low</t>
        </is>
      </c>
      <c r="P564" s="8" t="inlineStr">
        <is>
          <t>Closed</t>
        </is>
      </c>
      <c r="Q564" s="9">
        <f>IFERROR(IF(INDEX(Tbl_KPIMaster[Direction],MATCH($G564,Tbl_KPIMaster[KPI],0))="Lower is Better",IF($J564=0,1,IF($I564=0,0,$I564/$J564)),IF($I564=0,1,$J564/$I564)),0)</f>
        <v/>
      </c>
      <c r="R564" s="8">
        <f>IF(OR($I564="",$J564=""),"",$J564-$I564)</f>
        <v/>
      </c>
      <c r="S564" s="8">
        <f>IFERROR(IF(INDEX(Tbl_KPIMaster[Direction],MATCH($G564,Tbl_KPIMaster[KPI],0))="Lower is Better",IF($J564&lt;=$I564,"Green",IF($J564&lt;=$I564+IF($I564=0,$K564,$I564*$K564),"Amber","Red")),IF($J564&gt;=$I564,"Green",IF($J564&gt;=$I564-IF($I564=0,$K564,$I564*$K564),"Amber","Red"))),"")</f>
        <v/>
      </c>
      <c r="T564" s="10" t="inlineStr"/>
    </row>
    <row r="565">
      <c r="A565" s="3" t="n">
        <v>46158</v>
      </c>
      <c r="B565" s="4">
        <f>IF($A565="","",TEXT($A565,"mmm-yyyy"))</f>
        <v/>
      </c>
      <c r="C565" s="4">
        <f>IF($A565="","","W"&amp;WEEKNUM($A565,2))</f>
        <v/>
      </c>
      <c r="D565" s="4">
        <f>IF($A565="","",TEXT($A565,"ddd"))</f>
        <v/>
      </c>
      <c r="E565" s="4" t="inlineStr">
        <is>
          <t>Production</t>
        </is>
      </c>
      <c r="F565" s="4">
        <f>IFERROR(INDEX(Tbl_KPIMaster[Category],MATCH($G565,Tbl_KPIMaster[KPI],0)),"")</f>
        <v/>
      </c>
      <c r="G565" s="4" t="inlineStr">
        <is>
          <t>Production Output</t>
        </is>
      </c>
      <c r="H565" s="4">
        <f>IFERROR(INDEX(Tbl_KPIMaster[Unit],MATCH($G565,Tbl_KPIMaster[KPI],0)),"")</f>
        <v/>
      </c>
      <c r="I565" s="5">
        <f>IFERROR(INDEX(Tbl_KPIMaster[Maximum Target],MATCH($G565,Tbl_KPIMaster[KPI],0)),"")</f>
        <v/>
      </c>
      <c r="J565" s="5" t="n">
        <v>1272.32</v>
      </c>
      <c r="K565" s="4">
        <f>IFERROR(INDEX(Tbl_KPIMaster[Tolerance],MATCH($G565,Tbl_KPIMaster[KPI],0)),"")</f>
        <v/>
      </c>
      <c r="L565" s="4">
        <f>IFERROR(INDEX(Tbl_KPIMaster[Owner],MATCH($G565,Tbl_KPIMaster[KPI],0)),"")</f>
        <v/>
      </c>
      <c r="M565" s="6" t="inlineStr">
        <is>
          <t>Process improvement in progress</t>
        </is>
      </c>
      <c r="N565" s="4" t="inlineStr"/>
      <c r="O565" s="4" t="inlineStr">
        <is>
          <t>Low</t>
        </is>
      </c>
      <c r="P565" s="4" t="inlineStr">
        <is>
          <t>Closed</t>
        </is>
      </c>
      <c r="Q565" s="5">
        <f>IFERROR(IF(INDEX(Tbl_KPIMaster[Direction],MATCH($G565,Tbl_KPIMaster[KPI],0))="Lower is Better",IF($J565=0,1,IF($I565=0,0,$I565/$J565)),IF($I565=0,1,$J565/$I565)),0)</f>
        <v/>
      </c>
      <c r="R565" s="4">
        <f>IF(OR($I565="",$J565=""),"",$J565-$I565)</f>
        <v/>
      </c>
      <c r="S565" s="4">
        <f>IFERROR(IF(INDEX(Tbl_KPIMaster[Direction],MATCH($G565,Tbl_KPIMaster[KPI],0))="Lower is Better",IF($J565&lt;=$I565,"Green",IF($J565&lt;=$I565+IF($I565=0,$K565,$I565*$K565),"Amber","Red")),IF($J565&gt;=$I565,"Green",IF($J565&gt;=$I565-IF($I565=0,$K565,$I565*$K565),"Amber","Red"))),"")</f>
        <v/>
      </c>
      <c r="T565" s="6" t="inlineStr"/>
    </row>
    <row r="566">
      <c r="A566" s="7" t="n">
        <v>46158</v>
      </c>
      <c r="B566" s="8">
        <f>IF($A566="","",TEXT($A566,"mmm-yyyy"))</f>
        <v/>
      </c>
      <c r="C566" s="8">
        <f>IF($A566="","","W"&amp;WEEKNUM($A566,2))</f>
        <v/>
      </c>
      <c r="D566" s="8">
        <f>IF($A566="","",TEXT($A566,"ddd"))</f>
        <v/>
      </c>
      <c r="E566" s="8" t="inlineStr">
        <is>
          <t>Production</t>
        </is>
      </c>
      <c r="F566" s="8">
        <f>IFERROR(INDEX(Tbl_KPIMaster[Category],MATCH($G566,Tbl_KPIMaster[KPI],0)),"")</f>
        <v/>
      </c>
      <c r="G566" s="8" t="inlineStr">
        <is>
          <t>OEE %</t>
        </is>
      </c>
      <c r="H566" s="8">
        <f>IFERROR(INDEX(Tbl_KPIMaster[Unit],MATCH($G566,Tbl_KPIMaster[KPI],0)),"")</f>
        <v/>
      </c>
      <c r="I566" s="9">
        <f>IFERROR(INDEX(Tbl_KPIMaster[Maximum Target],MATCH($G566,Tbl_KPIMaster[KPI],0)),"")</f>
        <v/>
      </c>
      <c r="J566" s="9" t="n">
        <v>0.8885</v>
      </c>
      <c r="K566" s="8">
        <f>IFERROR(INDEX(Tbl_KPIMaster[Tolerance],MATCH($G566,Tbl_KPIMaster[KPI],0)),"")</f>
        <v/>
      </c>
      <c r="L566" s="8">
        <f>IFERROR(INDEX(Tbl_KPIMaster[Owner],MATCH($G566,Tbl_KPIMaster[KPI],0)),"")</f>
        <v/>
      </c>
      <c r="M566" s="10" t="inlineStr">
        <is>
          <t>Process improvement in progress</t>
        </is>
      </c>
      <c r="N566" s="8" t="inlineStr">
        <is>
          <t>Procurement follow-up</t>
        </is>
      </c>
      <c r="O566" s="8" t="inlineStr">
        <is>
          <t>Low</t>
        </is>
      </c>
      <c r="P566" s="8" t="inlineStr">
        <is>
          <t>Open</t>
        </is>
      </c>
      <c r="Q566" s="9">
        <f>IFERROR(IF(INDEX(Tbl_KPIMaster[Direction],MATCH($G566,Tbl_KPIMaster[KPI],0))="Lower is Better",IF($J566=0,1,IF($I566=0,0,$I566/$J566)),IF($I566=0,1,$J566/$I566)),0)</f>
        <v/>
      </c>
      <c r="R566" s="8">
        <f>IF(OR($I566="",$J566=""),"",$J566-$I566)</f>
        <v/>
      </c>
      <c r="S566" s="8">
        <f>IFERROR(IF(INDEX(Tbl_KPIMaster[Direction],MATCH($G566,Tbl_KPIMaster[KPI],0))="Lower is Better",IF($J566&lt;=$I566,"Green",IF($J566&lt;=$I566+IF($I566=0,$K566,$I566*$K566),"Amber","Red")),IF($J566&gt;=$I566,"Green",IF($J566&gt;=$I566-IF($I566=0,$K566,$I566*$K566),"Amber","Red"))),"")</f>
        <v/>
      </c>
      <c r="T566" s="10" t="inlineStr"/>
    </row>
    <row r="567">
      <c r="A567" s="3" t="n">
        <v>46158</v>
      </c>
      <c r="B567" s="4">
        <f>IF($A567="","",TEXT($A567,"mmm-yyyy"))</f>
        <v/>
      </c>
      <c r="C567" s="4">
        <f>IF($A567="","","W"&amp;WEEKNUM($A567,2))</f>
        <v/>
      </c>
      <c r="D567" s="4">
        <f>IF($A567="","",TEXT($A567,"ddd"))</f>
        <v/>
      </c>
      <c r="E567" s="4" t="inlineStr">
        <is>
          <t>Quality</t>
        </is>
      </c>
      <c r="F567" s="4">
        <f>IFERROR(INDEX(Tbl_KPIMaster[Category],MATCH($G567,Tbl_KPIMaster[KPI],0)),"")</f>
        <v/>
      </c>
      <c r="G567" s="4" t="inlineStr">
        <is>
          <t>Defect Rate %</t>
        </is>
      </c>
      <c r="H567" s="4">
        <f>IFERROR(INDEX(Tbl_KPIMaster[Unit],MATCH($G567,Tbl_KPIMaster[KPI],0)),"")</f>
        <v/>
      </c>
      <c r="I567" s="5">
        <f>IFERROR(INDEX(Tbl_KPIMaster[Maximum Target],MATCH($G567,Tbl_KPIMaster[KPI],0)),"")</f>
        <v/>
      </c>
      <c r="J567" s="5" t="n">
        <v>0.3297</v>
      </c>
      <c r="K567" s="4">
        <f>IFERROR(INDEX(Tbl_KPIMaster[Tolerance],MATCH($G567,Tbl_KPIMaster[KPI],0)),"")</f>
        <v/>
      </c>
      <c r="L567" s="4">
        <f>IFERROR(INDEX(Tbl_KPIMaster[Owner],MATCH($G567,Tbl_KPIMaster[KPI],0)),"")</f>
        <v/>
      </c>
      <c r="M567" s="6" t="inlineStr">
        <is>
          <t>New operator training effect</t>
        </is>
      </c>
      <c r="N567" s="4" t="inlineStr">
        <is>
          <t>Engineering support needed</t>
        </is>
      </c>
      <c r="O567" s="4" t="inlineStr">
        <is>
          <t>Low</t>
        </is>
      </c>
      <c r="P567" s="4" t="inlineStr">
        <is>
          <t>In Progress</t>
        </is>
      </c>
      <c r="Q567" s="5">
        <f>IFERROR(IF(INDEX(Tbl_KPIMaster[Direction],MATCH($G567,Tbl_KPIMaster[KPI],0))="Lower is Better",IF($J567=0,1,IF($I567=0,0,$I567/$J567)),IF($I567=0,1,$J567/$I567)),0)</f>
        <v/>
      </c>
      <c r="R567" s="4">
        <f>IF(OR($I567="",$J567=""),"",$J567-$I567)</f>
        <v/>
      </c>
      <c r="S567" s="4">
        <f>IFERROR(IF(INDEX(Tbl_KPIMaster[Direction],MATCH($G567,Tbl_KPIMaster[KPI],0))="Lower is Better",IF($J567&lt;=$I567,"Green",IF($J567&lt;=$I567+IF($I567=0,$K567,$I567*$K567),"Amber","Red")),IF($J567&gt;=$I567,"Green",IF($J567&gt;=$I567-IF($I567=0,$K567,$I567*$K567),"Amber","Red"))),"")</f>
        <v/>
      </c>
      <c r="T567" s="6" t="inlineStr"/>
    </row>
    <row r="568">
      <c r="A568" s="7" t="n">
        <v>46158</v>
      </c>
      <c r="B568" s="8">
        <f>IF($A568="","",TEXT($A568,"mmm-yyyy"))</f>
        <v/>
      </c>
      <c r="C568" s="8">
        <f>IF($A568="","","W"&amp;WEEKNUM($A568,2))</f>
        <v/>
      </c>
      <c r="D568" s="8">
        <f>IF($A568="","",TEXT($A568,"ddd"))</f>
        <v/>
      </c>
      <c r="E568" s="8" t="inlineStr">
        <is>
          <t>Quality</t>
        </is>
      </c>
      <c r="F568" s="8">
        <f>IFERROR(INDEX(Tbl_KPIMaster[Category],MATCH($G568,Tbl_KPIMaster[KPI],0)),"")</f>
        <v/>
      </c>
      <c r="G568" s="8" t="inlineStr">
        <is>
          <t>Customer Complaints</t>
        </is>
      </c>
      <c r="H568" s="8">
        <f>IFERROR(INDEX(Tbl_KPIMaster[Unit],MATCH($G568,Tbl_KPIMaster[KPI],0)),"")</f>
        <v/>
      </c>
      <c r="I568" s="9">
        <f>IFERROR(INDEX(Tbl_KPIMaster[Maximum Target],MATCH($G568,Tbl_KPIMaster[KPI],0)),"")</f>
        <v/>
      </c>
      <c r="J568" s="9" t="n">
        <v>1</v>
      </c>
      <c r="K568" s="8">
        <f>IFERROR(INDEX(Tbl_KPIMaster[Tolerance],MATCH($G568,Tbl_KPIMaster[KPI],0)),"")</f>
        <v/>
      </c>
      <c r="L568" s="8">
        <f>IFERROR(INDEX(Tbl_KPIMaster[Owner],MATCH($G568,Tbl_KPIMaster[KPI],0)),"")</f>
        <v/>
      </c>
      <c r="M568" s="10" t="inlineStr">
        <is>
          <t>Line changeover impact</t>
        </is>
      </c>
      <c r="N568" s="8" t="inlineStr">
        <is>
          <t>Procurement follow-up</t>
        </is>
      </c>
      <c r="O568" s="8" t="inlineStr">
        <is>
          <t>Low</t>
        </is>
      </c>
      <c r="P568" s="8" t="inlineStr">
        <is>
          <t>Closed</t>
        </is>
      </c>
      <c r="Q568" s="9">
        <f>IFERROR(IF(INDEX(Tbl_KPIMaster[Direction],MATCH($G568,Tbl_KPIMaster[KPI],0))="Lower is Better",IF($J568=0,1,IF($I568=0,0,$I568/$J568)),IF($I568=0,1,$J568/$I568)),0)</f>
        <v/>
      </c>
      <c r="R568" s="8">
        <f>IF(OR($I568="",$J568=""),"",$J568-$I568)</f>
        <v/>
      </c>
      <c r="S568" s="8">
        <f>IFERROR(IF(INDEX(Tbl_KPIMaster[Direction],MATCH($G568,Tbl_KPIMaster[KPI],0))="Lower is Better",IF($J568&lt;=$I568,"Green",IF($J568&lt;=$I568+IF($I568=0,$K568,$I568*$K568),"Amber","Red")),IF($J568&gt;=$I568,"Green",IF($J568&gt;=$I568-IF($I568=0,$K568,$I568*$K568),"Amber","Red"))),"")</f>
        <v/>
      </c>
      <c r="T568" s="10" t="inlineStr"/>
    </row>
    <row r="569">
      <c r="A569" s="3" t="n">
        <v>46158</v>
      </c>
      <c r="B569" s="4">
        <f>IF($A569="","",TEXT($A569,"mmm-yyyy"))</f>
        <v/>
      </c>
      <c r="C569" s="4">
        <f>IF($A569="","","W"&amp;WEEKNUM($A569,2))</f>
        <v/>
      </c>
      <c r="D569" s="4">
        <f>IF($A569="","",TEXT($A569,"ddd"))</f>
        <v/>
      </c>
      <c r="E569" s="4" t="inlineStr">
        <is>
          <t>Maintenance</t>
        </is>
      </c>
      <c r="F569" s="4">
        <f>IFERROR(INDEX(Tbl_KPIMaster[Category],MATCH($G569,Tbl_KPIMaster[KPI],0)),"")</f>
        <v/>
      </c>
      <c r="G569" s="4" t="inlineStr">
        <is>
          <t>Unplanned Downtime</t>
        </is>
      </c>
      <c r="H569" s="4">
        <f>IFERROR(INDEX(Tbl_KPIMaster[Unit],MATCH($G569,Tbl_KPIMaster[KPI],0)),"")</f>
        <v/>
      </c>
      <c r="I569" s="5">
        <f>IFERROR(INDEX(Tbl_KPIMaster[Maximum Target],MATCH($G569,Tbl_KPIMaster[KPI],0)),"")</f>
        <v/>
      </c>
      <c r="J569" s="5" t="n">
        <v>1.01</v>
      </c>
      <c r="K569" s="4">
        <f>IFERROR(INDEX(Tbl_KPIMaster[Tolerance],MATCH($G569,Tbl_KPIMaster[KPI],0)),"")</f>
        <v/>
      </c>
      <c r="L569" s="4">
        <f>IFERROR(INDEX(Tbl_KPIMaster[Owner],MATCH($G569,Tbl_KPIMaster[KPI],0)),"")</f>
        <v/>
      </c>
      <c r="M569" s="6" t="inlineStr">
        <is>
          <t>New operator training effect</t>
        </is>
      </c>
      <c r="N569" s="4" t="inlineStr"/>
      <c r="O569" s="4" t="inlineStr">
        <is>
          <t>Medium</t>
        </is>
      </c>
      <c r="P569" s="4" t="inlineStr">
        <is>
          <t>In Progress</t>
        </is>
      </c>
      <c r="Q569" s="5">
        <f>IFERROR(IF(INDEX(Tbl_KPIMaster[Direction],MATCH($G569,Tbl_KPIMaster[KPI],0))="Lower is Better",IF($J569=0,1,IF($I569=0,0,$I569/$J569)),IF($I569=0,1,$J569/$I569)),0)</f>
        <v/>
      </c>
      <c r="R569" s="4">
        <f>IF(OR($I569="",$J569=""),"",$J569-$I569)</f>
        <v/>
      </c>
      <c r="S569" s="4">
        <f>IFERROR(IF(INDEX(Tbl_KPIMaster[Direction],MATCH($G569,Tbl_KPIMaster[KPI],0))="Lower is Better",IF($J569&lt;=$I569,"Green",IF($J569&lt;=$I569+IF($I569=0,$K569,$I569*$K569),"Amber","Red")),IF($J569&gt;=$I569,"Green",IF($J569&gt;=$I569-IF($I569=0,$K569,$I569*$K569),"Amber","Red"))),"")</f>
        <v/>
      </c>
      <c r="T569" s="6" t="inlineStr"/>
    </row>
    <row r="570">
      <c r="A570" s="7" t="n">
        <v>46158</v>
      </c>
      <c r="B570" s="8">
        <f>IF($A570="","",TEXT($A570,"mmm-yyyy"))</f>
        <v/>
      </c>
      <c r="C570" s="8">
        <f>IF($A570="","","W"&amp;WEEKNUM($A570,2))</f>
        <v/>
      </c>
      <c r="D570" s="8">
        <f>IF($A570="","",TEXT($A570,"ddd"))</f>
        <v/>
      </c>
      <c r="E570" s="8" t="inlineStr">
        <is>
          <t>Maintenance</t>
        </is>
      </c>
      <c r="F570" s="8">
        <f>IFERROR(INDEX(Tbl_KPIMaster[Category],MATCH($G570,Tbl_KPIMaster[KPI],0)),"")</f>
        <v/>
      </c>
      <c r="G570" s="8" t="inlineStr">
        <is>
          <t>PM Compliance %</t>
        </is>
      </c>
      <c r="H570" s="8">
        <f>IFERROR(INDEX(Tbl_KPIMaster[Unit],MATCH($G570,Tbl_KPIMaster[KPI],0)),"")</f>
        <v/>
      </c>
      <c r="I570" s="9">
        <f>IFERROR(INDEX(Tbl_KPIMaster[Maximum Target],MATCH($G570,Tbl_KPIMaster[KPI],0)),"")</f>
        <v/>
      </c>
      <c r="J570" s="9" t="n">
        <v>1.0093</v>
      </c>
      <c r="K570" s="8">
        <f>IFERROR(INDEX(Tbl_KPIMaster[Tolerance],MATCH($G570,Tbl_KPIMaster[KPI],0)),"")</f>
        <v/>
      </c>
      <c r="L570" s="8">
        <f>IFERROR(INDEX(Tbl_KPIMaster[Owner],MATCH($G570,Tbl_KPIMaster[KPI],0)),"")</f>
        <v/>
      </c>
      <c r="M570" s="10" t="inlineStr">
        <is>
          <t>Awaiting spares</t>
        </is>
      </c>
      <c r="N570" s="8" t="inlineStr"/>
      <c r="O570" s="8" t="inlineStr">
        <is>
          <t>Medium</t>
        </is>
      </c>
      <c r="P570" s="8" t="inlineStr">
        <is>
          <t>Closed</t>
        </is>
      </c>
      <c r="Q570" s="9">
        <f>IFERROR(IF(INDEX(Tbl_KPIMaster[Direction],MATCH($G570,Tbl_KPIMaster[KPI],0))="Lower is Better",IF($J570=0,1,IF($I570=0,0,$I570/$J570)),IF($I570=0,1,$J570/$I570)),0)</f>
        <v/>
      </c>
      <c r="R570" s="8">
        <f>IF(OR($I570="",$J570=""),"",$J570-$I570)</f>
        <v/>
      </c>
      <c r="S570" s="8">
        <f>IFERROR(IF(INDEX(Tbl_KPIMaster[Direction],MATCH($G570,Tbl_KPIMaster[KPI],0))="Lower is Better",IF($J570&lt;=$I570,"Green",IF($J570&lt;=$I570+IF($I570=0,$K570,$I570*$K570),"Amber","Red")),IF($J570&gt;=$I570,"Green",IF($J570&gt;=$I570-IF($I570=0,$K570,$I570*$K570),"Amber","Red"))),"")</f>
        <v/>
      </c>
      <c r="T570" s="10" t="inlineStr"/>
    </row>
    <row r="571">
      <c r="A571" s="3" t="n">
        <v>46158</v>
      </c>
      <c r="B571" s="4">
        <f>IF($A571="","",TEXT($A571,"mmm-yyyy"))</f>
        <v/>
      </c>
      <c r="C571" s="4">
        <f>IF($A571="","","W"&amp;WEEKNUM($A571,2))</f>
        <v/>
      </c>
      <c r="D571" s="4">
        <f>IF($A571="","",TEXT($A571,"ddd"))</f>
        <v/>
      </c>
      <c r="E571" s="4" t="inlineStr">
        <is>
          <t>Utilities</t>
        </is>
      </c>
      <c r="F571" s="4">
        <f>IFERROR(INDEX(Tbl_KPIMaster[Category],MATCH($G571,Tbl_KPIMaster[KPI],0)),"")</f>
        <v/>
      </c>
      <c r="G571" s="4" t="inlineStr">
        <is>
          <t>Power Consumption</t>
        </is>
      </c>
      <c r="H571" s="4">
        <f>IFERROR(INDEX(Tbl_KPIMaster[Unit],MATCH($G571,Tbl_KPIMaster[KPI],0)),"")</f>
        <v/>
      </c>
      <c r="I571" s="5">
        <f>IFERROR(INDEX(Tbl_KPIMaster[Maximum Target],MATCH($G571,Tbl_KPIMaster[KPI],0)),"")</f>
        <v/>
      </c>
      <c r="J571" s="5" t="n">
        <v>4427.12</v>
      </c>
      <c r="K571" s="4">
        <f>IFERROR(INDEX(Tbl_KPIMaster[Tolerance],MATCH($G571,Tbl_KPIMaster[KPI],0)),"")</f>
        <v/>
      </c>
      <c r="L571" s="4">
        <f>IFERROR(INDEX(Tbl_KPIMaster[Owner],MATCH($G571,Tbl_KPIMaster[KPI],0)),"")</f>
        <v/>
      </c>
      <c r="M571" s="6" t="inlineStr"/>
      <c r="N571" s="4" t="inlineStr">
        <is>
          <t>Management approval pending</t>
        </is>
      </c>
      <c r="O571" s="4" t="inlineStr">
        <is>
          <t>Low</t>
        </is>
      </c>
      <c r="P571" s="4" t="inlineStr">
        <is>
          <t>Closed</t>
        </is>
      </c>
      <c r="Q571" s="5">
        <f>IFERROR(IF(INDEX(Tbl_KPIMaster[Direction],MATCH($G571,Tbl_KPIMaster[KPI],0))="Lower is Better",IF($J571=0,1,IF($I571=0,0,$I571/$J571)),IF($I571=0,1,$J571/$I571)),0)</f>
        <v/>
      </c>
      <c r="R571" s="4">
        <f>IF(OR($I571="",$J571=""),"",$J571-$I571)</f>
        <v/>
      </c>
      <c r="S571" s="4">
        <f>IFERROR(IF(INDEX(Tbl_KPIMaster[Direction],MATCH($G571,Tbl_KPIMaster[KPI],0))="Lower is Better",IF($J571&lt;=$I571,"Green",IF($J571&lt;=$I571+IF($I571=0,$K571,$I571*$K571),"Amber","Red")),IF($J571&gt;=$I571,"Green",IF($J571&gt;=$I571-IF($I571=0,$K571,$I571*$K571),"Amber","Red"))),"")</f>
        <v/>
      </c>
      <c r="T571" s="6" t="inlineStr"/>
    </row>
    <row r="572">
      <c r="A572" s="7" t="n">
        <v>46158</v>
      </c>
      <c r="B572" s="8">
        <f>IF($A572="","",TEXT($A572,"mmm-yyyy"))</f>
        <v/>
      </c>
      <c r="C572" s="8">
        <f>IF($A572="","","W"&amp;WEEKNUM($A572,2))</f>
        <v/>
      </c>
      <c r="D572" s="8">
        <f>IF($A572="","",TEXT($A572,"ddd"))</f>
        <v/>
      </c>
      <c r="E572" s="8" t="inlineStr">
        <is>
          <t>Utilities</t>
        </is>
      </c>
      <c r="F572" s="8">
        <f>IFERROR(INDEX(Tbl_KPIMaster[Category],MATCH($G572,Tbl_KPIMaster[KPI],0)),"")</f>
        <v/>
      </c>
      <c r="G572" s="8" t="inlineStr">
        <is>
          <t>Water Consumption</t>
        </is>
      </c>
      <c r="H572" s="8">
        <f>IFERROR(INDEX(Tbl_KPIMaster[Unit],MATCH($G572,Tbl_KPIMaster[KPI],0)),"")</f>
        <v/>
      </c>
      <c r="I572" s="9">
        <f>IFERROR(INDEX(Tbl_KPIMaster[Maximum Target],MATCH($G572,Tbl_KPIMaster[KPI],0)),"")</f>
        <v/>
      </c>
      <c r="J572" s="9" t="n">
        <v>66.53</v>
      </c>
      <c r="K572" s="8">
        <f>IFERROR(INDEX(Tbl_KPIMaster[Tolerance],MATCH($G572,Tbl_KPIMaster[KPI],0)),"")</f>
        <v/>
      </c>
      <c r="L572" s="8">
        <f>IFERROR(INDEX(Tbl_KPIMaster[Owner],MATCH($G572,Tbl_KPIMaster[KPI],0)),"")</f>
        <v/>
      </c>
      <c r="M572" s="10" t="inlineStr">
        <is>
          <t>Awaiting spares</t>
        </is>
      </c>
      <c r="N572" s="8" t="inlineStr"/>
      <c r="O572" s="8" t="inlineStr">
        <is>
          <t>High</t>
        </is>
      </c>
      <c r="P572" s="8" t="inlineStr">
        <is>
          <t>Open</t>
        </is>
      </c>
      <c r="Q572" s="9">
        <f>IFERROR(IF(INDEX(Tbl_KPIMaster[Direction],MATCH($G572,Tbl_KPIMaster[KPI],0))="Lower is Better",IF($J572=0,1,IF($I572=0,0,$I572/$J572)),IF($I572=0,1,$J572/$I572)),0)</f>
        <v/>
      </c>
      <c r="R572" s="8">
        <f>IF(OR($I572="",$J572=""),"",$J572-$I572)</f>
        <v/>
      </c>
      <c r="S572" s="8">
        <f>IFERROR(IF(INDEX(Tbl_KPIMaster[Direction],MATCH($G572,Tbl_KPIMaster[KPI],0))="Lower is Better",IF($J572&lt;=$I572,"Green",IF($J572&lt;=$I572+IF($I572=0,$K572,$I572*$K572),"Amber","Red")),IF($J572&gt;=$I572,"Green",IF($J572&gt;=$I572-IF($I572=0,$K572,$I572*$K572),"Amber","Red"))),"")</f>
        <v/>
      </c>
      <c r="T572" s="10" t="inlineStr"/>
    </row>
    <row r="573">
      <c r="A573" s="3" t="n">
        <v>46158</v>
      </c>
      <c r="B573" s="4">
        <f>IF($A573="","",TEXT($A573,"mmm-yyyy"))</f>
        <v/>
      </c>
      <c r="C573" s="4">
        <f>IF($A573="","","W"&amp;WEEKNUM($A573,2))</f>
        <v/>
      </c>
      <c r="D573" s="4">
        <f>IF($A573="","",TEXT($A573,"ddd"))</f>
        <v/>
      </c>
      <c r="E573" s="4" t="inlineStr">
        <is>
          <t>Warehouse</t>
        </is>
      </c>
      <c r="F573" s="4">
        <f>IFERROR(INDEX(Tbl_KPIMaster[Category],MATCH($G573,Tbl_KPIMaster[KPI],0)),"")</f>
        <v/>
      </c>
      <c r="G573" s="4" t="inlineStr">
        <is>
          <t>On-Time Dispatch %</t>
        </is>
      </c>
      <c r="H573" s="4">
        <f>IFERROR(INDEX(Tbl_KPIMaster[Unit],MATCH($G573,Tbl_KPIMaster[KPI],0)),"")</f>
        <v/>
      </c>
      <c r="I573" s="5">
        <f>IFERROR(INDEX(Tbl_KPIMaster[Maximum Target],MATCH($G573,Tbl_KPIMaster[KPI],0)),"")</f>
        <v/>
      </c>
      <c r="J573" s="5" t="n">
        <v>1.0067</v>
      </c>
      <c r="K573" s="4">
        <f>IFERROR(INDEX(Tbl_KPIMaster[Tolerance],MATCH($G573,Tbl_KPIMaster[KPI],0)),"")</f>
        <v/>
      </c>
      <c r="L573" s="4">
        <f>IFERROR(INDEX(Tbl_KPIMaster[Owner],MATCH($G573,Tbl_KPIMaster[KPI],0)),"")</f>
        <v/>
      </c>
      <c r="M573" s="6" t="inlineStr">
        <is>
          <t>Preventive check done</t>
        </is>
      </c>
      <c r="N573" s="4" t="inlineStr">
        <is>
          <t>Management approval pending</t>
        </is>
      </c>
      <c r="O573" s="4" t="inlineStr">
        <is>
          <t>Low</t>
        </is>
      </c>
      <c r="P573" s="4" t="inlineStr">
        <is>
          <t>Closed</t>
        </is>
      </c>
      <c r="Q573" s="5">
        <f>IFERROR(IF(INDEX(Tbl_KPIMaster[Direction],MATCH($G573,Tbl_KPIMaster[KPI],0))="Lower is Better",IF($J573=0,1,IF($I573=0,0,$I573/$J573)),IF($I573=0,1,$J573/$I573)),0)</f>
        <v/>
      </c>
      <c r="R573" s="4">
        <f>IF(OR($I573="",$J573=""),"",$J573-$I573)</f>
        <v/>
      </c>
      <c r="S573" s="4">
        <f>IFERROR(IF(INDEX(Tbl_KPIMaster[Direction],MATCH($G573,Tbl_KPIMaster[KPI],0))="Lower is Better",IF($J573&lt;=$I573,"Green",IF($J573&lt;=$I573+IF($I573=0,$K573,$I573*$K573),"Amber","Red")),IF($J573&gt;=$I573,"Green",IF($J573&gt;=$I573-IF($I573=0,$K573,$I573*$K573),"Amber","Red"))),"")</f>
        <v/>
      </c>
      <c r="T573" s="6" t="inlineStr"/>
    </row>
    <row r="574">
      <c r="A574" s="7" t="n">
        <v>46158</v>
      </c>
      <c r="B574" s="8">
        <f>IF($A574="","",TEXT($A574,"mmm-yyyy"))</f>
        <v/>
      </c>
      <c r="C574" s="8">
        <f>IF($A574="","","W"&amp;WEEKNUM($A574,2))</f>
        <v/>
      </c>
      <c r="D574" s="8">
        <f>IF($A574="","",TEXT($A574,"ddd"))</f>
        <v/>
      </c>
      <c r="E574" s="8" t="inlineStr">
        <is>
          <t>Warehouse</t>
        </is>
      </c>
      <c r="F574" s="8">
        <f>IFERROR(INDEX(Tbl_KPIMaster[Category],MATCH($G574,Tbl_KPIMaster[KPI],0)),"")</f>
        <v/>
      </c>
      <c r="G574" s="8" t="inlineStr">
        <is>
          <t>Inventory Accuracy %</t>
        </is>
      </c>
      <c r="H574" s="8">
        <f>IFERROR(INDEX(Tbl_KPIMaster[Unit],MATCH($G574,Tbl_KPIMaster[KPI],0)),"")</f>
        <v/>
      </c>
      <c r="I574" s="9">
        <f>IFERROR(INDEX(Tbl_KPIMaster[Maximum Target],MATCH($G574,Tbl_KPIMaster[KPI],0)),"")</f>
        <v/>
      </c>
      <c r="J574" s="9" t="n">
        <v>1.0998</v>
      </c>
      <c r="K574" s="8">
        <f>IFERROR(INDEX(Tbl_KPIMaster[Tolerance],MATCH($G574,Tbl_KPIMaster[KPI],0)),"")</f>
        <v/>
      </c>
      <c r="L574" s="8">
        <f>IFERROR(INDEX(Tbl_KPIMaster[Owner],MATCH($G574,Tbl_KPIMaster[KPI],0)),"")</f>
        <v/>
      </c>
      <c r="M574" s="10" t="inlineStr">
        <is>
          <t>Process improvement in progress</t>
        </is>
      </c>
      <c r="N574" s="8" t="inlineStr">
        <is>
          <t>Management approval pending</t>
        </is>
      </c>
      <c r="O574" s="8" t="inlineStr">
        <is>
          <t>Low</t>
        </is>
      </c>
      <c r="P574" s="8" t="inlineStr">
        <is>
          <t>Open</t>
        </is>
      </c>
      <c r="Q574" s="9">
        <f>IFERROR(IF(INDEX(Tbl_KPIMaster[Direction],MATCH($G574,Tbl_KPIMaster[KPI],0))="Lower is Better",IF($J574=0,1,IF($I574=0,0,$I574/$J574)),IF($I574=0,1,$J574/$I574)),0)</f>
        <v/>
      </c>
      <c r="R574" s="8">
        <f>IF(OR($I574="",$J574=""),"",$J574-$I574)</f>
        <v/>
      </c>
      <c r="S574" s="8">
        <f>IFERROR(IF(INDEX(Tbl_KPIMaster[Direction],MATCH($G574,Tbl_KPIMaster[KPI],0))="Lower is Better",IF($J574&lt;=$I574,"Green",IF($J574&lt;=$I574+IF($I574=0,$K574,$I574*$K574),"Amber","Red")),IF($J574&gt;=$I574,"Green",IF($J574&gt;=$I574-IF($I574=0,$K574,$I574*$K574),"Amber","Red"))),"")</f>
        <v/>
      </c>
      <c r="T574" s="10" t="inlineStr"/>
    </row>
    <row r="575">
      <c r="A575" s="3" t="n">
        <v>46158</v>
      </c>
      <c r="B575" s="4">
        <f>IF($A575="","",TEXT($A575,"mmm-yyyy"))</f>
        <v/>
      </c>
      <c r="C575" s="4">
        <f>IF($A575="","","W"&amp;WEEKNUM($A575,2))</f>
        <v/>
      </c>
      <c r="D575" s="4">
        <f>IF($A575="","",TEXT($A575,"ddd"))</f>
        <v/>
      </c>
      <c r="E575" s="4" t="inlineStr">
        <is>
          <t>HR</t>
        </is>
      </c>
      <c r="F575" s="4">
        <f>IFERROR(INDEX(Tbl_KPIMaster[Category],MATCH($G575,Tbl_KPIMaster[KPI],0)),"")</f>
        <v/>
      </c>
      <c r="G575" s="4" t="inlineStr">
        <is>
          <t>Absenteeism %</t>
        </is>
      </c>
      <c r="H575" s="4">
        <f>IFERROR(INDEX(Tbl_KPIMaster[Unit],MATCH($G575,Tbl_KPIMaster[KPI],0)),"")</f>
        <v/>
      </c>
      <c r="I575" s="5">
        <f>IFERROR(INDEX(Tbl_KPIMaster[Maximum Target],MATCH($G575,Tbl_KPIMaster[KPI],0)),"")</f>
        <v/>
      </c>
      <c r="J575" s="5" t="n">
        <v>0</v>
      </c>
      <c r="K575" s="4">
        <f>IFERROR(INDEX(Tbl_KPIMaster[Tolerance],MATCH($G575,Tbl_KPIMaster[KPI],0)),"")</f>
        <v/>
      </c>
      <c r="L575" s="4">
        <f>IFERROR(INDEX(Tbl_KPIMaster[Owner],MATCH($G575,Tbl_KPIMaster[KPI],0)),"")</f>
        <v/>
      </c>
      <c r="M575" s="6" t="inlineStr">
        <is>
          <t>Line changeover impact</t>
        </is>
      </c>
      <c r="N575" s="4" t="inlineStr">
        <is>
          <t>Management approval pending</t>
        </is>
      </c>
      <c r="O575" s="4" t="inlineStr">
        <is>
          <t>Medium</t>
        </is>
      </c>
      <c r="P575" s="4" t="inlineStr">
        <is>
          <t>Closed</t>
        </is>
      </c>
      <c r="Q575" s="5">
        <f>IFERROR(IF(INDEX(Tbl_KPIMaster[Direction],MATCH($G575,Tbl_KPIMaster[KPI],0))="Lower is Better",IF($J575=0,1,IF($I575=0,0,$I575/$J575)),IF($I575=0,1,$J575/$I575)),0)</f>
        <v/>
      </c>
      <c r="R575" s="4">
        <f>IF(OR($I575="",$J575=""),"",$J575-$I575)</f>
        <v/>
      </c>
      <c r="S575" s="4">
        <f>IFERROR(IF(INDEX(Tbl_KPIMaster[Direction],MATCH($G575,Tbl_KPIMaster[KPI],0))="Lower is Better",IF($J575&lt;=$I575,"Green",IF($J575&lt;=$I575+IF($I575=0,$K575,$I575*$K575),"Amber","Red")),IF($J575&gt;=$I575,"Green",IF($J575&gt;=$I575-IF($I575=0,$K575,$I575*$K575),"Amber","Red"))),"")</f>
        <v/>
      </c>
      <c r="T575" s="6" t="inlineStr"/>
    </row>
    <row r="576">
      <c r="A576" s="7" t="n">
        <v>46158</v>
      </c>
      <c r="B576" s="8">
        <f>IF($A576="","",TEXT($A576,"mmm-yyyy"))</f>
        <v/>
      </c>
      <c r="C576" s="8">
        <f>IF($A576="","","W"&amp;WEEKNUM($A576,2))</f>
        <v/>
      </c>
      <c r="D576" s="8">
        <f>IF($A576="","",TEXT($A576,"ddd"))</f>
        <v/>
      </c>
      <c r="E576" s="8" t="inlineStr">
        <is>
          <t>HR</t>
        </is>
      </c>
      <c r="F576" s="8">
        <f>IFERROR(INDEX(Tbl_KPIMaster[Category],MATCH($G576,Tbl_KPIMaster[KPI],0)),"")</f>
        <v/>
      </c>
      <c r="G576" s="8" t="inlineStr">
        <is>
          <t>Training Hours</t>
        </is>
      </c>
      <c r="H576" s="8">
        <f>IFERROR(INDEX(Tbl_KPIMaster[Unit],MATCH($G576,Tbl_KPIMaster[KPI],0)),"")</f>
        <v/>
      </c>
      <c r="I576" s="9">
        <f>IFERROR(INDEX(Tbl_KPIMaster[Maximum Target],MATCH($G576,Tbl_KPIMaster[KPI],0)),"")</f>
        <v/>
      </c>
      <c r="J576" s="9" t="n">
        <v>1.59</v>
      </c>
      <c r="K576" s="8">
        <f>IFERROR(INDEX(Tbl_KPIMaster[Tolerance],MATCH($G576,Tbl_KPIMaster[KPI],0)),"")</f>
        <v/>
      </c>
      <c r="L576" s="8">
        <f>IFERROR(INDEX(Tbl_KPIMaster[Owner],MATCH($G576,Tbl_KPIMaster[KPI],0)),"")</f>
        <v/>
      </c>
      <c r="M576" s="10" t="inlineStr"/>
      <c r="N576" s="8" t="inlineStr">
        <is>
          <t>Engineering support needed</t>
        </is>
      </c>
      <c r="O576" s="8" t="inlineStr">
        <is>
          <t>Medium</t>
        </is>
      </c>
      <c r="P576" s="8" t="inlineStr">
        <is>
          <t>Closed</t>
        </is>
      </c>
      <c r="Q576" s="9">
        <f>IFERROR(IF(INDEX(Tbl_KPIMaster[Direction],MATCH($G576,Tbl_KPIMaster[KPI],0))="Lower is Better",IF($J576=0,1,IF($I576=0,0,$I576/$J576)),IF($I576=0,1,$J576/$I576)),0)</f>
        <v/>
      </c>
      <c r="R576" s="8">
        <f>IF(OR($I576="",$J576=""),"",$J576-$I576)</f>
        <v/>
      </c>
      <c r="S576" s="8">
        <f>IFERROR(IF(INDEX(Tbl_KPIMaster[Direction],MATCH($G576,Tbl_KPIMaster[KPI],0))="Lower is Better",IF($J576&lt;=$I576,"Green",IF($J576&lt;=$I576+IF($I576=0,$K576,$I576*$K576),"Amber","Red")),IF($J576&gt;=$I576,"Green",IF($J576&gt;=$I576-IF($I576=0,$K576,$I576*$K576),"Amber","Red"))),"")</f>
        <v/>
      </c>
      <c r="T576" s="10" t="inlineStr"/>
    </row>
    <row r="577">
      <c r="A577" s="3" t="n">
        <v>46158</v>
      </c>
      <c r="B577" s="4">
        <f>IF($A577="","",TEXT($A577,"mmm-yyyy"))</f>
        <v/>
      </c>
      <c r="C577" s="4">
        <f>IF($A577="","","W"&amp;WEEKNUM($A577,2))</f>
        <v/>
      </c>
      <c r="D577" s="4">
        <f>IF($A577="","",TEXT($A577,"ddd"))</f>
        <v/>
      </c>
      <c r="E577" s="4" t="inlineStr">
        <is>
          <t>Engineering</t>
        </is>
      </c>
      <c r="F577" s="4">
        <f>IFERROR(INDEX(Tbl_KPIMaster[Category],MATCH($G577,Tbl_KPIMaster[KPI],0)),"")</f>
        <v/>
      </c>
      <c r="G577" s="4" t="inlineStr">
        <is>
          <t>Project Milestone Adherence %</t>
        </is>
      </c>
      <c r="H577" s="4">
        <f>IFERROR(INDEX(Tbl_KPIMaster[Unit],MATCH($G577,Tbl_KPIMaster[KPI],0)),"")</f>
        <v/>
      </c>
      <c r="I577" s="5">
        <f>IFERROR(INDEX(Tbl_KPIMaster[Maximum Target],MATCH($G577,Tbl_KPIMaster[KPI],0)),"")</f>
        <v/>
      </c>
      <c r="J577" s="5" t="n">
        <v>0.8869</v>
      </c>
      <c r="K577" s="4">
        <f>IFERROR(INDEX(Tbl_KPIMaster[Tolerance],MATCH($G577,Tbl_KPIMaster[KPI],0)),"")</f>
        <v/>
      </c>
      <c r="L577" s="4">
        <f>IFERROR(INDEX(Tbl_KPIMaster[Owner],MATCH($G577,Tbl_KPIMaster[KPI],0)),"")</f>
        <v/>
      </c>
      <c r="M577" s="6" t="inlineStr">
        <is>
          <t>Manpower shortage</t>
        </is>
      </c>
      <c r="N577" s="4" t="inlineStr"/>
      <c r="O577" s="4" t="inlineStr">
        <is>
          <t>Medium</t>
        </is>
      </c>
      <c r="P577" s="4" t="inlineStr">
        <is>
          <t>Closed</t>
        </is>
      </c>
      <c r="Q577" s="5">
        <f>IFERROR(IF(INDEX(Tbl_KPIMaster[Direction],MATCH($G577,Tbl_KPIMaster[KPI],0))="Lower is Better",IF($J577=0,1,IF($I577=0,0,$I577/$J577)),IF($I577=0,1,$J577/$I577)),0)</f>
        <v/>
      </c>
      <c r="R577" s="4">
        <f>IF(OR($I577="",$J577=""),"",$J577-$I577)</f>
        <v/>
      </c>
      <c r="S577" s="4">
        <f>IFERROR(IF(INDEX(Tbl_KPIMaster[Direction],MATCH($G577,Tbl_KPIMaster[KPI],0))="Lower is Better",IF($J577&lt;=$I577,"Green",IF($J577&lt;=$I577+IF($I577=0,$K577,$I577*$K577),"Amber","Red")),IF($J577&gt;=$I577,"Green",IF($J577&gt;=$I577-IF($I577=0,$K577,$I577*$K577),"Amber","Red"))),"")</f>
        <v/>
      </c>
      <c r="T577" s="6" t="inlineStr"/>
    </row>
    <row r="578">
      <c r="A578" s="7" t="n">
        <v>46158</v>
      </c>
      <c r="B578" s="8">
        <f>IF($A578="","",TEXT($A578,"mmm-yyyy"))</f>
        <v/>
      </c>
      <c r="C578" s="8">
        <f>IF($A578="","","W"&amp;WEEKNUM($A578,2))</f>
        <v/>
      </c>
      <c r="D578" s="8">
        <f>IF($A578="","",TEXT($A578,"ddd"))</f>
        <v/>
      </c>
      <c r="E578" s="8" t="inlineStr">
        <is>
          <t>Engineering</t>
        </is>
      </c>
      <c r="F578" s="8">
        <f>IFERROR(INDEX(Tbl_KPIMaster[Category],MATCH($G578,Tbl_KPIMaster[KPI],0)),"")</f>
        <v/>
      </c>
      <c r="G578" s="8" t="inlineStr">
        <is>
          <t>Breakdown Resolution Time</t>
        </is>
      </c>
      <c r="H578" s="8">
        <f>IFERROR(INDEX(Tbl_KPIMaster[Unit],MATCH($G578,Tbl_KPIMaster[KPI],0)),"")</f>
        <v/>
      </c>
      <c r="I578" s="9">
        <f>IFERROR(INDEX(Tbl_KPIMaster[Maximum Target],MATCH($G578,Tbl_KPIMaster[KPI],0)),"")</f>
        <v/>
      </c>
      <c r="J578" s="9" t="n">
        <v>0.09</v>
      </c>
      <c r="K578" s="8">
        <f>IFERROR(INDEX(Tbl_KPIMaster[Tolerance],MATCH($G578,Tbl_KPIMaster[KPI],0)),"")</f>
        <v/>
      </c>
      <c r="L578" s="8">
        <f>IFERROR(INDEX(Tbl_KPIMaster[Owner],MATCH($G578,Tbl_KPIMaster[KPI],0)),"")</f>
        <v/>
      </c>
      <c r="M578" s="10" t="inlineStr">
        <is>
          <t>New operator training effect</t>
        </is>
      </c>
      <c r="N578" s="8" t="inlineStr">
        <is>
          <t>Engineering support needed</t>
        </is>
      </c>
      <c r="O578" s="8" t="inlineStr">
        <is>
          <t>Low</t>
        </is>
      </c>
      <c r="P578" s="8" t="inlineStr">
        <is>
          <t>Closed</t>
        </is>
      </c>
      <c r="Q578" s="9">
        <f>IFERROR(IF(INDEX(Tbl_KPIMaster[Direction],MATCH($G578,Tbl_KPIMaster[KPI],0))="Lower is Better",IF($J578=0,1,IF($I578=0,0,$I578/$J578)),IF($I578=0,1,$J578/$I578)),0)</f>
        <v/>
      </c>
      <c r="R578" s="8">
        <f>IF(OR($I578="",$J578=""),"",$J578-$I578)</f>
        <v/>
      </c>
      <c r="S578" s="8">
        <f>IFERROR(IF(INDEX(Tbl_KPIMaster[Direction],MATCH($G578,Tbl_KPIMaster[KPI],0))="Lower is Better",IF($J578&lt;=$I578,"Green",IF($J578&lt;=$I578+IF($I578=0,$K578,$I578*$K578),"Amber","Red")),IF($J578&gt;=$I578,"Green",IF($J578&gt;=$I578-IF($I578=0,$K578,$I578*$K578),"Amber","Red"))),"")</f>
        <v/>
      </c>
      <c r="T578" s="10" t="inlineStr"/>
    </row>
    <row r="579">
      <c r="A579" s="3" t="n">
        <v>46158</v>
      </c>
      <c r="B579" s="4">
        <f>IF($A579="","",TEXT($A579,"mmm-yyyy"))</f>
        <v/>
      </c>
      <c r="C579" s="4">
        <f>IF($A579="","","W"&amp;WEEKNUM($A579,2))</f>
        <v/>
      </c>
      <c r="D579" s="4">
        <f>IF($A579="","",TEXT($A579,"ddd"))</f>
        <v/>
      </c>
      <c r="E579" s="4" t="inlineStr">
        <is>
          <t>Cost</t>
        </is>
      </c>
      <c r="F579" s="4">
        <f>IFERROR(INDEX(Tbl_KPIMaster[Category],MATCH($G579,Tbl_KPIMaster[KPI],0)),"")</f>
        <v/>
      </c>
      <c r="G579" s="4" t="inlineStr">
        <is>
          <t>Cost per Unit</t>
        </is>
      </c>
      <c r="H579" s="4">
        <f>IFERROR(INDEX(Tbl_KPIMaster[Unit],MATCH($G579,Tbl_KPIMaster[KPI],0)),"")</f>
        <v/>
      </c>
      <c r="I579" s="5">
        <f>IFERROR(INDEX(Tbl_KPIMaster[Maximum Target],MATCH($G579,Tbl_KPIMaster[KPI],0)),"")</f>
        <v/>
      </c>
      <c r="J579" s="5" t="n">
        <v>39.02</v>
      </c>
      <c r="K579" s="4">
        <f>IFERROR(INDEX(Tbl_KPIMaster[Tolerance],MATCH($G579,Tbl_KPIMaster[KPI],0)),"")</f>
        <v/>
      </c>
      <c r="L579" s="4">
        <f>IFERROR(INDEX(Tbl_KPIMaster[Owner],MATCH($G579,Tbl_KPIMaster[KPI],0)),"")</f>
        <v/>
      </c>
      <c r="M579" s="6" t="inlineStr">
        <is>
          <t>Preventive check done</t>
        </is>
      </c>
      <c r="N579" s="4" t="inlineStr">
        <is>
          <t>Engineering support needed</t>
        </is>
      </c>
      <c r="O579" s="4" t="inlineStr">
        <is>
          <t>Medium</t>
        </is>
      </c>
      <c r="P579" s="4" t="inlineStr">
        <is>
          <t>In Progress</t>
        </is>
      </c>
      <c r="Q579" s="5">
        <f>IFERROR(IF(INDEX(Tbl_KPIMaster[Direction],MATCH($G579,Tbl_KPIMaster[KPI],0))="Lower is Better",IF($J579=0,1,IF($I579=0,0,$I579/$J579)),IF($I579=0,1,$J579/$I579)),0)</f>
        <v/>
      </c>
      <c r="R579" s="4">
        <f>IF(OR($I579="",$J579=""),"",$J579-$I579)</f>
        <v/>
      </c>
      <c r="S579" s="4">
        <f>IFERROR(IF(INDEX(Tbl_KPIMaster[Direction],MATCH($G579,Tbl_KPIMaster[KPI],0))="Lower is Better",IF($J579&lt;=$I579,"Green",IF($J579&lt;=$I579+IF($I579=0,$K579,$I579*$K579),"Amber","Red")),IF($J579&gt;=$I579,"Green",IF($J579&gt;=$I579-IF($I579=0,$K579,$I579*$K579),"Amber","Red"))),"")</f>
        <v/>
      </c>
      <c r="T579" s="6" t="inlineStr"/>
    </row>
    <row r="580">
      <c r="A580" s="7" t="n">
        <v>46158</v>
      </c>
      <c r="B580" s="8">
        <f>IF($A580="","",TEXT($A580,"mmm-yyyy"))</f>
        <v/>
      </c>
      <c r="C580" s="8">
        <f>IF($A580="","","W"&amp;WEEKNUM($A580,2))</f>
        <v/>
      </c>
      <c r="D580" s="8">
        <f>IF($A580="","",TEXT($A580,"ddd"))</f>
        <v/>
      </c>
      <c r="E580" s="8" t="inlineStr">
        <is>
          <t>Cost</t>
        </is>
      </c>
      <c r="F580" s="8">
        <f>IFERROR(INDEX(Tbl_KPIMaster[Category],MATCH($G580,Tbl_KPIMaster[KPI],0)),"")</f>
        <v/>
      </c>
      <c r="G580" s="8" t="inlineStr">
        <is>
          <t>Budget Variance %</t>
        </is>
      </c>
      <c r="H580" s="8">
        <f>IFERROR(INDEX(Tbl_KPIMaster[Unit],MATCH($G580,Tbl_KPIMaster[KPI],0)),"")</f>
        <v/>
      </c>
      <c r="I580" s="9">
        <f>IFERROR(INDEX(Tbl_KPIMaster[Maximum Target],MATCH($G580,Tbl_KPIMaster[KPI],0)),"")</f>
        <v/>
      </c>
      <c r="J580" s="9" t="n">
        <v>0.7292999999999999</v>
      </c>
      <c r="K580" s="8">
        <f>IFERROR(INDEX(Tbl_KPIMaster[Tolerance],MATCH($G580,Tbl_KPIMaster[KPI],0)),"")</f>
        <v/>
      </c>
      <c r="L580" s="8">
        <f>IFERROR(INDEX(Tbl_KPIMaster[Owner],MATCH($G580,Tbl_KPIMaster[KPI],0)),"")</f>
        <v/>
      </c>
      <c r="M580" s="10" t="inlineStr">
        <is>
          <t>New operator training effect</t>
        </is>
      </c>
      <c r="N580" s="8" t="inlineStr"/>
      <c r="O580" s="8" t="inlineStr">
        <is>
          <t>Low</t>
        </is>
      </c>
      <c r="P580" s="8" t="inlineStr">
        <is>
          <t>Closed</t>
        </is>
      </c>
      <c r="Q580" s="9">
        <f>IFERROR(IF(INDEX(Tbl_KPIMaster[Direction],MATCH($G580,Tbl_KPIMaster[KPI],0))="Lower is Better",IF($J580=0,1,IF($I580=0,0,$I580/$J580)),IF($I580=0,1,$J580/$I580)),0)</f>
        <v/>
      </c>
      <c r="R580" s="8">
        <f>IF(OR($I580="",$J580=""),"",$J580-$I580)</f>
        <v/>
      </c>
      <c r="S580" s="8">
        <f>IFERROR(IF(INDEX(Tbl_KPIMaster[Direction],MATCH($G580,Tbl_KPIMaster[KPI],0))="Lower is Better",IF($J580&lt;=$I580,"Green",IF($J580&lt;=$I580+IF($I580=0,$K580,$I580*$K580),"Amber","Red")),IF($J580&gt;=$I580,"Green",IF($J580&gt;=$I580-IF($I580=0,$K580,$I580*$K580),"Amber","Red"))),"")</f>
        <v/>
      </c>
      <c r="T580" s="10" t="inlineStr"/>
    </row>
    <row r="581">
      <c r="A581" s="3" t="n">
        <v>46158</v>
      </c>
      <c r="B581" s="4">
        <f>IF($A581="","",TEXT($A581,"mmm-yyyy"))</f>
        <v/>
      </c>
      <c r="C581" s="4">
        <f>IF($A581="","","W"&amp;WEEKNUM($A581,2))</f>
        <v/>
      </c>
      <c r="D581" s="4">
        <f>IF($A581="","",TEXT($A581,"ddd"))</f>
        <v/>
      </c>
      <c r="E581" s="4" t="inlineStr">
        <is>
          <t>Energy</t>
        </is>
      </c>
      <c r="F581" s="4">
        <f>IFERROR(INDEX(Tbl_KPIMaster[Category],MATCH($G581,Tbl_KPIMaster[KPI],0)),"")</f>
        <v/>
      </c>
      <c r="G581" s="4" t="inlineStr">
        <is>
          <t>Energy Intensity (kWh/unit)</t>
        </is>
      </c>
      <c r="H581" s="4">
        <f>IFERROR(INDEX(Tbl_KPIMaster[Unit],MATCH($G581,Tbl_KPIMaster[KPI],0)),"")</f>
        <v/>
      </c>
      <c r="I581" s="5">
        <f>IFERROR(INDEX(Tbl_KPIMaster[Maximum Target],MATCH($G581,Tbl_KPIMaster[KPI],0)),"")</f>
        <v/>
      </c>
      <c r="J581" s="5" t="n">
        <v>3.88</v>
      </c>
      <c r="K581" s="4">
        <f>IFERROR(INDEX(Tbl_KPIMaster[Tolerance],MATCH($G581,Tbl_KPIMaster[KPI],0)),"")</f>
        <v/>
      </c>
      <c r="L581" s="4">
        <f>IFERROR(INDEX(Tbl_KPIMaster[Owner],MATCH($G581,Tbl_KPIMaster[KPI],0)),"")</f>
        <v/>
      </c>
      <c r="M581" s="6" t="inlineStr">
        <is>
          <t>Within normal range</t>
        </is>
      </c>
      <c r="N581" s="4" t="inlineStr">
        <is>
          <t>Engineering support needed</t>
        </is>
      </c>
      <c r="O581" s="4" t="inlineStr">
        <is>
          <t>Low</t>
        </is>
      </c>
      <c r="P581" s="4" t="inlineStr">
        <is>
          <t>In Progress</t>
        </is>
      </c>
      <c r="Q581" s="5">
        <f>IFERROR(IF(INDEX(Tbl_KPIMaster[Direction],MATCH($G581,Tbl_KPIMaster[KPI],0))="Lower is Better",IF($J581=0,1,IF($I581=0,0,$I581/$J581)),IF($I581=0,1,$J581/$I581)),0)</f>
        <v/>
      </c>
      <c r="R581" s="4">
        <f>IF(OR($I581="",$J581=""),"",$J581-$I581)</f>
        <v/>
      </c>
      <c r="S581" s="4">
        <f>IFERROR(IF(INDEX(Tbl_KPIMaster[Direction],MATCH($G581,Tbl_KPIMaster[KPI],0))="Lower is Better",IF($J581&lt;=$I581,"Green",IF($J581&lt;=$I581+IF($I581=0,$K581,$I581*$K581),"Amber","Red")),IF($J581&gt;=$I581,"Green",IF($J581&gt;=$I581-IF($I581=0,$K581,$I581*$K581),"Amber","Red"))),"")</f>
        <v/>
      </c>
      <c r="T581" s="6" t="inlineStr"/>
    </row>
    <row r="582">
      <c r="A582" s="7" t="n">
        <v>46158</v>
      </c>
      <c r="B582" s="8">
        <f>IF($A582="","",TEXT($A582,"mmm-yyyy"))</f>
        <v/>
      </c>
      <c r="C582" s="8">
        <f>IF($A582="","","W"&amp;WEEKNUM($A582,2))</f>
        <v/>
      </c>
      <c r="D582" s="8">
        <f>IF($A582="","",TEXT($A582,"ddd"))</f>
        <v/>
      </c>
      <c r="E582" s="8" t="inlineStr">
        <is>
          <t>Energy</t>
        </is>
      </c>
      <c r="F582" s="8">
        <f>IFERROR(INDEX(Tbl_KPIMaster[Category],MATCH($G582,Tbl_KPIMaster[KPI],0)),"")</f>
        <v/>
      </c>
      <c r="G582" s="8" t="inlineStr">
        <is>
          <t>Renewable Energy Share %</t>
        </is>
      </c>
      <c r="H582" s="8">
        <f>IFERROR(INDEX(Tbl_KPIMaster[Unit],MATCH($G582,Tbl_KPIMaster[KPI],0)),"")</f>
        <v/>
      </c>
      <c r="I582" s="9">
        <f>IFERROR(INDEX(Tbl_KPIMaster[Maximum Target],MATCH($G582,Tbl_KPIMaster[KPI],0)),"")</f>
        <v/>
      </c>
      <c r="J582" s="9" t="n">
        <v>0.2002</v>
      </c>
      <c r="K582" s="8">
        <f>IFERROR(INDEX(Tbl_KPIMaster[Tolerance],MATCH($G582,Tbl_KPIMaster[KPI],0)),"")</f>
        <v/>
      </c>
      <c r="L582" s="8">
        <f>IFERROR(INDEX(Tbl_KPIMaster[Owner],MATCH($G582,Tbl_KPIMaster[KPI],0)),"")</f>
        <v/>
      </c>
      <c r="M582" s="10" t="inlineStr"/>
      <c r="N582" s="8" t="inlineStr">
        <is>
          <t>Procurement follow-up</t>
        </is>
      </c>
      <c r="O582" s="8" t="inlineStr">
        <is>
          <t>Low</t>
        </is>
      </c>
      <c r="P582" s="8" t="inlineStr">
        <is>
          <t>Open</t>
        </is>
      </c>
      <c r="Q582" s="9">
        <f>IFERROR(IF(INDEX(Tbl_KPIMaster[Direction],MATCH($G582,Tbl_KPIMaster[KPI],0))="Lower is Better",IF($J582=0,1,IF($I582=0,0,$I582/$J582)),IF($I582=0,1,$J582/$I582)),0)</f>
        <v/>
      </c>
      <c r="R582" s="8">
        <f>IF(OR($I582="",$J582=""),"",$J582-$I582)</f>
        <v/>
      </c>
      <c r="S582" s="8">
        <f>IFERROR(IF(INDEX(Tbl_KPIMaster[Direction],MATCH($G582,Tbl_KPIMaster[KPI],0))="Lower is Better",IF($J582&lt;=$I582,"Green",IF($J582&lt;=$I582+IF($I582=0,$K582,$I582*$K582),"Amber","Red")),IF($J582&gt;=$I582,"Green",IF($J582&gt;=$I582-IF($I582=0,$K582,$I582*$K582),"Amber","Red"))),"")</f>
        <v/>
      </c>
      <c r="T582" s="10" t="inlineStr"/>
    </row>
    <row r="583">
      <c r="A583" s="3" t="n">
        <v>46159</v>
      </c>
      <c r="B583" s="4">
        <f>IF($A583="","",TEXT($A583,"mmm-yyyy"))</f>
        <v/>
      </c>
      <c r="C583" s="4">
        <f>IF($A583="","","W"&amp;WEEKNUM($A583,2))</f>
        <v/>
      </c>
      <c r="D583" s="4">
        <f>IF($A583="","",TEXT($A583,"ddd"))</f>
        <v/>
      </c>
      <c r="E583" s="4" t="inlineStr">
        <is>
          <t>Safety</t>
        </is>
      </c>
      <c r="F583" s="4">
        <f>IFERROR(INDEX(Tbl_KPIMaster[Category],MATCH($G583,Tbl_KPIMaster[KPI],0)),"")</f>
        <v/>
      </c>
      <c r="G583" s="4" t="inlineStr">
        <is>
          <t>Safety Incidents (LTI)</t>
        </is>
      </c>
      <c r="H583" s="4">
        <f>IFERROR(INDEX(Tbl_KPIMaster[Unit],MATCH($G583,Tbl_KPIMaster[KPI],0)),"")</f>
        <v/>
      </c>
      <c r="I583" s="5">
        <f>IFERROR(INDEX(Tbl_KPIMaster[Maximum Target],MATCH($G583,Tbl_KPIMaster[KPI],0)),"")</f>
        <v/>
      </c>
      <c r="J583" s="5" t="n">
        <v>0</v>
      </c>
      <c r="K583" s="4">
        <f>IFERROR(INDEX(Tbl_KPIMaster[Tolerance],MATCH($G583,Tbl_KPIMaster[KPI],0)),"")</f>
        <v/>
      </c>
      <c r="L583" s="4">
        <f>IFERROR(INDEX(Tbl_KPIMaster[Owner],MATCH($G583,Tbl_KPIMaster[KPI],0)),"")</f>
        <v/>
      </c>
      <c r="M583" s="6" t="inlineStr">
        <is>
          <t>Weather impact</t>
        </is>
      </c>
      <c r="N583" s="4" t="inlineStr"/>
      <c r="O583" s="4" t="inlineStr">
        <is>
          <t>Medium</t>
        </is>
      </c>
      <c r="P583" s="4" t="inlineStr">
        <is>
          <t>Closed</t>
        </is>
      </c>
      <c r="Q583" s="5">
        <f>IFERROR(IF(INDEX(Tbl_KPIMaster[Direction],MATCH($G583,Tbl_KPIMaster[KPI],0))="Lower is Better",IF($J583=0,1,IF($I583=0,0,$I583/$J583)),IF($I583=0,1,$J583/$I583)),0)</f>
        <v/>
      </c>
      <c r="R583" s="4">
        <f>IF(OR($I583="",$J583=""),"",$J583-$I583)</f>
        <v/>
      </c>
      <c r="S583" s="4">
        <f>IFERROR(IF(INDEX(Tbl_KPIMaster[Direction],MATCH($G583,Tbl_KPIMaster[KPI],0))="Lower is Better",IF($J583&lt;=$I583,"Green",IF($J583&lt;=$I583+IF($I583=0,$K583,$I583*$K583),"Amber","Red")),IF($J583&gt;=$I583,"Green",IF($J583&gt;=$I583-IF($I583=0,$K583,$I583*$K583),"Amber","Red"))),"")</f>
        <v/>
      </c>
      <c r="T583" s="6" t="inlineStr"/>
    </row>
    <row r="584">
      <c r="A584" s="7" t="n">
        <v>46159</v>
      </c>
      <c r="B584" s="8">
        <f>IF($A584="","",TEXT($A584,"mmm-yyyy"))</f>
        <v/>
      </c>
      <c r="C584" s="8">
        <f>IF($A584="","","W"&amp;WEEKNUM($A584,2))</f>
        <v/>
      </c>
      <c r="D584" s="8">
        <f>IF($A584="","",TEXT($A584,"ddd"))</f>
        <v/>
      </c>
      <c r="E584" s="8" t="inlineStr">
        <is>
          <t>Safety</t>
        </is>
      </c>
      <c r="F584" s="8">
        <f>IFERROR(INDEX(Tbl_KPIMaster[Category],MATCH($G584,Tbl_KPIMaster[KPI],0)),"")</f>
        <v/>
      </c>
      <c r="G584" s="8" t="inlineStr">
        <is>
          <t>Near Miss Reports</t>
        </is>
      </c>
      <c r="H584" s="8">
        <f>IFERROR(INDEX(Tbl_KPIMaster[Unit],MATCH($G584,Tbl_KPIMaster[KPI],0)),"")</f>
        <v/>
      </c>
      <c r="I584" s="9">
        <f>IFERROR(INDEX(Tbl_KPIMaster[Maximum Target],MATCH($G584,Tbl_KPIMaster[KPI],0)),"")</f>
        <v/>
      </c>
      <c r="J584" s="9" t="n">
        <v>2</v>
      </c>
      <c r="K584" s="8">
        <f>IFERROR(INDEX(Tbl_KPIMaster[Tolerance],MATCH($G584,Tbl_KPIMaster[KPI],0)),"")</f>
        <v/>
      </c>
      <c r="L584" s="8">
        <f>IFERROR(INDEX(Tbl_KPIMaster[Owner],MATCH($G584,Tbl_KPIMaster[KPI],0)),"")</f>
        <v/>
      </c>
      <c r="M584" s="10" t="inlineStr">
        <is>
          <t>Line changeover impact</t>
        </is>
      </c>
      <c r="N584" s="8" t="inlineStr"/>
      <c r="O584" s="8" t="inlineStr">
        <is>
          <t>Medium</t>
        </is>
      </c>
      <c r="P584" s="8" t="inlineStr">
        <is>
          <t>Closed</t>
        </is>
      </c>
      <c r="Q584" s="9">
        <f>IFERROR(IF(INDEX(Tbl_KPIMaster[Direction],MATCH($G584,Tbl_KPIMaster[KPI],0))="Lower is Better",IF($J584=0,1,IF($I584=0,0,$I584/$J584)),IF($I584=0,1,$J584/$I584)),0)</f>
        <v/>
      </c>
      <c r="R584" s="8">
        <f>IF(OR($I584="",$J584=""),"",$J584-$I584)</f>
        <v/>
      </c>
      <c r="S584" s="8">
        <f>IFERROR(IF(INDEX(Tbl_KPIMaster[Direction],MATCH($G584,Tbl_KPIMaster[KPI],0))="Lower is Better",IF($J584&lt;=$I584,"Green",IF($J584&lt;=$I584+IF($I584=0,$K584,$I584*$K584),"Amber","Red")),IF($J584&gt;=$I584,"Green",IF($J584&gt;=$I584-IF($I584=0,$K584,$I584*$K584),"Amber","Red"))),"")</f>
        <v/>
      </c>
      <c r="T584" s="10" t="inlineStr"/>
    </row>
    <row r="585">
      <c r="A585" s="3" t="n">
        <v>46159</v>
      </c>
      <c r="B585" s="4">
        <f>IF($A585="","",TEXT($A585,"mmm-yyyy"))</f>
        <v/>
      </c>
      <c r="C585" s="4">
        <f>IF($A585="","","W"&amp;WEEKNUM($A585,2))</f>
        <v/>
      </c>
      <c r="D585" s="4">
        <f>IF($A585="","",TEXT($A585,"ddd"))</f>
        <v/>
      </c>
      <c r="E585" s="4" t="inlineStr">
        <is>
          <t>Production</t>
        </is>
      </c>
      <c r="F585" s="4">
        <f>IFERROR(INDEX(Tbl_KPIMaster[Category],MATCH($G585,Tbl_KPIMaster[KPI],0)),"")</f>
        <v/>
      </c>
      <c r="G585" s="4" t="inlineStr">
        <is>
          <t>Production Output</t>
        </is>
      </c>
      <c r="H585" s="4">
        <f>IFERROR(INDEX(Tbl_KPIMaster[Unit],MATCH($G585,Tbl_KPIMaster[KPI],0)),"")</f>
        <v/>
      </c>
      <c r="I585" s="5">
        <f>IFERROR(INDEX(Tbl_KPIMaster[Maximum Target],MATCH($G585,Tbl_KPIMaster[KPI],0)),"")</f>
        <v/>
      </c>
      <c r="J585" s="5" t="n">
        <v>1115.49</v>
      </c>
      <c r="K585" s="4">
        <f>IFERROR(INDEX(Tbl_KPIMaster[Tolerance],MATCH($G585,Tbl_KPIMaster[KPI],0)),"")</f>
        <v/>
      </c>
      <c r="L585" s="4">
        <f>IFERROR(INDEX(Tbl_KPIMaster[Owner],MATCH($G585,Tbl_KPIMaster[KPI],0)),"")</f>
        <v/>
      </c>
      <c r="M585" s="6" t="inlineStr">
        <is>
          <t>Within normal range</t>
        </is>
      </c>
      <c r="N585" s="4" t="inlineStr">
        <is>
          <t>Engineering support needed</t>
        </is>
      </c>
      <c r="O585" s="4" t="inlineStr">
        <is>
          <t>High</t>
        </is>
      </c>
      <c r="P585" s="4" t="inlineStr">
        <is>
          <t>Open</t>
        </is>
      </c>
      <c r="Q585" s="5">
        <f>IFERROR(IF(INDEX(Tbl_KPIMaster[Direction],MATCH($G585,Tbl_KPIMaster[KPI],0))="Lower is Better",IF($J585=0,1,IF($I585=0,0,$I585/$J585)),IF($I585=0,1,$J585/$I585)),0)</f>
        <v/>
      </c>
      <c r="R585" s="4">
        <f>IF(OR($I585="",$J585=""),"",$J585-$I585)</f>
        <v/>
      </c>
      <c r="S585" s="4">
        <f>IFERROR(IF(INDEX(Tbl_KPIMaster[Direction],MATCH($G585,Tbl_KPIMaster[KPI],0))="Lower is Better",IF($J585&lt;=$I585,"Green",IF($J585&lt;=$I585+IF($I585=0,$K585,$I585*$K585),"Amber","Red")),IF($J585&gt;=$I585,"Green",IF($J585&gt;=$I585-IF($I585=0,$K585,$I585*$K585),"Amber","Red"))),"")</f>
        <v/>
      </c>
      <c r="T585" s="6" t="inlineStr"/>
    </row>
    <row r="586">
      <c r="A586" s="7" t="n">
        <v>46159</v>
      </c>
      <c r="B586" s="8">
        <f>IF($A586="","",TEXT($A586,"mmm-yyyy"))</f>
        <v/>
      </c>
      <c r="C586" s="8">
        <f>IF($A586="","","W"&amp;WEEKNUM($A586,2))</f>
        <v/>
      </c>
      <c r="D586" s="8">
        <f>IF($A586="","",TEXT($A586,"ddd"))</f>
        <v/>
      </c>
      <c r="E586" s="8" t="inlineStr">
        <is>
          <t>Production</t>
        </is>
      </c>
      <c r="F586" s="8">
        <f>IFERROR(INDEX(Tbl_KPIMaster[Category],MATCH($G586,Tbl_KPIMaster[KPI],0)),"")</f>
        <v/>
      </c>
      <c r="G586" s="8" t="inlineStr">
        <is>
          <t>OEE %</t>
        </is>
      </c>
      <c r="H586" s="8">
        <f>IFERROR(INDEX(Tbl_KPIMaster[Unit],MATCH($G586,Tbl_KPIMaster[KPI],0)),"")</f>
        <v/>
      </c>
      <c r="I586" s="9">
        <f>IFERROR(INDEX(Tbl_KPIMaster[Maximum Target],MATCH($G586,Tbl_KPIMaster[KPI],0)),"")</f>
        <v/>
      </c>
      <c r="J586" s="9" t="n">
        <v>0.8788</v>
      </c>
      <c r="K586" s="8">
        <f>IFERROR(INDEX(Tbl_KPIMaster[Tolerance],MATCH($G586,Tbl_KPIMaster[KPI],0)),"")</f>
        <v/>
      </c>
      <c r="L586" s="8">
        <f>IFERROR(INDEX(Tbl_KPIMaster[Owner],MATCH($G586,Tbl_KPIMaster[KPI],0)),"")</f>
        <v/>
      </c>
      <c r="M586" s="10" t="inlineStr">
        <is>
          <t>Manpower shortage</t>
        </is>
      </c>
      <c r="N586" s="8" t="inlineStr">
        <is>
          <t>Management approval pending</t>
        </is>
      </c>
      <c r="O586" s="8" t="inlineStr">
        <is>
          <t>Medium</t>
        </is>
      </c>
      <c r="P586" s="8" t="inlineStr">
        <is>
          <t>Closed</t>
        </is>
      </c>
      <c r="Q586" s="9">
        <f>IFERROR(IF(INDEX(Tbl_KPIMaster[Direction],MATCH($G586,Tbl_KPIMaster[KPI],0))="Lower is Better",IF($J586=0,1,IF($I586=0,0,$I586/$J586)),IF($I586=0,1,$J586/$I586)),0)</f>
        <v/>
      </c>
      <c r="R586" s="8">
        <f>IF(OR($I586="",$J586=""),"",$J586-$I586)</f>
        <v/>
      </c>
      <c r="S586" s="8">
        <f>IFERROR(IF(INDEX(Tbl_KPIMaster[Direction],MATCH($G586,Tbl_KPIMaster[KPI],0))="Lower is Better",IF($J586&lt;=$I586,"Green",IF($J586&lt;=$I586+IF($I586=0,$K586,$I586*$K586),"Amber","Red")),IF($J586&gt;=$I586,"Green",IF($J586&gt;=$I586-IF($I586=0,$K586,$I586*$K586),"Amber","Red"))),"")</f>
        <v/>
      </c>
      <c r="T586" s="10" t="inlineStr"/>
    </row>
    <row r="587">
      <c r="A587" s="3" t="n">
        <v>46159</v>
      </c>
      <c r="B587" s="4">
        <f>IF($A587="","",TEXT($A587,"mmm-yyyy"))</f>
        <v/>
      </c>
      <c r="C587" s="4">
        <f>IF($A587="","","W"&amp;WEEKNUM($A587,2))</f>
        <v/>
      </c>
      <c r="D587" s="4">
        <f>IF($A587="","",TEXT($A587,"ddd"))</f>
        <v/>
      </c>
      <c r="E587" s="4" t="inlineStr">
        <is>
          <t>Quality</t>
        </is>
      </c>
      <c r="F587" s="4">
        <f>IFERROR(INDEX(Tbl_KPIMaster[Category],MATCH($G587,Tbl_KPIMaster[KPI],0)),"")</f>
        <v/>
      </c>
      <c r="G587" s="4" t="inlineStr">
        <is>
          <t>Defect Rate %</t>
        </is>
      </c>
      <c r="H587" s="4">
        <f>IFERROR(INDEX(Tbl_KPIMaster[Unit],MATCH($G587,Tbl_KPIMaster[KPI],0)),"")</f>
        <v/>
      </c>
      <c r="I587" s="5">
        <f>IFERROR(INDEX(Tbl_KPIMaster[Maximum Target],MATCH($G587,Tbl_KPIMaster[KPI],0)),"")</f>
        <v/>
      </c>
      <c r="J587" s="5" t="n">
        <v>0.2734</v>
      </c>
      <c r="K587" s="4">
        <f>IFERROR(INDEX(Tbl_KPIMaster[Tolerance],MATCH($G587,Tbl_KPIMaster[KPI],0)),"")</f>
        <v/>
      </c>
      <c r="L587" s="4">
        <f>IFERROR(INDEX(Tbl_KPIMaster[Owner],MATCH($G587,Tbl_KPIMaster[KPI],0)),"")</f>
        <v/>
      </c>
      <c r="M587" s="6" t="inlineStr"/>
      <c r="N587" s="4" t="inlineStr"/>
      <c r="O587" s="4" t="inlineStr">
        <is>
          <t>High</t>
        </is>
      </c>
      <c r="P587" s="4" t="inlineStr">
        <is>
          <t>In Progress</t>
        </is>
      </c>
      <c r="Q587" s="5">
        <f>IFERROR(IF(INDEX(Tbl_KPIMaster[Direction],MATCH($G587,Tbl_KPIMaster[KPI],0))="Lower is Better",IF($J587=0,1,IF($I587=0,0,$I587/$J587)),IF($I587=0,1,$J587/$I587)),0)</f>
        <v/>
      </c>
      <c r="R587" s="4">
        <f>IF(OR($I587="",$J587=""),"",$J587-$I587)</f>
        <v/>
      </c>
      <c r="S587" s="4">
        <f>IFERROR(IF(INDEX(Tbl_KPIMaster[Direction],MATCH($G587,Tbl_KPIMaster[KPI],0))="Lower is Better",IF($J587&lt;=$I587,"Green",IF($J587&lt;=$I587+IF($I587=0,$K587,$I587*$K587),"Amber","Red")),IF($J587&gt;=$I587,"Green",IF($J587&gt;=$I587-IF($I587=0,$K587,$I587*$K587),"Amber","Red"))),"")</f>
        <v/>
      </c>
      <c r="T587" s="6" t="inlineStr"/>
    </row>
    <row r="588">
      <c r="A588" s="7" t="n">
        <v>46159</v>
      </c>
      <c r="B588" s="8">
        <f>IF($A588="","",TEXT($A588,"mmm-yyyy"))</f>
        <v/>
      </c>
      <c r="C588" s="8">
        <f>IF($A588="","","W"&amp;WEEKNUM($A588,2))</f>
        <v/>
      </c>
      <c r="D588" s="8">
        <f>IF($A588="","",TEXT($A588,"ddd"))</f>
        <v/>
      </c>
      <c r="E588" s="8" t="inlineStr">
        <is>
          <t>Quality</t>
        </is>
      </c>
      <c r="F588" s="8">
        <f>IFERROR(INDEX(Tbl_KPIMaster[Category],MATCH($G588,Tbl_KPIMaster[KPI],0)),"")</f>
        <v/>
      </c>
      <c r="G588" s="8" t="inlineStr">
        <is>
          <t>Customer Complaints</t>
        </is>
      </c>
      <c r="H588" s="8">
        <f>IFERROR(INDEX(Tbl_KPIMaster[Unit],MATCH($G588,Tbl_KPIMaster[KPI],0)),"")</f>
        <v/>
      </c>
      <c r="I588" s="9">
        <f>IFERROR(INDEX(Tbl_KPIMaster[Maximum Target],MATCH($G588,Tbl_KPIMaster[KPI],0)),"")</f>
        <v/>
      </c>
      <c r="J588" s="9" t="n">
        <v>1</v>
      </c>
      <c r="K588" s="8">
        <f>IFERROR(INDEX(Tbl_KPIMaster[Tolerance],MATCH($G588,Tbl_KPIMaster[KPI],0)),"")</f>
        <v/>
      </c>
      <c r="L588" s="8">
        <f>IFERROR(INDEX(Tbl_KPIMaster[Owner],MATCH($G588,Tbl_KPIMaster[KPI],0)),"")</f>
        <v/>
      </c>
      <c r="M588" s="10" t="inlineStr">
        <is>
          <t>Line changeover impact</t>
        </is>
      </c>
      <c r="N588" s="8" t="inlineStr">
        <is>
          <t>Engineering support needed</t>
        </is>
      </c>
      <c r="O588" s="8" t="inlineStr">
        <is>
          <t>Medium</t>
        </is>
      </c>
      <c r="P588" s="8" t="inlineStr">
        <is>
          <t>In Progress</t>
        </is>
      </c>
      <c r="Q588" s="9">
        <f>IFERROR(IF(INDEX(Tbl_KPIMaster[Direction],MATCH($G588,Tbl_KPIMaster[KPI],0))="Lower is Better",IF($J588=0,1,IF($I588=0,0,$I588/$J588)),IF($I588=0,1,$J588/$I588)),0)</f>
        <v/>
      </c>
      <c r="R588" s="8">
        <f>IF(OR($I588="",$J588=""),"",$J588-$I588)</f>
        <v/>
      </c>
      <c r="S588" s="8">
        <f>IFERROR(IF(INDEX(Tbl_KPIMaster[Direction],MATCH($G588,Tbl_KPIMaster[KPI],0))="Lower is Better",IF($J588&lt;=$I588,"Green",IF($J588&lt;=$I588+IF($I588=0,$K588,$I588*$K588),"Amber","Red")),IF($J588&gt;=$I588,"Green",IF($J588&gt;=$I588-IF($I588=0,$K588,$I588*$K588),"Amber","Red"))),"")</f>
        <v/>
      </c>
      <c r="T588" s="10" t="inlineStr"/>
    </row>
    <row r="589">
      <c r="A589" s="3" t="n">
        <v>46159</v>
      </c>
      <c r="B589" s="4">
        <f>IF($A589="","",TEXT($A589,"mmm-yyyy"))</f>
        <v/>
      </c>
      <c r="C589" s="4">
        <f>IF($A589="","","W"&amp;WEEKNUM($A589,2))</f>
        <v/>
      </c>
      <c r="D589" s="4">
        <f>IF($A589="","",TEXT($A589,"ddd"))</f>
        <v/>
      </c>
      <c r="E589" s="4" t="inlineStr">
        <is>
          <t>Maintenance</t>
        </is>
      </c>
      <c r="F589" s="4">
        <f>IFERROR(INDEX(Tbl_KPIMaster[Category],MATCH($G589,Tbl_KPIMaster[KPI],0)),"")</f>
        <v/>
      </c>
      <c r="G589" s="4" t="inlineStr">
        <is>
          <t>Unplanned Downtime</t>
        </is>
      </c>
      <c r="H589" s="4">
        <f>IFERROR(INDEX(Tbl_KPIMaster[Unit],MATCH($G589,Tbl_KPIMaster[KPI],0)),"")</f>
        <v/>
      </c>
      <c r="I589" s="5">
        <f>IFERROR(INDEX(Tbl_KPIMaster[Maximum Target],MATCH($G589,Tbl_KPIMaster[KPI],0)),"")</f>
        <v/>
      </c>
      <c r="J589" s="5" t="n">
        <v>0</v>
      </c>
      <c r="K589" s="4">
        <f>IFERROR(INDEX(Tbl_KPIMaster[Tolerance],MATCH($G589,Tbl_KPIMaster[KPI],0)),"")</f>
        <v/>
      </c>
      <c r="L589" s="4">
        <f>IFERROR(INDEX(Tbl_KPIMaster[Owner],MATCH($G589,Tbl_KPIMaster[KPI],0)),"")</f>
        <v/>
      </c>
      <c r="M589" s="6" t="inlineStr">
        <is>
          <t>Line changeover impact</t>
        </is>
      </c>
      <c r="N589" s="4" t="inlineStr"/>
      <c r="O589" s="4" t="inlineStr">
        <is>
          <t>Low</t>
        </is>
      </c>
      <c r="P589" s="4" t="inlineStr">
        <is>
          <t>Closed</t>
        </is>
      </c>
      <c r="Q589" s="5">
        <f>IFERROR(IF(INDEX(Tbl_KPIMaster[Direction],MATCH($G589,Tbl_KPIMaster[KPI],0))="Lower is Better",IF($J589=0,1,IF($I589=0,0,$I589/$J589)),IF($I589=0,1,$J589/$I589)),0)</f>
        <v/>
      </c>
      <c r="R589" s="4">
        <f>IF(OR($I589="",$J589=""),"",$J589-$I589)</f>
        <v/>
      </c>
      <c r="S589" s="4">
        <f>IFERROR(IF(INDEX(Tbl_KPIMaster[Direction],MATCH($G589,Tbl_KPIMaster[KPI],0))="Lower is Better",IF($J589&lt;=$I589,"Green",IF($J589&lt;=$I589+IF($I589=0,$K589,$I589*$K589),"Amber","Red")),IF($J589&gt;=$I589,"Green",IF($J589&gt;=$I589-IF($I589=0,$K589,$I589*$K589),"Amber","Red"))),"")</f>
        <v/>
      </c>
      <c r="T589" s="6" t="inlineStr"/>
    </row>
    <row r="590">
      <c r="A590" s="7" t="n">
        <v>46159</v>
      </c>
      <c r="B590" s="8">
        <f>IF($A590="","",TEXT($A590,"mmm-yyyy"))</f>
        <v/>
      </c>
      <c r="C590" s="8">
        <f>IF($A590="","","W"&amp;WEEKNUM($A590,2))</f>
        <v/>
      </c>
      <c r="D590" s="8">
        <f>IF($A590="","",TEXT($A590,"ddd"))</f>
        <v/>
      </c>
      <c r="E590" s="8" t="inlineStr">
        <is>
          <t>Maintenance</t>
        </is>
      </c>
      <c r="F590" s="8">
        <f>IFERROR(INDEX(Tbl_KPIMaster[Category],MATCH($G590,Tbl_KPIMaster[KPI],0)),"")</f>
        <v/>
      </c>
      <c r="G590" s="8" t="inlineStr">
        <is>
          <t>PM Compliance %</t>
        </is>
      </c>
      <c r="H590" s="8">
        <f>IFERROR(INDEX(Tbl_KPIMaster[Unit],MATCH($G590,Tbl_KPIMaster[KPI],0)),"")</f>
        <v/>
      </c>
      <c r="I590" s="9">
        <f>IFERROR(INDEX(Tbl_KPIMaster[Maximum Target],MATCH($G590,Tbl_KPIMaster[KPI],0)),"")</f>
        <v/>
      </c>
      <c r="J590" s="9" t="n">
        <v>1.0132</v>
      </c>
      <c r="K590" s="8">
        <f>IFERROR(INDEX(Tbl_KPIMaster[Tolerance],MATCH($G590,Tbl_KPIMaster[KPI],0)),"")</f>
        <v/>
      </c>
      <c r="L590" s="8">
        <f>IFERROR(INDEX(Tbl_KPIMaster[Owner],MATCH($G590,Tbl_KPIMaster[KPI],0)),"")</f>
        <v/>
      </c>
      <c r="M590" s="10" t="inlineStr">
        <is>
          <t>Equipment breakdown</t>
        </is>
      </c>
      <c r="N590" s="8" t="inlineStr"/>
      <c r="O590" s="8" t="inlineStr">
        <is>
          <t>Low</t>
        </is>
      </c>
      <c r="P590" s="8" t="inlineStr">
        <is>
          <t>Closed</t>
        </is>
      </c>
      <c r="Q590" s="9">
        <f>IFERROR(IF(INDEX(Tbl_KPIMaster[Direction],MATCH($G590,Tbl_KPIMaster[KPI],0))="Lower is Better",IF($J590=0,1,IF($I590=0,0,$I590/$J590)),IF($I590=0,1,$J590/$I590)),0)</f>
        <v/>
      </c>
      <c r="R590" s="8">
        <f>IF(OR($I590="",$J590=""),"",$J590-$I590)</f>
        <v/>
      </c>
      <c r="S590" s="8">
        <f>IFERROR(IF(INDEX(Tbl_KPIMaster[Direction],MATCH($G590,Tbl_KPIMaster[KPI],0))="Lower is Better",IF($J590&lt;=$I590,"Green",IF($J590&lt;=$I590+IF($I590=0,$K590,$I590*$K590),"Amber","Red")),IF($J590&gt;=$I590,"Green",IF($J590&gt;=$I590-IF($I590=0,$K590,$I590*$K590),"Amber","Red"))),"")</f>
        <v/>
      </c>
      <c r="T590" s="10" t="inlineStr"/>
    </row>
    <row r="591">
      <c r="A591" s="3" t="n">
        <v>46159</v>
      </c>
      <c r="B591" s="4">
        <f>IF($A591="","",TEXT($A591,"mmm-yyyy"))</f>
        <v/>
      </c>
      <c r="C591" s="4">
        <f>IF($A591="","","W"&amp;WEEKNUM($A591,2))</f>
        <v/>
      </c>
      <c r="D591" s="4">
        <f>IF($A591="","",TEXT($A591,"ddd"))</f>
        <v/>
      </c>
      <c r="E591" s="4" t="inlineStr">
        <is>
          <t>Utilities</t>
        </is>
      </c>
      <c r="F591" s="4">
        <f>IFERROR(INDEX(Tbl_KPIMaster[Category],MATCH($G591,Tbl_KPIMaster[KPI],0)),"")</f>
        <v/>
      </c>
      <c r="G591" s="4" t="inlineStr">
        <is>
          <t>Power Consumption</t>
        </is>
      </c>
      <c r="H591" s="4">
        <f>IFERROR(INDEX(Tbl_KPIMaster[Unit],MATCH($G591,Tbl_KPIMaster[KPI],0)),"")</f>
        <v/>
      </c>
      <c r="I591" s="5">
        <f>IFERROR(INDEX(Tbl_KPIMaster[Maximum Target],MATCH($G591,Tbl_KPIMaster[KPI],0)),"")</f>
        <v/>
      </c>
      <c r="J591" s="5" t="n">
        <v>3453.6</v>
      </c>
      <c r="K591" s="4">
        <f>IFERROR(INDEX(Tbl_KPIMaster[Tolerance],MATCH($G591,Tbl_KPIMaster[KPI],0)),"")</f>
        <v/>
      </c>
      <c r="L591" s="4">
        <f>IFERROR(INDEX(Tbl_KPIMaster[Owner],MATCH($G591,Tbl_KPIMaster[KPI],0)),"")</f>
        <v/>
      </c>
      <c r="M591" s="6" t="inlineStr">
        <is>
          <t>Awaiting spares</t>
        </is>
      </c>
      <c r="N591" s="4" t="inlineStr">
        <is>
          <t>Management approval pending</t>
        </is>
      </c>
      <c r="O591" s="4" t="inlineStr">
        <is>
          <t>Medium</t>
        </is>
      </c>
      <c r="P591" s="4" t="inlineStr">
        <is>
          <t>Closed</t>
        </is>
      </c>
      <c r="Q591" s="5">
        <f>IFERROR(IF(INDEX(Tbl_KPIMaster[Direction],MATCH($G591,Tbl_KPIMaster[KPI],0))="Lower is Better",IF($J591=0,1,IF($I591=0,0,$I591/$J591)),IF($I591=0,1,$J591/$I591)),0)</f>
        <v/>
      </c>
      <c r="R591" s="4">
        <f>IF(OR($I591="",$J591=""),"",$J591-$I591)</f>
        <v/>
      </c>
      <c r="S591" s="4">
        <f>IFERROR(IF(INDEX(Tbl_KPIMaster[Direction],MATCH($G591,Tbl_KPIMaster[KPI],0))="Lower is Better",IF($J591&lt;=$I591,"Green",IF($J591&lt;=$I591+IF($I591=0,$K591,$I591*$K591),"Amber","Red")),IF($J591&gt;=$I591,"Green",IF($J591&gt;=$I591-IF($I591=0,$K591,$I591*$K591),"Amber","Red"))),"")</f>
        <v/>
      </c>
      <c r="T591" s="6" t="inlineStr"/>
    </row>
    <row r="592">
      <c r="A592" s="7" t="n">
        <v>46159</v>
      </c>
      <c r="B592" s="8">
        <f>IF($A592="","",TEXT($A592,"mmm-yyyy"))</f>
        <v/>
      </c>
      <c r="C592" s="8">
        <f>IF($A592="","","W"&amp;WEEKNUM($A592,2))</f>
        <v/>
      </c>
      <c r="D592" s="8">
        <f>IF($A592="","",TEXT($A592,"ddd"))</f>
        <v/>
      </c>
      <c r="E592" s="8" t="inlineStr">
        <is>
          <t>Utilities</t>
        </is>
      </c>
      <c r="F592" s="8">
        <f>IFERROR(INDEX(Tbl_KPIMaster[Category],MATCH($G592,Tbl_KPIMaster[KPI],0)),"")</f>
        <v/>
      </c>
      <c r="G592" s="8" t="inlineStr">
        <is>
          <t>Water Consumption</t>
        </is>
      </c>
      <c r="H592" s="8">
        <f>IFERROR(INDEX(Tbl_KPIMaster[Unit],MATCH($G592,Tbl_KPIMaster[KPI],0)),"")</f>
        <v/>
      </c>
      <c r="I592" s="9">
        <f>IFERROR(INDEX(Tbl_KPIMaster[Maximum Target],MATCH($G592,Tbl_KPIMaster[KPI],0)),"")</f>
        <v/>
      </c>
      <c r="J592" s="9" t="n">
        <v>56.4</v>
      </c>
      <c r="K592" s="8">
        <f>IFERROR(INDEX(Tbl_KPIMaster[Tolerance],MATCH($G592,Tbl_KPIMaster[KPI],0)),"")</f>
        <v/>
      </c>
      <c r="L592" s="8">
        <f>IFERROR(INDEX(Tbl_KPIMaster[Owner],MATCH($G592,Tbl_KPIMaster[KPI],0)),"")</f>
        <v/>
      </c>
      <c r="M592" s="10" t="inlineStr"/>
      <c r="N592" s="8" t="inlineStr">
        <is>
          <t>Procurement follow-up</t>
        </is>
      </c>
      <c r="O592" s="8" t="inlineStr">
        <is>
          <t>Medium</t>
        </is>
      </c>
      <c r="P592" s="8" t="inlineStr">
        <is>
          <t>Closed</t>
        </is>
      </c>
      <c r="Q592" s="9">
        <f>IFERROR(IF(INDEX(Tbl_KPIMaster[Direction],MATCH($G592,Tbl_KPIMaster[KPI],0))="Lower is Better",IF($J592=0,1,IF($I592=0,0,$I592/$J592)),IF($I592=0,1,$J592/$I592)),0)</f>
        <v/>
      </c>
      <c r="R592" s="8">
        <f>IF(OR($I592="",$J592=""),"",$J592-$I592)</f>
        <v/>
      </c>
      <c r="S592" s="8">
        <f>IFERROR(IF(INDEX(Tbl_KPIMaster[Direction],MATCH($G592,Tbl_KPIMaster[KPI],0))="Lower is Better",IF($J592&lt;=$I592,"Green",IF($J592&lt;=$I592+IF($I592=0,$K592,$I592*$K592),"Amber","Red")),IF($J592&gt;=$I592,"Green",IF($J592&gt;=$I592-IF($I592=0,$K592,$I592*$K592),"Amber","Red"))),"")</f>
        <v/>
      </c>
      <c r="T592" s="10" t="inlineStr"/>
    </row>
    <row r="593">
      <c r="A593" s="3" t="n">
        <v>46159</v>
      </c>
      <c r="B593" s="4">
        <f>IF($A593="","",TEXT($A593,"mmm-yyyy"))</f>
        <v/>
      </c>
      <c r="C593" s="4">
        <f>IF($A593="","","W"&amp;WEEKNUM($A593,2))</f>
        <v/>
      </c>
      <c r="D593" s="4">
        <f>IF($A593="","",TEXT($A593,"ddd"))</f>
        <v/>
      </c>
      <c r="E593" s="4" t="inlineStr">
        <is>
          <t>Warehouse</t>
        </is>
      </c>
      <c r="F593" s="4">
        <f>IFERROR(INDEX(Tbl_KPIMaster[Category],MATCH($G593,Tbl_KPIMaster[KPI],0)),"")</f>
        <v/>
      </c>
      <c r="G593" s="4" t="inlineStr">
        <is>
          <t>On-Time Dispatch %</t>
        </is>
      </c>
      <c r="H593" s="4">
        <f>IFERROR(INDEX(Tbl_KPIMaster[Unit],MATCH($G593,Tbl_KPIMaster[KPI],0)),"")</f>
        <v/>
      </c>
      <c r="I593" s="5">
        <f>IFERROR(INDEX(Tbl_KPIMaster[Maximum Target],MATCH($G593,Tbl_KPIMaster[KPI],0)),"")</f>
        <v/>
      </c>
      <c r="J593" s="5" t="n">
        <v>0.9957</v>
      </c>
      <c r="K593" s="4">
        <f>IFERROR(INDEX(Tbl_KPIMaster[Tolerance],MATCH($G593,Tbl_KPIMaster[KPI],0)),"")</f>
        <v/>
      </c>
      <c r="L593" s="4">
        <f>IFERROR(INDEX(Tbl_KPIMaster[Owner],MATCH($G593,Tbl_KPIMaster[KPI],0)),"")</f>
        <v/>
      </c>
      <c r="M593" s="6" t="inlineStr">
        <is>
          <t>Manpower shortage</t>
        </is>
      </c>
      <c r="N593" s="4" t="inlineStr"/>
      <c r="O593" s="4" t="inlineStr">
        <is>
          <t>Medium</t>
        </is>
      </c>
      <c r="P593" s="4" t="inlineStr">
        <is>
          <t>Closed</t>
        </is>
      </c>
      <c r="Q593" s="5">
        <f>IFERROR(IF(INDEX(Tbl_KPIMaster[Direction],MATCH($G593,Tbl_KPIMaster[KPI],0))="Lower is Better",IF($J593=0,1,IF($I593=0,0,$I593/$J593)),IF($I593=0,1,$J593/$I593)),0)</f>
        <v/>
      </c>
      <c r="R593" s="4">
        <f>IF(OR($I593="",$J593=""),"",$J593-$I593)</f>
        <v/>
      </c>
      <c r="S593" s="4">
        <f>IFERROR(IF(INDEX(Tbl_KPIMaster[Direction],MATCH($G593,Tbl_KPIMaster[KPI],0))="Lower is Better",IF($J593&lt;=$I593,"Green",IF($J593&lt;=$I593+IF($I593=0,$K593,$I593*$K593),"Amber","Red")),IF($J593&gt;=$I593,"Green",IF($J593&gt;=$I593-IF($I593=0,$K593,$I593*$K593),"Amber","Red"))),"")</f>
        <v/>
      </c>
      <c r="T593" s="6" t="inlineStr"/>
    </row>
    <row r="594">
      <c r="A594" s="7" t="n">
        <v>46159</v>
      </c>
      <c r="B594" s="8">
        <f>IF($A594="","",TEXT($A594,"mmm-yyyy"))</f>
        <v/>
      </c>
      <c r="C594" s="8">
        <f>IF($A594="","","W"&amp;WEEKNUM($A594,2))</f>
        <v/>
      </c>
      <c r="D594" s="8">
        <f>IF($A594="","",TEXT($A594,"ddd"))</f>
        <v/>
      </c>
      <c r="E594" s="8" t="inlineStr">
        <is>
          <t>Warehouse</t>
        </is>
      </c>
      <c r="F594" s="8">
        <f>IFERROR(INDEX(Tbl_KPIMaster[Category],MATCH($G594,Tbl_KPIMaster[KPI],0)),"")</f>
        <v/>
      </c>
      <c r="G594" s="8" t="inlineStr">
        <is>
          <t>Inventory Accuracy %</t>
        </is>
      </c>
      <c r="H594" s="8">
        <f>IFERROR(INDEX(Tbl_KPIMaster[Unit],MATCH($G594,Tbl_KPIMaster[KPI],0)),"")</f>
        <v/>
      </c>
      <c r="I594" s="9">
        <f>IFERROR(INDEX(Tbl_KPIMaster[Maximum Target],MATCH($G594,Tbl_KPIMaster[KPI],0)),"")</f>
        <v/>
      </c>
      <c r="J594" s="9" t="n">
        <v>0.9373</v>
      </c>
      <c r="K594" s="8">
        <f>IFERROR(INDEX(Tbl_KPIMaster[Tolerance],MATCH($G594,Tbl_KPIMaster[KPI],0)),"")</f>
        <v/>
      </c>
      <c r="L594" s="8">
        <f>IFERROR(INDEX(Tbl_KPIMaster[Owner],MATCH($G594,Tbl_KPIMaster[KPI],0)),"")</f>
        <v/>
      </c>
      <c r="M594" s="10" t="inlineStr">
        <is>
          <t>Line changeover impact</t>
        </is>
      </c>
      <c r="N594" s="8" t="inlineStr"/>
      <c r="O594" s="8" t="inlineStr">
        <is>
          <t>Low</t>
        </is>
      </c>
      <c r="P594" s="8" t="inlineStr">
        <is>
          <t>Closed</t>
        </is>
      </c>
      <c r="Q594" s="9">
        <f>IFERROR(IF(INDEX(Tbl_KPIMaster[Direction],MATCH($G594,Tbl_KPIMaster[KPI],0))="Lower is Better",IF($J594=0,1,IF($I594=0,0,$I594/$J594)),IF($I594=0,1,$J594/$I594)),0)</f>
        <v/>
      </c>
      <c r="R594" s="8">
        <f>IF(OR($I594="",$J594=""),"",$J594-$I594)</f>
        <v/>
      </c>
      <c r="S594" s="8">
        <f>IFERROR(IF(INDEX(Tbl_KPIMaster[Direction],MATCH($G594,Tbl_KPIMaster[KPI],0))="Lower is Better",IF($J594&lt;=$I594,"Green",IF($J594&lt;=$I594+IF($I594=0,$K594,$I594*$K594),"Amber","Red")),IF($J594&gt;=$I594,"Green",IF($J594&gt;=$I594-IF($I594=0,$K594,$I594*$K594),"Amber","Red"))),"")</f>
        <v/>
      </c>
      <c r="T594" s="10" t="inlineStr"/>
    </row>
    <row r="595">
      <c r="A595" s="3" t="n">
        <v>46159</v>
      </c>
      <c r="B595" s="4">
        <f>IF($A595="","",TEXT($A595,"mmm-yyyy"))</f>
        <v/>
      </c>
      <c r="C595" s="4">
        <f>IF($A595="","","W"&amp;WEEKNUM($A595,2))</f>
        <v/>
      </c>
      <c r="D595" s="4">
        <f>IF($A595="","",TEXT($A595,"ddd"))</f>
        <v/>
      </c>
      <c r="E595" s="4" t="inlineStr">
        <is>
          <t>HR</t>
        </is>
      </c>
      <c r="F595" s="4">
        <f>IFERROR(INDEX(Tbl_KPIMaster[Category],MATCH($G595,Tbl_KPIMaster[KPI],0)),"")</f>
        <v/>
      </c>
      <c r="G595" s="4" t="inlineStr">
        <is>
          <t>Absenteeism %</t>
        </is>
      </c>
      <c r="H595" s="4">
        <f>IFERROR(INDEX(Tbl_KPIMaster[Unit],MATCH($G595,Tbl_KPIMaster[KPI],0)),"")</f>
        <v/>
      </c>
      <c r="I595" s="5">
        <f>IFERROR(INDEX(Tbl_KPIMaster[Maximum Target],MATCH($G595,Tbl_KPIMaster[KPI],0)),"")</f>
        <v/>
      </c>
      <c r="J595" s="5" t="n">
        <v>2.798</v>
      </c>
      <c r="K595" s="4">
        <f>IFERROR(INDEX(Tbl_KPIMaster[Tolerance],MATCH($G595,Tbl_KPIMaster[KPI],0)),"")</f>
        <v/>
      </c>
      <c r="L595" s="4">
        <f>IFERROR(INDEX(Tbl_KPIMaster[Owner],MATCH($G595,Tbl_KPIMaster[KPI],0)),"")</f>
        <v/>
      </c>
      <c r="M595" s="6" t="inlineStr">
        <is>
          <t>Awaiting spares</t>
        </is>
      </c>
      <c r="N595" s="4" t="inlineStr">
        <is>
          <t>Procurement follow-up</t>
        </is>
      </c>
      <c r="O595" s="4" t="inlineStr">
        <is>
          <t>Low</t>
        </is>
      </c>
      <c r="P595" s="4" t="inlineStr">
        <is>
          <t>Closed</t>
        </is>
      </c>
      <c r="Q595" s="5">
        <f>IFERROR(IF(INDEX(Tbl_KPIMaster[Direction],MATCH($G595,Tbl_KPIMaster[KPI],0))="Lower is Better",IF($J595=0,1,IF($I595=0,0,$I595/$J595)),IF($I595=0,1,$J595/$I595)),0)</f>
        <v/>
      </c>
      <c r="R595" s="4">
        <f>IF(OR($I595="",$J595=""),"",$J595-$I595)</f>
        <v/>
      </c>
      <c r="S595" s="4">
        <f>IFERROR(IF(INDEX(Tbl_KPIMaster[Direction],MATCH($G595,Tbl_KPIMaster[KPI],0))="Lower is Better",IF($J595&lt;=$I595,"Green",IF($J595&lt;=$I595+IF($I595=0,$K595,$I595*$K595),"Amber","Red")),IF($J595&gt;=$I595,"Green",IF($J595&gt;=$I595-IF($I595=0,$K595,$I595*$K595),"Amber","Red"))),"")</f>
        <v/>
      </c>
      <c r="T595" s="6" t="inlineStr"/>
    </row>
    <row r="596">
      <c r="A596" s="7" t="n">
        <v>46159</v>
      </c>
      <c r="B596" s="8">
        <f>IF($A596="","",TEXT($A596,"mmm-yyyy"))</f>
        <v/>
      </c>
      <c r="C596" s="8">
        <f>IF($A596="","","W"&amp;WEEKNUM($A596,2))</f>
        <v/>
      </c>
      <c r="D596" s="8">
        <f>IF($A596="","",TEXT($A596,"ddd"))</f>
        <v/>
      </c>
      <c r="E596" s="8" t="inlineStr">
        <is>
          <t>HR</t>
        </is>
      </c>
      <c r="F596" s="8">
        <f>IFERROR(INDEX(Tbl_KPIMaster[Category],MATCH($G596,Tbl_KPIMaster[KPI],0)),"")</f>
        <v/>
      </c>
      <c r="G596" s="8" t="inlineStr">
        <is>
          <t>Training Hours</t>
        </is>
      </c>
      <c r="H596" s="8">
        <f>IFERROR(INDEX(Tbl_KPIMaster[Unit],MATCH($G596,Tbl_KPIMaster[KPI],0)),"")</f>
        <v/>
      </c>
      <c r="I596" s="9">
        <f>IFERROR(INDEX(Tbl_KPIMaster[Maximum Target],MATCH($G596,Tbl_KPIMaster[KPI],0)),"")</f>
        <v/>
      </c>
      <c r="J596" s="9" t="n">
        <v>2.06</v>
      </c>
      <c r="K596" s="8">
        <f>IFERROR(INDEX(Tbl_KPIMaster[Tolerance],MATCH($G596,Tbl_KPIMaster[KPI],0)),"")</f>
        <v/>
      </c>
      <c r="L596" s="8">
        <f>IFERROR(INDEX(Tbl_KPIMaster[Owner],MATCH($G596,Tbl_KPIMaster[KPI],0)),"")</f>
        <v/>
      </c>
      <c r="M596" s="10" t="inlineStr">
        <is>
          <t>Equipment breakdown</t>
        </is>
      </c>
      <c r="N596" s="8" t="inlineStr"/>
      <c r="O596" s="8" t="inlineStr">
        <is>
          <t>Low</t>
        </is>
      </c>
      <c r="P596" s="8" t="inlineStr">
        <is>
          <t>Open</t>
        </is>
      </c>
      <c r="Q596" s="9">
        <f>IFERROR(IF(INDEX(Tbl_KPIMaster[Direction],MATCH($G596,Tbl_KPIMaster[KPI],0))="Lower is Better",IF($J596=0,1,IF($I596=0,0,$I596/$J596)),IF($I596=0,1,$J596/$I596)),0)</f>
        <v/>
      </c>
      <c r="R596" s="8">
        <f>IF(OR($I596="",$J596=""),"",$J596-$I596)</f>
        <v/>
      </c>
      <c r="S596" s="8">
        <f>IFERROR(IF(INDEX(Tbl_KPIMaster[Direction],MATCH($G596,Tbl_KPIMaster[KPI],0))="Lower is Better",IF($J596&lt;=$I596,"Green",IF($J596&lt;=$I596+IF($I596=0,$K596,$I596*$K596),"Amber","Red")),IF($J596&gt;=$I596,"Green",IF($J596&gt;=$I596-IF($I596=0,$K596,$I596*$K596),"Amber","Red"))),"")</f>
        <v/>
      </c>
      <c r="T596" s="10" t="inlineStr"/>
    </row>
    <row r="597">
      <c r="A597" s="3" t="n">
        <v>46159</v>
      </c>
      <c r="B597" s="4">
        <f>IF($A597="","",TEXT($A597,"mmm-yyyy"))</f>
        <v/>
      </c>
      <c r="C597" s="4">
        <f>IF($A597="","","W"&amp;WEEKNUM($A597,2))</f>
        <v/>
      </c>
      <c r="D597" s="4">
        <f>IF($A597="","",TEXT($A597,"ddd"))</f>
        <v/>
      </c>
      <c r="E597" s="4" t="inlineStr">
        <is>
          <t>Engineering</t>
        </is>
      </c>
      <c r="F597" s="4">
        <f>IFERROR(INDEX(Tbl_KPIMaster[Category],MATCH($G597,Tbl_KPIMaster[KPI],0)),"")</f>
        <v/>
      </c>
      <c r="G597" s="4" t="inlineStr">
        <is>
          <t>Project Milestone Adherence %</t>
        </is>
      </c>
      <c r="H597" s="4">
        <f>IFERROR(INDEX(Tbl_KPIMaster[Unit],MATCH($G597,Tbl_KPIMaster[KPI],0)),"")</f>
        <v/>
      </c>
      <c r="I597" s="5">
        <f>IFERROR(INDEX(Tbl_KPIMaster[Maximum Target],MATCH($G597,Tbl_KPIMaster[KPI],0)),"")</f>
        <v/>
      </c>
      <c r="J597" s="5" t="n">
        <v>0.7895</v>
      </c>
      <c r="K597" s="4">
        <f>IFERROR(INDEX(Tbl_KPIMaster[Tolerance],MATCH($G597,Tbl_KPIMaster[KPI],0)),"")</f>
        <v/>
      </c>
      <c r="L597" s="4">
        <f>IFERROR(INDEX(Tbl_KPIMaster[Owner],MATCH($G597,Tbl_KPIMaster[KPI],0)),"")</f>
        <v/>
      </c>
      <c r="M597" s="6" t="inlineStr"/>
      <c r="N597" s="4" t="inlineStr">
        <is>
          <t>Procurement follow-up</t>
        </is>
      </c>
      <c r="O597" s="4" t="inlineStr">
        <is>
          <t>Low</t>
        </is>
      </c>
      <c r="P597" s="4" t="inlineStr">
        <is>
          <t>Closed</t>
        </is>
      </c>
      <c r="Q597" s="5">
        <f>IFERROR(IF(INDEX(Tbl_KPIMaster[Direction],MATCH($G597,Tbl_KPIMaster[KPI],0))="Lower is Better",IF($J597=0,1,IF($I597=0,0,$I597/$J597)),IF($I597=0,1,$J597/$I597)),0)</f>
        <v/>
      </c>
      <c r="R597" s="4">
        <f>IF(OR($I597="",$J597=""),"",$J597-$I597)</f>
        <v/>
      </c>
      <c r="S597" s="4">
        <f>IFERROR(IF(INDEX(Tbl_KPIMaster[Direction],MATCH($G597,Tbl_KPIMaster[KPI],0))="Lower is Better",IF($J597&lt;=$I597,"Green",IF($J597&lt;=$I597+IF($I597=0,$K597,$I597*$K597),"Amber","Red")),IF($J597&gt;=$I597,"Green",IF($J597&gt;=$I597-IF($I597=0,$K597,$I597*$K597),"Amber","Red"))),"")</f>
        <v/>
      </c>
      <c r="T597" s="6" t="inlineStr"/>
    </row>
    <row r="598">
      <c r="A598" s="7" t="n">
        <v>46159</v>
      </c>
      <c r="B598" s="8">
        <f>IF($A598="","",TEXT($A598,"mmm-yyyy"))</f>
        <v/>
      </c>
      <c r="C598" s="8">
        <f>IF($A598="","","W"&amp;WEEKNUM($A598,2))</f>
        <v/>
      </c>
      <c r="D598" s="8">
        <f>IF($A598="","",TEXT($A598,"ddd"))</f>
        <v/>
      </c>
      <c r="E598" s="8" t="inlineStr">
        <is>
          <t>Engineering</t>
        </is>
      </c>
      <c r="F598" s="8">
        <f>IFERROR(INDEX(Tbl_KPIMaster[Category],MATCH($G598,Tbl_KPIMaster[KPI],0)),"")</f>
        <v/>
      </c>
      <c r="G598" s="8" t="inlineStr">
        <is>
          <t>Breakdown Resolution Time</t>
        </is>
      </c>
      <c r="H598" s="8">
        <f>IFERROR(INDEX(Tbl_KPIMaster[Unit],MATCH($G598,Tbl_KPIMaster[KPI],0)),"")</f>
        <v/>
      </c>
      <c r="I598" s="9">
        <f>IFERROR(INDEX(Tbl_KPIMaster[Maximum Target],MATCH($G598,Tbl_KPIMaster[KPI],0)),"")</f>
        <v/>
      </c>
      <c r="J598" s="9" t="n">
        <v>0</v>
      </c>
      <c r="K598" s="8">
        <f>IFERROR(INDEX(Tbl_KPIMaster[Tolerance],MATCH($G598,Tbl_KPIMaster[KPI],0)),"")</f>
        <v/>
      </c>
      <c r="L598" s="8">
        <f>IFERROR(INDEX(Tbl_KPIMaster[Owner],MATCH($G598,Tbl_KPIMaster[KPI],0)),"")</f>
        <v/>
      </c>
      <c r="M598" s="10" t="inlineStr">
        <is>
          <t>New operator training effect</t>
        </is>
      </c>
      <c r="N598" s="8" t="inlineStr"/>
      <c r="O598" s="8" t="inlineStr">
        <is>
          <t>Low</t>
        </is>
      </c>
      <c r="P598" s="8" t="inlineStr">
        <is>
          <t>Closed</t>
        </is>
      </c>
      <c r="Q598" s="9">
        <f>IFERROR(IF(INDEX(Tbl_KPIMaster[Direction],MATCH($G598,Tbl_KPIMaster[KPI],0))="Lower is Better",IF($J598=0,1,IF($I598=0,0,$I598/$J598)),IF($I598=0,1,$J598/$I598)),0)</f>
        <v/>
      </c>
      <c r="R598" s="8">
        <f>IF(OR($I598="",$J598=""),"",$J598-$I598)</f>
        <v/>
      </c>
      <c r="S598" s="8">
        <f>IFERROR(IF(INDEX(Tbl_KPIMaster[Direction],MATCH($G598,Tbl_KPIMaster[KPI],0))="Lower is Better",IF($J598&lt;=$I598,"Green",IF($J598&lt;=$I598+IF($I598=0,$K598,$I598*$K598),"Amber","Red")),IF($J598&gt;=$I598,"Green",IF($J598&gt;=$I598-IF($I598=0,$K598,$I598*$K598),"Amber","Red"))),"")</f>
        <v/>
      </c>
      <c r="T598" s="10" t="inlineStr"/>
    </row>
    <row r="599">
      <c r="A599" s="3" t="n">
        <v>46159</v>
      </c>
      <c r="B599" s="4">
        <f>IF($A599="","",TEXT($A599,"mmm-yyyy"))</f>
        <v/>
      </c>
      <c r="C599" s="4">
        <f>IF($A599="","","W"&amp;WEEKNUM($A599,2))</f>
        <v/>
      </c>
      <c r="D599" s="4">
        <f>IF($A599="","",TEXT($A599,"ddd"))</f>
        <v/>
      </c>
      <c r="E599" s="4" t="inlineStr">
        <is>
          <t>Cost</t>
        </is>
      </c>
      <c r="F599" s="4">
        <f>IFERROR(INDEX(Tbl_KPIMaster[Category],MATCH($G599,Tbl_KPIMaster[KPI],0)),"")</f>
        <v/>
      </c>
      <c r="G599" s="4" t="inlineStr">
        <is>
          <t>Cost per Unit</t>
        </is>
      </c>
      <c r="H599" s="4">
        <f>IFERROR(INDEX(Tbl_KPIMaster[Unit],MATCH($G599,Tbl_KPIMaster[KPI],0)),"")</f>
        <v/>
      </c>
      <c r="I599" s="5">
        <f>IFERROR(INDEX(Tbl_KPIMaster[Maximum Target],MATCH($G599,Tbl_KPIMaster[KPI],0)),"")</f>
        <v/>
      </c>
      <c r="J599" s="5" t="n">
        <v>50.54</v>
      </c>
      <c r="K599" s="4">
        <f>IFERROR(INDEX(Tbl_KPIMaster[Tolerance],MATCH($G599,Tbl_KPIMaster[KPI],0)),"")</f>
        <v/>
      </c>
      <c r="L599" s="4">
        <f>IFERROR(INDEX(Tbl_KPIMaster[Owner],MATCH($G599,Tbl_KPIMaster[KPI],0)),"")</f>
        <v/>
      </c>
      <c r="M599" s="6" t="inlineStr">
        <is>
          <t>Line changeover impact</t>
        </is>
      </c>
      <c r="N599" s="4" t="inlineStr">
        <is>
          <t>Management approval pending</t>
        </is>
      </c>
      <c r="O599" s="4" t="inlineStr">
        <is>
          <t>Medium</t>
        </is>
      </c>
      <c r="P599" s="4" t="inlineStr">
        <is>
          <t>In Progress</t>
        </is>
      </c>
      <c r="Q599" s="5">
        <f>IFERROR(IF(INDEX(Tbl_KPIMaster[Direction],MATCH($G599,Tbl_KPIMaster[KPI],0))="Lower is Better",IF($J599=0,1,IF($I599=0,0,$I599/$J599)),IF($I599=0,1,$J599/$I599)),0)</f>
        <v/>
      </c>
      <c r="R599" s="4">
        <f>IF(OR($I599="",$J599=""),"",$J599-$I599)</f>
        <v/>
      </c>
      <c r="S599" s="4">
        <f>IFERROR(IF(INDEX(Tbl_KPIMaster[Direction],MATCH($G599,Tbl_KPIMaster[KPI],0))="Lower is Better",IF($J599&lt;=$I599,"Green",IF($J599&lt;=$I599+IF($I599=0,$K599,$I599*$K599),"Amber","Red")),IF($J599&gt;=$I599,"Green",IF($J599&gt;=$I599-IF($I599=0,$K599,$I599*$K599),"Amber","Red"))),"")</f>
        <v/>
      </c>
      <c r="T599" s="6" t="inlineStr"/>
    </row>
    <row r="600">
      <c r="A600" s="7" t="n">
        <v>46159</v>
      </c>
      <c r="B600" s="8">
        <f>IF($A600="","",TEXT($A600,"mmm-yyyy"))</f>
        <v/>
      </c>
      <c r="C600" s="8">
        <f>IF($A600="","","W"&amp;WEEKNUM($A600,2))</f>
        <v/>
      </c>
      <c r="D600" s="8">
        <f>IF($A600="","",TEXT($A600,"ddd"))</f>
        <v/>
      </c>
      <c r="E600" s="8" t="inlineStr">
        <is>
          <t>Cost</t>
        </is>
      </c>
      <c r="F600" s="8">
        <f>IFERROR(INDEX(Tbl_KPIMaster[Category],MATCH($G600,Tbl_KPIMaster[KPI],0)),"")</f>
        <v/>
      </c>
      <c r="G600" s="8" t="inlineStr">
        <is>
          <t>Budget Variance %</t>
        </is>
      </c>
      <c r="H600" s="8">
        <f>IFERROR(INDEX(Tbl_KPIMaster[Unit],MATCH($G600,Tbl_KPIMaster[KPI],0)),"")</f>
        <v/>
      </c>
      <c r="I600" s="9">
        <f>IFERROR(INDEX(Tbl_KPIMaster[Maximum Target],MATCH($G600,Tbl_KPIMaster[KPI],0)),"")</f>
        <v/>
      </c>
      <c r="J600" s="9" t="n">
        <v>0.0579</v>
      </c>
      <c r="K600" s="8">
        <f>IFERROR(INDEX(Tbl_KPIMaster[Tolerance],MATCH($G600,Tbl_KPIMaster[KPI],0)),"")</f>
        <v/>
      </c>
      <c r="L600" s="8">
        <f>IFERROR(INDEX(Tbl_KPIMaster[Owner],MATCH($G600,Tbl_KPIMaster[KPI],0)),"")</f>
        <v/>
      </c>
      <c r="M600" s="10" t="inlineStr">
        <is>
          <t>Process improvement in progress</t>
        </is>
      </c>
      <c r="N600" s="8" t="inlineStr">
        <is>
          <t>Management approval pending</t>
        </is>
      </c>
      <c r="O600" s="8" t="inlineStr">
        <is>
          <t>High</t>
        </is>
      </c>
      <c r="P600" s="8" t="inlineStr">
        <is>
          <t>Open</t>
        </is>
      </c>
      <c r="Q600" s="9">
        <f>IFERROR(IF(INDEX(Tbl_KPIMaster[Direction],MATCH($G600,Tbl_KPIMaster[KPI],0))="Lower is Better",IF($J600=0,1,IF($I600=0,0,$I600/$J600)),IF($I600=0,1,$J600/$I600)),0)</f>
        <v/>
      </c>
      <c r="R600" s="8">
        <f>IF(OR($I600="",$J600=""),"",$J600-$I600)</f>
        <v/>
      </c>
      <c r="S600" s="8">
        <f>IFERROR(IF(INDEX(Tbl_KPIMaster[Direction],MATCH($G600,Tbl_KPIMaster[KPI],0))="Lower is Better",IF($J600&lt;=$I600,"Green",IF($J600&lt;=$I600+IF($I600=0,$K600,$I600*$K600),"Amber","Red")),IF($J600&gt;=$I600,"Green",IF($J600&gt;=$I600-IF($I600=0,$K600,$I600*$K600),"Amber","Red"))),"")</f>
        <v/>
      </c>
      <c r="T600" s="10" t="inlineStr"/>
    </row>
    <row r="601">
      <c r="A601" s="3" t="n">
        <v>46159</v>
      </c>
      <c r="B601" s="4">
        <f>IF($A601="","",TEXT($A601,"mmm-yyyy"))</f>
        <v/>
      </c>
      <c r="C601" s="4">
        <f>IF($A601="","","W"&amp;WEEKNUM($A601,2))</f>
        <v/>
      </c>
      <c r="D601" s="4">
        <f>IF($A601="","",TEXT($A601,"ddd"))</f>
        <v/>
      </c>
      <c r="E601" s="4" t="inlineStr">
        <is>
          <t>Energy</t>
        </is>
      </c>
      <c r="F601" s="4">
        <f>IFERROR(INDEX(Tbl_KPIMaster[Category],MATCH($G601,Tbl_KPIMaster[KPI],0)),"")</f>
        <v/>
      </c>
      <c r="G601" s="4" t="inlineStr">
        <is>
          <t>Energy Intensity (kWh/unit)</t>
        </is>
      </c>
      <c r="H601" s="4">
        <f>IFERROR(INDEX(Tbl_KPIMaster[Unit],MATCH($G601,Tbl_KPIMaster[KPI],0)),"")</f>
        <v/>
      </c>
      <c r="I601" s="5">
        <f>IFERROR(INDEX(Tbl_KPIMaster[Maximum Target],MATCH($G601,Tbl_KPIMaster[KPI],0)),"")</f>
        <v/>
      </c>
      <c r="J601" s="5" t="n">
        <v>4.53</v>
      </c>
      <c r="K601" s="4">
        <f>IFERROR(INDEX(Tbl_KPIMaster[Tolerance],MATCH($G601,Tbl_KPIMaster[KPI],0)),"")</f>
        <v/>
      </c>
      <c r="L601" s="4">
        <f>IFERROR(INDEX(Tbl_KPIMaster[Owner],MATCH($G601,Tbl_KPIMaster[KPI],0)),"")</f>
        <v/>
      </c>
      <c r="M601" s="6" t="inlineStr">
        <is>
          <t>Vendor delay</t>
        </is>
      </c>
      <c r="N601" s="4" t="inlineStr"/>
      <c r="O601" s="4" t="inlineStr">
        <is>
          <t>Low</t>
        </is>
      </c>
      <c r="P601" s="4" t="inlineStr">
        <is>
          <t>Closed</t>
        </is>
      </c>
      <c r="Q601" s="5">
        <f>IFERROR(IF(INDEX(Tbl_KPIMaster[Direction],MATCH($G601,Tbl_KPIMaster[KPI],0))="Lower is Better",IF($J601=0,1,IF($I601=0,0,$I601/$J601)),IF($I601=0,1,$J601/$I601)),0)</f>
        <v/>
      </c>
      <c r="R601" s="4">
        <f>IF(OR($I601="",$J601=""),"",$J601-$I601)</f>
        <v/>
      </c>
      <c r="S601" s="4">
        <f>IFERROR(IF(INDEX(Tbl_KPIMaster[Direction],MATCH($G601,Tbl_KPIMaster[KPI],0))="Lower is Better",IF($J601&lt;=$I601,"Green",IF($J601&lt;=$I601+IF($I601=0,$K601,$I601*$K601),"Amber","Red")),IF($J601&gt;=$I601,"Green",IF($J601&gt;=$I601-IF($I601=0,$K601,$I601*$K601),"Amber","Red"))),"")</f>
        <v/>
      </c>
      <c r="T601" s="6" t="inlineStr"/>
    </row>
    <row r="602">
      <c r="A602" s="7" t="n">
        <v>46159</v>
      </c>
      <c r="B602" s="8">
        <f>IF($A602="","",TEXT($A602,"mmm-yyyy"))</f>
        <v/>
      </c>
      <c r="C602" s="8">
        <f>IF($A602="","","W"&amp;WEEKNUM($A602,2))</f>
        <v/>
      </c>
      <c r="D602" s="8">
        <f>IF($A602="","",TEXT($A602,"ddd"))</f>
        <v/>
      </c>
      <c r="E602" s="8" t="inlineStr">
        <is>
          <t>Energy</t>
        </is>
      </c>
      <c r="F602" s="8">
        <f>IFERROR(INDEX(Tbl_KPIMaster[Category],MATCH($G602,Tbl_KPIMaster[KPI],0)),"")</f>
        <v/>
      </c>
      <c r="G602" s="8" t="inlineStr">
        <is>
          <t>Renewable Energy Share %</t>
        </is>
      </c>
      <c r="H602" s="8">
        <f>IFERROR(INDEX(Tbl_KPIMaster[Unit],MATCH($G602,Tbl_KPIMaster[KPI],0)),"")</f>
        <v/>
      </c>
      <c r="I602" s="9">
        <f>IFERROR(INDEX(Tbl_KPIMaster[Maximum Target],MATCH($G602,Tbl_KPIMaster[KPI],0)),"")</f>
        <v/>
      </c>
      <c r="J602" s="9" t="n">
        <v>0.1914</v>
      </c>
      <c r="K602" s="8">
        <f>IFERROR(INDEX(Tbl_KPIMaster[Tolerance],MATCH($G602,Tbl_KPIMaster[KPI],0)),"")</f>
        <v/>
      </c>
      <c r="L602" s="8">
        <f>IFERROR(INDEX(Tbl_KPIMaster[Owner],MATCH($G602,Tbl_KPIMaster[KPI],0)),"")</f>
        <v/>
      </c>
      <c r="M602" s="10" t="inlineStr">
        <is>
          <t>New operator training effect</t>
        </is>
      </c>
      <c r="N602" s="8" t="inlineStr">
        <is>
          <t>Engineering support needed</t>
        </is>
      </c>
      <c r="O602" s="8" t="inlineStr">
        <is>
          <t>Low</t>
        </is>
      </c>
      <c r="P602" s="8" t="inlineStr">
        <is>
          <t>Closed</t>
        </is>
      </c>
      <c r="Q602" s="9">
        <f>IFERROR(IF(INDEX(Tbl_KPIMaster[Direction],MATCH($G602,Tbl_KPIMaster[KPI],0))="Lower is Better",IF($J602=0,1,IF($I602=0,0,$I602/$J602)),IF($I602=0,1,$J602/$I602)),0)</f>
        <v/>
      </c>
      <c r="R602" s="8">
        <f>IF(OR($I602="",$J602=""),"",$J602-$I602)</f>
        <v/>
      </c>
      <c r="S602" s="8">
        <f>IFERROR(IF(INDEX(Tbl_KPIMaster[Direction],MATCH($G602,Tbl_KPIMaster[KPI],0))="Lower is Better",IF($J602&lt;=$I602,"Green",IF($J602&lt;=$I602+IF($I602=0,$K602,$I602*$K602),"Amber","Red")),IF($J602&gt;=$I602,"Green",IF($J602&gt;=$I602-IF($I602=0,$K602,$I602*$K602),"Amber","Red"))),"")</f>
        <v/>
      </c>
      <c r="T602" s="10" t="inlineStr"/>
    </row>
    <row r="603">
      <c r="A603" s="3" t="n">
        <v>46160</v>
      </c>
      <c r="B603" s="4">
        <f>IF($A603="","",TEXT($A603,"mmm-yyyy"))</f>
        <v/>
      </c>
      <c r="C603" s="4">
        <f>IF($A603="","","W"&amp;WEEKNUM($A603,2))</f>
        <v/>
      </c>
      <c r="D603" s="4">
        <f>IF($A603="","",TEXT($A603,"ddd"))</f>
        <v/>
      </c>
      <c r="E603" s="4" t="inlineStr">
        <is>
          <t>Safety</t>
        </is>
      </c>
      <c r="F603" s="4">
        <f>IFERROR(INDEX(Tbl_KPIMaster[Category],MATCH($G603,Tbl_KPIMaster[KPI],0)),"")</f>
        <v/>
      </c>
      <c r="G603" s="4" t="inlineStr">
        <is>
          <t>Safety Incidents (LTI)</t>
        </is>
      </c>
      <c r="H603" s="4">
        <f>IFERROR(INDEX(Tbl_KPIMaster[Unit],MATCH($G603,Tbl_KPIMaster[KPI],0)),"")</f>
        <v/>
      </c>
      <c r="I603" s="5">
        <f>IFERROR(INDEX(Tbl_KPIMaster[Maximum Target],MATCH($G603,Tbl_KPIMaster[KPI],0)),"")</f>
        <v/>
      </c>
      <c r="J603" s="5" t="n">
        <v>0</v>
      </c>
      <c r="K603" s="4">
        <f>IFERROR(INDEX(Tbl_KPIMaster[Tolerance],MATCH($G603,Tbl_KPIMaster[KPI],0)),"")</f>
        <v/>
      </c>
      <c r="L603" s="4">
        <f>IFERROR(INDEX(Tbl_KPIMaster[Owner],MATCH($G603,Tbl_KPIMaster[KPI],0)),"")</f>
        <v/>
      </c>
      <c r="M603" s="6" t="inlineStr">
        <is>
          <t>Within normal range</t>
        </is>
      </c>
      <c r="N603" s="4" t="inlineStr">
        <is>
          <t>Procurement follow-up</t>
        </is>
      </c>
      <c r="O603" s="4" t="inlineStr">
        <is>
          <t>Low</t>
        </is>
      </c>
      <c r="P603" s="4" t="inlineStr">
        <is>
          <t>Closed</t>
        </is>
      </c>
      <c r="Q603" s="5">
        <f>IFERROR(IF(INDEX(Tbl_KPIMaster[Direction],MATCH($G603,Tbl_KPIMaster[KPI],0))="Lower is Better",IF($J603=0,1,IF($I603=0,0,$I603/$J603)),IF($I603=0,1,$J603/$I603)),0)</f>
        <v/>
      </c>
      <c r="R603" s="4">
        <f>IF(OR($I603="",$J603=""),"",$J603-$I603)</f>
        <v/>
      </c>
      <c r="S603" s="4">
        <f>IFERROR(IF(INDEX(Tbl_KPIMaster[Direction],MATCH($G603,Tbl_KPIMaster[KPI],0))="Lower is Better",IF($J603&lt;=$I603,"Green",IF($J603&lt;=$I603+IF($I603=0,$K603,$I603*$K603),"Amber","Red")),IF($J603&gt;=$I603,"Green",IF($J603&gt;=$I603-IF($I603=0,$K603,$I603*$K603),"Amber","Red"))),"")</f>
        <v/>
      </c>
      <c r="T603" s="6" t="inlineStr"/>
    </row>
    <row r="604">
      <c r="A604" s="7" t="n">
        <v>46160</v>
      </c>
      <c r="B604" s="8">
        <f>IF($A604="","",TEXT($A604,"mmm-yyyy"))</f>
        <v/>
      </c>
      <c r="C604" s="8">
        <f>IF($A604="","","W"&amp;WEEKNUM($A604,2))</f>
        <v/>
      </c>
      <c r="D604" s="8">
        <f>IF($A604="","",TEXT($A604,"ddd"))</f>
        <v/>
      </c>
      <c r="E604" s="8" t="inlineStr">
        <is>
          <t>Safety</t>
        </is>
      </c>
      <c r="F604" s="8">
        <f>IFERROR(INDEX(Tbl_KPIMaster[Category],MATCH($G604,Tbl_KPIMaster[KPI],0)),"")</f>
        <v/>
      </c>
      <c r="G604" s="8" t="inlineStr">
        <is>
          <t>Near Miss Reports</t>
        </is>
      </c>
      <c r="H604" s="8">
        <f>IFERROR(INDEX(Tbl_KPIMaster[Unit],MATCH($G604,Tbl_KPIMaster[KPI],0)),"")</f>
        <v/>
      </c>
      <c r="I604" s="9">
        <f>IFERROR(INDEX(Tbl_KPIMaster[Maximum Target],MATCH($G604,Tbl_KPIMaster[KPI],0)),"")</f>
        <v/>
      </c>
      <c r="J604" s="9" t="n">
        <v>2</v>
      </c>
      <c r="K604" s="8">
        <f>IFERROR(INDEX(Tbl_KPIMaster[Tolerance],MATCH($G604,Tbl_KPIMaster[KPI],0)),"")</f>
        <v/>
      </c>
      <c r="L604" s="8">
        <f>IFERROR(INDEX(Tbl_KPIMaster[Owner],MATCH($G604,Tbl_KPIMaster[KPI],0)),"")</f>
        <v/>
      </c>
      <c r="M604" s="10" t="inlineStr">
        <is>
          <t>Line changeover impact</t>
        </is>
      </c>
      <c r="N604" s="8" t="inlineStr">
        <is>
          <t>Management approval pending</t>
        </is>
      </c>
      <c r="O604" s="8" t="inlineStr">
        <is>
          <t>High</t>
        </is>
      </c>
      <c r="P604" s="8" t="inlineStr">
        <is>
          <t>Closed</t>
        </is>
      </c>
      <c r="Q604" s="9">
        <f>IFERROR(IF(INDEX(Tbl_KPIMaster[Direction],MATCH($G604,Tbl_KPIMaster[KPI],0))="Lower is Better",IF($J604=0,1,IF($I604=0,0,$I604/$J604)),IF($I604=0,1,$J604/$I604)),0)</f>
        <v/>
      </c>
      <c r="R604" s="8">
        <f>IF(OR($I604="",$J604=""),"",$J604-$I604)</f>
        <v/>
      </c>
      <c r="S604" s="8">
        <f>IFERROR(IF(INDEX(Tbl_KPIMaster[Direction],MATCH($G604,Tbl_KPIMaster[KPI],0))="Lower is Better",IF($J604&lt;=$I604,"Green",IF($J604&lt;=$I604+IF($I604=0,$K604,$I604*$K604),"Amber","Red")),IF($J604&gt;=$I604,"Green",IF($J604&gt;=$I604-IF($I604=0,$K604,$I604*$K604),"Amber","Red"))),"")</f>
        <v/>
      </c>
      <c r="T604" s="10" t="inlineStr"/>
    </row>
    <row r="605">
      <c r="A605" s="3" t="n">
        <v>46160</v>
      </c>
      <c r="B605" s="4">
        <f>IF($A605="","",TEXT($A605,"mmm-yyyy"))</f>
        <v/>
      </c>
      <c r="C605" s="4">
        <f>IF($A605="","","W"&amp;WEEKNUM($A605,2))</f>
        <v/>
      </c>
      <c r="D605" s="4">
        <f>IF($A605="","",TEXT($A605,"ddd"))</f>
        <v/>
      </c>
      <c r="E605" s="4" t="inlineStr">
        <is>
          <t>Production</t>
        </is>
      </c>
      <c r="F605" s="4">
        <f>IFERROR(INDEX(Tbl_KPIMaster[Category],MATCH($G605,Tbl_KPIMaster[KPI],0)),"")</f>
        <v/>
      </c>
      <c r="G605" s="4" t="inlineStr">
        <is>
          <t>Production Output</t>
        </is>
      </c>
      <c r="H605" s="4">
        <f>IFERROR(INDEX(Tbl_KPIMaster[Unit],MATCH($G605,Tbl_KPIMaster[KPI],0)),"")</f>
        <v/>
      </c>
      <c r="I605" s="5">
        <f>IFERROR(INDEX(Tbl_KPIMaster[Maximum Target],MATCH($G605,Tbl_KPIMaster[KPI],0)),"")</f>
        <v/>
      </c>
      <c r="J605" s="5" t="n">
        <v>959.59</v>
      </c>
      <c r="K605" s="4">
        <f>IFERROR(INDEX(Tbl_KPIMaster[Tolerance],MATCH($G605,Tbl_KPIMaster[KPI],0)),"")</f>
        <v/>
      </c>
      <c r="L605" s="4">
        <f>IFERROR(INDEX(Tbl_KPIMaster[Owner],MATCH($G605,Tbl_KPIMaster[KPI],0)),"")</f>
        <v/>
      </c>
      <c r="M605" s="6" t="inlineStr">
        <is>
          <t>Process improvement in progress</t>
        </is>
      </c>
      <c r="N605" s="4" t="inlineStr"/>
      <c r="O605" s="4" t="inlineStr">
        <is>
          <t>Medium</t>
        </is>
      </c>
      <c r="P605" s="4" t="inlineStr">
        <is>
          <t>Closed</t>
        </is>
      </c>
      <c r="Q605" s="5">
        <f>IFERROR(IF(INDEX(Tbl_KPIMaster[Direction],MATCH($G605,Tbl_KPIMaster[KPI],0))="Lower is Better",IF($J605=0,1,IF($I605=0,0,$I605/$J605)),IF($I605=0,1,$J605/$I605)),0)</f>
        <v/>
      </c>
      <c r="R605" s="4">
        <f>IF(OR($I605="",$J605=""),"",$J605-$I605)</f>
        <v/>
      </c>
      <c r="S605" s="4">
        <f>IFERROR(IF(INDEX(Tbl_KPIMaster[Direction],MATCH($G605,Tbl_KPIMaster[KPI],0))="Lower is Better",IF($J605&lt;=$I605,"Green",IF($J605&lt;=$I605+IF($I605=0,$K605,$I605*$K605),"Amber","Red")),IF($J605&gt;=$I605,"Green",IF($J605&gt;=$I605-IF($I605=0,$K605,$I605*$K605),"Amber","Red"))),"")</f>
        <v/>
      </c>
      <c r="T605" s="6" t="inlineStr"/>
    </row>
    <row r="606">
      <c r="A606" s="7" t="n">
        <v>46160</v>
      </c>
      <c r="B606" s="8">
        <f>IF($A606="","",TEXT($A606,"mmm-yyyy"))</f>
        <v/>
      </c>
      <c r="C606" s="8">
        <f>IF($A606="","","W"&amp;WEEKNUM($A606,2))</f>
        <v/>
      </c>
      <c r="D606" s="8">
        <f>IF($A606="","",TEXT($A606,"ddd"))</f>
        <v/>
      </c>
      <c r="E606" s="8" t="inlineStr">
        <is>
          <t>Production</t>
        </is>
      </c>
      <c r="F606" s="8">
        <f>IFERROR(INDEX(Tbl_KPIMaster[Category],MATCH($G606,Tbl_KPIMaster[KPI],0)),"")</f>
        <v/>
      </c>
      <c r="G606" s="8" t="inlineStr">
        <is>
          <t>OEE %</t>
        </is>
      </c>
      <c r="H606" s="8">
        <f>IFERROR(INDEX(Tbl_KPIMaster[Unit],MATCH($G606,Tbl_KPIMaster[KPI],0)),"")</f>
        <v/>
      </c>
      <c r="I606" s="9">
        <f>IFERROR(INDEX(Tbl_KPIMaster[Maximum Target],MATCH($G606,Tbl_KPIMaster[KPI],0)),"")</f>
        <v/>
      </c>
      <c r="J606" s="9" t="n">
        <v>0.9363</v>
      </c>
      <c r="K606" s="8">
        <f>IFERROR(INDEX(Tbl_KPIMaster[Tolerance],MATCH($G606,Tbl_KPIMaster[KPI],0)),"")</f>
        <v/>
      </c>
      <c r="L606" s="8">
        <f>IFERROR(INDEX(Tbl_KPIMaster[Owner],MATCH($G606,Tbl_KPIMaster[KPI],0)),"")</f>
        <v/>
      </c>
      <c r="M606" s="10" t="inlineStr">
        <is>
          <t>Weather impact</t>
        </is>
      </c>
      <c r="N606" s="8" t="inlineStr"/>
      <c r="O606" s="8" t="inlineStr">
        <is>
          <t>Medium</t>
        </is>
      </c>
      <c r="P606" s="8" t="inlineStr">
        <is>
          <t>In Progress</t>
        </is>
      </c>
      <c r="Q606" s="9">
        <f>IFERROR(IF(INDEX(Tbl_KPIMaster[Direction],MATCH($G606,Tbl_KPIMaster[KPI],0))="Lower is Better",IF($J606=0,1,IF($I606=0,0,$I606/$J606)),IF($I606=0,1,$J606/$I606)),0)</f>
        <v/>
      </c>
      <c r="R606" s="8">
        <f>IF(OR($I606="",$J606=""),"",$J606-$I606)</f>
        <v/>
      </c>
      <c r="S606" s="8">
        <f>IFERROR(IF(INDEX(Tbl_KPIMaster[Direction],MATCH($G606,Tbl_KPIMaster[KPI],0))="Lower is Better",IF($J606&lt;=$I606,"Green",IF($J606&lt;=$I606+IF($I606=0,$K606,$I606*$K606),"Amber","Red")),IF($J606&gt;=$I606,"Green",IF($J606&gt;=$I606-IF($I606=0,$K606,$I606*$K606),"Amber","Red"))),"")</f>
        <v/>
      </c>
      <c r="T606" s="10" t="inlineStr"/>
    </row>
    <row r="607">
      <c r="A607" s="3" t="n">
        <v>46160</v>
      </c>
      <c r="B607" s="4">
        <f>IF($A607="","",TEXT($A607,"mmm-yyyy"))</f>
        <v/>
      </c>
      <c r="C607" s="4">
        <f>IF($A607="","","W"&amp;WEEKNUM($A607,2))</f>
        <v/>
      </c>
      <c r="D607" s="4">
        <f>IF($A607="","",TEXT($A607,"ddd"))</f>
        <v/>
      </c>
      <c r="E607" s="4" t="inlineStr">
        <is>
          <t>Quality</t>
        </is>
      </c>
      <c r="F607" s="4">
        <f>IFERROR(INDEX(Tbl_KPIMaster[Category],MATCH($G607,Tbl_KPIMaster[KPI],0)),"")</f>
        <v/>
      </c>
      <c r="G607" s="4" t="inlineStr">
        <is>
          <t>Defect Rate %</t>
        </is>
      </c>
      <c r="H607" s="4">
        <f>IFERROR(INDEX(Tbl_KPIMaster[Unit],MATCH($G607,Tbl_KPIMaster[KPI],0)),"")</f>
        <v/>
      </c>
      <c r="I607" s="5">
        <f>IFERROR(INDEX(Tbl_KPIMaster[Maximum Target],MATCH($G607,Tbl_KPIMaster[KPI],0)),"")</f>
        <v/>
      </c>
      <c r="J607" s="5" t="n">
        <v>0</v>
      </c>
      <c r="K607" s="4">
        <f>IFERROR(INDEX(Tbl_KPIMaster[Tolerance],MATCH($G607,Tbl_KPIMaster[KPI],0)),"")</f>
        <v/>
      </c>
      <c r="L607" s="4">
        <f>IFERROR(INDEX(Tbl_KPIMaster[Owner],MATCH($G607,Tbl_KPIMaster[KPI],0)),"")</f>
        <v/>
      </c>
      <c r="M607" s="6" t="inlineStr">
        <is>
          <t>Weather impact</t>
        </is>
      </c>
      <c r="N607" s="4" t="inlineStr">
        <is>
          <t>Procurement follow-up</t>
        </is>
      </c>
      <c r="O607" s="4" t="inlineStr">
        <is>
          <t>Low</t>
        </is>
      </c>
      <c r="P607" s="4" t="inlineStr">
        <is>
          <t>Open</t>
        </is>
      </c>
      <c r="Q607" s="5">
        <f>IFERROR(IF(INDEX(Tbl_KPIMaster[Direction],MATCH($G607,Tbl_KPIMaster[KPI],0))="Lower is Better",IF($J607=0,1,IF($I607=0,0,$I607/$J607)),IF($I607=0,1,$J607/$I607)),0)</f>
        <v/>
      </c>
      <c r="R607" s="4">
        <f>IF(OR($I607="",$J607=""),"",$J607-$I607)</f>
        <v/>
      </c>
      <c r="S607" s="4">
        <f>IFERROR(IF(INDEX(Tbl_KPIMaster[Direction],MATCH($G607,Tbl_KPIMaster[KPI],0))="Lower is Better",IF($J607&lt;=$I607,"Green",IF($J607&lt;=$I607+IF($I607=0,$K607,$I607*$K607),"Amber","Red")),IF($J607&gt;=$I607,"Green",IF($J607&gt;=$I607-IF($I607=0,$K607,$I607*$K607),"Amber","Red"))),"")</f>
        <v/>
      </c>
      <c r="T607" s="6" t="inlineStr"/>
    </row>
    <row r="608">
      <c r="A608" s="7" t="n">
        <v>46160</v>
      </c>
      <c r="B608" s="8">
        <f>IF($A608="","",TEXT($A608,"mmm-yyyy"))</f>
        <v/>
      </c>
      <c r="C608" s="8">
        <f>IF($A608="","","W"&amp;WEEKNUM($A608,2))</f>
        <v/>
      </c>
      <c r="D608" s="8">
        <f>IF($A608="","",TEXT($A608,"ddd"))</f>
        <v/>
      </c>
      <c r="E608" s="8" t="inlineStr">
        <is>
          <t>Quality</t>
        </is>
      </c>
      <c r="F608" s="8">
        <f>IFERROR(INDEX(Tbl_KPIMaster[Category],MATCH($G608,Tbl_KPIMaster[KPI],0)),"")</f>
        <v/>
      </c>
      <c r="G608" s="8" t="inlineStr">
        <is>
          <t>Customer Complaints</t>
        </is>
      </c>
      <c r="H608" s="8">
        <f>IFERROR(INDEX(Tbl_KPIMaster[Unit],MATCH($G608,Tbl_KPIMaster[KPI],0)),"")</f>
        <v/>
      </c>
      <c r="I608" s="9">
        <f>IFERROR(INDEX(Tbl_KPIMaster[Maximum Target],MATCH($G608,Tbl_KPIMaster[KPI],0)),"")</f>
        <v/>
      </c>
      <c r="J608" s="9" t="n">
        <v>0</v>
      </c>
      <c r="K608" s="8">
        <f>IFERROR(INDEX(Tbl_KPIMaster[Tolerance],MATCH($G608,Tbl_KPIMaster[KPI],0)),"")</f>
        <v/>
      </c>
      <c r="L608" s="8">
        <f>IFERROR(INDEX(Tbl_KPIMaster[Owner],MATCH($G608,Tbl_KPIMaster[KPI],0)),"")</f>
        <v/>
      </c>
      <c r="M608" s="10" t="inlineStr"/>
      <c r="N608" s="8" t="inlineStr"/>
      <c r="O608" s="8" t="inlineStr">
        <is>
          <t>Low</t>
        </is>
      </c>
      <c r="P608" s="8" t="inlineStr">
        <is>
          <t>Closed</t>
        </is>
      </c>
      <c r="Q608" s="9">
        <f>IFERROR(IF(INDEX(Tbl_KPIMaster[Direction],MATCH($G608,Tbl_KPIMaster[KPI],0))="Lower is Better",IF($J608=0,1,IF($I608=0,0,$I608/$J608)),IF($I608=0,1,$J608/$I608)),0)</f>
        <v/>
      </c>
      <c r="R608" s="8">
        <f>IF(OR($I608="",$J608=""),"",$J608-$I608)</f>
        <v/>
      </c>
      <c r="S608" s="8">
        <f>IFERROR(IF(INDEX(Tbl_KPIMaster[Direction],MATCH($G608,Tbl_KPIMaster[KPI],0))="Lower is Better",IF($J608&lt;=$I608,"Green",IF($J608&lt;=$I608+IF($I608=0,$K608,$I608*$K608),"Amber","Red")),IF($J608&gt;=$I608,"Green",IF($J608&gt;=$I608-IF($I608=0,$K608,$I608*$K608),"Amber","Red"))),"")</f>
        <v/>
      </c>
      <c r="T608" s="10" t="inlineStr"/>
    </row>
    <row r="609">
      <c r="A609" s="3" t="n">
        <v>46160</v>
      </c>
      <c r="B609" s="4">
        <f>IF($A609="","",TEXT($A609,"mmm-yyyy"))</f>
        <v/>
      </c>
      <c r="C609" s="4">
        <f>IF($A609="","","W"&amp;WEEKNUM($A609,2))</f>
        <v/>
      </c>
      <c r="D609" s="4">
        <f>IF($A609="","",TEXT($A609,"ddd"))</f>
        <v/>
      </c>
      <c r="E609" s="4" t="inlineStr">
        <is>
          <t>Maintenance</t>
        </is>
      </c>
      <c r="F609" s="4">
        <f>IFERROR(INDEX(Tbl_KPIMaster[Category],MATCH($G609,Tbl_KPIMaster[KPI],0)),"")</f>
        <v/>
      </c>
      <c r="G609" s="4" t="inlineStr">
        <is>
          <t>Unplanned Downtime</t>
        </is>
      </c>
      <c r="H609" s="4">
        <f>IFERROR(INDEX(Tbl_KPIMaster[Unit],MATCH($G609,Tbl_KPIMaster[KPI],0)),"")</f>
        <v/>
      </c>
      <c r="I609" s="5">
        <f>IFERROR(INDEX(Tbl_KPIMaster[Maximum Target],MATCH($G609,Tbl_KPIMaster[KPI],0)),"")</f>
        <v/>
      </c>
      <c r="J609" s="5" t="n">
        <v>0</v>
      </c>
      <c r="K609" s="4">
        <f>IFERROR(INDEX(Tbl_KPIMaster[Tolerance],MATCH($G609,Tbl_KPIMaster[KPI],0)),"")</f>
        <v/>
      </c>
      <c r="L609" s="4">
        <f>IFERROR(INDEX(Tbl_KPIMaster[Owner],MATCH($G609,Tbl_KPIMaster[KPI],0)),"")</f>
        <v/>
      </c>
      <c r="M609" s="6" t="inlineStr">
        <is>
          <t>Vendor delay</t>
        </is>
      </c>
      <c r="N609" s="4" t="inlineStr">
        <is>
          <t>Management approval pending</t>
        </is>
      </c>
      <c r="O609" s="4" t="inlineStr">
        <is>
          <t>High</t>
        </is>
      </c>
      <c r="P609" s="4" t="inlineStr">
        <is>
          <t>In Progress</t>
        </is>
      </c>
      <c r="Q609" s="5">
        <f>IFERROR(IF(INDEX(Tbl_KPIMaster[Direction],MATCH($G609,Tbl_KPIMaster[KPI],0))="Lower is Better",IF($J609=0,1,IF($I609=0,0,$I609/$J609)),IF($I609=0,1,$J609/$I609)),0)</f>
        <v/>
      </c>
      <c r="R609" s="4">
        <f>IF(OR($I609="",$J609=""),"",$J609-$I609)</f>
        <v/>
      </c>
      <c r="S609" s="4">
        <f>IFERROR(IF(INDEX(Tbl_KPIMaster[Direction],MATCH($G609,Tbl_KPIMaster[KPI],0))="Lower is Better",IF($J609&lt;=$I609,"Green",IF($J609&lt;=$I609+IF($I609=0,$K609,$I609*$K609),"Amber","Red")),IF($J609&gt;=$I609,"Green",IF($J609&gt;=$I609-IF($I609=0,$K609,$I609*$K609),"Amber","Red"))),"")</f>
        <v/>
      </c>
      <c r="T609" s="6" t="inlineStr"/>
    </row>
    <row r="610">
      <c r="A610" s="7" t="n">
        <v>46160</v>
      </c>
      <c r="B610" s="8">
        <f>IF($A610="","",TEXT($A610,"mmm-yyyy"))</f>
        <v/>
      </c>
      <c r="C610" s="8">
        <f>IF($A610="","","W"&amp;WEEKNUM($A610,2))</f>
        <v/>
      </c>
      <c r="D610" s="8">
        <f>IF($A610="","",TEXT($A610,"ddd"))</f>
        <v/>
      </c>
      <c r="E610" s="8" t="inlineStr">
        <is>
          <t>Maintenance</t>
        </is>
      </c>
      <c r="F610" s="8">
        <f>IFERROR(INDEX(Tbl_KPIMaster[Category],MATCH($G610,Tbl_KPIMaster[KPI],0)),"")</f>
        <v/>
      </c>
      <c r="G610" s="8" t="inlineStr">
        <is>
          <t>PM Compliance %</t>
        </is>
      </c>
      <c r="H610" s="8">
        <f>IFERROR(INDEX(Tbl_KPIMaster[Unit],MATCH($G610,Tbl_KPIMaster[KPI],0)),"")</f>
        <v/>
      </c>
      <c r="I610" s="9">
        <f>IFERROR(INDEX(Tbl_KPIMaster[Maximum Target],MATCH($G610,Tbl_KPIMaster[KPI],0)),"")</f>
        <v/>
      </c>
      <c r="J610" s="9" t="n">
        <v>1.157</v>
      </c>
      <c r="K610" s="8">
        <f>IFERROR(INDEX(Tbl_KPIMaster[Tolerance],MATCH($G610,Tbl_KPIMaster[KPI],0)),"")</f>
        <v/>
      </c>
      <c r="L610" s="8">
        <f>IFERROR(INDEX(Tbl_KPIMaster[Owner],MATCH($G610,Tbl_KPIMaster[KPI],0)),"")</f>
        <v/>
      </c>
      <c r="M610" s="10" t="inlineStr">
        <is>
          <t>New operator training effect</t>
        </is>
      </c>
      <c r="N610" s="8" t="inlineStr"/>
      <c r="O610" s="8" t="inlineStr">
        <is>
          <t>Low</t>
        </is>
      </c>
      <c r="P610" s="8" t="inlineStr">
        <is>
          <t>In Progress</t>
        </is>
      </c>
      <c r="Q610" s="9">
        <f>IFERROR(IF(INDEX(Tbl_KPIMaster[Direction],MATCH($G610,Tbl_KPIMaster[KPI],0))="Lower is Better",IF($J610=0,1,IF($I610=0,0,$I610/$J610)),IF($I610=0,1,$J610/$I610)),0)</f>
        <v/>
      </c>
      <c r="R610" s="8">
        <f>IF(OR($I610="",$J610=""),"",$J610-$I610)</f>
        <v/>
      </c>
      <c r="S610" s="8">
        <f>IFERROR(IF(INDEX(Tbl_KPIMaster[Direction],MATCH($G610,Tbl_KPIMaster[KPI],0))="Lower is Better",IF($J610&lt;=$I610,"Green",IF($J610&lt;=$I610+IF($I610=0,$K610,$I610*$K610),"Amber","Red")),IF($J610&gt;=$I610,"Green",IF($J610&gt;=$I610-IF($I610=0,$K610,$I610*$K610),"Amber","Red"))),"")</f>
        <v/>
      </c>
      <c r="T610" s="10" t="inlineStr"/>
    </row>
    <row r="611">
      <c r="A611" s="3" t="n">
        <v>46160</v>
      </c>
      <c r="B611" s="4">
        <f>IF($A611="","",TEXT($A611,"mmm-yyyy"))</f>
        <v/>
      </c>
      <c r="C611" s="4">
        <f>IF($A611="","","W"&amp;WEEKNUM($A611,2))</f>
        <v/>
      </c>
      <c r="D611" s="4">
        <f>IF($A611="","",TEXT($A611,"ddd"))</f>
        <v/>
      </c>
      <c r="E611" s="4" t="inlineStr">
        <is>
          <t>Utilities</t>
        </is>
      </c>
      <c r="F611" s="4">
        <f>IFERROR(INDEX(Tbl_KPIMaster[Category],MATCH($G611,Tbl_KPIMaster[KPI],0)),"")</f>
        <v/>
      </c>
      <c r="G611" s="4" t="inlineStr">
        <is>
          <t>Power Consumption</t>
        </is>
      </c>
      <c r="H611" s="4">
        <f>IFERROR(INDEX(Tbl_KPIMaster[Unit],MATCH($G611,Tbl_KPIMaster[KPI],0)),"")</f>
        <v/>
      </c>
      <c r="I611" s="5">
        <f>IFERROR(INDEX(Tbl_KPIMaster[Maximum Target],MATCH($G611,Tbl_KPIMaster[KPI],0)),"")</f>
        <v/>
      </c>
      <c r="J611" s="5" t="n">
        <v>4023.28</v>
      </c>
      <c r="K611" s="4">
        <f>IFERROR(INDEX(Tbl_KPIMaster[Tolerance],MATCH($G611,Tbl_KPIMaster[KPI],0)),"")</f>
        <v/>
      </c>
      <c r="L611" s="4">
        <f>IFERROR(INDEX(Tbl_KPIMaster[Owner],MATCH($G611,Tbl_KPIMaster[KPI],0)),"")</f>
        <v/>
      </c>
      <c r="M611" s="6" t="inlineStr">
        <is>
          <t>Within normal range</t>
        </is>
      </c>
      <c r="N611" s="4" t="inlineStr">
        <is>
          <t>Management approval pending</t>
        </is>
      </c>
      <c r="O611" s="4" t="inlineStr">
        <is>
          <t>Low</t>
        </is>
      </c>
      <c r="P611" s="4" t="inlineStr">
        <is>
          <t>Closed</t>
        </is>
      </c>
      <c r="Q611" s="5">
        <f>IFERROR(IF(INDEX(Tbl_KPIMaster[Direction],MATCH($G611,Tbl_KPIMaster[KPI],0))="Lower is Better",IF($J611=0,1,IF($I611=0,0,$I611/$J611)),IF($I611=0,1,$J611/$I611)),0)</f>
        <v/>
      </c>
      <c r="R611" s="4">
        <f>IF(OR($I611="",$J611=""),"",$J611-$I611)</f>
        <v/>
      </c>
      <c r="S611" s="4">
        <f>IFERROR(IF(INDEX(Tbl_KPIMaster[Direction],MATCH($G611,Tbl_KPIMaster[KPI],0))="Lower is Better",IF($J611&lt;=$I611,"Green",IF($J611&lt;=$I611+IF($I611=0,$K611,$I611*$K611),"Amber","Red")),IF($J611&gt;=$I611,"Green",IF($J611&gt;=$I611-IF($I611=0,$K611,$I611*$K611),"Amber","Red"))),"")</f>
        <v/>
      </c>
      <c r="T611" s="6" t="inlineStr"/>
    </row>
    <row r="612">
      <c r="A612" s="7" t="n">
        <v>46160</v>
      </c>
      <c r="B612" s="8">
        <f>IF($A612="","",TEXT($A612,"mmm-yyyy"))</f>
        <v/>
      </c>
      <c r="C612" s="8">
        <f>IF($A612="","","W"&amp;WEEKNUM($A612,2))</f>
        <v/>
      </c>
      <c r="D612" s="8">
        <f>IF($A612="","",TEXT($A612,"ddd"))</f>
        <v/>
      </c>
      <c r="E612" s="8" t="inlineStr">
        <is>
          <t>Utilities</t>
        </is>
      </c>
      <c r="F612" s="8">
        <f>IFERROR(INDEX(Tbl_KPIMaster[Category],MATCH($G612,Tbl_KPIMaster[KPI],0)),"")</f>
        <v/>
      </c>
      <c r="G612" s="8" t="inlineStr">
        <is>
          <t>Water Consumption</t>
        </is>
      </c>
      <c r="H612" s="8">
        <f>IFERROR(INDEX(Tbl_KPIMaster[Unit],MATCH($G612,Tbl_KPIMaster[KPI],0)),"")</f>
        <v/>
      </c>
      <c r="I612" s="9">
        <f>IFERROR(INDEX(Tbl_KPIMaster[Maximum Target],MATCH($G612,Tbl_KPIMaster[KPI],0)),"")</f>
        <v/>
      </c>
      <c r="J612" s="9" t="n">
        <v>53.36</v>
      </c>
      <c r="K612" s="8">
        <f>IFERROR(INDEX(Tbl_KPIMaster[Tolerance],MATCH($G612,Tbl_KPIMaster[KPI],0)),"")</f>
        <v/>
      </c>
      <c r="L612" s="8">
        <f>IFERROR(INDEX(Tbl_KPIMaster[Owner],MATCH($G612,Tbl_KPIMaster[KPI],0)),"")</f>
        <v/>
      </c>
      <c r="M612" s="10" t="inlineStr">
        <is>
          <t>Preventive check done</t>
        </is>
      </c>
      <c r="N612" s="8" t="inlineStr"/>
      <c r="O612" s="8" t="inlineStr">
        <is>
          <t>Medium</t>
        </is>
      </c>
      <c r="P612" s="8" t="inlineStr">
        <is>
          <t>In Progress</t>
        </is>
      </c>
      <c r="Q612" s="9">
        <f>IFERROR(IF(INDEX(Tbl_KPIMaster[Direction],MATCH($G612,Tbl_KPIMaster[KPI],0))="Lower is Better",IF($J612=0,1,IF($I612=0,0,$I612/$J612)),IF($I612=0,1,$J612/$I612)),0)</f>
        <v/>
      </c>
      <c r="R612" s="8">
        <f>IF(OR($I612="",$J612=""),"",$J612-$I612)</f>
        <v/>
      </c>
      <c r="S612" s="8">
        <f>IFERROR(IF(INDEX(Tbl_KPIMaster[Direction],MATCH($G612,Tbl_KPIMaster[KPI],0))="Lower is Better",IF($J612&lt;=$I612,"Green",IF($J612&lt;=$I612+IF($I612=0,$K612,$I612*$K612),"Amber","Red")),IF($J612&gt;=$I612,"Green",IF($J612&gt;=$I612-IF($I612=0,$K612,$I612*$K612),"Amber","Red"))),"")</f>
        <v/>
      </c>
      <c r="T612" s="10" t="inlineStr"/>
    </row>
    <row r="613">
      <c r="A613" s="3" t="n">
        <v>46160</v>
      </c>
      <c r="B613" s="4">
        <f>IF($A613="","",TEXT($A613,"mmm-yyyy"))</f>
        <v/>
      </c>
      <c r="C613" s="4">
        <f>IF($A613="","","W"&amp;WEEKNUM($A613,2))</f>
        <v/>
      </c>
      <c r="D613" s="4">
        <f>IF($A613="","",TEXT($A613,"ddd"))</f>
        <v/>
      </c>
      <c r="E613" s="4" t="inlineStr">
        <is>
          <t>Warehouse</t>
        </is>
      </c>
      <c r="F613" s="4">
        <f>IFERROR(INDEX(Tbl_KPIMaster[Category],MATCH($G613,Tbl_KPIMaster[KPI],0)),"")</f>
        <v/>
      </c>
      <c r="G613" s="4" t="inlineStr">
        <is>
          <t>On-Time Dispatch %</t>
        </is>
      </c>
      <c r="H613" s="4">
        <f>IFERROR(INDEX(Tbl_KPIMaster[Unit],MATCH($G613,Tbl_KPIMaster[KPI],0)),"")</f>
        <v/>
      </c>
      <c r="I613" s="5">
        <f>IFERROR(INDEX(Tbl_KPIMaster[Maximum Target],MATCH($G613,Tbl_KPIMaster[KPI],0)),"")</f>
        <v/>
      </c>
      <c r="J613" s="5" t="n">
        <v>0.991</v>
      </c>
      <c r="K613" s="4">
        <f>IFERROR(INDEX(Tbl_KPIMaster[Tolerance],MATCH($G613,Tbl_KPIMaster[KPI],0)),"")</f>
        <v/>
      </c>
      <c r="L613" s="4">
        <f>IFERROR(INDEX(Tbl_KPIMaster[Owner],MATCH($G613,Tbl_KPIMaster[KPI],0)),"")</f>
        <v/>
      </c>
      <c r="M613" s="6" t="inlineStr">
        <is>
          <t>New operator training effect</t>
        </is>
      </c>
      <c r="N613" s="4" t="inlineStr"/>
      <c r="O613" s="4" t="inlineStr">
        <is>
          <t>Low</t>
        </is>
      </c>
      <c r="P613" s="4" t="inlineStr">
        <is>
          <t>Closed</t>
        </is>
      </c>
      <c r="Q613" s="5">
        <f>IFERROR(IF(INDEX(Tbl_KPIMaster[Direction],MATCH($G613,Tbl_KPIMaster[KPI],0))="Lower is Better",IF($J613=0,1,IF($I613=0,0,$I613/$J613)),IF($I613=0,1,$J613/$I613)),0)</f>
        <v/>
      </c>
      <c r="R613" s="4">
        <f>IF(OR($I613="",$J613=""),"",$J613-$I613)</f>
        <v/>
      </c>
      <c r="S613" s="4">
        <f>IFERROR(IF(INDEX(Tbl_KPIMaster[Direction],MATCH($G613,Tbl_KPIMaster[KPI],0))="Lower is Better",IF($J613&lt;=$I613,"Green",IF($J613&lt;=$I613+IF($I613=0,$K613,$I613*$K613),"Amber","Red")),IF($J613&gt;=$I613,"Green",IF($J613&gt;=$I613-IF($I613=0,$K613,$I613*$K613),"Amber","Red"))),"")</f>
        <v/>
      </c>
      <c r="T613" s="6" t="inlineStr"/>
    </row>
    <row r="614">
      <c r="A614" s="7" t="n">
        <v>46160</v>
      </c>
      <c r="B614" s="8">
        <f>IF($A614="","",TEXT($A614,"mmm-yyyy"))</f>
        <v/>
      </c>
      <c r="C614" s="8">
        <f>IF($A614="","","W"&amp;WEEKNUM($A614,2))</f>
        <v/>
      </c>
      <c r="D614" s="8">
        <f>IF($A614="","",TEXT($A614,"ddd"))</f>
        <v/>
      </c>
      <c r="E614" s="8" t="inlineStr">
        <is>
          <t>Warehouse</t>
        </is>
      </c>
      <c r="F614" s="8">
        <f>IFERROR(INDEX(Tbl_KPIMaster[Category],MATCH($G614,Tbl_KPIMaster[KPI],0)),"")</f>
        <v/>
      </c>
      <c r="G614" s="8" t="inlineStr">
        <is>
          <t>Inventory Accuracy %</t>
        </is>
      </c>
      <c r="H614" s="8">
        <f>IFERROR(INDEX(Tbl_KPIMaster[Unit],MATCH($G614,Tbl_KPIMaster[KPI],0)),"")</f>
        <v/>
      </c>
      <c r="I614" s="9">
        <f>IFERROR(INDEX(Tbl_KPIMaster[Maximum Target],MATCH($G614,Tbl_KPIMaster[KPI],0)),"")</f>
        <v/>
      </c>
      <c r="J614" s="9" t="n">
        <v>0.8087</v>
      </c>
      <c r="K614" s="8">
        <f>IFERROR(INDEX(Tbl_KPIMaster[Tolerance],MATCH($G614,Tbl_KPIMaster[KPI],0)),"")</f>
        <v/>
      </c>
      <c r="L614" s="8">
        <f>IFERROR(INDEX(Tbl_KPIMaster[Owner],MATCH($G614,Tbl_KPIMaster[KPI],0)),"")</f>
        <v/>
      </c>
      <c r="M614" s="10" t="inlineStr">
        <is>
          <t>Weather impact</t>
        </is>
      </c>
      <c r="N614" s="8" t="inlineStr"/>
      <c r="O614" s="8" t="inlineStr">
        <is>
          <t>Low</t>
        </is>
      </c>
      <c r="P614" s="8" t="inlineStr">
        <is>
          <t>Closed</t>
        </is>
      </c>
      <c r="Q614" s="9">
        <f>IFERROR(IF(INDEX(Tbl_KPIMaster[Direction],MATCH($G614,Tbl_KPIMaster[KPI],0))="Lower is Better",IF($J614=0,1,IF($I614=0,0,$I614/$J614)),IF($I614=0,1,$J614/$I614)),0)</f>
        <v/>
      </c>
      <c r="R614" s="8">
        <f>IF(OR($I614="",$J614=""),"",$J614-$I614)</f>
        <v/>
      </c>
      <c r="S614" s="8">
        <f>IFERROR(IF(INDEX(Tbl_KPIMaster[Direction],MATCH($G614,Tbl_KPIMaster[KPI],0))="Lower is Better",IF($J614&lt;=$I614,"Green",IF($J614&lt;=$I614+IF($I614=0,$K614,$I614*$K614),"Amber","Red")),IF($J614&gt;=$I614,"Green",IF($J614&gt;=$I614-IF($I614=0,$K614,$I614*$K614),"Amber","Red"))),"")</f>
        <v/>
      </c>
      <c r="T614" s="10" t="inlineStr"/>
    </row>
    <row r="615">
      <c r="A615" s="3" t="n">
        <v>46160</v>
      </c>
      <c r="B615" s="4">
        <f>IF($A615="","",TEXT($A615,"mmm-yyyy"))</f>
        <v/>
      </c>
      <c r="C615" s="4">
        <f>IF($A615="","","W"&amp;WEEKNUM($A615,2))</f>
        <v/>
      </c>
      <c r="D615" s="4">
        <f>IF($A615="","",TEXT($A615,"ddd"))</f>
        <v/>
      </c>
      <c r="E615" s="4" t="inlineStr">
        <is>
          <t>HR</t>
        </is>
      </c>
      <c r="F615" s="4">
        <f>IFERROR(INDEX(Tbl_KPIMaster[Category],MATCH($G615,Tbl_KPIMaster[KPI],0)),"")</f>
        <v/>
      </c>
      <c r="G615" s="4" t="inlineStr">
        <is>
          <t>Absenteeism %</t>
        </is>
      </c>
      <c r="H615" s="4">
        <f>IFERROR(INDEX(Tbl_KPIMaster[Unit],MATCH($G615,Tbl_KPIMaster[KPI],0)),"")</f>
        <v/>
      </c>
      <c r="I615" s="5">
        <f>IFERROR(INDEX(Tbl_KPIMaster[Maximum Target],MATCH($G615,Tbl_KPIMaster[KPI],0)),"")</f>
        <v/>
      </c>
      <c r="J615" s="5" t="n">
        <v>0</v>
      </c>
      <c r="K615" s="4">
        <f>IFERROR(INDEX(Tbl_KPIMaster[Tolerance],MATCH($G615,Tbl_KPIMaster[KPI],0)),"")</f>
        <v/>
      </c>
      <c r="L615" s="4">
        <f>IFERROR(INDEX(Tbl_KPIMaster[Owner],MATCH($G615,Tbl_KPIMaster[KPI],0)),"")</f>
        <v/>
      </c>
      <c r="M615" s="6" t="inlineStr">
        <is>
          <t>Weather impact</t>
        </is>
      </c>
      <c r="N615" s="4" t="inlineStr"/>
      <c r="O615" s="4" t="inlineStr">
        <is>
          <t>Low</t>
        </is>
      </c>
      <c r="P615" s="4" t="inlineStr">
        <is>
          <t>Closed</t>
        </is>
      </c>
      <c r="Q615" s="5">
        <f>IFERROR(IF(INDEX(Tbl_KPIMaster[Direction],MATCH($G615,Tbl_KPIMaster[KPI],0))="Lower is Better",IF($J615=0,1,IF($I615=0,0,$I615/$J615)),IF($I615=0,1,$J615/$I615)),0)</f>
        <v/>
      </c>
      <c r="R615" s="4">
        <f>IF(OR($I615="",$J615=""),"",$J615-$I615)</f>
        <v/>
      </c>
      <c r="S615" s="4">
        <f>IFERROR(IF(INDEX(Tbl_KPIMaster[Direction],MATCH($G615,Tbl_KPIMaster[KPI],0))="Lower is Better",IF($J615&lt;=$I615,"Green",IF($J615&lt;=$I615+IF($I615=0,$K615,$I615*$K615),"Amber","Red")),IF($J615&gt;=$I615,"Green",IF($J615&gt;=$I615-IF($I615=0,$K615,$I615*$K615),"Amber","Red"))),"")</f>
        <v/>
      </c>
      <c r="T615" s="6" t="inlineStr"/>
    </row>
    <row r="616">
      <c r="A616" s="7" t="n">
        <v>46160</v>
      </c>
      <c r="B616" s="8">
        <f>IF($A616="","",TEXT($A616,"mmm-yyyy"))</f>
        <v/>
      </c>
      <c r="C616" s="8">
        <f>IF($A616="","","W"&amp;WEEKNUM($A616,2))</f>
        <v/>
      </c>
      <c r="D616" s="8">
        <f>IF($A616="","",TEXT($A616,"ddd"))</f>
        <v/>
      </c>
      <c r="E616" s="8" t="inlineStr">
        <is>
          <t>HR</t>
        </is>
      </c>
      <c r="F616" s="8">
        <f>IFERROR(INDEX(Tbl_KPIMaster[Category],MATCH($G616,Tbl_KPIMaster[KPI],0)),"")</f>
        <v/>
      </c>
      <c r="G616" s="8" t="inlineStr">
        <is>
          <t>Training Hours</t>
        </is>
      </c>
      <c r="H616" s="8">
        <f>IFERROR(INDEX(Tbl_KPIMaster[Unit],MATCH($G616,Tbl_KPIMaster[KPI],0)),"")</f>
        <v/>
      </c>
      <c r="I616" s="9">
        <f>IFERROR(INDEX(Tbl_KPIMaster[Maximum Target],MATCH($G616,Tbl_KPIMaster[KPI],0)),"")</f>
        <v/>
      </c>
      <c r="J616" s="9" t="n">
        <v>2.01</v>
      </c>
      <c r="K616" s="8">
        <f>IFERROR(INDEX(Tbl_KPIMaster[Tolerance],MATCH($G616,Tbl_KPIMaster[KPI],0)),"")</f>
        <v/>
      </c>
      <c r="L616" s="8">
        <f>IFERROR(INDEX(Tbl_KPIMaster[Owner],MATCH($G616,Tbl_KPIMaster[KPI],0)),"")</f>
        <v/>
      </c>
      <c r="M616" s="10" t="inlineStr">
        <is>
          <t>New operator training effect</t>
        </is>
      </c>
      <c r="N616" s="8" t="inlineStr">
        <is>
          <t>Procurement follow-up</t>
        </is>
      </c>
      <c r="O616" s="8" t="inlineStr">
        <is>
          <t>Medium</t>
        </is>
      </c>
      <c r="P616" s="8" t="inlineStr">
        <is>
          <t>Closed</t>
        </is>
      </c>
      <c r="Q616" s="9">
        <f>IFERROR(IF(INDEX(Tbl_KPIMaster[Direction],MATCH($G616,Tbl_KPIMaster[KPI],0))="Lower is Better",IF($J616=0,1,IF($I616=0,0,$I616/$J616)),IF($I616=0,1,$J616/$I616)),0)</f>
        <v/>
      </c>
      <c r="R616" s="8">
        <f>IF(OR($I616="",$J616=""),"",$J616-$I616)</f>
        <v/>
      </c>
      <c r="S616" s="8">
        <f>IFERROR(IF(INDEX(Tbl_KPIMaster[Direction],MATCH($G616,Tbl_KPIMaster[KPI],0))="Lower is Better",IF($J616&lt;=$I616,"Green",IF($J616&lt;=$I616+IF($I616=0,$K616,$I616*$K616),"Amber","Red")),IF($J616&gt;=$I616,"Green",IF($J616&gt;=$I616-IF($I616=0,$K616,$I616*$K616),"Amber","Red"))),"")</f>
        <v/>
      </c>
      <c r="T616" s="10" t="inlineStr"/>
    </row>
    <row r="617">
      <c r="A617" s="3" t="n">
        <v>46160</v>
      </c>
      <c r="B617" s="4">
        <f>IF($A617="","",TEXT($A617,"mmm-yyyy"))</f>
        <v/>
      </c>
      <c r="C617" s="4">
        <f>IF($A617="","","W"&amp;WEEKNUM($A617,2))</f>
        <v/>
      </c>
      <c r="D617" s="4">
        <f>IF($A617="","",TEXT($A617,"ddd"))</f>
        <v/>
      </c>
      <c r="E617" s="4" t="inlineStr">
        <is>
          <t>Engineering</t>
        </is>
      </c>
      <c r="F617" s="4">
        <f>IFERROR(INDEX(Tbl_KPIMaster[Category],MATCH($G617,Tbl_KPIMaster[KPI],0)),"")</f>
        <v/>
      </c>
      <c r="G617" s="4" t="inlineStr">
        <is>
          <t>Project Milestone Adherence %</t>
        </is>
      </c>
      <c r="H617" s="4">
        <f>IFERROR(INDEX(Tbl_KPIMaster[Unit],MATCH($G617,Tbl_KPIMaster[KPI],0)),"")</f>
        <v/>
      </c>
      <c r="I617" s="5">
        <f>IFERROR(INDEX(Tbl_KPIMaster[Maximum Target],MATCH($G617,Tbl_KPIMaster[KPI],0)),"")</f>
        <v/>
      </c>
      <c r="J617" s="5" t="n">
        <v>1.0806</v>
      </c>
      <c r="K617" s="4">
        <f>IFERROR(INDEX(Tbl_KPIMaster[Tolerance],MATCH($G617,Tbl_KPIMaster[KPI],0)),"")</f>
        <v/>
      </c>
      <c r="L617" s="4">
        <f>IFERROR(INDEX(Tbl_KPIMaster[Owner],MATCH($G617,Tbl_KPIMaster[KPI],0)),"")</f>
        <v/>
      </c>
      <c r="M617" s="6" t="inlineStr"/>
      <c r="N617" s="4" t="inlineStr"/>
      <c r="O617" s="4" t="inlineStr">
        <is>
          <t>Low</t>
        </is>
      </c>
      <c r="P617" s="4" t="inlineStr">
        <is>
          <t>Closed</t>
        </is>
      </c>
      <c r="Q617" s="5">
        <f>IFERROR(IF(INDEX(Tbl_KPIMaster[Direction],MATCH($G617,Tbl_KPIMaster[KPI],0))="Lower is Better",IF($J617=0,1,IF($I617=0,0,$I617/$J617)),IF($I617=0,1,$J617/$I617)),0)</f>
        <v/>
      </c>
      <c r="R617" s="4">
        <f>IF(OR($I617="",$J617=""),"",$J617-$I617)</f>
        <v/>
      </c>
      <c r="S617" s="4">
        <f>IFERROR(IF(INDEX(Tbl_KPIMaster[Direction],MATCH($G617,Tbl_KPIMaster[KPI],0))="Lower is Better",IF($J617&lt;=$I617,"Green",IF($J617&lt;=$I617+IF($I617=0,$K617,$I617*$K617),"Amber","Red")),IF($J617&gt;=$I617,"Green",IF($J617&gt;=$I617-IF($I617=0,$K617,$I617*$K617),"Amber","Red"))),"")</f>
        <v/>
      </c>
      <c r="T617" s="6" t="inlineStr"/>
    </row>
    <row r="618">
      <c r="A618" s="7" t="n">
        <v>46160</v>
      </c>
      <c r="B618" s="8">
        <f>IF($A618="","",TEXT($A618,"mmm-yyyy"))</f>
        <v/>
      </c>
      <c r="C618" s="8">
        <f>IF($A618="","","W"&amp;WEEKNUM($A618,2))</f>
        <v/>
      </c>
      <c r="D618" s="8">
        <f>IF($A618="","",TEXT($A618,"ddd"))</f>
        <v/>
      </c>
      <c r="E618" s="8" t="inlineStr">
        <is>
          <t>Engineering</t>
        </is>
      </c>
      <c r="F618" s="8">
        <f>IFERROR(INDEX(Tbl_KPIMaster[Category],MATCH($G618,Tbl_KPIMaster[KPI],0)),"")</f>
        <v/>
      </c>
      <c r="G618" s="8" t="inlineStr">
        <is>
          <t>Breakdown Resolution Time</t>
        </is>
      </c>
      <c r="H618" s="8">
        <f>IFERROR(INDEX(Tbl_KPIMaster[Unit],MATCH($G618,Tbl_KPIMaster[KPI],0)),"")</f>
        <v/>
      </c>
      <c r="I618" s="9">
        <f>IFERROR(INDEX(Tbl_KPIMaster[Maximum Target],MATCH($G618,Tbl_KPIMaster[KPI],0)),"")</f>
        <v/>
      </c>
      <c r="J618" s="9" t="n">
        <v>0</v>
      </c>
      <c r="K618" s="8">
        <f>IFERROR(INDEX(Tbl_KPIMaster[Tolerance],MATCH($G618,Tbl_KPIMaster[KPI],0)),"")</f>
        <v/>
      </c>
      <c r="L618" s="8">
        <f>IFERROR(INDEX(Tbl_KPIMaster[Owner],MATCH($G618,Tbl_KPIMaster[KPI],0)),"")</f>
        <v/>
      </c>
      <c r="M618" s="10" t="inlineStr">
        <is>
          <t>Manpower shortage</t>
        </is>
      </c>
      <c r="N618" s="8" t="inlineStr"/>
      <c r="O618" s="8" t="inlineStr">
        <is>
          <t>Low</t>
        </is>
      </c>
      <c r="P618" s="8" t="inlineStr">
        <is>
          <t>Closed</t>
        </is>
      </c>
      <c r="Q618" s="9">
        <f>IFERROR(IF(INDEX(Tbl_KPIMaster[Direction],MATCH($G618,Tbl_KPIMaster[KPI],0))="Lower is Better",IF($J618=0,1,IF($I618=0,0,$I618/$J618)),IF($I618=0,1,$J618/$I618)),0)</f>
        <v/>
      </c>
      <c r="R618" s="8">
        <f>IF(OR($I618="",$J618=""),"",$J618-$I618)</f>
        <v/>
      </c>
      <c r="S618" s="8">
        <f>IFERROR(IF(INDEX(Tbl_KPIMaster[Direction],MATCH($G618,Tbl_KPIMaster[KPI],0))="Lower is Better",IF($J618&lt;=$I618,"Green",IF($J618&lt;=$I618+IF($I618=0,$K618,$I618*$K618),"Amber","Red")),IF($J618&gt;=$I618,"Green",IF($J618&gt;=$I618-IF($I618=0,$K618,$I618*$K618),"Amber","Red"))),"")</f>
        <v/>
      </c>
      <c r="T618" s="10" t="inlineStr"/>
    </row>
    <row r="619">
      <c r="A619" s="3" t="n">
        <v>46160</v>
      </c>
      <c r="B619" s="4">
        <f>IF($A619="","",TEXT($A619,"mmm-yyyy"))</f>
        <v/>
      </c>
      <c r="C619" s="4">
        <f>IF($A619="","","W"&amp;WEEKNUM($A619,2))</f>
        <v/>
      </c>
      <c r="D619" s="4">
        <f>IF($A619="","",TEXT($A619,"ddd"))</f>
        <v/>
      </c>
      <c r="E619" s="4" t="inlineStr">
        <is>
          <t>Cost</t>
        </is>
      </c>
      <c r="F619" s="4">
        <f>IFERROR(INDEX(Tbl_KPIMaster[Category],MATCH($G619,Tbl_KPIMaster[KPI],0)),"")</f>
        <v/>
      </c>
      <c r="G619" s="4" t="inlineStr">
        <is>
          <t>Cost per Unit</t>
        </is>
      </c>
      <c r="H619" s="4">
        <f>IFERROR(INDEX(Tbl_KPIMaster[Unit],MATCH($G619,Tbl_KPIMaster[KPI],0)),"")</f>
        <v/>
      </c>
      <c r="I619" s="5">
        <f>IFERROR(INDEX(Tbl_KPIMaster[Maximum Target],MATCH($G619,Tbl_KPIMaster[KPI],0)),"")</f>
        <v/>
      </c>
      <c r="J619" s="5" t="n">
        <v>44.44</v>
      </c>
      <c r="K619" s="4">
        <f>IFERROR(INDEX(Tbl_KPIMaster[Tolerance],MATCH($G619,Tbl_KPIMaster[KPI],0)),"")</f>
        <v/>
      </c>
      <c r="L619" s="4">
        <f>IFERROR(INDEX(Tbl_KPIMaster[Owner],MATCH($G619,Tbl_KPIMaster[KPI],0)),"")</f>
        <v/>
      </c>
      <c r="M619" s="6" t="inlineStr">
        <is>
          <t>Manpower shortage</t>
        </is>
      </c>
      <c r="N619" s="4" t="inlineStr">
        <is>
          <t>Engineering support needed</t>
        </is>
      </c>
      <c r="O619" s="4" t="inlineStr">
        <is>
          <t>High</t>
        </is>
      </c>
      <c r="P619" s="4" t="inlineStr">
        <is>
          <t>Closed</t>
        </is>
      </c>
      <c r="Q619" s="5">
        <f>IFERROR(IF(INDEX(Tbl_KPIMaster[Direction],MATCH($G619,Tbl_KPIMaster[KPI],0))="Lower is Better",IF($J619=0,1,IF($I619=0,0,$I619/$J619)),IF($I619=0,1,$J619/$I619)),0)</f>
        <v/>
      </c>
      <c r="R619" s="4">
        <f>IF(OR($I619="",$J619=""),"",$J619-$I619)</f>
        <v/>
      </c>
      <c r="S619" s="4">
        <f>IFERROR(IF(INDEX(Tbl_KPIMaster[Direction],MATCH($G619,Tbl_KPIMaster[KPI],0))="Lower is Better",IF($J619&lt;=$I619,"Green",IF($J619&lt;=$I619+IF($I619=0,$K619,$I619*$K619),"Amber","Red")),IF($J619&gt;=$I619,"Green",IF($J619&gt;=$I619-IF($I619=0,$K619,$I619*$K619),"Amber","Red"))),"")</f>
        <v/>
      </c>
      <c r="T619" s="6" t="inlineStr"/>
    </row>
    <row r="620">
      <c r="A620" s="7" t="n">
        <v>46160</v>
      </c>
      <c r="B620" s="8">
        <f>IF($A620="","",TEXT($A620,"mmm-yyyy"))</f>
        <v/>
      </c>
      <c r="C620" s="8">
        <f>IF($A620="","","W"&amp;WEEKNUM($A620,2))</f>
        <v/>
      </c>
      <c r="D620" s="8">
        <f>IF($A620="","",TEXT($A620,"ddd"))</f>
        <v/>
      </c>
      <c r="E620" s="8" t="inlineStr">
        <is>
          <t>Cost</t>
        </is>
      </c>
      <c r="F620" s="8">
        <f>IFERROR(INDEX(Tbl_KPIMaster[Category],MATCH($G620,Tbl_KPIMaster[KPI],0)),"")</f>
        <v/>
      </c>
      <c r="G620" s="8" t="inlineStr">
        <is>
          <t>Budget Variance %</t>
        </is>
      </c>
      <c r="H620" s="8">
        <f>IFERROR(INDEX(Tbl_KPIMaster[Unit],MATCH($G620,Tbl_KPIMaster[KPI],0)),"")</f>
        <v/>
      </c>
      <c r="I620" s="9">
        <f>IFERROR(INDEX(Tbl_KPIMaster[Maximum Target],MATCH($G620,Tbl_KPIMaster[KPI],0)),"")</f>
        <v/>
      </c>
      <c r="J620" s="9" t="n">
        <v>0</v>
      </c>
      <c r="K620" s="8">
        <f>IFERROR(INDEX(Tbl_KPIMaster[Tolerance],MATCH($G620,Tbl_KPIMaster[KPI],0)),"")</f>
        <v/>
      </c>
      <c r="L620" s="8">
        <f>IFERROR(INDEX(Tbl_KPIMaster[Owner],MATCH($G620,Tbl_KPIMaster[KPI],0)),"")</f>
        <v/>
      </c>
      <c r="M620" s="10" t="inlineStr">
        <is>
          <t>Equipment breakdown</t>
        </is>
      </c>
      <c r="N620" s="8" t="inlineStr">
        <is>
          <t>Engineering support needed</t>
        </is>
      </c>
      <c r="O620" s="8" t="inlineStr">
        <is>
          <t>Low</t>
        </is>
      </c>
      <c r="P620" s="8" t="inlineStr">
        <is>
          <t>Closed</t>
        </is>
      </c>
      <c r="Q620" s="9">
        <f>IFERROR(IF(INDEX(Tbl_KPIMaster[Direction],MATCH($G620,Tbl_KPIMaster[KPI],0))="Lower is Better",IF($J620=0,1,IF($I620=0,0,$I620/$J620)),IF($I620=0,1,$J620/$I620)),0)</f>
        <v/>
      </c>
      <c r="R620" s="8">
        <f>IF(OR($I620="",$J620=""),"",$J620-$I620)</f>
        <v/>
      </c>
      <c r="S620" s="8">
        <f>IFERROR(IF(INDEX(Tbl_KPIMaster[Direction],MATCH($G620,Tbl_KPIMaster[KPI],0))="Lower is Better",IF($J620&lt;=$I620,"Green",IF($J620&lt;=$I620+IF($I620=0,$K620,$I620*$K620),"Amber","Red")),IF($J620&gt;=$I620,"Green",IF($J620&gt;=$I620-IF($I620=0,$K620,$I620*$K620),"Amber","Red"))),"")</f>
        <v/>
      </c>
      <c r="T620" s="10" t="inlineStr"/>
    </row>
    <row r="621">
      <c r="A621" s="3" t="n">
        <v>46160</v>
      </c>
      <c r="B621" s="4">
        <f>IF($A621="","",TEXT($A621,"mmm-yyyy"))</f>
        <v/>
      </c>
      <c r="C621" s="4">
        <f>IF($A621="","","W"&amp;WEEKNUM($A621,2))</f>
        <v/>
      </c>
      <c r="D621" s="4">
        <f>IF($A621="","",TEXT($A621,"ddd"))</f>
        <v/>
      </c>
      <c r="E621" s="4" t="inlineStr">
        <is>
          <t>Energy</t>
        </is>
      </c>
      <c r="F621" s="4">
        <f>IFERROR(INDEX(Tbl_KPIMaster[Category],MATCH($G621,Tbl_KPIMaster[KPI],0)),"")</f>
        <v/>
      </c>
      <c r="G621" s="4" t="inlineStr">
        <is>
          <t>Energy Intensity (kWh/unit)</t>
        </is>
      </c>
      <c r="H621" s="4">
        <f>IFERROR(INDEX(Tbl_KPIMaster[Unit],MATCH($G621,Tbl_KPIMaster[KPI],0)),"")</f>
        <v/>
      </c>
      <c r="I621" s="5">
        <f>IFERROR(INDEX(Tbl_KPIMaster[Maximum Target],MATCH($G621,Tbl_KPIMaster[KPI],0)),"")</f>
        <v/>
      </c>
      <c r="J621" s="5" t="n">
        <v>4.95</v>
      </c>
      <c r="K621" s="4">
        <f>IFERROR(INDEX(Tbl_KPIMaster[Tolerance],MATCH($G621,Tbl_KPIMaster[KPI],0)),"")</f>
        <v/>
      </c>
      <c r="L621" s="4">
        <f>IFERROR(INDEX(Tbl_KPIMaster[Owner],MATCH($G621,Tbl_KPIMaster[KPI],0)),"")</f>
        <v/>
      </c>
      <c r="M621" s="6" t="inlineStr">
        <is>
          <t>Manpower shortage</t>
        </is>
      </c>
      <c r="N621" s="4" t="inlineStr">
        <is>
          <t>Procurement follow-up</t>
        </is>
      </c>
      <c r="O621" s="4" t="inlineStr">
        <is>
          <t>Low</t>
        </is>
      </c>
      <c r="P621" s="4" t="inlineStr">
        <is>
          <t>Closed</t>
        </is>
      </c>
      <c r="Q621" s="5">
        <f>IFERROR(IF(INDEX(Tbl_KPIMaster[Direction],MATCH($G621,Tbl_KPIMaster[KPI],0))="Lower is Better",IF($J621=0,1,IF($I621=0,0,$I621/$J621)),IF($I621=0,1,$J621/$I621)),0)</f>
        <v/>
      </c>
      <c r="R621" s="4">
        <f>IF(OR($I621="",$J621=""),"",$J621-$I621)</f>
        <v/>
      </c>
      <c r="S621" s="4">
        <f>IFERROR(IF(INDEX(Tbl_KPIMaster[Direction],MATCH($G621,Tbl_KPIMaster[KPI],0))="Lower is Better",IF($J621&lt;=$I621,"Green",IF($J621&lt;=$I621+IF($I621=0,$K621,$I621*$K621),"Amber","Red")),IF($J621&gt;=$I621,"Green",IF($J621&gt;=$I621-IF($I621=0,$K621,$I621*$K621),"Amber","Red"))),"")</f>
        <v/>
      </c>
      <c r="T621" s="6" t="inlineStr"/>
    </row>
    <row r="622">
      <c r="A622" s="7" t="n">
        <v>46160</v>
      </c>
      <c r="B622" s="8">
        <f>IF($A622="","",TEXT($A622,"mmm-yyyy"))</f>
        <v/>
      </c>
      <c r="C622" s="8">
        <f>IF($A622="","","W"&amp;WEEKNUM($A622,2))</f>
        <v/>
      </c>
      <c r="D622" s="8">
        <f>IF($A622="","",TEXT($A622,"ddd"))</f>
        <v/>
      </c>
      <c r="E622" s="8" t="inlineStr">
        <is>
          <t>Energy</t>
        </is>
      </c>
      <c r="F622" s="8">
        <f>IFERROR(INDEX(Tbl_KPIMaster[Category],MATCH($G622,Tbl_KPIMaster[KPI],0)),"")</f>
        <v/>
      </c>
      <c r="G622" s="8" t="inlineStr">
        <is>
          <t>Renewable Energy Share %</t>
        </is>
      </c>
      <c r="H622" s="8">
        <f>IFERROR(INDEX(Tbl_KPIMaster[Unit],MATCH($G622,Tbl_KPIMaster[KPI],0)),"")</f>
        <v/>
      </c>
      <c r="I622" s="9">
        <f>IFERROR(INDEX(Tbl_KPIMaster[Maximum Target],MATCH($G622,Tbl_KPIMaster[KPI],0)),"")</f>
        <v/>
      </c>
      <c r="J622" s="9" t="n">
        <v>0.2591</v>
      </c>
      <c r="K622" s="8">
        <f>IFERROR(INDEX(Tbl_KPIMaster[Tolerance],MATCH($G622,Tbl_KPIMaster[KPI],0)),"")</f>
        <v/>
      </c>
      <c r="L622" s="8">
        <f>IFERROR(INDEX(Tbl_KPIMaster[Owner],MATCH($G622,Tbl_KPIMaster[KPI],0)),"")</f>
        <v/>
      </c>
      <c r="M622" s="10" t="inlineStr">
        <is>
          <t>Vendor delay</t>
        </is>
      </c>
      <c r="N622" s="8" t="inlineStr">
        <is>
          <t>Engineering support needed</t>
        </is>
      </c>
      <c r="O622" s="8" t="inlineStr">
        <is>
          <t>Medium</t>
        </is>
      </c>
      <c r="P622" s="8" t="inlineStr">
        <is>
          <t>Open</t>
        </is>
      </c>
      <c r="Q622" s="9">
        <f>IFERROR(IF(INDEX(Tbl_KPIMaster[Direction],MATCH($G622,Tbl_KPIMaster[KPI],0))="Lower is Better",IF($J622=0,1,IF($I622=0,0,$I622/$J622)),IF($I622=0,1,$J622/$I622)),0)</f>
        <v/>
      </c>
      <c r="R622" s="8">
        <f>IF(OR($I622="",$J622=""),"",$J622-$I622)</f>
        <v/>
      </c>
      <c r="S622" s="8">
        <f>IFERROR(IF(INDEX(Tbl_KPIMaster[Direction],MATCH($G622,Tbl_KPIMaster[KPI],0))="Lower is Better",IF($J622&lt;=$I622,"Green",IF($J622&lt;=$I622+IF($I622=0,$K622,$I622*$K622),"Amber","Red")),IF($J622&gt;=$I622,"Green",IF($J622&gt;=$I622-IF($I622=0,$K622,$I622*$K622),"Amber","Red"))),"")</f>
        <v/>
      </c>
      <c r="T622" s="10" t="inlineStr"/>
    </row>
    <row r="623">
      <c r="A623" s="3" t="n">
        <v>46161</v>
      </c>
      <c r="B623" s="4">
        <f>IF($A623="","",TEXT($A623,"mmm-yyyy"))</f>
        <v/>
      </c>
      <c r="C623" s="4">
        <f>IF($A623="","","W"&amp;WEEKNUM($A623,2))</f>
        <v/>
      </c>
      <c r="D623" s="4">
        <f>IF($A623="","",TEXT($A623,"ddd"))</f>
        <v/>
      </c>
      <c r="E623" s="4" t="inlineStr">
        <is>
          <t>Safety</t>
        </is>
      </c>
      <c r="F623" s="4">
        <f>IFERROR(INDEX(Tbl_KPIMaster[Category],MATCH($G623,Tbl_KPIMaster[KPI],0)),"")</f>
        <v/>
      </c>
      <c r="G623" s="4" t="inlineStr">
        <is>
          <t>Safety Incidents (LTI)</t>
        </is>
      </c>
      <c r="H623" s="4">
        <f>IFERROR(INDEX(Tbl_KPIMaster[Unit],MATCH($G623,Tbl_KPIMaster[KPI],0)),"")</f>
        <v/>
      </c>
      <c r="I623" s="5">
        <f>IFERROR(INDEX(Tbl_KPIMaster[Maximum Target],MATCH($G623,Tbl_KPIMaster[KPI],0)),"")</f>
        <v/>
      </c>
      <c r="J623" s="5" t="n">
        <v>2</v>
      </c>
      <c r="K623" s="4">
        <f>IFERROR(INDEX(Tbl_KPIMaster[Tolerance],MATCH($G623,Tbl_KPIMaster[KPI],0)),"")</f>
        <v/>
      </c>
      <c r="L623" s="4">
        <f>IFERROR(INDEX(Tbl_KPIMaster[Owner],MATCH($G623,Tbl_KPIMaster[KPI],0)),"")</f>
        <v/>
      </c>
      <c r="M623" s="6" t="inlineStr">
        <is>
          <t>Preventive check done</t>
        </is>
      </c>
      <c r="N623" s="4" t="inlineStr"/>
      <c r="O623" s="4" t="inlineStr">
        <is>
          <t>Low</t>
        </is>
      </c>
      <c r="P623" s="4" t="inlineStr">
        <is>
          <t>Closed</t>
        </is>
      </c>
      <c r="Q623" s="5">
        <f>IFERROR(IF(INDEX(Tbl_KPIMaster[Direction],MATCH($G623,Tbl_KPIMaster[KPI],0))="Lower is Better",IF($J623=0,1,IF($I623=0,0,$I623/$J623)),IF($I623=0,1,$J623/$I623)),0)</f>
        <v/>
      </c>
      <c r="R623" s="4">
        <f>IF(OR($I623="",$J623=""),"",$J623-$I623)</f>
        <v/>
      </c>
      <c r="S623" s="4">
        <f>IFERROR(IF(INDEX(Tbl_KPIMaster[Direction],MATCH($G623,Tbl_KPIMaster[KPI],0))="Lower is Better",IF($J623&lt;=$I623,"Green",IF($J623&lt;=$I623+IF($I623=0,$K623,$I623*$K623),"Amber","Red")),IF($J623&gt;=$I623,"Green",IF($J623&gt;=$I623-IF($I623=0,$K623,$I623*$K623),"Amber","Red"))),"")</f>
        <v/>
      </c>
      <c r="T623" s="6" t="inlineStr"/>
    </row>
    <row r="624">
      <c r="A624" s="7" t="n">
        <v>46161</v>
      </c>
      <c r="B624" s="8">
        <f>IF($A624="","",TEXT($A624,"mmm-yyyy"))</f>
        <v/>
      </c>
      <c r="C624" s="8">
        <f>IF($A624="","","W"&amp;WEEKNUM($A624,2))</f>
        <v/>
      </c>
      <c r="D624" s="8">
        <f>IF($A624="","",TEXT($A624,"ddd"))</f>
        <v/>
      </c>
      <c r="E624" s="8" t="inlineStr">
        <is>
          <t>Safety</t>
        </is>
      </c>
      <c r="F624" s="8">
        <f>IFERROR(INDEX(Tbl_KPIMaster[Category],MATCH($G624,Tbl_KPIMaster[KPI],0)),"")</f>
        <v/>
      </c>
      <c r="G624" s="8" t="inlineStr">
        <is>
          <t>Near Miss Reports</t>
        </is>
      </c>
      <c r="H624" s="8">
        <f>IFERROR(INDEX(Tbl_KPIMaster[Unit],MATCH($G624,Tbl_KPIMaster[KPI],0)),"")</f>
        <v/>
      </c>
      <c r="I624" s="9">
        <f>IFERROR(INDEX(Tbl_KPIMaster[Maximum Target],MATCH($G624,Tbl_KPIMaster[KPI],0)),"")</f>
        <v/>
      </c>
      <c r="J624" s="9" t="n">
        <v>2</v>
      </c>
      <c r="K624" s="8">
        <f>IFERROR(INDEX(Tbl_KPIMaster[Tolerance],MATCH($G624,Tbl_KPIMaster[KPI],0)),"")</f>
        <v/>
      </c>
      <c r="L624" s="8">
        <f>IFERROR(INDEX(Tbl_KPIMaster[Owner],MATCH($G624,Tbl_KPIMaster[KPI],0)),"")</f>
        <v/>
      </c>
      <c r="M624" s="10" t="inlineStr">
        <is>
          <t>Equipment breakdown</t>
        </is>
      </c>
      <c r="N624" s="8" t="inlineStr"/>
      <c r="O624" s="8" t="inlineStr">
        <is>
          <t>Low</t>
        </is>
      </c>
      <c r="P624" s="8" t="inlineStr">
        <is>
          <t>Closed</t>
        </is>
      </c>
      <c r="Q624" s="9">
        <f>IFERROR(IF(INDEX(Tbl_KPIMaster[Direction],MATCH($G624,Tbl_KPIMaster[KPI],0))="Lower is Better",IF($J624=0,1,IF($I624=0,0,$I624/$J624)),IF($I624=0,1,$J624/$I624)),0)</f>
        <v/>
      </c>
      <c r="R624" s="8">
        <f>IF(OR($I624="",$J624=""),"",$J624-$I624)</f>
        <v/>
      </c>
      <c r="S624" s="8">
        <f>IFERROR(IF(INDEX(Tbl_KPIMaster[Direction],MATCH($G624,Tbl_KPIMaster[KPI],0))="Lower is Better",IF($J624&lt;=$I624,"Green",IF($J624&lt;=$I624+IF($I624=0,$K624,$I624*$K624),"Amber","Red")),IF($J624&gt;=$I624,"Green",IF($J624&gt;=$I624-IF($I624=0,$K624,$I624*$K624),"Amber","Red"))),"")</f>
        <v/>
      </c>
      <c r="T624" s="10" t="inlineStr"/>
    </row>
    <row r="625">
      <c r="A625" s="3" t="n">
        <v>46161</v>
      </c>
      <c r="B625" s="4">
        <f>IF($A625="","",TEXT($A625,"mmm-yyyy"))</f>
        <v/>
      </c>
      <c r="C625" s="4">
        <f>IF($A625="","","W"&amp;WEEKNUM($A625,2))</f>
        <v/>
      </c>
      <c r="D625" s="4">
        <f>IF($A625="","",TEXT($A625,"ddd"))</f>
        <v/>
      </c>
      <c r="E625" s="4" t="inlineStr">
        <is>
          <t>Production</t>
        </is>
      </c>
      <c r="F625" s="4">
        <f>IFERROR(INDEX(Tbl_KPIMaster[Category],MATCH($G625,Tbl_KPIMaster[KPI],0)),"")</f>
        <v/>
      </c>
      <c r="G625" s="4" t="inlineStr">
        <is>
          <t>Production Output</t>
        </is>
      </c>
      <c r="H625" s="4">
        <f>IFERROR(INDEX(Tbl_KPIMaster[Unit],MATCH($G625,Tbl_KPIMaster[KPI],0)),"")</f>
        <v/>
      </c>
      <c r="I625" s="5">
        <f>IFERROR(INDEX(Tbl_KPIMaster[Maximum Target],MATCH($G625,Tbl_KPIMaster[KPI],0)),"")</f>
        <v/>
      </c>
      <c r="J625" s="5" t="n">
        <v>976.45</v>
      </c>
      <c r="K625" s="4">
        <f>IFERROR(INDEX(Tbl_KPIMaster[Tolerance],MATCH($G625,Tbl_KPIMaster[KPI],0)),"")</f>
        <v/>
      </c>
      <c r="L625" s="4">
        <f>IFERROR(INDEX(Tbl_KPIMaster[Owner],MATCH($G625,Tbl_KPIMaster[KPI],0)),"")</f>
        <v/>
      </c>
      <c r="M625" s="6" t="inlineStr">
        <is>
          <t>New operator training effect</t>
        </is>
      </c>
      <c r="N625" s="4" t="inlineStr">
        <is>
          <t>Engineering support needed</t>
        </is>
      </c>
      <c r="O625" s="4" t="inlineStr">
        <is>
          <t>Low</t>
        </is>
      </c>
      <c r="P625" s="4" t="inlineStr">
        <is>
          <t>Open</t>
        </is>
      </c>
      <c r="Q625" s="5">
        <f>IFERROR(IF(INDEX(Tbl_KPIMaster[Direction],MATCH($G625,Tbl_KPIMaster[KPI],0))="Lower is Better",IF($J625=0,1,IF($I625=0,0,$I625/$J625)),IF($I625=0,1,$J625/$I625)),0)</f>
        <v/>
      </c>
      <c r="R625" s="4">
        <f>IF(OR($I625="",$J625=""),"",$J625-$I625)</f>
        <v/>
      </c>
      <c r="S625" s="4">
        <f>IFERROR(IF(INDEX(Tbl_KPIMaster[Direction],MATCH($G625,Tbl_KPIMaster[KPI],0))="Lower is Better",IF($J625&lt;=$I625,"Green",IF($J625&lt;=$I625+IF($I625=0,$K625,$I625*$K625),"Amber","Red")),IF($J625&gt;=$I625,"Green",IF($J625&gt;=$I625-IF($I625=0,$K625,$I625*$K625),"Amber","Red"))),"")</f>
        <v/>
      </c>
      <c r="T625" s="6" t="inlineStr"/>
    </row>
    <row r="626">
      <c r="A626" s="7" t="n">
        <v>46161</v>
      </c>
      <c r="B626" s="8">
        <f>IF($A626="","",TEXT($A626,"mmm-yyyy"))</f>
        <v/>
      </c>
      <c r="C626" s="8">
        <f>IF($A626="","","W"&amp;WEEKNUM($A626,2))</f>
        <v/>
      </c>
      <c r="D626" s="8">
        <f>IF($A626="","",TEXT($A626,"ddd"))</f>
        <v/>
      </c>
      <c r="E626" s="8" t="inlineStr">
        <is>
          <t>Production</t>
        </is>
      </c>
      <c r="F626" s="8">
        <f>IFERROR(INDEX(Tbl_KPIMaster[Category],MATCH($G626,Tbl_KPIMaster[KPI],0)),"")</f>
        <v/>
      </c>
      <c r="G626" s="8" t="inlineStr">
        <is>
          <t>OEE %</t>
        </is>
      </c>
      <c r="H626" s="8">
        <f>IFERROR(INDEX(Tbl_KPIMaster[Unit],MATCH($G626,Tbl_KPIMaster[KPI],0)),"")</f>
        <v/>
      </c>
      <c r="I626" s="9">
        <f>IFERROR(INDEX(Tbl_KPIMaster[Maximum Target],MATCH($G626,Tbl_KPIMaster[KPI],0)),"")</f>
        <v/>
      </c>
      <c r="J626" s="9" t="n">
        <v>0.8145</v>
      </c>
      <c r="K626" s="8">
        <f>IFERROR(INDEX(Tbl_KPIMaster[Tolerance],MATCH($G626,Tbl_KPIMaster[KPI],0)),"")</f>
        <v/>
      </c>
      <c r="L626" s="8">
        <f>IFERROR(INDEX(Tbl_KPIMaster[Owner],MATCH($G626,Tbl_KPIMaster[KPI],0)),"")</f>
        <v/>
      </c>
      <c r="M626" s="10" t="inlineStr">
        <is>
          <t>Manpower shortage</t>
        </is>
      </c>
      <c r="N626" s="8" t="inlineStr"/>
      <c r="O626" s="8" t="inlineStr">
        <is>
          <t>Medium</t>
        </is>
      </c>
      <c r="P626" s="8" t="inlineStr">
        <is>
          <t>Open</t>
        </is>
      </c>
      <c r="Q626" s="9">
        <f>IFERROR(IF(INDEX(Tbl_KPIMaster[Direction],MATCH($G626,Tbl_KPIMaster[KPI],0))="Lower is Better",IF($J626=0,1,IF($I626=0,0,$I626/$J626)),IF($I626=0,1,$J626/$I626)),0)</f>
        <v/>
      </c>
      <c r="R626" s="8">
        <f>IF(OR($I626="",$J626=""),"",$J626-$I626)</f>
        <v/>
      </c>
      <c r="S626" s="8">
        <f>IFERROR(IF(INDEX(Tbl_KPIMaster[Direction],MATCH($G626,Tbl_KPIMaster[KPI],0))="Lower is Better",IF($J626&lt;=$I626,"Green",IF($J626&lt;=$I626+IF($I626=0,$K626,$I626*$K626),"Amber","Red")),IF($J626&gt;=$I626,"Green",IF($J626&gt;=$I626-IF($I626=0,$K626,$I626*$K626),"Amber","Red"))),"")</f>
        <v/>
      </c>
      <c r="T626" s="10" t="inlineStr"/>
    </row>
    <row r="627">
      <c r="A627" s="3" t="n">
        <v>46161</v>
      </c>
      <c r="B627" s="4">
        <f>IF($A627="","",TEXT($A627,"mmm-yyyy"))</f>
        <v/>
      </c>
      <c r="C627" s="4">
        <f>IF($A627="","","W"&amp;WEEKNUM($A627,2))</f>
        <v/>
      </c>
      <c r="D627" s="4">
        <f>IF($A627="","",TEXT($A627,"ddd"))</f>
        <v/>
      </c>
      <c r="E627" s="4" t="inlineStr">
        <is>
          <t>Quality</t>
        </is>
      </c>
      <c r="F627" s="4">
        <f>IFERROR(INDEX(Tbl_KPIMaster[Category],MATCH($G627,Tbl_KPIMaster[KPI],0)),"")</f>
        <v/>
      </c>
      <c r="G627" s="4" t="inlineStr">
        <is>
          <t>Defect Rate %</t>
        </is>
      </c>
      <c r="H627" s="4">
        <f>IFERROR(INDEX(Tbl_KPIMaster[Unit],MATCH($G627,Tbl_KPIMaster[KPI],0)),"")</f>
        <v/>
      </c>
      <c r="I627" s="5">
        <f>IFERROR(INDEX(Tbl_KPIMaster[Maximum Target],MATCH($G627,Tbl_KPIMaster[KPI],0)),"")</f>
        <v/>
      </c>
      <c r="J627" s="5" t="n">
        <v>0</v>
      </c>
      <c r="K627" s="4">
        <f>IFERROR(INDEX(Tbl_KPIMaster[Tolerance],MATCH($G627,Tbl_KPIMaster[KPI],0)),"")</f>
        <v/>
      </c>
      <c r="L627" s="4">
        <f>IFERROR(INDEX(Tbl_KPIMaster[Owner],MATCH($G627,Tbl_KPIMaster[KPI],0)),"")</f>
        <v/>
      </c>
      <c r="M627" s="6" t="inlineStr"/>
      <c r="N627" s="4" t="inlineStr">
        <is>
          <t>Procurement follow-up</t>
        </is>
      </c>
      <c r="O627" s="4" t="inlineStr">
        <is>
          <t>High</t>
        </is>
      </c>
      <c r="P627" s="4" t="inlineStr">
        <is>
          <t>Closed</t>
        </is>
      </c>
      <c r="Q627" s="5">
        <f>IFERROR(IF(INDEX(Tbl_KPIMaster[Direction],MATCH($G627,Tbl_KPIMaster[KPI],0))="Lower is Better",IF($J627=0,1,IF($I627=0,0,$I627/$J627)),IF($I627=0,1,$J627/$I627)),0)</f>
        <v/>
      </c>
      <c r="R627" s="4">
        <f>IF(OR($I627="",$J627=""),"",$J627-$I627)</f>
        <v/>
      </c>
      <c r="S627" s="4">
        <f>IFERROR(IF(INDEX(Tbl_KPIMaster[Direction],MATCH($G627,Tbl_KPIMaster[KPI],0))="Lower is Better",IF($J627&lt;=$I627,"Green",IF($J627&lt;=$I627+IF($I627=0,$K627,$I627*$K627),"Amber","Red")),IF($J627&gt;=$I627,"Green",IF($J627&gt;=$I627-IF($I627=0,$K627,$I627*$K627),"Amber","Red"))),"")</f>
        <v/>
      </c>
      <c r="T627" s="6" t="inlineStr"/>
    </row>
    <row r="628">
      <c r="A628" s="7" t="n">
        <v>46161</v>
      </c>
      <c r="B628" s="8">
        <f>IF($A628="","",TEXT($A628,"mmm-yyyy"))</f>
        <v/>
      </c>
      <c r="C628" s="8">
        <f>IF($A628="","","W"&amp;WEEKNUM($A628,2))</f>
        <v/>
      </c>
      <c r="D628" s="8">
        <f>IF($A628="","",TEXT($A628,"ddd"))</f>
        <v/>
      </c>
      <c r="E628" s="8" t="inlineStr">
        <is>
          <t>Quality</t>
        </is>
      </c>
      <c r="F628" s="8">
        <f>IFERROR(INDEX(Tbl_KPIMaster[Category],MATCH($G628,Tbl_KPIMaster[KPI],0)),"")</f>
        <v/>
      </c>
      <c r="G628" s="8" t="inlineStr">
        <is>
          <t>Customer Complaints</t>
        </is>
      </c>
      <c r="H628" s="8">
        <f>IFERROR(INDEX(Tbl_KPIMaster[Unit],MATCH($G628,Tbl_KPIMaster[KPI],0)),"")</f>
        <v/>
      </c>
      <c r="I628" s="9">
        <f>IFERROR(INDEX(Tbl_KPIMaster[Maximum Target],MATCH($G628,Tbl_KPIMaster[KPI],0)),"")</f>
        <v/>
      </c>
      <c r="J628" s="9" t="n">
        <v>0</v>
      </c>
      <c r="K628" s="8">
        <f>IFERROR(INDEX(Tbl_KPIMaster[Tolerance],MATCH($G628,Tbl_KPIMaster[KPI],0)),"")</f>
        <v/>
      </c>
      <c r="L628" s="8">
        <f>IFERROR(INDEX(Tbl_KPIMaster[Owner],MATCH($G628,Tbl_KPIMaster[KPI],0)),"")</f>
        <v/>
      </c>
      <c r="M628" s="10" t="inlineStr">
        <is>
          <t>Weather impact</t>
        </is>
      </c>
      <c r="N628" s="8" t="inlineStr"/>
      <c r="O628" s="8" t="inlineStr">
        <is>
          <t>Low</t>
        </is>
      </c>
      <c r="P628" s="8" t="inlineStr">
        <is>
          <t>In Progress</t>
        </is>
      </c>
      <c r="Q628" s="9">
        <f>IFERROR(IF(INDEX(Tbl_KPIMaster[Direction],MATCH($G628,Tbl_KPIMaster[KPI],0))="Lower is Better",IF($J628=0,1,IF($I628=0,0,$I628/$J628)),IF($I628=0,1,$J628/$I628)),0)</f>
        <v/>
      </c>
      <c r="R628" s="8">
        <f>IF(OR($I628="",$J628=""),"",$J628-$I628)</f>
        <v/>
      </c>
      <c r="S628" s="8">
        <f>IFERROR(IF(INDEX(Tbl_KPIMaster[Direction],MATCH($G628,Tbl_KPIMaster[KPI],0))="Lower is Better",IF($J628&lt;=$I628,"Green",IF($J628&lt;=$I628+IF($I628=0,$K628,$I628*$K628),"Amber","Red")),IF($J628&gt;=$I628,"Green",IF($J628&gt;=$I628-IF($I628=0,$K628,$I628*$K628),"Amber","Red"))),"")</f>
        <v/>
      </c>
      <c r="T628" s="10" t="inlineStr"/>
    </row>
    <row r="629">
      <c r="A629" s="3" t="n">
        <v>46161</v>
      </c>
      <c r="B629" s="4">
        <f>IF($A629="","",TEXT($A629,"mmm-yyyy"))</f>
        <v/>
      </c>
      <c r="C629" s="4">
        <f>IF($A629="","","W"&amp;WEEKNUM($A629,2))</f>
        <v/>
      </c>
      <c r="D629" s="4">
        <f>IF($A629="","",TEXT($A629,"ddd"))</f>
        <v/>
      </c>
      <c r="E629" s="4" t="inlineStr">
        <is>
          <t>Maintenance</t>
        </is>
      </c>
      <c r="F629" s="4">
        <f>IFERROR(INDEX(Tbl_KPIMaster[Category],MATCH($G629,Tbl_KPIMaster[KPI],0)),"")</f>
        <v/>
      </c>
      <c r="G629" s="4" t="inlineStr">
        <is>
          <t>Unplanned Downtime</t>
        </is>
      </c>
      <c r="H629" s="4">
        <f>IFERROR(INDEX(Tbl_KPIMaster[Unit],MATCH($G629,Tbl_KPIMaster[KPI],0)),"")</f>
        <v/>
      </c>
      <c r="I629" s="5">
        <f>IFERROR(INDEX(Tbl_KPIMaster[Maximum Target],MATCH($G629,Tbl_KPIMaster[KPI],0)),"")</f>
        <v/>
      </c>
      <c r="J629" s="5" t="n">
        <v>0.28</v>
      </c>
      <c r="K629" s="4">
        <f>IFERROR(INDEX(Tbl_KPIMaster[Tolerance],MATCH($G629,Tbl_KPIMaster[KPI],0)),"")</f>
        <v/>
      </c>
      <c r="L629" s="4">
        <f>IFERROR(INDEX(Tbl_KPIMaster[Owner],MATCH($G629,Tbl_KPIMaster[KPI],0)),"")</f>
        <v/>
      </c>
      <c r="M629" s="6" t="inlineStr">
        <is>
          <t>New operator training effect</t>
        </is>
      </c>
      <c r="N629" s="4" t="inlineStr"/>
      <c r="O629" s="4" t="inlineStr">
        <is>
          <t>Medium</t>
        </is>
      </c>
      <c r="P629" s="4" t="inlineStr">
        <is>
          <t>In Progress</t>
        </is>
      </c>
      <c r="Q629" s="5">
        <f>IFERROR(IF(INDEX(Tbl_KPIMaster[Direction],MATCH($G629,Tbl_KPIMaster[KPI],0))="Lower is Better",IF($J629=0,1,IF($I629=0,0,$I629/$J629)),IF($I629=0,1,$J629/$I629)),0)</f>
        <v/>
      </c>
      <c r="R629" s="4">
        <f>IF(OR($I629="",$J629=""),"",$J629-$I629)</f>
        <v/>
      </c>
      <c r="S629" s="4">
        <f>IFERROR(IF(INDEX(Tbl_KPIMaster[Direction],MATCH($G629,Tbl_KPIMaster[KPI],0))="Lower is Better",IF($J629&lt;=$I629,"Green",IF($J629&lt;=$I629+IF($I629=0,$K629,$I629*$K629),"Amber","Red")),IF($J629&gt;=$I629,"Green",IF($J629&gt;=$I629-IF($I629=0,$K629,$I629*$K629),"Amber","Red"))),"")</f>
        <v/>
      </c>
      <c r="T629" s="6" t="inlineStr"/>
    </row>
    <row r="630">
      <c r="A630" s="7" t="n">
        <v>46161</v>
      </c>
      <c r="B630" s="8">
        <f>IF($A630="","",TEXT($A630,"mmm-yyyy"))</f>
        <v/>
      </c>
      <c r="C630" s="8">
        <f>IF($A630="","","W"&amp;WEEKNUM($A630,2))</f>
        <v/>
      </c>
      <c r="D630" s="8">
        <f>IF($A630="","",TEXT($A630,"ddd"))</f>
        <v/>
      </c>
      <c r="E630" s="8" t="inlineStr">
        <is>
          <t>Maintenance</t>
        </is>
      </c>
      <c r="F630" s="8">
        <f>IFERROR(INDEX(Tbl_KPIMaster[Category],MATCH($G630,Tbl_KPIMaster[KPI],0)),"")</f>
        <v/>
      </c>
      <c r="G630" s="8" t="inlineStr">
        <is>
          <t>PM Compliance %</t>
        </is>
      </c>
      <c r="H630" s="8">
        <f>IFERROR(INDEX(Tbl_KPIMaster[Unit],MATCH($G630,Tbl_KPIMaster[KPI],0)),"")</f>
        <v/>
      </c>
      <c r="I630" s="9">
        <f>IFERROR(INDEX(Tbl_KPIMaster[Maximum Target],MATCH($G630,Tbl_KPIMaster[KPI],0)),"")</f>
        <v/>
      </c>
      <c r="J630" s="9" t="n">
        <v>0.7534999999999999</v>
      </c>
      <c r="K630" s="8">
        <f>IFERROR(INDEX(Tbl_KPIMaster[Tolerance],MATCH($G630,Tbl_KPIMaster[KPI],0)),"")</f>
        <v/>
      </c>
      <c r="L630" s="8">
        <f>IFERROR(INDEX(Tbl_KPIMaster[Owner],MATCH($G630,Tbl_KPIMaster[KPI],0)),"")</f>
        <v/>
      </c>
      <c r="M630" s="10" t="inlineStr">
        <is>
          <t>Preventive check done</t>
        </is>
      </c>
      <c r="N630" s="8" t="inlineStr"/>
      <c r="O630" s="8" t="inlineStr">
        <is>
          <t>Medium</t>
        </is>
      </c>
      <c r="P630" s="8" t="inlineStr">
        <is>
          <t>Open</t>
        </is>
      </c>
      <c r="Q630" s="9">
        <f>IFERROR(IF(INDEX(Tbl_KPIMaster[Direction],MATCH($G630,Tbl_KPIMaster[KPI],0))="Lower is Better",IF($J630=0,1,IF($I630=0,0,$I630/$J630)),IF($I630=0,1,$J630/$I630)),0)</f>
        <v/>
      </c>
      <c r="R630" s="8">
        <f>IF(OR($I630="",$J630=""),"",$J630-$I630)</f>
        <v/>
      </c>
      <c r="S630" s="8">
        <f>IFERROR(IF(INDEX(Tbl_KPIMaster[Direction],MATCH($G630,Tbl_KPIMaster[KPI],0))="Lower is Better",IF($J630&lt;=$I630,"Green",IF($J630&lt;=$I630+IF($I630=0,$K630,$I630*$K630),"Amber","Red")),IF($J630&gt;=$I630,"Green",IF($J630&gt;=$I630-IF($I630=0,$K630,$I630*$K630),"Amber","Red"))),"")</f>
        <v/>
      </c>
      <c r="T630" s="10" t="inlineStr"/>
    </row>
    <row r="631">
      <c r="A631" s="3" t="n">
        <v>46161</v>
      </c>
      <c r="B631" s="4">
        <f>IF($A631="","",TEXT($A631,"mmm-yyyy"))</f>
        <v/>
      </c>
      <c r="C631" s="4">
        <f>IF($A631="","","W"&amp;WEEKNUM($A631,2))</f>
        <v/>
      </c>
      <c r="D631" s="4">
        <f>IF($A631="","",TEXT($A631,"ddd"))</f>
        <v/>
      </c>
      <c r="E631" s="4" t="inlineStr">
        <is>
          <t>Utilities</t>
        </is>
      </c>
      <c r="F631" s="4">
        <f>IFERROR(INDEX(Tbl_KPIMaster[Category],MATCH($G631,Tbl_KPIMaster[KPI],0)),"")</f>
        <v/>
      </c>
      <c r="G631" s="4" t="inlineStr">
        <is>
          <t>Power Consumption</t>
        </is>
      </c>
      <c r="H631" s="4">
        <f>IFERROR(INDEX(Tbl_KPIMaster[Unit],MATCH($G631,Tbl_KPIMaster[KPI],0)),"")</f>
        <v/>
      </c>
      <c r="I631" s="5">
        <f>IFERROR(INDEX(Tbl_KPIMaster[Maximum Target],MATCH($G631,Tbl_KPIMaster[KPI],0)),"")</f>
        <v/>
      </c>
      <c r="J631" s="5" t="n">
        <v>3755.46</v>
      </c>
      <c r="K631" s="4">
        <f>IFERROR(INDEX(Tbl_KPIMaster[Tolerance],MATCH($G631,Tbl_KPIMaster[KPI],0)),"")</f>
        <v/>
      </c>
      <c r="L631" s="4">
        <f>IFERROR(INDEX(Tbl_KPIMaster[Owner],MATCH($G631,Tbl_KPIMaster[KPI],0)),"")</f>
        <v/>
      </c>
      <c r="M631" s="6" t="inlineStr">
        <is>
          <t>Manpower shortage</t>
        </is>
      </c>
      <c r="N631" s="4" t="inlineStr"/>
      <c r="O631" s="4" t="inlineStr">
        <is>
          <t>Low</t>
        </is>
      </c>
      <c r="P631" s="4" t="inlineStr">
        <is>
          <t>Closed</t>
        </is>
      </c>
      <c r="Q631" s="5">
        <f>IFERROR(IF(INDEX(Tbl_KPIMaster[Direction],MATCH($G631,Tbl_KPIMaster[KPI],0))="Lower is Better",IF($J631=0,1,IF($I631=0,0,$I631/$J631)),IF($I631=0,1,$J631/$I631)),0)</f>
        <v/>
      </c>
      <c r="R631" s="4">
        <f>IF(OR($I631="",$J631=""),"",$J631-$I631)</f>
        <v/>
      </c>
      <c r="S631" s="4">
        <f>IFERROR(IF(INDEX(Tbl_KPIMaster[Direction],MATCH($G631,Tbl_KPIMaster[KPI],0))="Lower is Better",IF($J631&lt;=$I631,"Green",IF($J631&lt;=$I631+IF($I631=0,$K631,$I631*$K631),"Amber","Red")),IF($J631&gt;=$I631,"Green",IF($J631&gt;=$I631-IF($I631=0,$K631,$I631*$K631),"Amber","Red"))),"")</f>
        <v/>
      </c>
      <c r="T631" s="6" t="inlineStr"/>
    </row>
    <row r="632">
      <c r="A632" s="7" t="n">
        <v>46161</v>
      </c>
      <c r="B632" s="8">
        <f>IF($A632="","",TEXT($A632,"mmm-yyyy"))</f>
        <v/>
      </c>
      <c r="C632" s="8">
        <f>IF($A632="","","W"&amp;WEEKNUM($A632,2))</f>
        <v/>
      </c>
      <c r="D632" s="8">
        <f>IF($A632="","",TEXT($A632,"ddd"))</f>
        <v/>
      </c>
      <c r="E632" s="8" t="inlineStr">
        <is>
          <t>Utilities</t>
        </is>
      </c>
      <c r="F632" s="8">
        <f>IFERROR(INDEX(Tbl_KPIMaster[Category],MATCH($G632,Tbl_KPIMaster[KPI],0)),"")</f>
        <v/>
      </c>
      <c r="G632" s="8" t="inlineStr">
        <is>
          <t>Water Consumption</t>
        </is>
      </c>
      <c r="H632" s="8">
        <f>IFERROR(INDEX(Tbl_KPIMaster[Unit],MATCH($G632,Tbl_KPIMaster[KPI],0)),"")</f>
        <v/>
      </c>
      <c r="I632" s="9">
        <f>IFERROR(INDEX(Tbl_KPIMaster[Maximum Target],MATCH($G632,Tbl_KPIMaster[KPI],0)),"")</f>
        <v/>
      </c>
      <c r="J632" s="9" t="n">
        <v>45.69</v>
      </c>
      <c r="K632" s="8">
        <f>IFERROR(INDEX(Tbl_KPIMaster[Tolerance],MATCH($G632,Tbl_KPIMaster[KPI],0)),"")</f>
        <v/>
      </c>
      <c r="L632" s="8">
        <f>IFERROR(INDEX(Tbl_KPIMaster[Owner],MATCH($G632,Tbl_KPIMaster[KPI],0)),"")</f>
        <v/>
      </c>
      <c r="M632" s="10" t="inlineStr">
        <is>
          <t>Equipment breakdown</t>
        </is>
      </c>
      <c r="N632" s="8" t="inlineStr"/>
      <c r="O632" s="8" t="inlineStr">
        <is>
          <t>High</t>
        </is>
      </c>
      <c r="P632" s="8" t="inlineStr">
        <is>
          <t>In Progress</t>
        </is>
      </c>
      <c r="Q632" s="9">
        <f>IFERROR(IF(INDEX(Tbl_KPIMaster[Direction],MATCH($G632,Tbl_KPIMaster[KPI],0))="Lower is Better",IF($J632=0,1,IF($I632=0,0,$I632/$J632)),IF($I632=0,1,$J632/$I632)),0)</f>
        <v/>
      </c>
      <c r="R632" s="8">
        <f>IF(OR($I632="",$J632=""),"",$J632-$I632)</f>
        <v/>
      </c>
      <c r="S632" s="8">
        <f>IFERROR(IF(INDEX(Tbl_KPIMaster[Direction],MATCH($G632,Tbl_KPIMaster[KPI],0))="Lower is Better",IF($J632&lt;=$I632,"Green",IF($J632&lt;=$I632+IF($I632=0,$K632,$I632*$K632),"Amber","Red")),IF($J632&gt;=$I632,"Green",IF($J632&gt;=$I632-IF($I632=0,$K632,$I632*$K632),"Amber","Red"))),"")</f>
        <v/>
      </c>
      <c r="T632" s="10" t="inlineStr"/>
    </row>
    <row r="633">
      <c r="A633" s="3" t="n">
        <v>46161</v>
      </c>
      <c r="B633" s="4">
        <f>IF($A633="","",TEXT($A633,"mmm-yyyy"))</f>
        <v/>
      </c>
      <c r="C633" s="4">
        <f>IF($A633="","","W"&amp;WEEKNUM($A633,2))</f>
        <v/>
      </c>
      <c r="D633" s="4">
        <f>IF($A633="","",TEXT($A633,"ddd"))</f>
        <v/>
      </c>
      <c r="E633" s="4" t="inlineStr">
        <is>
          <t>Warehouse</t>
        </is>
      </c>
      <c r="F633" s="4">
        <f>IFERROR(INDEX(Tbl_KPIMaster[Category],MATCH($G633,Tbl_KPIMaster[KPI],0)),"")</f>
        <v/>
      </c>
      <c r="G633" s="4" t="inlineStr">
        <is>
          <t>On-Time Dispatch %</t>
        </is>
      </c>
      <c r="H633" s="4">
        <f>IFERROR(INDEX(Tbl_KPIMaster[Unit],MATCH($G633,Tbl_KPIMaster[KPI],0)),"")</f>
        <v/>
      </c>
      <c r="I633" s="5">
        <f>IFERROR(INDEX(Tbl_KPIMaster[Maximum Target],MATCH($G633,Tbl_KPIMaster[KPI],0)),"")</f>
        <v/>
      </c>
      <c r="J633" s="5" t="n">
        <v>1.0309</v>
      </c>
      <c r="K633" s="4">
        <f>IFERROR(INDEX(Tbl_KPIMaster[Tolerance],MATCH($G633,Tbl_KPIMaster[KPI],0)),"")</f>
        <v/>
      </c>
      <c r="L633" s="4">
        <f>IFERROR(INDEX(Tbl_KPIMaster[Owner],MATCH($G633,Tbl_KPIMaster[KPI],0)),"")</f>
        <v/>
      </c>
      <c r="M633" s="6" t="inlineStr">
        <is>
          <t>Process improvement in progress</t>
        </is>
      </c>
      <c r="N633" s="4" t="inlineStr"/>
      <c r="O633" s="4" t="inlineStr">
        <is>
          <t>Low</t>
        </is>
      </c>
      <c r="P633" s="4" t="inlineStr">
        <is>
          <t>Closed</t>
        </is>
      </c>
      <c r="Q633" s="5">
        <f>IFERROR(IF(INDEX(Tbl_KPIMaster[Direction],MATCH($G633,Tbl_KPIMaster[KPI],0))="Lower is Better",IF($J633=0,1,IF($I633=0,0,$I633/$J633)),IF($I633=0,1,$J633/$I633)),0)</f>
        <v/>
      </c>
      <c r="R633" s="4">
        <f>IF(OR($I633="",$J633=""),"",$J633-$I633)</f>
        <v/>
      </c>
      <c r="S633" s="4">
        <f>IFERROR(IF(INDEX(Tbl_KPIMaster[Direction],MATCH($G633,Tbl_KPIMaster[KPI],0))="Lower is Better",IF($J633&lt;=$I633,"Green",IF($J633&lt;=$I633+IF($I633=0,$K633,$I633*$K633),"Amber","Red")),IF($J633&gt;=$I633,"Green",IF($J633&gt;=$I633-IF($I633=0,$K633,$I633*$K633),"Amber","Red"))),"")</f>
        <v/>
      </c>
      <c r="T633" s="6" t="inlineStr"/>
    </row>
    <row r="634">
      <c r="A634" s="7" t="n">
        <v>46161</v>
      </c>
      <c r="B634" s="8">
        <f>IF($A634="","",TEXT($A634,"mmm-yyyy"))</f>
        <v/>
      </c>
      <c r="C634" s="8">
        <f>IF($A634="","","W"&amp;WEEKNUM($A634,2))</f>
        <v/>
      </c>
      <c r="D634" s="8">
        <f>IF($A634="","",TEXT($A634,"ddd"))</f>
        <v/>
      </c>
      <c r="E634" s="8" t="inlineStr">
        <is>
          <t>Warehouse</t>
        </is>
      </c>
      <c r="F634" s="8">
        <f>IFERROR(INDEX(Tbl_KPIMaster[Category],MATCH($G634,Tbl_KPIMaster[KPI],0)),"")</f>
        <v/>
      </c>
      <c r="G634" s="8" t="inlineStr">
        <is>
          <t>Inventory Accuracy %</t>
        </is>
      </c>
      <c r="H634" s="8">
        <f>IFERROR(INDEX(Tbl_KPIMaster[Unit],MATCH($G634,Tbl_KPIMaster[KPI],0)),"")</f>
        <v/>
      </c>
      <c r="I634" s="9">
        <f>IFERROR(INDEX(Tbl_KPIMaster[Maximum Target],MATCH($G634,Tbl_KPIMaster[KPI],0)),"")</f>
        <v/>
      </c>
      <c r="J634" s="9" t="n">
        <v>1.0008</v>
      </c>
      <c r="K634" s="8">
        <f>IFERROR(INDEX(Tbl_KPIMaster[Tolerance],MATCH($G634,Tbl_KPIMaster[KPI],0)),"")</f>
        <v/>
      </c>
      <c r="L634" s="8">
        <f>IFERROR(INDEX(Tbl_KPIMaster[Owner],MATCH($G634,Tbl_KPIMaster[KPI],0)),"")</f>
        <v/>
      </c>
      <c r="M634" s="10" t="inlineStr">
        <is>
          <t>Weather impact</t>
        </is>
      </c>
      <c r="N634" s="8" t="inlineStr"/>
      <c r="O634" s="8" t="inlineStr">
        <is>
          <t>Low</t>
        </is>
      </c>
      <c r="P634" s="8" t="inlineStr">
        <is>
          <t>Closed</t>
        </is>
      </c>
      <c r="Q634" s="9">
        <f>IFERROR(IF(INDEX(Tbl_KPIMaster[Direction],MATCH($G634,Tbl_KPIMaster[KPI],0))="Lower is Better",IF($J634=0,1,IF($I634=0,0,$I634/$J634)),IF($I634=0,1,$J634/$I634)),0)</f>
        <v/>
      </c>
      <c r="R634" s="8">
        <f>IF(OR($I634="",$J634=""),"",$J634-$I634)</f>
        <v/>
      </c>
      <c r="S634" s="8">
        <f>IFERROR(IF(INDEX(Tbl_KPIMaster[Direction],MATCH($G634,Tbl_KPIMaster[KPI],0))="Lower is Better",IF($J634&lt;=$I634,"Green",IF($J634&lt;=$I634+IF($I634=0,$K634,$I634*$K634),"Amber","Red")),IF($J634&gt;=$I634,"Green",IF($J634&gt;=$I634-IF($I634=0,$K634,$I634*$K634),"Amber","Red"))),"")</f>
        <v/>
      </c>
      <c r="T634" s="10" t="inlineStr"/>
    </row>
    <row r="635">
      <c r="A635" s="3" t="n">
        <v>46161</v>
      </c>
      <c r="B635" s="4">
        <f>IF($A635="","",TEXT($A635,"mmm-yyyy"))</f>
        <v/>
      </c>
      <c r="C635" s="4">
        <f>IF($A635="","","W"&amp;WEEKNUM($A635,2))</f>
        <v/>
      </c>
      <c r="D635" s="4">
        <f>IF($A635="","",TEXT($A635,"ddd"))</f>
        <v/>
      </c>
      <c r="E635" s="4" t="inlineStr">
        <is>
          <t>HR</t>
        </is>
      </c>
      <c r="F635" s="4">
        <f>IFERROR(INDEX(Tbl_KPIMaster[Category],MATCH($G635,Tbl_KPIMaster[KPI],0)),"")</f>
        <v/>
      </c>
      <c r="G635" s="4" t="inlineStr">
        <is>
          <t>Absenteeism %</t>
        </is>
      </c>
      <c r="H635" s="4">
        <f>IFERROR(INDEX(Tbl_KPIMaster[Unit],MATCH($G635,Tbl_KPIMaster[KPI],0)),"")</f>
        <v/>
      </c>
      <c r="I635" s="5">
        <f>IFERROR(INDEX(Tbl_KPIMaster[Maximum Target],MATCH($G635,Tbl_KPIMaster[KPI],0)),"")</f>
        <v/>
      </c>
      <c r="J635" s="5" t="n">
        <v>0</v>
      </c>
      <c r="K635" s="4">
        <f>IFERROR(INDEX(Tbl_KPIMaster[Tolerance],MATCH($G635,Tbl_KPIMaster[KPI],0)),"")</f>
        <v/>
      </c>
      <c r="L635" s="4">
        <f>IFERROR(INDEX(Tbl_KPIMaster[Owner],MATCH($G635,Tbl_KPIMaster[KPI],0)),"")</f>
        <v/>
      </c>
      <c r="M635" s="6" t="inlineStr">
        <is>
          <t>Line changeover impact</t>
        </is>
      </c>
      <c r="N635" s="4" t="inlineStr">
        <is>
          <t>Engineering support needed</t>
        </is>
      </c>
      <c r="O635" s="4" t="inlineStr">
        <is>
          <t>Low</t>
        </is>
      </c>
      <c r="P635" s="4" t="inlineStr">
        <is>
          <t>Closed</t>
        </is>
      </c>
      <c r="Q635" s="5">
        <f>IFERROR(IF(INDEX(Tbl_KPIMaster[Direction],MATCH($G635,Tbl_KPIMaster[KPI],0))="Lower is Better",IF($J635=0,1,IF($I635=0,0,$I635/$J635)),IF($I635=0,1,$J635/$I635)),0)</f>
        <v/>
      </c>
      <c r="R635" s="4">
        <f>IF(OR($I635="",$J635=""),"",$J635-$I635)</f>
        <v/>
      </c>
      <c r="S635" s="4">
        <f>IFERROR(IF(INDEX(Tbl_KPIMaster[Direction],MATCH($G635,Tbl_KPIMaster[KPI],0))="Lower is Better",IF($J635&lt;=$I635,"Green",IF($J635&lt;=$I635+IF($I635=0,$K635,$I635*$K635),"Amber","Red")),IF($J635&gt;=$I635,"Green",IF($J635&gt;=$I635-IF($I635=0,$K635,$I635*$K635),"Amber","Red"))),"")</f>
        <v/>
      </c>
      <c r="T635" s="6" t="inlineStr"/>
    </row>
    <row r="636">
      <c r="A636" s="7" t="n">
        <v>46161</v>
      </c>
      <c r="B636" s="8">
        <f>IF($A636="","",TEXT($A636,"mmm-yyyy"))</f>
        <v/>
      </c>
      <c r="C636" s="8">
        <f>IF($A636="","","W"&amp;WEEKNUM($A636,2))</f>
        <v/>
      </c>
      <c r="D636" s="8">
        <f>IF($A636="","",TEXT($A636,"ddd"))</f>
        <v/>
      </c>
      <c r="E636" s="8" t="inlineStr">
        <is>
          <t>HR</t>
        </is>
      </c>
      <c r="F636" s="8">
        <f>IFERROR(INDEX(Tbl_KPIMaster[Category],MATCH($G636,Tbl_KPIMaster[KPI],0)),"")</f>
        <v/>
      </c>
      <c r="G636" s="8" t="inlineStr">
        <is>
          <t>Training Hours</t>
        </is>
      </c>
      <c r="H636" s="8">
        <f>IFERROR(INDEX(Tbl_KPIMaster[Unit],MATCH($G636,Tbl_KPIMaster[KPI],0)),"")</f>
        <v/>
      </c>
      <c r="I636" s="9">
        <f>IFERROR(INDEX(Tbl_KPIMaster[Maximum Target],MATCH($G636,Tbl_KPIMaster[KPI],0)),"")</f>
        <v/>
      </c>
      <c r="J636" s="9" t="n">
        <v>1.72</v>
      </c>
      <c r="K636" s="8">
        <f>IFERROR(INDEX(Tbl_KPIMaster[Tolerance],MATCH($G636,Tbl_KPIMaster[KPI],0)),"")</f>
        <v/>
      </c>
      <c r="L636" s="8">
        <f>IFERROR(INDEX(Tbl_KPIMaster[Owner],MATCH($G636,Tbl_KPIMaster[KPI],0)),"")</f>
        <v/>
      </c>
      <c r="M636" s="10" t="inlineStr">
        <is>
          <t>Within normal range</t>
        </is>
      </c>
      <c r="N636" s="8" t="inlineStr">
        <is>
          <t>Management approval pending</t>
        </is>
      </c>
      <c r="O636" s="8" t="inlineStr">
        <is>
          <t>Medium</t>
        </is>
      </c>
      <c r="P636" s="8" t="inlineStr">
        <is>
          <t>In Progress</t>
        </is>
      </c>
      <c r="Q636" s="9">
        <f>IFERROR(IF(INDEX(Tbl_KPIMaster[Direction],MATCH($G636,Tbl_KPIMaster[KPI],0))="Lower is Better",IF($J636=0,1,IF($I636=0,0,$I636/$J636)),IF($I636=0,1,$J636/$I636)),0)</f>
        <v/>
      </c>
      <c r="R636" s="8">
        <f>IF(OR($I636="",$J636=""),"",$J636-$I636)</f>
        <v/>
      </c>
      <c r="S636" s="8">
        <f>IFERROR(IF(INDEX(Tbl_KPIMaster[Direction],MATCH($G636,Tbl_KPIMaster[KPI],0))="Lower is Better",IF($J636&lt;=$I636,"Green",IF($J636&lt;=$I636+IF($I636=0,$K636,$I636*$K636),"Amber","Red")),IF($J636&gt;=$I636,"Green",IF($J636&gt;=$I636-IF($I636=0,$K636,$I636*$K636),"Amber","Red"))),"")</f>
        <v/>
      </c>
      <c r="T636" s="10" t="inlineStr"/>
    </row>
    <row r="637">
      <c r="A637" s="3" t="n">
        <v>46161</v>
      </c>
      <c r="B637" s="4">
        <f>IF($A637="","",TEXT($A637,"mmm-yyyy"))</f>
        <v/>
      </c>
      <c r="C637" s="4">
        <f>IF($A637="","","W"&amp;WEEKNUM($A637,2))</f>
        <v/>
      </c>
      <c r="D637" s="4">
        <f>IF($A637="","",TEXT($A637,"ddd"))</f>
        <v/>
      </c>
      <c r="E637" s="4" t="inlineStr">
        <is>
          <t>Engineering</t>
        </is>
      </c>
      <c r="F637" s="4">
        <f>IFERROR(INDEX(Tbl_KPIMaster[Category],MATCH($G637,Tbl_KPIMaster[KPI],0)),"")</f>
        <v/>
      </c>
      <c r="G637" s="4" t="inlineStr">
        <is>
          <t>Project Milestone Adherence %</t>
        </is>
      </c>
      <c r="H637" s="4">
        <f>IFERROR(INDEX(Tbl_KPIMaster[Unit],MATCH($G637,Tbl_KPIMaster[KPI],0)),"")</f>
        <v/>
      </c>
      <c r="I637" s="5">
        <f>IFERROR(INDEX(Tbl_KPIMaster[Maximum Target],MATCH($G637,Tbl_KPIMaster[KPI],0)),"")</f>
        <v/>
      </c>
      <c r="J637" s="5" t="n">
        <v>0.8366</v>
      </c>
      <c r="K637" s="4">
        <f>IFERROR(INDEX(Tbl_KPIMaster[Tolerance],MATCH($G637,Tbl_KPIMaster[KPI],0)),"")</f>
        <v/>
      </c>
      <c r="L637" s="4">
        <f>IFERROR(INDEX(Tbl_KPIMaster[Owner],MATCH($G637,Tbl_KPIMaster[KPI],0)),"")</f>
        <v/>
      </c>
      <c r="M637" s="6" t="inlineStr">
        <is>
          <t>Vendor delay</t>
        </is>
      </c>
      <c r="N637" s="4" t="inlineStr"/>
      <c r="O637" s="4" t="inlineStr">
        <is>
          <t>Low</t>
        </is>
      </c>
      <c r="P637" s="4" t="inlineStr">
        <is>
          <t>Open</t>
        </is>
      </c>
      <c r="Q637" s="5">
        <f>IFERROR(IF(INDEX(Tbl_KPIMaster[Direction],MATCH($G637,Tbl_KPIMaster[KPI],0))="Lower is Better",IF($J637=0,1,IF($I637=0,0,$I637/$J637)),IF($I637=0,1,$J637/$I637)),0)</f>
        <v/>
      </c>
      <c r="R637" s="4">
        <f>IF(OR($I637="",$J637=""),"",$J637-$I637)</f>
        <v/>
      </c>
      <c r="S637" s="4">
        <f>IFERROR(IF(INDEX(Tbl_KPIMaster[Direction],MATCH($G637,Tbl_KPIMaster[KPI],0))="Lower is Better",IF($J637&lt;=$I637,"Green",IF($J637&lt;=$I637+IF($I637=0,$K637,$I637*$K637),"Amber","Red")),IF($J637&gt;=$I637,"Green",IF($J637&gt;=$I637-IF($I637=0,$K637,$I637*$K637),"Amber","Red"))),"")</f>
        <v/>
      </c>
      <c r="T637" s="6" t="inlineStr"/>
    </row>
    <row r="638">
      <c r="A638" s="7" t="n">
        <v>46161</v>
      </c>
      <c r="B638" s="8">
        <f>IF($A638="","",TEXT($A638,"mmm-yyyy"))</f>
        <v/>
      </c>
      <c r="C638" s="8">
        <f>IF($A638="","","W"&amp;WEEKNUM($A638,2))</f>
        <v/>
      </c>
      <c r="D638" s="8">
        <f>IF($A638="","",TEXT($A638,"ddd"))</f>
        <v/>
      </c>
      <c r="E638" s="8" t="inlineStr">
        <is>
          <t>Engineering</t>
        </is>
      </c>
      <c r="F638" s="8">
        <f>IFERROR(INDEX(Tbl_KPIMaster[Category],MATCH($G638,Tbl_KPIMaster[KPI],0)),"")</f>
        <v/>
      </c>
      <c r="G638" s="8" t="inlineStr">
        <is>
          <t>Breakdown Resolution Time</t>
        </is>
      </c>
      <c r="H638" s="8">
        <f>IFERROR(INDEX(Tbl_KPIMaster[Unit],MATCH($G638,Tbl_KPIMaster[KPI],0)),"")</f>
        <v/>
      </c>
      <c r="I638" s="9">
        <f>IFERROR(INDEX(Tbl_KPIMaster[Maximum Target],MATCH($G638,Tbl_KPIMaster[KPI],0)),"")</f>
        <v/>
      </c>
      <c r="J638" s="9" t="n">
        <v>0.21</v>
      </c>
      <c r="K638" s="8">
        <f>IFERROR(INDEX(Tbl_KPIMaster[Tolerance],MATCH($G638,Tbl_KPIMaster[KPI],0)),"")</f>
        <v/>
      </c>
      <c r="L638" s="8">
        <f>IFERROR(INDEX(Tbl_KPIMaster[Owner],MATCH($G638,Tbl_KPIMaster[KPI],0)),"")</f>
        <v/>
      </c>
      <c r="M638" s="10" t="inlineStr">
        <is>
          <t>Line changeover impact</t>
        </is>
      </c>
      <c r="N638" s="8" t="inlineStr"/>
      <c r="O638" s="8" t="inlineStr">
        <is>
          <t>Low</t>
        </is>
      </c>
      <c r="P638" s="8" t="inlineStr">
        <is>
          <t>Closed</t>
        </is>
      </c>
      <c r="Q638" s="9">
        <f>IFERROR(IF(INDEX(Tbl_KPIMaster[Direction],MATCH($G638,Tbl_KPIMaster[KPI],0))="Lower is Better",IF($J638=0,1,IF($I638=0,0,$I638/$J638)),IF($I638=0,1,$J638/$I638)),0)</f>
        <v/>
      </c>
      <c r="R638" s="8">
        <f>IF(OR($I638="",$J638=""),"",$J638-$I638)</f>
        <v/>
      </c>
      <c r="S638" s="8">
        <f>IFERROR(IF(INDEX(Tbl_KPIMaster[Direction],MATCH($G638,Tbl_KPIMaster[KPI],0))="Lower is Better",IF($J638&lt;=$I638,"Green",IF($J638&lt;=$I638+IF($I638=0,$K638,$I638*$K638),"Amber","Red")),IF($J638&gt;=$I638,"Green",IF($J638&gt;=$I638-IF($I638=0,$K638,$I638*$K638),"Amber","Red"))),"")</f>
        <v/>
      </c>
      <c r="T638" s="10" t="inlineStr"/>
    </row>
    <row r="639">
      <c r="A639" s="3" t="n">
        <v>46161</v>
      </c>
      <c r="B639" s="4">
        <f>IF($A639="","",TEXT($A639,"mmm-yyyy"))</f>
        <v/>
      </c>
      <c r="C639" s="4">
        <f>IF($A639="","","W"&amp;WEEKNUM($A639,2))</f>
        <v/>
      </c>
      <c r="D639" s="4">
        <f>IF($A639="","",TEXT($A639,"ddd"))</f>
        <v/>
      </c>
      <c r="E639" s="4" t="inlineStr">
        <is>
          <t>Cost</t>
        </is>
      </c>
      <c r="F639" s="4">
        <f>IFERROR(INDEX(Tbl_KPIMaster[Category],MATCH($G639,Tbl_KPIMaster[KPI],0)),"")</f>
        <v/>
      </c>
      <c r="G639" s="4" t="inlineStr">
        <is>
          <t>Cost per Unit</t>
        </is>
      </c>
      <c r="H639" s="4">
        <f>IFERROR(INDEX(Tbl_KPIMaster[Unit],MATCH($G639,Tbl_KPIMaster[KPI],0)),"")</f>
        <v/>
      </c>
      <c r="I639" s="5">
        <f>IFERROR(INDEX(Tbl_KPIMaster[Maximum Target],MATCH($G639,Tbl_KPIMaster[KPI],0)),"")</f>
        <v/>
      </c>
      <c r="J639" s="5" t="n">
        <v>37.27</v>
      </c>
      <c r="K639" s="4">
        <f>IFERROR(INDEX(Tbl_KPIMaster[Tolerance],MATCH($G639,Tbl_KPIMaster[KPI],0)),"")</f>
        <v/>
      </c>
      <c r="L639" s="4">
        <f>IFERROR(INDEX(Tbl_KPIMaster[Owner],MATCH($G639,Tbl_KPIMaster[KPI],0)),"")</f>
        <v/>
      </c>
      <c r="M639" s="6" t="inlineStr">
        <is>
          <t>New operator training effect</t>
        </is>
      </c>
      <c r="N639" s="4" t="inlineStr">
        <is>
          <t>Procurement follow-up</t>
        </is>
      </c>
      <c r="O639" s="4" t="inlineStr">
        <is>
          <t>Medium</t>
        </is>
      </c>
      <c r="P639" s="4" t="inlineStr">
        <is>
          <t>Closed</t>
        </is>
      </c>
      <c r="Q639" s="5">
        <f>IFERROR(IF(INDEX(Tbl_KPIMaster[Direction],MATCH($G639,Tbl_KPIMaster[KPI],0))="Lower is Better",IF($J639=0,1,IF($I639=0,0,$I639/$J639)),IF($I639=0,1,$J639/$I639)),0)</f>
        <v/>
      </c>
      <c r="R639" s="4">
        <f>IF(OR($I639="",$J639=""),"",$J639-$I639)</f>
        <v/>
      </c>
      <c r="S639" s="4">
        <f>IFERROR(IF(INDEX(Tbl_KPIMaster[Direction],MATCH($G639,Tbl_KPIMaster[KPI],0))="Lower is Better",IF($J639&lt;=$I639,"Green",IF($J639&lt;=$I639+IF($I639=0,$K639,$I639*$K639),"Amber","Red")),IF($J639&gt;=$I639,"Green",IF($J639&gt;=$I639-IF($I639=0,$K639,$I639*$K639),"Amber","Red"))),"")</f>
        <v/>
      </c>
      <c r="T639" s="6" t="inlineStr"/>
    </row>
    <row r="640">
      <c r="A640" s="7" t="n">
        <v>46161</v>
      </c>
      <c r="B640" s="8">
        <f>IF($A640="","",TEXT($A640,"mmm-yyyy"))</f>
        <v/>
      </c>
      <c r="C640" s="8">
        <f>IF($A640="","","W"&amp;WEEKNUM($A640,2))</f>
        <v/>
      </c>
      <c r="D640" s="8">
        <f>IF($A640="","",TEXT($A640,"ddd"))</f>
        <v/>
      </c>
      <c r="E640" s="8" t="inlineStr">
        <is>
          <t>Cost</t>
        </is>
      </c>
      <c r="F640" s="8">
        <f>IFERROR(INDEX(Tbl_KPIMaster[Category],MATCH($G640,Tbl_KPIMaster[KPI],0)),"")</f>
        <v/>
      </c>
      <c r="G640" s="8" t="inlineStr">
        <is>
          <t>Budget Variance %</t>
        </is>
      </c>
      <c r="H640" s="8">
        <f>IFERROR(INDEX(Tbl_KPIMaster[Unit],MATCH($G640,Tbl_KPIMaster[KPI],0)),"")</f>
        <v/>
      </c>
      <c r="I640" s="9">
        <f>IFERROR(INDEX(Tbl_KPIMaster[Maximum Target],MATCH($G640,Tbl_KPIMaster[KPI],0)),"")</f>
        <v/>
      </c>
      <c r="J640" s="9" t="n">
        <v>0.2922</v>
      </c>
      <c r="K640" s="8">
        <f>IFERROR(INDEX(Tbl_KPIMaster[Tolerance],MATCH($G640,Tbl_KPIMaster[KPI],0)),"")</f>
        <v/>
      </c>
      <c r="L640" s="8">
        <f>IFERROR(INDEX(Tbl_KPIMaster[Owner],MATCH($G640,Tbl_KPIMaster[KPI],0)),"")</f>
        <v/>
      </c>
      <c r="M640" s="10" t="inlineStr">
        <is>
          <t>New operator training effect</t>
        </is>
      </c>
      <c r="N640" s="8" t="inlineStr">
        <is>
          <t>Engineering support needed</t>
        </is>
      </c>
      <c r="O640" s="8" t="inlineStr">
        <is>
          <t>Medium</t>
        </is>
      </c>
      <c r="P640" s="8" t="inlineStr">
        <is>
          <t>In Progress</t>
        </is>
      </c>
      <c r="Q640" s="9">
        <f>IFERROR(IF(INDEX(Tbl_KPIMaster[Direction],MATCH($G640,Tbl_KPIMaster[KPI],0))="Lower is Better",IF($J640=0,1,IF($I640=0,0,$I640/$J640)),IF($I640=0,1,$J640/$I640)),0)</f>
        <v/>
      </c>
      <c r="R640" s="8">
        <f>IF(OR($I640="",$J640=""),"",$J640-$I640)</f>
        <v/>
      </c>
      <c r="S640" s="8">
        <f>IFERROR(IF(INDEX(Tbl_KPIMaster[Direction],MATCH($G640,Tbl_KPIMaster[KPI],0))="Lower is Better",IF($J640&lt;=$I640,"Green",IF($J640&lt;=$I640+IF($I640=0,$K640,$I640*$K640),"Amber","Red")),IF($J640&gt;=$I640,"Green",IF($J640&gt;=$I640-IF($I640=0,$K640,$I640*$K640),"Amber","Red"))),"")</f>
        <v/>
      </c>
      <c r="T640" s="10" t="inlineStr"/>
    </row>
    <row r="641">
      <c r="A641" s="3" t="n">
        <v>46161</v>
      </c>
      <c r="B641" s="4">
        <f>IF($A641="","",TEXT($A641,"mmm-yyyy"))</f>
        <v/>
      </c>
      <c r="C641" s="4">
        <f>IF($A641="","","W"&amp;WEEKNUM($A641,2))</f>
        <v/>
      </c>
      <c r="D641" s="4">
        <f>IF($A641="","",TEXT($A641,"ddd"))</f>
        <v/>
      </c>
      <c r="E641" s="4" t="inlineStr">
        <is>
          <t>Energy</t>
        </is>
      </c>
      <c r="F641" s="4">
        <f>IFERROR(INDEX(Tbl_KPIMaster[Category],MATCH($G641,Tbl_KPIMaster[KPI],0)),"")</f>
        <v/>
      </c>
      <c r="G641" s="4" t="inlineStr">
        <is>
          <t>Energy Intensity (kWh/unit)</t>
        </is>
      </c>
      <c r="H641" s="4">
        <f>IFERROR(INDEX(Tbl_KPIMaster[Unit],MATCH($G641,Tbl_KPIMaster[KPI],0)),"")</f>
        <v/>
      </c>
      <c r="I641" s="5">
        <f>IFERROR(INDEX(Tbl_KPIMaster[Maximum Target],MATCH($G641,Tbl_KPIMaster[KPI],0)),"")</f>
        <v/>
      </c>
      <c r="J641" s="5" t="n">
        <v>3.31</v>
      </c>
      <c r="K641" s="4">
        <f>IFERROR(INDEX(Tbl_KPIMaster[Tolerance],MATCH($G641,Tbl_KPIMaster[KPI],0)),"")</f>
        <v/>
      </c>
      <c r="L641" s="4">
        <f>IFERROR(INDEX(Tbl_KPIMaster[Owner],MATCH($G641,Tbl_KPIMaster[KPI],0)),"")</f>
        <v/>
      </c>
      <c r="M641" s="6" t="inlineStr">
        <is>
          <t>Process improvement in progress</t>
        </is>
      </c>
      <c r="N641" s="4" t="inlineStr"/>
      <c r="O641" s="4" t="inlineStr">
        <is>
          <t>Medium</t>
        </is>
      </c>
      <c r="P641" s="4" t="inlineStr">
        <is>
          <t>Closed</t>
        </is>
      </c>
      <c r="Q641" s="5">
        <f>IFERROR(IF(INDEX(Tbl_KPIMaster[Direction],MATCH($G641,Tbl_KPIMaster[KPI],0))="Lower is Better",IF($J641=0,1,IF($I641=0,0,$I641/$J641)),IF($I641=0,1,$J641/$I641)),0)</f>
        <v/>
      </c>
      <c r="R641" s="4">
        <f>IF(OR($I641="",$J641=""),"",$J641-$I641)</f>
        <v/>
      </c>
      <c r="S641" s="4">
        <f>IFERROR(IF(INDEX(Tbl_KPIMaster[Direction],MATCH($G641,Tbl_KPIMaster[KPI],0))="Lower is Better",IF($J641&lt;=$I641,"Green",IF($J641&lt;=$I641+IF($I641=0,$K641,$I641*$K641),"Amber","Red")),IF($J641&gt;=$I641,"Green",IF($J641&gt;=$I641-IF($I641=0,$K641,$I641*$K641),"Amber","Red"))),"")</f>
        <v/>
      </c>
      <c r="T641" s="6" t="inlineStr"/>
    </row>
    <row r="642">
      <c r="A642" s="7" t="n">
        <v>46161</v>
      </c>
      <c r="B642" s="8">
        <f>IF($A642="","",TEXT($A642,"mmm-yyyy"))</f>
        <v/>
      </c>
      <c r="C642" s="8">
        <f>IF($A642="","","W"&amp;WEEKNUM($A642,2))</f>
        <v/>
      </c>
      <c r="D642" s="8">
        <f>IF($A642="","",TEXT($A642,"ddd"))</f>
        <v/>
      </c>
      <c r="E642" s="8" t="inlineStr">
        <is>
          <t>Energy</t>
        </is>
      </c>
      <c r="F642" s="8">
        <f>IFERROR(INDEX(Tbl_KPIMaster[Category],MATCH($G642,Tbl_KPIMaster[KPI],0)),"")</f>
        <v/>
      </c>
      <c r="G642" s="8" t="inlineStr">
        <is>
          <t>Renewable Energy Share %</t>
        </is>
      </c>
      <c r="H642" s="8">
        <f>IFERROR(INDEX(Tbl_KPIMaster[Unit],MATCH($G642,Tbl_KPIMaster[KPI],0)),"")</f>
        <v/>
      </c>
      <c r="I642" s="9">
        <f>IFERROR(INDEX(Tbl_KPIMaster[Maximum Target],MATCH($G642,Tbl_KPIMaster[KPI],0)),"")</f>
        <v/>
      </c>
      <c r="J642" s="9" t="n">
        <v>0.2195</v>
      </c>
      <c r="K642" s="8">
        <f>IFERROR(INDEX(Tbl_KPIMaster[Tolerance],MATCH($G642,Tbl_KPIMaster[KPI],0)),"")</f>
        <v/>
      </c>
      <c r="L642" s="8">
        <f>IFERROR(INDEX(Tbl_KPIMaster[Owner],MATCH($G642,Tbl_KPIMaster[KPI],0)),"")</f>
        <v/>
      </c>
      <c r="M642" s="10" t="inlineStr">
        <is>
          <t>New operator training effect</t>
        </is>
      </c>
      <c r="N642" s="8" t="inlineStr">
        <is>
          <t>Management approval pending</t>
        </is>
      </c>
      <c r="O642" s="8" t="inlineStr">
        <is>
          <t>Medium</t>
        </is>
      </c>
      <c r="P642" s="8" t="inlineStr">
        <is>
          <t>In Progress</t>
        </is>
      </c>
      <c r="Q642" s="9">
        <f>IFERROR(IF(INDEX(Tbl_KPIMaster[Direction],MATCH($G642,Tbl_KPIMaster[KPI],0))="Lower is Better",IF($J642=0,1,IF($I642=0,0,$I642/$J642)),IF($I642=0,1,$J642/$I642)),0)</f>
        <v/>
      </c>
      <c r="R642" s="8">
        <f>IF(OR($I642="",$J642=""),"",$J642-$I642)</f>
        <v/>
      </c>
      <c r="S642" s="8">
        <f>IFERROR(IF(INDEX(Tbl_KPIMaster[Direction],MATCH($G642,Tbl_KPIMaster[KPI],0))="Lower is Better",IF($J642&lt;=$I642,"Green",IF($J642&lt;=$I642+IF($I642=0,$K642,$I642*$K642),"Amber","Red")),IF($J642&gt;=$I642,"Green",IF($J642&gt;=$I642-IF($I642=0,$K642,$I642*$K642),"Amber","Red"))),"")</f>
        <v/>
      </c>
      <c r="T642" s="10" t="inlineStr"/>
    </row>
    <row r="643">
      <c r="A643" s="3" t="n">
        <v>46162</v>
      </c>
      <c r="B643" s="4">
        <f>IF($A643="","",TEXT($A643,"mmm-yyyy"))</f>
        <v/>
      </c>
      <c r="C643" s="4">
        <f>IF($A643="","","W"&amp;WEEKNUM($A643,2))</f>
        <v/>
      </c>
      <c r="D643" s="4">
        <f>IF($A643="","",TEXT($A643,"ddd"))</f>
        <v/>
      </c>
      <c r="E643" s="4" t="inlineStr">
        <is>
          <t>Safety</t>
        </is>
      </c>
      <c r="F643" s="4">
        <f>IFERROR(INDEX(Tbl_KPIMaster[Category],MATCH($G643,Tbl_KPIMaster[KPI],0)),"")</f>
        <v/>
      </c>
      <c r="G643" s="4" t="inlineStr">
        <is>
          <t>Safety Incidents (LTI)</t>
        </is>
      </c>
      <c r="H643" s="4">
        <f>IFERROR(INDEX(Tbl_KPIMaster[Unit],MATCH($G643,Tbl_KPIMaster[KPI],0)),"")</f>
        <v/>
      </c>
      <c r="I643" s="5">
        <f>IFERROR(INDEX(Tbl_KPIMaster[Maximum Target],MATCH($G643,Tbl_KPIMaster[KPI],0)),"")</f>
        <v/>
      </c>
      <c r="J643" s="5" t="n">
        <v>3</v>
      </c>
      <c r="K643" s="4">
        <f>IFERROR(INDEX(Tbl_KPIMaster[Tolerance],MATCH($G643,Tbl_KPIMaster[KPI],0)),"")</f>
        <v/>
      </c>
      <c r="L643" s="4">
        <f>IFERROR(INDEX(Tbl_KPIMaster[Owner],MATCH($G643,Tbl_KPIMaster[KPI],0)),"")</f>
        <v/>
      </c>
      <c r="M643" s="6" t="inlineStr">
        <is>
          <t>Line changeover impact</t>
        </is>
      </c>
      <c r="N643" s="4" t="inlineStr">
        <is>
          <t>Engineering support needed</t>
        </is>
      </c>
      <c r="O643" s="4" t="inlineStr">
        <is>
          <t>High</t>
        </is>
      </c>
      <c r="P643" s="4" t="inlineStr">
        <is>
          <t>Closed</t>
        </is>
      </c>
      <c r="Q643" s="5">
        <f>IFERROR(IF(INDEX(Tbl_KPIMaster[Direction],MATCH($G643,Tbl_KPIMaster[KPI],0))="Lower is Better",IF($J643=0,1,IF($I643=0,0,$I643/$J643)),IF($I643=0,1,$J643/$I643)),0)</f>
        <v/>
      </c>
      <c r="R643" s="4">
        <f>IF(OR($I643="",$J643=""),"",$J643-$I643)</f>
        <v/>
      </c>
      <c r="S643" s="4">
        <f>IFERROR(IF(INDEX(Tbl_KPIMaster[Direction],MATCH($G643,Tbl_KPIMaster[KPI],0))="Lower is Better",IF($J643&lt;=$I643,"Green",IF($J643&lt;=$I643+IF($I643=0,$K643,$I643*$K643),"Amber","Red")),IF($J643&gt;=$I643,"Green",IF($J643&gt;=$I643-IF($I643=0,$K643,$I643*$K643),"Amber","Red"))),"")</f>
        <v/>
      </c>
      <c r="T643" s="6" t="inlineStr"/>
    </row>
    <row r="644">
      <c r="A644" s="7" t="n">
        <v>46162</v>
      </c>
      <c r="B644" s="8">
        <f>IF($A644="","",TEXT($A644,"mmm-yyyy"))</f>
        <v/>
      </c>
      <c r="C644" s="8">
        <f>IF($A644="","","W"&amp;WEEKNUM($A644,2))</f>
        <v/>
      </c>
      <c r="D644" s="8">
        <f>IF($A644="","",TEXT($A644,"ddd"))</f>
        <v/>
      </c>
      <c r="E644" s="8" t="inlineStr">
        <is>
          <t>Safety</t>
        </is>
      </c>
      <c r="F644" s="8">
        <f>IFERROR(INDEX(Tbl_KPIMaster[Category],MATCH($G644,Tbl_KPIMaster[KPI],0)),"")</f>
        <v/>
      </c>
      <c r="G644" s="8" t="inlineStr">
        <is>
          <t>Near Miss Reports</t>
        </is>
      </c>
      <c r="H644" s="8">
        <f>IFERROR(INDEX(Tbl_KPIMaster[Unit],MATCH($G644,Tbl_KPIMaster[KPI],0)),"")</f>
        <v/>
      </c>
      <c r="I644" s="9">
        <f>IFERROR(INDEX(Tbl_KPIMaster[Maximum Target],MATCH($G644,Tbl_KPIMaster[KPI],0)),"")</f>
        <v/>
      </c>
      <c r="J644" s="9" t="n">
        <v>2</v>
      </c>
      <c r="K644" s="8">
        <f>IFERROR(INDEX(Tbl_KPIMaster[Tolerance],MATCH($G644,Tbl_KPIMaster[KPI],0)),"")</f>
        <v/>
      </c>
      <c r="L644" s="8">
        <f>IFERROR(INDEX(Tbl_KPIMaster[Owner],MATCH($G644,Tbl_KPIMaster[KPI],0)),"")</f>
        <v/>
      </c>
      <c r="M644" s="10" t="inlineStr">
        <is>
          <t>Within normal range</t>
        </is>
      </c>
      <c r="N644" s="8" t="inlineStr"/>
      <c r="O644" s="8" t="inlineStr">
        <is>
          <t>Low</t>
        </is>
      </c>
      <c r="P644" s="8" t="inlineStr">
        <is>
          <t>Closed</t>
        </is>
      </c>
      <c r="Q644" s="9">
        <f>IFERROR(IF(INDEX(Tbl_KPIMaster[Direction],MATCH($G644,Tbl_KPIMaster[KPI],0))="Lower is Better",IF($J644=0,1,IF($I644=0,0,$I644/$J644)),IF($I644=0,1,$J644/$I644)),0)</f>
        <v/>
      </c>
      <c r="R644" s="8">
        <f>IF(OR($I644="",$J644=""),"",$J644-$I644)</f>
        <v/>
      </c>
      <c r="S644" s="8">
        <f>IFERROR(IF(INDEX(Tbl_KPIMaster[Direction],MATCH($G644,Tbl_KPIMaster[KPI],0))="Lower is Better",IF($J644&lt;=$I644,"Green",IF($J644&lt;=$I644+IF($I644=0,$K644,$I644*$K644),"Amber","Red")),IF($J644&gt;=$I644,"Green",IF($J644&gt;=$I644-IF($I644=0,$K644,$I644*$K644),"Amber","Red"))),"")</f>
        <v/>
      </c>
      <c r="T644" s="10" t="inlineStr"/>
    </row>
    <row r="645">
      <c r="A645" s="3" t="n">
        <v>46162</v>
      </c>
      <c r="B645" s="4">
        <f>IF($A645="","",TEXT($A645,"mmm-yyyy"))</f>
        <v/>
      </c>
      <c r="C645" s="4">
        <f>IF($A645="","","W"&amp;WEEKNUM($A645,2))</f>
        <v/>
      </c>
      <c r="D645" s="4">
        <f>IF($A645="","",TEXT($A645,"ddd"))</f>
        <v/>
      </c>
      <c r="E645" s="4" t="inlineStr">
        <is>
          <t>Production</t>
        </is>
      </c>
      <c r="F645" s="4">
        <f>IFERROR(INDEX(Tbl_KPIMaster[Category],MATCH($G645,Tbl_KPIMaster[KPI],0)),"")</f>
        <v/>
      </c>
      <c r="G645" s="4" t="inlineStr">
        <is>
          <t>Production Output</t>
        </is>
      </c>
      <c r="H645" s="4">
        <f>IFERROR(INDEX(Tbl_KPIMaster[Unit],MATCH($G645,Tbl_KPIMaster[KPI],0)),"")</f>
        <v/>
      </c>
      <c r="I645" s="5">
        <f>IFERROR(INDEX(Tbl_KPIMaster[Maximum Target],MATCH($G645,Tbl_KPIMaster[KPI],0)),"")</f>
        <v/>
      </c>
      <c r="J645" s="5" t="n">
        <v>855.34</v>
      </c>
      <c r="K645" s="4">
        <f>IFERROR(INDEX(Tbl_KPIMaster[Tolerance],MATCH($G645,Tbl_KPIMaster[KPI],0)),"")</f>
        <v/>
      </c>
      <c r="L645" s="4">
        <f>IFERROR(INDEX(Tbl_KPIMaster[Owner],MATCH($G645,Tbl_KPIMaster[KPI],0)),"")</f>
        <v/>
      </c>
      <c r="M645" s="6" t="inlineStr">
        <is>
          <t>Equipment breakdown</t>
        </is>
      </c>
      <c r="N645" s="4" t="inlineStr">
        <is>
          <t>Procurement follow-up</t>
        </is>
      </c>
      <c r="O645" s="4" t="inlineStr">
        <is>
          <t>Medium</t>
        </is>
      </c>
      <c r="P645" s="4" t="inlineStr">
        <is>
          <t>Closed</t>
        </is>
      </c>
      <c r="Q645" s="5">
        <f>IFERROR(IF(INDEX(Tbl_KPIMaster[Direction],MATCH($G645,Tbl_KPIMaster[KPI],0))="Lower is Better",IF($J645=0,1,IF($I645=0,0,$I645/$J645)),IF($I645=0,1,$J645/$I645)),0)</f>
        <v/>
      </c>
      <c r="R645" s="4">
        <f>IF(OR($I645="",$J645=""),"",$J645-$I645)</f>
        <v/>
      </c>
      <c r="S645" s="4">
        <f>IFERROR(IF(INDEX(Tbl_KPIMaster[Direction],MATCH($G645,Tbl_KPIMaster[KPI],0))="Lower is Better",IF($J645&lt;=$I645,"Green",IF($J645&lt;=$I645+IF($I645=0,$K645,$I645*$K645),"Amber","Red")),IF($J645&gt;=$I645,"Green",IF($J645&gt;=$I645-IF($I645=0,$K645,$I645*$K645),"Amber","Red"))),"")</f>
        <v/>
      </c>
      <c r="T645" s="6" t="inlineStr"/>
    </row>
    <row r="646">
      <c r="A646" s="7" t="n">
        <v>46162</v>
      </c>
      <c r="B646" s="8">
        <f>IF($A646="","",TEXT($A646,"mmm-yyyy"))</f>
        <v/>
      </c>
      <c r="C646" s="8">
        <f>IF($A646="","","W"&amp;WEEKNUM($A646,2))</f>
        <v/>
      </c>
      <c r="D646" s="8">
        <f>IF($A646="","",TEXT($A646,"ddd"))</f>
        <v/>
      </c>
      <c r="E646" s="8" t="inlineStr">
        <is>
          <t>Production</t>
        </is>
      </c>
      <c r="F646" s="8">
        <f>IFERROR(INDEX(Tbl_KPIMaster[Category],MATCH($G646,Tbl_KPIMaster[KPI],0)),"")</f>
        <v/>
      </c>
      <c r="G646" s="8" t="inlineStr">
        <is>
          <t>OEE %</t>
        </is>
      </c>
      <c r="H646" s="8">
        <f>IFERROR(INDEX(Tbl_KPIMaster[Unit],MATCH($G646,Tbl_KPIMaster[KPI],0)),"")</f>
        <v/>
      </c>
      <c r="I646" s="9">
        <f>IFERROR(INDEX(Tbl_KPIMaster[Maximum Target],MATCH($G646,Tbl_KPIMaster[KPI],0)),"")</f>
        <v/>
      </c>
      <c r="J646" s="9" t="n">
        <v>0.6652</v>
      </c>
      <c r="K646" s="8">
        <f>IFERROR(INDEX(Tbl_KPIMaster[Tolerance],MATCH($G646,Tbl_KPIMaster[KPI],0)),"")</f>
        <v/>
      </c>
      <c r="L646" s="8">
        <f>IFERROR(INDEX(Tbl_KPIMaster[Owner],MATCH($G646,Tbl_KPIMaster[KPI],0)),"")</f>
        <v/>
      </c>
      <c r="M646" s="10" t="inlineStr"/>
      <c r="N646" s="8" t="inlineStr"/>
      <c r="O646" s="8" t="inlineStr">
        <is>
          <t>Medium</t>
        </is>
      </c>
      <c r="P646" s="8" t="inlineStr">
        <is>
          <t>Closed</t>
        </is>
      </c>
      <c r="Q646" s="9">
        <f>IFERROR(IF(INDEX(Tbl_KPIMaster[Direction],MATCH($G646,Tbl_KPIMaster[KPI],0))="Lower is Better",IF($J646=0,1,IF($I646=0,0,$I646/$J646)),IF($I646=0,1,$J646/$I646)),0)</f>
        <v/>
      </c>
      <c r="R646" s="8">
        <f>IF(OR($I646="",$J646=""),"",$J646-$I646)</f>
        <v/>
      </c>
      <c r="S646" s="8">
        <f>IFERROR(IF(INDEX(Tbl_KPIMaster[Direction],MATCH($G646,Tbl_KPIMaster[KPI],0))="Lower is Better",IF($J646&lt;=$I646,"Green",IF($J646&lt;=$I646+IF($I646=0,$K646,$I646*$K646),"Amber","Red")),IF($J646&gt;=$I646,"Green",IF($J646&gt;=$I646-IF($I646=0,$K646,$I646*$K646),"Amber","Red"))),"")</f>
        <v/>
      </c>
      <c r="T646" s="10" t="inlineStr"/>
    </row>
    <row r="647">
      <c r="A647" s="3" t="n">
        <v>46162</v>
      </c>
      <c r="B647" s="4">
        <f>IF($A647="","",TEXT($A647,"mmm-yyyy"))</f>
        <v/>
      </c>
      <c r="C647" s="4">
        <f>IF($A647="","","W"&amp;WEEKNUM($A647,2))</f>
        <v/>
      </c>
      <c r="D647" s="4">
        <f>IF($A647="","",TEXT($A647,"ddd"))</f>
        <v/>
      </c>
      <c r="E647" s="4" t="inlineStr">
        <is>
          <t>Quality</t>
        </is>
      </c>
      <c r="F647" s="4">
        <f>IFERROR(INDEX(Tbl_KPIMaster[Category],MATCH($G647,Tbl_KPIMaster[KPI],0)),"")</f>
        <v/>
      </c>
      <c r="G647" s="4" t="inlineStr">
        <is>
          <t>Defect Rate %</t>
        </is>
      </c>
      <c r="H647" s="4">
        <f>IFERROR(INDEX(Tbl_KPIMaster[Unit],MATCH($G647,Tbl_KPIMaster[KPI],0)),"")</f>
        <v/>
      </c>
      <c r="I647" s="5">
        <f>IFERROR(INDEX(Tbl_KPIMaster[Maximum Target],MATCH($G647,Tbl_KPIMaster[KPI],0)),"")</f>
        <v/>
      </c>
      <c r="J647" s="5" t="n">
        <v>0</v>
      </c>
      <c r="K647" s="4">
        <f>IFERROR(INDEX(Tbl_KPIMaster[Tolerance],MATCH($G647,Tbl_KPIMaster[KPI],0)),"")</f>
        <v/>
      </c>
      <c r="L647" s="4">
        <f>IFERROR(INDEX(Tbl_KPIMaster[Owner],MATCH($G647,Tbl_KPIMaster[KPI],0)),"")</f>
        <v/>
      </c>
      <c r="M647" s="6" t="inlineStr">
        <is>
          <t>Within normal range</t>
        </is>
      </c>
      <c r="N647" s="4" t="inlineStr">
        <is>
          <t>Procurement follow-up</t>
        </is>
      </c>
      <c r="O647" s="4" t="inlineStr">
        <is>
          <t>High</t>
        </is>
      </c>
      <c r="P647" s="4" t="inlineStr">
        <is>
          <t>Open</t>
        </is>
      </c>
      <c r="Q647" s="5">
        <f>IFERROR(IF(INDEX(Tbl_KPIMaster[Direction],MATCH($G647,Tbl_KPIMaster[KPI],0))="Lower is Better",IF($J647=0,1,IF($I647=0,0,$I647/$J647)),IF($I647=0,1,$J647/$I647)),0)</f>
        <v/>
      </c>
      <c r="R647" s="4">
        <f>IF(OR($I647="",$J647=""),"",$J647-$I647)</f>
        <v/>
      </c>
      <c r="S647" s="4">
        <f>IFERROR(IF(INDEX(Tbl_KPIMaster[Direction],MATCH($G647,Tbl_KPIMaster[KPI],0))="Lower is Better",IF($J647&lt;=$I647,"Green",IF($J647&lt;=$I647+IF($I647=0,$K647,$I647*$K647),"Amber","Red")),IF($J647&gt;=$I647,"Green",IF($J647&gt;=$I647-IF($I647=0,$K647,$I647*$K647),"Amber","Red"))),"")</f>
        <v/>
      </c>
      <c r="T647" s="6" t="inlineStr"/>
    </row>
    <row r="648">
      <c r="A648" s="7" t="n">
        <v>46162</v>
      </c>
      <c r="B648" s="8">
        <f>IF($A648="","",TEXT($A648,"mmm-yyyy"))</f>
        <v/>
      </c>
      <c r="C648" s="8">
        <f>IF($A648="","","W"&amp;WEEKNUM($A648,2))</f>
        <v/>
      </c>
      <c r="D648" s="8">
        <f>IF($A648="","",TEXT($A648,"ddd"))</f>
        <v/>
      </c>
      <c r="E648" s="8" t="inlineStr">
        <is>
          <t>Quality</t>
        </is>
      </c>
      <c r="F648" s="8">
        <f>IFERROR(INDEX(Tbl_KPIMaster[Category],MATCH($G648,Tbl_KPIMaster[KPI],0)),"")</f>
        <v/>
      </c>
      <c r="G648" s="8" t="inlineStr">
        <is>
          <t>Customer Complaints</t>
        </is>
      </c>
      <c r="H648" s="8">
        <f>IFERROR(INDEX(Tbl_KPIMaster[Unit],MATCH($G648,Tbl_KPIMaster[KPI],0)),"")</f>
        <v/>
      </c>
      <c r="I648" s="9">
        <f>IFERROR(INDEX(Tbl_KPIMaster[Maximum Target],MATCH($G648,Tbl_KPIMaster[KPI],0)),"")</f>
        <v/>
      </c>
      <c r="J648" s="9" t="n">
        <v>0</v>
      </c>
      <c r="K648" s="8">
        <f>IFERROR(INDEX(Tbl_KPIMaster[Tolerance],MATCH($G648,Tbl_KPIMaster[KPI],0)),"")</f>
        <v/>
      </c>
      <c r="L648" s="8">
        <f>IFERROR(INDEX(Tbl_KPIMaster[Owner],MATCH($G648,Tbl_KPIMaster[KPI],0)),"")</f>
        <v/>
      </c>
      <c r="M648" s="10" t="inlineStr">
        <is>
          <t>Within normal range</t>
        </is>
      </c>
      <c r="N648" s="8" t="inlineStr"/>
      <c r="O648" s="8" t="inlineStr">
        <is>
          <t>Low</t>
        </is>
      </c>
      <c r="P648" s="8" t="inlineStr">
        <is>
          <t>Closed</t>
        </is>
      </c>
      <c r="Q648" s="9">
        <f>IFERROR(IF(INDEX(Tbl_KPIMaster[Direction],MATCH($G648,Tbl_KPIMaster[KPI],0))="Lower is Better",IF($J648=0,1,IF($I648=0,0,$I648/$J648)),IF($I648=0,1,$J648/$I648)),0)</f>
        <v/>
      </c>
      <c r="R648" s="8">
        <f>IF(OR($I648="",$J648=""),"",$J648-$I648)</f>
        <v/>
      </c>
      <c r="S648" s="8">
        <f>IFERROR(IF(INDEX(Tbl_KPIMaster[Direction],MATCH($G648,Tbl_KPIMaster[KPI],0))="Lower is Better",IF($J648&lt;=$I648,"Green",IF($J648&lt;=$I648+IF($I648=0,$K648,$I648*$K648),"Amber","Red")),IF($J648&gt;=$I648,"Green",IF($J648&gt;=$I648-IF($I648=0,$K648,$I648*$K648),"Amber","Red"))),"")</f>
        <v/>
      </c>
      <c r="T648" s="10" t="inlineStr"/>
    </row>
    <row r="649">
      <c r="A649" s="3" t="n">
        <v>46162</v>
      </c>
      <c r="B649" s="4">
        <f>IF($A649="","",TEXT($A649,"mmm-yyyy"))</f>
        <v/>
      </c>
      <c r="C649" s="4">
        <f>IF($A649="","","W"&amp;WEEKNUM($A649,2))</f>
        <v/>
      </c>
      <c r="D649" s="4">
        <f>IF($A649="","",TEXT($A649,"ddd"))</f>
        <v/>
      </c>
      <c r="E649" s="4" t="inlineStr">
        <is>
          <t>Maintenance</t>
        </is>
      </c>
      <c r="F649" s="4">
        <f>IFERROR(INDEX(Tbl_KPIMaster[Category],MATCH($G649,Tbl_KPIMaster[KPI],0)),"")</f>
        <v/>
      </c>
      <c r="G649" s="4" t="inlineStr">
        <is>
          <t>Unplanned Downtime</t>
        </is>
      </c>
      <c r="H649" s="4">
        <f>IFERROR(INDEX(Tbl_KPIMaster[Unit],MATCH($G649,Tbl_KPIMaster[KPI],0)),"")</f>
        <v/>
      </c>
      <c r="I649" s="5">
        <f>IFERROR(INDEX(Tbl_KPIMaster[Maximum Target],MATCH($G649,Tbl_KPIMaster[KPI],0)),"")</f>
        <v/>
      </c>
      <c r="J649" s="5" t="n">
        <v>0</v>
      </c>
      <c r="K649" s="4">
        <f>IFERROR(INDEX(Tbl_KPIMaster[Tolerance],MATCH($G649,Tbl_KPIMaster[KPI],0)),"")</f>
        <v/>
      </c>
      <c r="L649" s="4">
        <f>IFERROR(INDEX(Tbl_KPIMaster[Owner],MATCH($G649,Tbl_KPIMaster[KPI],0)),"")</f>
        <v/>
      </c>
      <c r="M649" s="6" t="inlineStr">
        <is>
          <t>Within normal range</t>
        </is>
      </c>
      <c r="N649" s="4" t="inlineStr"/>
      <c r="O649" s="4" t="inlineStr">
        <is>
          <t>Low</t>
        </is>
      </c>
      <c r="P649" s="4" t="inlineStr">
        <is>
          <t>Open</t>
        </is>
      </c>
      <c r="Q649" s="5">
        <f>IFERROR(IF(INDEX(Tbl_KPIMaster[Direction],MATCH($G649,Tbl_KPIMaster[KPI],0))="Lower is Better",IF($J649=0,1,IF($I649=0,0,$I649/$J649)),IF($I649=0,1,$J649/$I649)),0)</f>
        <v/>
      </c>
      <c r="R649" s="4">
        <f>IF(OR($I649="",$J649=""),"",$J649-$I649)</f>
        <v/>
      </c>
      <c r="S649" s="4">
        <f>IFERROR(IF(INDEX(Tbl_KPIMaster[Direction],MATCH($G649,Tbl_KPIMaster[KPI],0))="Lower is Better",IF($J649&lt;=$I649,"Green",IF($J649&lt;=$I649+IF($I649=0,$K649,$I649*$K649),"Amber","Red")),IF($J649&gt;=$I649,"Green",IF($J649&gt;=$I649-IF($I649=0,$K649,$I649*$K649),"Amber","Red"))),"")</f>
        <v/>
      </c>
      <c r="T649" s="6" t="inlineStr"/>
    </row>
    <row r="650">
      <c r="A650" s="7" t="n">
        <v>46162</v>
      </c>
      <c r="B650" s="8">
        <f>IF($A650="","",TEXT($A650,"mmm-yyyy"))</f>
        <v/>
      </c>
      <c r="C650" s="8">
        <f>IF($A650="","","W"&amp;WEEKNUM($A650,2))</f>
        <v/>
      </c>
      <c r="D650" s="8">
        <f>IF($A650="","",TEXT($A650,"ddd"))</f>
        <v/>
      </c>
      <c r="E650" s="8" t="inlineStr">
        <is>
          <t>Maintenance</t>
        </is>
      </c>
      <c r="F650" s="8">
        <f>IFERROR(INDEX(Tbl_KPIMaster[Category],MATCH($G650,Tbl_KPIMaster[KPI],0)),"")</f>
        <v/>
      </c>
      <c r="G650" s="8" t="inlineStr">
        <is>
          <t>PM Compliance %</t>
        </is>
      </c>
      <c r="H650" s="8">
        <f>IFERROR(INDEX(Tbl_KPIMaster[Unit],MATCH($G650,Tbl_KPIMaster[KPI],0)),"")</f>
        <v/>
      </c>
      <c r="I650" s="9">
        <f>IFERROR(INDEX(Tbl_KPIMaster[Maximum Target],MATCH($G650,Tbl_KPIMaster[KPI],0)),"")</f>
        <v/>
      </c>
      <c r="J650" s="9" t="n">
        <v>0.8865</v>
      </c>
      <c r="K650" s="8">
        <f>IFERROR(INDEX(Tbl_KPIMaster[Tolerance],MATCH($G650,Tbl_KPIMaster[KPI],0)),"")</f>
        <v/>
      </c>
      <c r="L650" s="8">
        <f>IFERROR(INDEX(Tbl_KPIMaster[Owner],MATCH($G650,Tbl_KPIMaster[KPI],0)),"")</f>
        <v/>
      </c>
      <c r="M650" s="10" t="inlineStr">
        <is>
          <t>Line changeover impact</t>
        </is>
      </c>
      <c r="N650" s="8" t="inlineStr">
        <is>
          <t>Procurement follow-up</t>
        </is>
      </c>
      <c r="O650" s="8" t="inlineStr">
        <is>
          <t>Medium</t>
        </is>
      </c>
      <c r="P650" s="8" t="inlineStr">
        <is>
          <t>Closed</t>
        </is>
      </c>
      <c r="Q650" s="9">
        <f>IFERROR(IF(INDEX(Tbl_KPIMaster[Direction],MATCH($G650,Tbl_KPIMaster[KPI],0))="Lower is Better",IF($J650=0,1,IF($I650=0,0,$I650/$J650)),IF($I650=0,1,$J650/$I650)),0)</f>
        <v/>
      </c>
      <c r="R650" s="8">
        <f>IF(OR($I650="",$J650=""),"",$J650-$I650)</f>
        <v/>
      </c>
      <c r="S650" s="8">
        <f>IFERROR(IF(INDEX(Tbl_KPIMaster[Direction],MATCH($G650,Tbl_KPIMaster[KPI],0))="Lower is Better",IF($J650&lt;=$I650,"Green",IF($J650&lt;=$I650+IF($I650=0,$K650,$I650*$K650),"Amber","Red")),IF($J650&gt;=$I650,"Green",IF($J650&gt;=$I650-IF($I650=0,$K650,$I650*$K650),"Amber","Red"))),"")</f>
        <v/>
      </c>
      <c r="T650" s="10" t="inlineStr"/>
    </row>
    <row r="651">
      <c r="A651" s="3" t="n">
        <v>46162</v>
      </c>
      <c r="B651" s="4">
        <f>IF($A651="","",TEXT($A651,"mmm-yyyy"))</f>
        <v/>
      </c>
      <c r="C651" s="4">
        <f>IF($A651="","","W"&amp;WEEKNUM($A651,2))</f>
        <v/>
      </c>
      <c r="D651" s="4">
        <f>IF($A651="","",TEXT($A651,"ddd"))</f>
        <v/>
      </c>
      <c r="E651" s="4" t="inlineStr">
        <is>
          <t>Utilities</t>
        </is>
      </c>
      <c r="F651" s="4">
        <f>IFERROR(INDEX(Tbl_KPIMaster[Category],MATCH($G651,Tbl_KPIMaster[KPI],0)),"")</f>
        <v/>
      </c>
      <c r="G651" s="4" t="inlineStr">
        <is>
          <t>Power Consumption</t>
        </is>
      </c>
      <c r="H651" s="4">
        <f>IFERROR(INDEX(Tbl_KPIMaster[Unit],MATCH($G651,Tbl_KPIMaster[KPI],0)),"")</f>
        <v/>
      </c>
      <c r="I651" s="5">
        <f>IFERROR(INDEX(Tbl_KPIMaster[Maximum Target],MATCH($G651,Tbl_KPIMaster[KPI],0)),"")</f>
        <v/>
      </c>
      <c r="J651" s="5" t="n">
        <v>3829.33</v>
      </c>
      <c r="K651" s="4">
        <f>IFERROR(INDEX(Tbl_KPIMaster[Tolerance],MATCH($G651,Tbl_KPIMaster[KPI],0)),"")</f>
        <v/>
      </c>
      <c r="L651" s="4">
        <f>IFERROR(INDEX(Tbl_KPIMaster[Owner],MATCH($G651,Tbl_KPIMaster[KPI],0)),"")</f>
        <v/>
      </c>
      <c r="M651" s="6" t="inlineStr">
        <is>
          <t>Awaiting spares</t>
        </is>
      </c>
      <c r="N651" s="4" t="inlineStr"/>
      <c r="O651" s="4" t="inlineStr">
        <is>
          <t>Medium</t>
        </is>
      </c>
      <c r="P651" s="4" t="inlineStr">
        <is>
          <t>Open</t>
        </is>
      </c>
      <c r="Q651" s="5">
        <f>IFERROR(IF(INDEX(Tbl_KPIMaster[Direction],MATCH($G651,Tbl_KPIMaster[KPI],0))="Lower is Better",IF($J651=0,1,IF($I651=0,0,$I651/$J651)),IF($I651=0,1,$J651/$I651)),0)</f>
        <v/>
      </c>
      <c r="R651" s="4">
        <f>IF(OR($I651="",$J651=""),"",$J651-$I651)</f>
        <v/>
      </c>
      <c r="S651" s="4">
        <f>IFERROR(IF(INDEX(Tbl_KPIMaster[Direction],MATCH($G651,Tbl_KPIMaster[KPI],0))="Lower is Better",IF($J651&lt;=$I651,"Green",IF($J651&lt;=$I651+IF($I651=0,$K651,$I651*$K651),"Amber","Red")),IF($J651&gt;=$I651,"Green",IF($J651&gt;=$I651-IF($I651=0,$K651,$I651*$K651),"Amber","Red"))),"")</f>
        <v/>
      </c>
      <c r="T651" s="6" t="inlineStr"/>
    </row>
    <row r="652">
      <c r="A652" s="7" t="n">
        <v>46162</v>
      </c>
      <c r="B652" s="8">
        <f>IF($A652="","",TEXT($A652,"mmm-yyyy"))</f>
        <v/>
      </c>
      <c r="C652" s="8">
        <f>IF($A652="","","W"&amp;WEEKNUM($A652,2))</f>
        <v/>
      </c>
      <c r="D652" s="8">
        <f>IF($A652="","",TEXT($A652,"ddd"))</f>
        <v/>
      </c>
      <c r="E652" s="8" t="inlineStr">
        <is>
          <t>Utilities</t>
        </is>
      </c>
      <c r="F652" s="8">
        <f>IFERROR(INDEX(Tbl_KPIMaster[Category],MATCH($G652,Tbl_KPIMaster[KPI],0)),"")</f>
        <v/>
      </c>
      <c r="G652" s="8" t="inlineStr">
        <is>
          <t>Water Consumption</t>
        </is>
      </c>
      <c r="H652" s="8">
        <f>IFERROR(INDEX(Tbl_KPIMaster[Unit],MATCH($G652,Tbl_KPIMaster[KPI],0)),"")</f>
        <v/>
      </c>
      <c r="I652" s="9">
        <f>IFERROR(INDEX(Tbl_KPIMaster[Maximum Target],MATCH($G652,Tbl_KPIMaster[KPI],0)),"")</f>
        <v/>
      </c>
      <c r="J652" s="9" t="n">
        <v>55.43</v>
      </c>
      <c r="K652" s="8">
        <f>IFERROR(INDEX(Tbl_KPIMaster[Tolerance],MATCH($G652,Tbl_KPIMaster[KPI],0)),"")</f>
        <v/>
      </c>
      <c r="L652" s="8">
        <f>IFERROR(INDEX(Tbl_KPIMaster[Owner],MATCH($G652,Tbl_KPIMaster[KPI],0)),"")</f>
        <v/>
      </c>
      <c r="M652" s="10" t="inlineStr">
        <is>
          <t>Equipment breakdown</t>
        </is>
      </c>
      <c r="N652" s="8" t="inlineStr">
        <is>
          <t>Management approval pending</t>
        </is>
      </c>
      <c r="O652" s="8" t="inlineStr">
        <is>
          <t>Low</t>
        </is>
      </c>
      <c r="P652" s="8" t="inlineStr">
        <is>
          <t>Open</t>
        </is>
      </c>
      <c r="Q652" s="9">
        <f>IFERROR(IF(INDEX(Tbl_KPIMaster[Direction],MATCH($G652,Tbl_KPIMaster[KPI],0))="Lower is Better",IF($J652=0,1,IF($I652=0,0,$I652/$J652)),IF($I652=0,1,$J652/$I652)),0)</f>
        <v/>
      </c>
      <c r="R652" s="8">
        <f>IF(OR($I652="",$J652=""),"",$J652-$I652)</f>
        <v/>
      </c>
      <c r="S652" s="8">
        <f>IFERROR(IF(INDEX(Tbl_KPIMaster[Direction],MATCH($G652,Tbl_KPIMaster[KPI],0))="Lower is Better",IF($J652&lt;=$I652,"Green",IF($J652&lt;=$I652+IF($I652=0,$K652,$I652*$K652),"Amber","Red")),IF($J652&gt;=$I652,"Green",IF($J652&gt;=$I652-IF($I652=0,$K652,$I652*$K652),"Amber","Red"))),"")</f>
        <v/>
      </c>
      <c r="T652" s="10" t="inlineStr"/>
    </row>
    <row r="653">
      <c r="A653" s="3" t="n">
        <v>46162</v>
      </c>
      <c r="B653" s="4">
        <f>IF($A653="","",TEXT($A653,"mmm-yyyy"))</f>
        <v/>
      </c>
      <c r="C653" s="4">
        <f>IF($A653="","","W"&amp;WEEKNUM($A653,2))</f>
        <v/>
      </c>
      <c r="D653" s="4">
        <f>IF($A653="","",TEXT($A653,"ddd"))</f>
        <v/>
      </c>
      <c r="E653" s="4" t="inlineStr">
        <is>
          <t>Warehouse</t>
        </is>
      </c>
      <c r="F653" s="4">
        <f>IFERROR(INDEX(Tbl_KPIMaster[Category],MATCH($G653,Tbl_KPIMaster[KPI],0)),"")</f>
        <v/>
      </c>
      <c r="G653" s="4" t="inlineStr">
        <is>
          <t>On-Time Dispatch %</t>
        </is>
      </c>
      <c r="H653" s="4">
        <f>IFERROR(INDEX(Tbl_KPIMaster[Unit],MATCH($G653,Tbl_KPIMaster[KPI],0)),"")</f>
        <v/>
      </c>
      <c r="I653" s="5">
        <f>IFERROR(INDEX(Tbl_KPIMaster[Maximum Target],MATCH($G653,Tbl_KPIMaster[KPI],0)),"")</f>
        <v/>
      </c>
      <c r="J653" s="5" t="n">
        <v>0.8737</v>
      </c>
      <c r="K653" s="4">
        <f>IFERROR(INDEX(Tbl_KPIMaster[Tolerance],MATCH($G653,Tbl_KPIMaster[KPI],0)),"")</f>
        <v/>
      </c>
      <c r="L653" s="4">
        <f>IFERROR(INDEX(Tbl_KPIMaster[Owner],MATCH($G653,Tbl_KPIMaster[KPI],0)),"")</f>
        <v/>
      </c>
      <c r="M653" s="6" t="inlineStr">
        <is>
          <t>Manpower shortage</t>
        </is>
      </c>
      <c r="N653" s="4" t="inlineStr"/>
      <c r="O653" s="4" t="inlineStr">
        <is>
          <t>Low</t>
        </is>
      </c>
      <c r="P653" s="4" t="inlineStr">
        <is>
          <t>Closed</t>
        </is>
      </c>
      <c r="Q653" s="5">
        <f>IFERROR(IF(INDEX(Tbl_KPIMaster[Direction],MATCH($G653,Tbl_KPIMaster[KPI],0))="Lower is Better",IF($J653=0,1,IF($I653=0,0,$I653/$J653)),IF($I653=0,1,$J653/$I653)),0)</f>
        <v/>
      </c>
      <c r="R653" s="4">
        <f>IF(OR($I653="",$J653=""),"",$J653-$I653)</f>
        <v/>
      </c>
      <c r="S653" s="4">
        <f>IFERROR(IF(INDEX(Tbl_KPIMaster[Direction],MATCH($G653,Tbl_KPIMaster[KPI],0))="Lower is Better",IF($J653&lt;=$I653,"Green",IF($J653&lt;=$I653+IF($I653=0,$K653,$I653*$K653),"Amber","Red")),IF($J653&gt;=$I653,"Green",IF($J653&gt;=$I653-IF($I653=0,$K653,$I653*$K653),"Amber","Red"))),"")</f>
        <v/>
      </c>
      <c r="T653" s="6" t="inlineStr"/>
    </row>
    <row r="654">
      <c r="A654" s="7" t="n">
        <v>46162</v>
      </c>
      <c r="B654" s="8">
        <f>IF($A654="","",TEXT($A654,"mmm-yyyy"))</f>
        <v/>
      </c>
      <c r="C654" s="8">
        <f>IF($A654="","","W"&amp;WEEKNUM($A654,2))</f>
        <v/>
      </c>
      <c r="D654" s="8">
        <f>IF($A654="","",TEXT($A654,"ddd"))</f>
        <v/>
      </c>
      <c r="E654" s="8" t="inlineStr">
        <is>
          <t>Warehouse</t>
        </is>
      </c>
      <c r="F654" s="8">
        <f>IFERROR(INDEX(Tbl_KPIMaster[Category],MATCH($G654,Tbl_KPIMaster[KPI],0)),"")</f>
        <v/>
      </c>
      <c r="G654" s="8" t="inlineStr">
        <is>
          <t>Inventory Accuracy %</t>
        </is>
      </c>
      <c r="H654" s="8">
        <f>IFERROR(INDEX(Tbl_KPIMaster[Unit],MATCH($G654,Tbl_KPIMaster[KPI],0)),"")</f>
        <v/>
      </c>
      <c r="I654" s="9">
        <f>IFERROR(INDEX(Tbl_KPIMaster[Maximum Target],MATCH($G654,Tbl_KPIMaster[KPI],0)),"")</f>
        <v/>
      </c>
      <c r="J654" s="9" t="n">
        <v>0.7863</v>
      </c>
      <c r="K654" s="8">
        <f>IFERROR(INDEX(Tbl_KPIMaster[Tolerance],MATCH($G654,Tbl_KPIMaster[KPI],0)),"")</f>
        <v/>
      </c>
      <c r="L654" s="8">
        <f>IFERROR(INDEX(Tbl_KPIMaster[Owner],MATCH($G654,Tbl_KPIMaster[KPI],0)),"")</f>
        <v/>
      </c>
      <c r="M654" s="10" t="inlineStr"/>
      <c r="N654" s="8" t="inlineStr">
        <is>
          <t>Engineering support needed</t>
        </is>
      </c>
      <c r="O654" s="8" t="inlineStr">
        <is>
          <t>Low</t>
        </is>
      </c>
      <c r="P654" s="8" t="inlineStr">
        <is>
          <t>Closed</t>
        </is>
      </c>
      <c r="Q654" s="9">
        <f>IFERROR(IF(INDEX(Tbl_KPIMaster[Direction],MATCH($G654,Tbl_KPIMaster[KPI],0))="Lower is Better",IF($J654=0,1,IF($I654=0,0,$I654/$J654)),IF($I654=0,1,$J654/$I654)),0)</f>
        <v/>
      </c>
      <c r="R654" s="8">
        <f>IF(OR($I654="",$J654=""),"",$J654-$I654)</f>
        <v/>
      </c>
      <c r="S654" s="8">
        <f>IFERROR(IF(INDEX(Tbl_KPIMaster[Direction],MATCH($G654,Tbl_KPIMaster[KPI],0))="Lower is Better",IF($J654&lt;=$I654,"Green",IF($J654&lt;=$I654+IF($I654=0,$K654,$I654*$K654),"Amber","Red")),IF($J654&gt;=$I654,"Green",IF($J654&gt;=$I654-IF($I654=0,$K654,$I654*$K654),"Amber","Red"))),"")</f>
        <v/>
      </c>
      <c r="T654" s="10" t="inlineStr"/>
    </row>
    <row r="655">
      <c r="A655" s="3" t="n">
        <v>46162</v>
      </c>
      <c r="B655" s="4">
        <f>IF($A655="","",TEXT($A655,"mmm-yyyy"))</f>
        <v/>
      </c>
      <c r="C655" s="4">
        <f>IF($A655="","","W"&amp;WEEKNUM($A655,2))</f>
        <v/>
      </c>
      <c r="D655" s="4">
        <f>IF($A655="","",TEXT($A655,"ddd"))</f>
        <v/>
      </c>
      <c r="E655" s="4" t="inlineStr">
        <is>
          <t>HR</t>
        </is>
      </c>
      <c r="F655" s="4">
        <f>IFERROR(INDEX(Tbl_KPIMaster[Category],MATCH($G655,Tbl_KPIMaster[KPI],0)),"")</f>
        <v/>
      </c>
      <c r="G655" s="4" t="inlineStr">
        <is>
          <t>Absenteeism %</t>
        </is>
      </c>
      <c r="H655" s="4">
        <f>IFERROR(INDEX(Tbl_KPIMaster[Unit],MATCH($G655,Tbl_KPIMaster[KPI],0)),"")</f>
        <v/>
      </c>
      <c r="I655" s="5">
        <f>IFERROR(INDEX(Tbl_KPIMaster[Maximum Target],MATCH($G655,Tbl_KPIMaster[KPI],0)),"")</f>
        <v/>
      </c>
      <c r="J655" s="5" t="n">
        <v>0</v>
      </c>
      <c r="K655" s="4">
        <f>IFERROR(INDEX(Tbl_KPIMaster[Tolerance],MATCH($G655,Tbl_KPIMaster[KPI],0)),"")</f>
        <v/>
      </c>
      <c r="L655" s="4">
        <f>IFERROR(INDEX(Tbl_KPIMaster[Owner],MATCH($G655,Tbl_KPIMaster[KPI],0)),"")</f>
        <v/>
      </c>
      <c r="M655" s="6" t="inlineStr">
        <is>
          <t>Awaiting spares</t>
        </is>
      </c>
      <c r="N655" s="4" t="inlineStr">
        <is>
          <t>Engineering support needed</t>
        </is>
      </c>
      <c r="O655" s="4" t="inlineStr">
        <is>
          <t>Low</t>
        </is>
      </c>
      <c r="P655" s="4" t="inlineStr">
        <is>
          <t>Closed</t>
        </is>
      </c>
      <c r="Q655" s="5">
        <f>IFERROR(IF(INDEX(Tbl_KPIMaster[Direction],MATCH($G655,Tbl_KPIMaster[KPI],0))="Lower is Better",IF($J655=0,1,IF($I655=0,0,$I655/$J655)),IF($I655=0,1,$J655/$I655)),0)</f>
        <v/>
      </c>
      <c r="R655" s="4">
        <f>IF(OR($I655="",$J655=""),"",$J655-$I655)</f>
        <v/>
      </c>
      <c r="S655" s="4">
        <f>IFERROR(IF(INDEX(Tbl_KPIMaster[Direction],MATCH($G655,Tbl_KPIMaster[KPI],0))="Lower is Better",IF($J655&lt;=$I655,"Green",IF($J655&lt;=$I655+IF($I655=0,$K655,$I655*$K655),"Amber","Red")),IF($J655&gt;=$I655,"Green",IF($J655&gt;=$I655-IF($I655=0,$K655,$I655*$K655),"Amber","Red"))),"")</f>
        <v/>
      </c>
      <c r="T655" s="6" t="inlineStr"/>
    </row>
    <row r="656">
      <c r="A656" s="7" t="n">
        <v>46162</v>
      </c>
      <c r="B656" s="8">
        <f>IF($A656="","",TEXT($A656,"mmm-yyyy"))</f>
        <v/>
      </c>
      <c r="C656" s="8">
        <f>IF($A656="","","W"&amp;WEEKNUM($A656,2))</f>
        <v/>
      </c>
      <c r="D656" s="8">
        <f>IF($A656="","",TEXT($A656,"ddd"))</f>
        <v/>
      </c>
      <c r="E656" s="8" t="inlineStr">
        <is>
          <t>HR</t>
        </is>
      </c>
      <c r="F656" s="8">
        <f>IFERROR(INDEX(Tbl_KPIMaster[Category],MATCH($G656,Tbl_KPIMaster[KPI],0)),"")</f>
        <v/>
      </c>
      <c r="G656" s="8" t="inlineStr">
        <is>
          <t>Training Hours</t>
        </is>
      </c>
      <c r="H656" s="8">
        <f>IFERROR(INDEX(Tbl_KPIMaster[Unit],MATCH($G656,Tbl_KPIMaster[KPI],0)),"")</f>
        <v/>
      </c>
      <c r="I656" s="9">
        <f>IFERROR(INDEX(Tbl_KPIMaster[Maximum Target],MATCH($G656,Tbl_KPIMaster[KPI],0)),"")</f>
        <v/>
      </c>
      <c r="J656" s="9" t="n">
        <v>1.94</v>
      </c>
      <c r="K656" s="8">
        <f>IFERROR(INDEX(Tbl_KPIMaster[Tolerance],MATCH($G656,Tbl_KPIMaster[KPI],0)),"")</f>
        <v/>
      </c>
      <c r="L656" s="8">
        <f>IFERROR(INDEX(Tbl_KPIMaster[Owner],MATCH($G656,Tbl_KPIMaster[KPI],0)),"")</f>
        <v/>
      </c>
      <c r="M656" s="10" t="inlineStr">
        <is>
          <t>Line changeover impact</t>
        </is>
      </c>
      <c r="N656" s="8" t="inlineStr">
        <is>
          <t>Engineering support needed</t>
        </is>
      </c>
      <c r="O656" s="8" t="inlineStr">
        <is>
          <t>Medium</t>
        </is>
      </c>
      <c r="P656" s="8" t="inlineStr">
        <is>
          <t>Open</t>
        </is>
      </c>
      <c r="Q656" s="9">
        <f>IFERROR(IF(INDEX(Tbl_KPIMaster[Direction],MATCH($G656,Tbl_KPIMaster[KPI],0))="Lower is Better",IF($J656=0,1,IF($I656=0,0,$I656/$J656)),IF($I656=0,1,$J656/$I656)),0)</f>
        <v/>
      </c>
      <c r="R656" s="8">
        <f>IF(OR($I656="",$J656=""),"",$J656-$I656)</f>
        <v/>
      </c>
      <c r="S656" s="8">
        <f>IFERROR(IF(INDEX(Tbl_KPIMaster[Direction],MATCH($G656,Tbl_KPIMaster[KPI],0))="Lower is Better",IF($J656&lt;=$I656,"Green",IF($J656&lt;=$I656+IF($I656=0,$K656,$I656*$K656),"Amber","Red")),IF($J656&gt;=$I656,"Green",IF($J656&gt;=$I656-IF($I656=0,$K656,$I656*$K656),"Amber","Red"))),"")</f>
        <v/>
      </c>
      <c r="T656" s="10" t="inlineStr"/>
    </row>
    <row r="657">
      <c r="A657" s="3" t="n">
        <v>46162</v>
      </c>
      <c r="B657" s="4">
        <f>IF($A657="","",TEXT($A657,"mmm-yyyy"))</f>
        <v/>
      </c>
      <c r="C657" s="4">
        <f>IF($A657="","","W"&amp;WEEKNUM($A657,2))</f>
        <v/>
      </c>
      <c r="D657" s="4">
        <f>IF($A657="","",TEXT($A657,"ddd"))</f>
        <v/>
      </c>
      <c r="E657" s="4" t="inlineStr">
        <is>
          <t>Engineering</t>
        </is>
      </c>
      <c r="F657" s="4">
        <f>IFERROR(INDEX(Tbl_KPIMaster[Category],MATCH($G657,Tbl_KPIMaster[KPI],0)),"")</f>
        <v/>
      </c>
      <c r="G657" s="4" t="inlineStr">
        <is>
          <t>Project Milestone Adherence %</t>
        </is>
      </c>
      <c r="H657" s="4">
        <f>IFERROR(INDEX(Tbl_KPIMaster[Unit],MATCH($G657,Tbl_KPIMaster[KPI],0)),"")</f>
        <v/>
      </c>
      <c r="I657" s="5">
        <f>IFERROR(INDEX(Tbl_KPIMaster[Maximum Target],MATCH($G657,Tbl_KPIMaster[KPI],0)),"")</f>
        <v/>
      </c>
      <c r="J657" s="5" t="n">
        <v>0.9033</v>
      </c>
      <c r="K657" s="4">
        <f>IFERROR(INDEX(Tbl_KPIMaster[Tolerance],MATCH($G657,Tbl_KPIMaster[KPI],0)),"")</f>
        <v/>
      </c>
      <c r="L657" s="4">
        <f>IFERROR(INDEX(Tbl_KPIMaster[Owner],MATCH($G657,Tbl_KPIMaster[KPI],0)),"")</f>
        <v/>
      </c>
      <c r="M657" s="6" t="inlineStr">
        <is>
          <t>Weather impact</t>
        </is>
      </c>
      <c r="N657" s="4" t="inlineStr"/>
      <c r="O657" s="4" t="inlineStr">
        <is>
          <t>Low</t>
        </is>
      </c>
      <c r="P657" s="4" t="inlineStr">
        <is>
          <t>Closed</t>
        </is>
      </c>
      <c r="Q657" s="5">
        <f>IFERROR(IF(INDEX(Tbl_KPIMaster[Direction],MATCH($G657,Tbl_KPIMaster[KPI],0))="Lower is Better",IF($J657=0,1,IF($I657=0,0,$I657/$J657)),IF($I657=0,1,$J657/$I657)),0)</f>
        <v/>
      </c>
      <c r="R657" s="4">
        <f>IF(OR($I657="",$J657=""),"",$J657-$I657)</f>
        <v/>
      </c>
      <c r="S657" s="4">
        <f>IFERROR(IF(INDEX(Tbl_KPIMaster[Direction],MATCH($G657,Tbl_KPIMaster[KPI],0))="Lower is Better",IF($J657&lt;=$I657,"Green",IF($J657&lt;=$I657+IF($I657=0,$K657,$I657*$K657),"Amber","Red")),IF($J657&gt;=$I657,"Green",IF($J657&gt;=$I657-IF($I657=0,$K657,$I657*$K657),"Amber","Red"))),"")</f>
        <v/>
      </c>
      <c r="T657" s="6" t="inlineStr"/>
    </row>
    <row r="658">
      <c r="A658" s="7" t="n">
        <v>46162</v>
      </c>
      <c r="B658" s="8">
        <f>IF($A658="","",TEXT($A658,"mmm-yyyy"))</f>
        <v/>
      </c>
      <c r="C658" s="8">
        <f>IF($A658="","","W"&amp;WEEKNUM($A658,2))</f>
        <v/>
      </c>
      <c r="D658" s="8">
        <f>IF($A658="","",TEXT($A658,"ddd"))</f>
        <v/>
      </c>
      <c r="E658" s="8" t="inlineStr">
        <is>
          <t>Engineering</t>
        </is>
      </c>
      <c r="F658" s="8">
        <f>IFERROR(INDEX(Tbl_KPIMaster[Category],MATCH($G658,Tbl_KPIMaster[KPI],0)),"")</f>
        <v/>
      </c>
      <c r="G658" s="8" t="inlineStr">
        <is>
          <t>Breakdown Resolution Time</t>
        </is>
      </c>
      <c r="H658" s="8">
        <f>IFERROR(INDEX(Tbl_KPIMaster[Unit],MATCH($G658,Tbl_KPIMaster[KPI],0)),"")</f>
        <v/>
      </c>
      <c r="I658" s="9">
        <f>IFERROR(INDEX(Tbl_KPIMaster[Maximum Target],MATCH($G658,Tbl_KPIMaster[KPI],0)),"")</f>
        <v/>
      </c>
      <c r="J658" s="9" t="n">
        <v>0.24</v>
      </c>
      <c r="K658" s="8">
        <f>IFERROR(INDEX(Tbl_KPIMaster[Tolerance],MATCH($G658,Tbl_KPIMaster[KPI],0)),"")</f>
        <v/>
      </c>
      <c r="L658" s="8">
        <f>IFERROR(INDEX(Tbl_KPIMaster[Owner],MATCH($G658,Tbl_KPIMaster[KPI],0)),"")</f>
        <v/>
      </c>
      <c r="M658" s="10" t="inlineStr"/>
      <c r="N658" s="8" t="inlineStr">
        <is>
          <t>Management approval pending</t>
        </is>
      </c>
      <c r="O658" s="8" t="inlineStr">
        <is>
          <t>High</t>
        </is>
      </c>
      <c r="P658" s="8" t="inlineStr">
        <is>
          <t>In Progress</t>
        </is>
      </c>
      <c r="Q658" s="9">
        <f>IFERROR(IF(INDEX(Tbl_KPIMaster[Direction],MATCH($G658,Tbl_KPIMaster[KPI],0))="Lower is Better",IF($J658=0,1,IF($I658=0,0,$I658/$J658)),IF($I658=0,1,$J658/$I658)),0)</f>
        <v/>
      </c>
      <c r="R658" s="8">
        <f>IF(OR($I658="",$J658=""),"",$J658-$I658)</f>
        <v/>
      </c>
      <c r="S658" s="8">
        <f>IFERROR(IF(INDEX(Tbl_KPIMaster[Direction],MATCH($G658,Tbl_KPIMaster[KPI],0))="Lower is Better",IF($J658&lt;=$I658,"Green",IF($J658&lt;=$I658+IF($I658=0,$K658,$I658*$K658),"Amber","Red")),IF($J658&gt;=$I658,"Green",IF($J658&gt;=$I658-IF($I658=0,$K658,$I658*$K658),"Amber","Red"))),"")</f>
        <v/>
      </c>
      <c r="T658" s="10" t="inlineStr"/>
    </row>
    <row r="659">
      <c r="A659" s="3" t="n">
        <v>46162</v>
      </c>
      <c r="B659" s="4">
        <f>IF($A659="","",TEXT($A659,"mmm-yyyy"))</f>
        <v/>
      </c>
      <c r="C659" s="4">
        <f>IF($A659="","","W"&amp;WEEKNUM($A659,2))</f>
        <v/>
      </c>
      <c r="D659" s="4">
        <f>IF($A659="","",TEXT($A659,"ddd"))</f>
        <v/>
      </c>
      <c r="E659" s="4" t="inlineStr">
        <is>
          <t>Cost</t>
        </is>
      </c>
      <c r="F659" s="4">
        <f>IFERROR(INDEX(Tbl_KPIMaster[Category],MATCH($G659,Tbl_KPIMaster[KPI],0)),"")</f>
        <v/>
      </c>
      <c r="G659" s="4" t="inlineStr">
        <is>
          <t>Cost per Unit</t>
        </is>
      </c>
      <c r="H659" s="4">
        <f>IFERROR(INDEX(Tbl_KPIMaster[Unit],MATCH($G659,Tbl_KPIMaster[KPI],0)),"")</f>
        <v/>
      </c>
      <c r="I659" s="5">
        <f>IFERROR(INDEX(Tbl_KPIMaster[Maximum Target],MATCH($G659,Tbl_KPIMaster[KPI],0)),"")</f>
        <v/>
      </c>
      <c r="J659" s="5" t="n">
        <v>36.57</v>
      </c>
      <c r="K659" s="4">
        <f>IFERROR(INDEX(Tbl_KPIMaster[Tolerance],MATCH($G659,Tbl_KPIMaster[KPI],0)),"")</f>
        <v/>
      </c>
      <c r="L659" s="4">
        <f>IFERROR(INDEX(Tbl_KPIMaster[Owner],MATCH($G659,Tbl_KPIMaster[KPI],0)),"")</f>
        <v/>
      </c>
      <c r="M659" s="6" t="inlineStr">
        <is>
          <t>Line changeover impact</t>
        </is>
      </c>
      <c r="N659" s="4" t="inlineStr"/>
      <c r="O659" s="4" t="inlineStr">
        <is>
          <t>High</t>
        </is>
      </c>
      <c r="P659" s="4" t="inlineStr">
        <is>
          <t>Closed</t>
        </is>
      </c>
      <c r="Q659" s="5">
        <f>IFERROR(IF(INDEX(Tbl_KPIMaster[Direction],MATCH($G659,Tbl_KPIMaster[KPI],0))="Lower is Better",IF($J659=0,1,IF($I659=0,0,$I659/$J659)),IF($I659=0,1,$J659/$I659)),0)</f>
        <v/>
      </c>
      <c r="R659" s="4">
        <f>IF(OR($I659="",$J659=""),"",$J659-$I659)</f>
        <v/>
      </c>
      <c r="S659" s="4">
        <f>IFERROR(IF(INDEX(Tbl_KPIMaster[Direction],MATCH($G659,Tbl_KPIMaster[KPI],0))="Lower is Better",IF($J659&lt;=$I659,"Green",IF($J659&lt;=$I659+IF($I659=0,$K659,$I659*$K659),"Amber","Red")),IF($J659&gt;=$I659,"Green",IF($J659&gt;=$I659-IF($I659=0,$K659,$I659*$K659),"Amber","Red"))),"")</f>
        <v/>
      </c>
      <c r="T659" s="6" t="inlineStr"/>
    </row>
    <row r="660">
      <c r="A660" s="7" t="n">
        <v>46162</v>
      </c>
      <c r="B660" s="8">
        <f>IF($A660="","",TEXT($A660,"mmm-yyyy"))</f>
        <v/>
      </c>
      <c r="C660" s="8">
        <f>IF($A660="","","W"&amp;WEEKNUM($A660,2))</f>
        <v/>
      </c>
      <c r="D660" s="8">
        <f>IF($A660="","",TEXT($A660,"ddd"))</f>
        <v/>
      </c>
      <c r="E660" s="8" t="inlineStr">
        <is>
          <t>Cost</t>
        </is>
      </c>
      <c r="F660" s="8">
        <f>IFERROR(INDEX(Tbl_KPIMaster[Category],MATCH($G660,Tbl_KPIMaster[KPI],0)),"")</f>
        <v/>
      </c>
      <c r="G660" s="8" t="inlineStr">
        <is>
          <t>Budget Variance %</t>
        </is>
      </c>
      <c r="H660" s="8">
        <f>IFERROR(INDEX(Tbl_KPIMaster[Unit],MATCH($G660,Tbl_KPIMaster[KPI],0)),"")</f>
        <v/>
      </c>
      <c r="I660" s="9">
        <f>IFERROR(INDEX(Tbl_KPIMaster[Maximum Target],MATCH($G660,Tbl_KPIMaster[KPI],0)),"")</f>
        <v/>
      </c>
      <c r="J660" s="9" t="n">
        <v>0.0309</v>
      </c>
      <c r="K660" s="8">
        <f>IFERROR(INDEX(Tbl_KPIMaster[Tolerance],MATCH($G660,Tbl_KPIMaster[KPI],0)),"")</f>
        <v/>
      </c>
      <c r="L660" s="8">
        <f>IFERROR(INDEX(Tbl_KPIMaster[Owner],MATCH($G660,Tbl_KPIMaster[KPI],0)),"")</f>
        <v/>
      </c>
      <c r="M660" s="10" t="inlineStr">
        <is>
          <t>Line changeover impact</t>
        </is>
      </c>
      <c r="N660" s="8" t="inlineStr">
        <is>
          <t>Engineering support needed</t>
        </is>
      </c>
      <c r="O660" s="8" t="inlineStr">
        <is>
          <t>High</t>
        </is>
      </c>
      <c r="P660" s="8" t="inlineStr">
        <is>
          <t>Closed</t>
        </is>
      </c>
      <c r="Q660" s="9">
        <f>IFERROR(IF(INDEX(Tbl_KPIMaster[Direction],MATCH($G660,Tbl_KPIMaster[KPI],0))="Lower is Better",IF($J660=0,1,IF($I660=0,0,$I660/$J660)),IF($I660=0,1,$J660/$I660)),0)</f>
        <v/>
      </c>
      <c r="R660" s="8">
        <f>IF(OR($I660="",$J660=""),"",$J660-$I660)</f>
        <v/>
      </c>
      <c r="S660" s="8">
        <f>IFERROR(IF(INDEX(Tbl_KPIMaster[Direction],MATCH($G660,Tbl_KPIMaster[KPI],0))="Lower is Better",IF($J660&lt;=$I660,"Green",IF($J660&lt;=$I660+IF($I660=0,$K660,$I660*$K660),"Amber","Red")),IF($J660&gt;=$I660,"Green",IF($J660&gt;=$I660-IF($I660=0,$K660,$I660*$K660),"Amber","Red"))),"")</f>
        <v/>
      </c>
      <c r="T660" s="10" t="inlineStr"/>
    </row>
    <row r="661">
      <c r="A661" s="3" t="n">
        <v>46162</v>
      </c>
      <c r="B661" s="4">
        <f>IF($A661="","",TEXT($A661,"mmm-yyyy"))</f>
        <v/>
      </c>
      <c r="C661" s="4">
        <f>IF($A661="","","W"&amp;WEEKNUM($A661,2))</f>
        <v/>
      </c>
      <c r="D661" s="4">
        <f>IF($A661="","",TEXT($A661,"ddd"))</f>
        <v/>
      </c>
      <c r="E661" s="4" t="inlineStr">
        <is>
          <t>Energy</t>
        </is>
      </c>
      <c r="F661" s="4">
        <f>IFERROR(INDEX(Tbl_KPIMaster[Category],MATCH($G661,Tbl_KPIMaster[KPI],0)),"")</f>
        <v/>
      </c>
      <c r="G661" s="4" t="inlineStr">
        <is>
          <t>Energy Intensity (kWh/unit)</t>
        </is>
      </c>
      <c r="H661" s="4">
        <f>IFERROR(INDEX(Tbl_KPIMaster[Unit],MATCH($G661,Tbl_KPIMaster[KPI],0)),"")</f>
        <v/>
      </c>
      <c r="I661" s="5">
        <f>IFERROR(INDEX(Tbl_KPIMaster[Maximum Target],MATCH($G661,Tbl_KPIMaster[KPI],0)),"")</f>
        <v/>
      </c>
      <c r="J661" s="5" t="n">
        <v>4.31</v>
      </c>
      <c r="K661" s="4">
        <f>IFERROR(INDEX(Tbl_KPIMaster[Tolerance],MATCH($G661,Tbl_KPIMaster[KPI],0)),"")</f>
        <v/>
      </c>
      <c r="L661" s="4">
        <f>IFERROR(INDEX(Tbl_KPIMaster[Owner],MATCH($G661,Tbl_KPIMaster[KPI],0)),"")</f>
        <v/>
      </c>
      <c r="M661" s="6" t="inlineStr">
        <is>
          <t>Line changeover impact</t>
        </is>
      </c>
      <c r="N661" s="4" t="inlineStr"/>
      <c r="O661" s="4" t="inlineStr">
        <is>
          <t>Low</t>
        </is>
      </c>
      <c r="P661" s="4" t="inlineStr">
        <is>
          <t>Closed</t>
        </is>
      </c>
      <c r="Q661" s="5">
        <f>IFERROR(IF(INDEX(Tbl_KPIMaster[Direction],MATCH($G661,Tbl_KPIMaster[KPI],0))="Lower is Better",IF($J661=0,1,IF($I661=0,0,$I661/$J661)),IF($I661=0,1,$J661/$I661)),0)</f>
        <v/>
      </c>
      <c r="R661" s="4">
        <f>IF(OR($I661="",$J661=""),"",$J661-$I661)</f>
        <v/>
      </c>
      <c r="S661" s="4">
        <f>IFERROR(IF(INDEX(Tbl_KPIMaster[Direction],MATCH($G661,Tbl_KPIMaster[KPI],0))="Lower is Better",IF($J661&lt;=$I661,"Green",IF($J661&lt;=$I661+IF($I661=0,$K661,$I661*$K661),"Amber","Red")),IF($J661&gt;=$I661,"Green",IF($J661&gt;=$I661-IF($I661=0,$K661,$I661*$K661),"Amber","Red"))),"")</f>
        <v/>
      </c>
      <c r="T661" s="6" t="inlineStr"/>
    </row>
    <row r="662">
      <c r="A662" s="7" t="n">
        <v>46162</v>
      </c>
      <c r="B662" s="8">
        <f>IF($A662="","",TEXT($A662,"mmm-yyyy"))</f>
        <v/>
      </c>
      <c r="C662" s="8">
        <f>IF($A662="","","W"&amp;WEEKNUM($A662,2))</f>
        <v/>
      </c>
      <c r="D662" s="8">
        <f>IF($A662="","",TEXT($A662,"ddd"))</f>
        <v/>
      </c>
      <c r="E662" s="8" t="inlineStr">
        <is>
          <t>Energy</t>
        </is>
      </c>
      <c r="F662" s="8">
        <f>IFERROR(INDEX(Tbl_KPIMaster[Category],MATCH($G662,Tbl_KPIMaster[KPI],0)),"")</f>
        <v/>
      </c>
      <c r="G662" s="8" t="inlineStr">
        <is>
          <t>Renewable Energy Share %</t>
        </is>
      </c>
      <c r="H662" s="8">
        <f>IFERROR(INDEX(Tbl_KPIMaster[Unit],MATCH($G662,Tbl_KPIMaster[KPI],0)),"")</f>
        <v/>
      </c>
      <c r="I662" s="9">
        <f>IFERROR(INDEX(Tbl_KPIMaster[Maximum Target],MATCH($G662,Tbl_KPIMaster[KPI],0)),"")</f>
        <v/>
      </c>
      <c r="J662" s="9" t="n">
        <v>0.2385</v>
      </c>
      <c r="K662" s="8">
        <f>IFERROR(INDEX(Tbl_KPIMaster[Tolerance],MATCH($G662,Tbl_KPIMaster[KPI],0)),"")</f>
        <v/>
      </c>
      <c r="L662" s="8">
        <f>IFERROR(INDEX(Tbl_KPIMaster[Owner],MATCH($G662,Tbl_KPIMaster[KPI],0)),"")</f>
        <v/>
      </c>
      <c r="M662" s="10" t="inlineStr">
        <is>
          <t>Vendor delay</t>
        </is>
      </c>
      <c r="N662" s="8" t="inlineStr">
        <is>
          <t>Engineering support needed</t>
        </is>
      </c>
      <c r="O662" s="8" t="inlineStr">
        <is>
          <t>Low</t>
        </is>
      </c>
      <c r="P662" s="8" t="inlineStr">
        <is>
          <t>Closed</t>
        </is>
      </c>
      <c r="Q662" s="9">
        <f>IFERROR(IF(INDEX(Tbl_KPIMaster[Direction],MATCH($G662,Tbl_KPIMaster[KPI],0))="Lower is Better",IF($J662=0,1,IF($I662=0,0,$I662/$J662)),IF($I662=0,1,$J662/$I662)),0)</f>
        <v/>
      </c>
      <c r="R662" s="8">
        <f>IF(OR($I662="",$J662=""),"",$J662-$I662)</f>
        <v/>
      </c>
      <c r="S662" s="8">
        <f>IFERROR(IF(INDEX(Tbl_KPIMaster[Direction],MATCH($G662,Tbl_KPIMaster[KPI],0))="Lower is Better",IF($J662&lt;=$I662,"Green",IF($J662&lt;=$I662+IF($I662=0,$K662,$I662*$K662),"Amber","Red")),IF($J662&gt;=$I662,"Green",IF($J662&gt;=$I662-IF($I662=0,$K662,$I662*$K662),"Amber","Red"))),"")</f>
        <v/>
      </c>
      <c r="T662" s="10" t="inlineStr"/>
    </row>
    <row r="663">
      <c r="A663" s="3" t="n">
        <v>46163</v>
      </c>
      <c r="B663" s="4">
        <f>IF($A663="","",TEXT($A663,"mmm-yyyy"))</f>
        <v/>
      </c>
      <c r="C663" s="4">
        <f>IF($A663="","","W"&amp;WEEKNUM($A663,2))</f>
        <v/>
      </c>
      <c r="D663" s="4">
        <f>IF($A663="","",TEXT($A663,"ddd"))</f>
        <v/>
      </c>
      <c r="E663" s="4" t="inlineStr">
        <is>
          <t>Safety</t>
        </is>
      </c>
      <c r="F663" s="4">
        <f>IFERROR(INDEX(Tbl_KPIMaster[Category],MATCH($G663,Tbl_KPIMaster[KPI],0)),"")</f>
        <v/>
      </c>
      <c r="G663" s="4" t="inlineStr">
        <is>
          <t>Safety Incidents (LTI)</t>
        </is>
      </c>
      <c r="H663" s="4">
        <f>IFERROR(INDEX(Tbl_KPIMaster[Unit],MATCH($G663,Tbl_KPIMaster[KPI],0)),"")</f>
        <v/>
      </c>
      <c r="I663" s="5">
        <f>IFERROR(INDEX(Tbl_KPIMaster[Maximum Target],MATCH($G663,Tbl_KPIMaster[KPI],0)),"")</f>
        <v/>
      </c>
      <c r="J663" s="5" t="n">
        <v>0</v>
      </c>
      <c r="K663" s="4">
        <f>IFERROR(INDEX(Tbl_KPIMaster[Tolerance],MATCH($G663,Tbl_KPIMaster[KPI],0)),"")</f>
        <v/>
      </c>
      <c r="L663" s="4">
        <f>IFERROR(INDEX(Tbl_KPIMaster[Owner],MATCH($G663,Tbl_KPIMaster[KPI],0)),"")</f>
        <v/>
      </c>
      <c r="M663" s="6" t="inlineStr"/>
      <c r="N663" s="4" t="inlineStr"/>
      <c r="O663" s="4" t="inlineStr">
        <is>
          <t>Low</t>
        </is>
      </c>
      <c r="P663" s="4" t="inlineStr">
        <is>
          <t>In Progress</t>
        </is>
      </c>
      <c r="Q663" s="5">
        <f>IFERROR(IF(INDEX(Tbl_KPIMaster[Direction],MATCH($G663,Tbl_KPIMaster[KPI],0))="Lower is Better",IF($J663=0,1,IF($I663=0,0,$I663/$J663)),IF($I663=0,1,$J663/$I663)),0)</f>
        <v/>
      </c>
      <c r="R663" s="4">
        <f>IF(OR($I663="",$J663=""),"",$J663-$I663)</f>
        <v/>
      </c>
      <c r="S663" s="4">
        <f>IFERROR(IF(INDEX(Tbl_KPIMaster[Direction],MATCH($G663,Tbl_KPIMaster[KPI],0))="Lower is Better",IF($J663&lt;=$I663,"Green",IF($J663&lt;=$I663+IF($I663=0,$K663,$I663*$K663),"Amber","Red")),IF($J663&gt;=$I663,"Green",IF($J663&gt;=$I663-IF($I663=0,$K663,$I663*$K663),"Amber","Red"))),"")</f>
        <v/>
      </c>
      <c r="T663" s="6" t="inlineStr"/>
    </row>
    <row r="664">
      <c r="A664" s="7" t="n">
        <v>46163</v>
      </c>
      <c r="B664" s="8">
        <f>IF($A664="","",TEXT($A664,"mmm-yyyy"))</f>
        <v/>
      </c>
      <c r="C664" s="8">
        <f>IF($A664="","","W"&amp;WEEKNUM($A664,2))</f>
        <v/>
      </c>
      <c r="D664" s="8">
        <f>IF($A664="","",TEXT($A664,"ddd"))</f>
        <v/>
      </c>
      <c r="E664" s="8" t="inlineStr">
        <is>
          <t>Safety</t>
        </is>
      </c>
      <c r="F664" s="8">
        <f>IFERROR(INDEX(Tbl_KPIMaster[Category],MATCH($G664,Tbl_KPIMaster[KPI],0)),"")</f>
        <v/>
      </c>
      <c r="G664" s="8" t="inlineStr">
        <is>
          <t>Near Miss Reports</t>
        </is>
      </c>
      <c r="H664" s="8">
        <f>IFERROR(INDEX(Tbl_KPIMaster[Unit],MATCH($G664,Tbl_KPIMaster[KPI],0)),"")</f>
        <v/>
      </c>
      <c r="I664" s="9">
        <f>IFERROR(INDEX(Tbl_KPIMaster[Maximum Target],MATCH($G664,Tbl_KPIMaster[KPI],0)),"")</f>
        <v/>
      </c>
      <c r="J664" s="9" t="n">
        <v>2</v>
      </c>
      <c r="K664" s="8">
        <f>IFERROR(INDEX(Tbl_KPIMaster[Tolerance],MATCH($G664,Tbl_KPIMaster[KPI],0)),"")</f>
        <v/>
      </c>
      <c r="L664" s="8">
        <f>IFERROR(INDEX(Tbl_KPIMaster[Owner],MATCH($G664,Tbl_KPIMaster[KPI],0)),"")</f>
        <v/>
      </c>
      <c r="M664" s="10" t="inlineStr">
        <is>
          <t>Weather impact</t>
        </is>
      </c>
      <c r="N664" s="8" t="inlineStr"/>
      <c r="O664" s="8" t="inlineStr">
        <is>
          <t>Low</t>
        </is>
      </c>
      <c r="P664" s="8" t="inlineStr">
        <is>
          <t>Closed</t>
        </is>
      </c>
      <c r="Q664" s="9">
        <f>IFERROR(IF(INDEX(Tbl_KPIMaster[Direction],MATCH($G664,Tbl_KPIMaster[KPI],0))="Lower is Better",IF($J664=0,1,IF($I664=0,0,$I664/$J664)),IF($I664=0,1,$J664/$I664)),0)</f>
        <v/>
      </c>
      <c r="R664" s="8">
        <f>IF(OR($I664="",$J664=""),"",$J664-$I664)</f>
        <v/>
      </c>
      <c r="S664" s="8">
        <f>IFERROR(IF(INDEX(Tbl_KPIMaster[Direction],MATCH($G664,Tbl_KPIMaster[KPI],0))="Lower is Better",IF($J664&lt;=$I664,"Green",IF($J664&lt;=$I664+IF($I664=0,$K664,$I664*$K664),"Amber","Red")),IF($J664&gt;=$I664,"Green",IF($J664&gt;=$I664-IF($I664=0,$K664,$I664*$K664),"Amber","Red"))),"")</f>
        <v/>
      </c>
      <c r="T664" s="10" t="inlineStr"/>
    </row>
    <row r="665">
      <c r="A665" s="3" t="n">
        <v>46163</v>
      </c>
      <c r="B665" s="4">
        <f>IF($A665="","",TEXT($A665,"mmm-yyyy"))</f>
        <v/>
      </c>
      <c r="C665" s="4">
        <f>IF($A665="","","W"&amp;WEEKNUM($A665,2))</f>
        <v/>
      </c>
      <c r="D665" s="4">
        <f>IF($A665="","",TEXT($A665,"ddd"))</f>
        <v/>
      </c>
      <c r="E665" s="4" t="inlineStr">
        <is>
          <t>Production</t>
        </is>
      </c>
      <c r="F665" s="4">
        <f>IFERROR(INDEX(Tbl_KPIMaster[Category],MATCH($G665,Tbl_KPIMaster[KPI],0)),"")</f>
        <v/>
      </c>
      <c r="G665" s="4" t="inlineStr">
        <is>
          <t>Production Output</t>
        </is>
      </c>
      <c r="H665" s="4">
        <f>IFERROR(INDEX(Tbl_KPIMaster[Unit],MATCH($G665,Tbl_KPIMaster[KPI],0)),"")</f>
        <v/>
      </c>
      <c r="I665" s="5">
        <f>IFERROR(INDEX(Tbl_KPIMaster[Maximum Target],MATCH($G665,Tbl_KPIMaster[KPI],0)),"")</f>
        <v/>
      </c>
      <c r="J665" s="5" t="n">
        <v>1079.31</v>
      </c>
      <c r="K665" s="4">
        <f>IFERROR(INDEX(Tbl_KPIMaster[Tolerance],MATCH($G665,Tbl_KPIMaster[KPI],0)),"")</f>
        <v/>
      </c>
      <c r="L665" s="4">
        <f>IFERROR(INDEX(Tbl_KPIMaster[Owner],MATCH($G665,Tbl_KPIMaster[KPI],0)),"")</f>
        <v/>
      </c>
      <c r="M665" s="6" t="inlineStr"/>
      <c r="N665" s="4" t="inlineStr"/>
      <c r="O665" s="4" t="inlineStr">
        <is>
          <t>Low</t>
        </is>
      </c>
      <c r="P665" s="4" t="inlineStr">
        <is>
          <t>Closed</t>
        </is>
      </c>
      <c r="Q665" s="5">
        <f>IFERROR(IF(INDEX(Tbl_KPIMaster[Direction],MATCH($G665,Tbl_KPIMaster[KPI],0))="Lower is Better",IF($J665=0,1,IF($I665=0,0,$I665/$J665)),IF($I665=0,1,$J665/$I665)),0)</f>
        <v/>
      </c>
      <c r="R665" s="4">
        <f>IF(OR($I665="",$J665=""),"",$J665-$I665)</f>
        <v/>
      </c>
      <c r="S665" s="4">
        <f>IFERROR(IF(INDEX(Tbl_KPIMaster[Direction],MATCH($G665,Tbl_KPIMaster[KPI],0))="Lower is Better",IF($J665&lt;=$I665,"Green",IF($J665&lt;=$I665+IF($I665=0,$K665,$I665*$K665),"Amber","Red")),IF($J665&gt;=$I665,"Green",IF($J665&gt;=$I665-IF($I665=0,$K665,$I665*$K665),"Amber","Red"))),"")</f>
        <v/>
      </c>
      <c r="T665" s="6" t="inlineStr"/>
    </row>
    <row r="666">
      <c r="A666" s="7" t="n">
        <v>46163</v>
      </c>
      <c r="B666" s="8">
        <f>IF($A666="","",TEXT($A666,"mmm-yyyy"))</f>
        <v/>
      </c>
      <c r="C666" s="8">
        <f>IF($A666="","","W"&amp;WEEKNUM($A666,2))</f>
        <v/>
      </c>
      <c r="D666" s="8">
        <f>IF($A666="","",TEXT($A666,"ddd"))</f>
        <v/>
      </c>
      <c r="E666" s="8" t="inlineStr">
        <is>
          <t>Production</t>
        </is>
      </c>
      <c r="F666" s="8">
        <f>IFERROR(INDEX(Tbl_KPIMaster[Category],MATCH($G666,Tbl_KPIMaster[KPI],0)),"")</f>
        <v/>
      </c>
      <c r="G666" s="8" t="inlineStr">
        <is>
          <t>OEE %</t>
        </is>
      </c>
      <c r="H666" s="8">
        <f>IFERROR(INDEX(Tbl_KPIMaster[Unit],MATCH($G666,Tbl_KPIMaster[KPI],0)),"")</f>
        <v/>
      </c>
      <c r="I666" s="9">
        <f>IFERROR(INDEX(Tbl_KPIMaster[Maximum Target],MATCH($G666,Tbl_KPIMaster[KPI],0)),"")</f>
        <v/>
      </c>
      <c r="J666" s="9" t="n">
        <v>0.9227</v>
      </c>
      <c r="K666" s="8">
        <f>IFERROR(INDEX(Tbl_KPIMaster[Tolerance],MATCH($G666,Tbl_KPIMaster[KPI],0)),"")</f>
        <v/>
      </c>
      <c r="L666" s="8">
        <f>IFERROR(INDEX(Tbl_KPIMaster[Owner],MATCH($G666,Tbl_KPIMaster[KPI],0)),"")</f>
        <v/>
      </c>
      <c r="M666" s="10" t="inlineStr">
        <is>
          <t>Manpower shortage</t>
        </is>
      </c>
      <c r="N666" s="8" t="inlineStr">
        <is>
          <t>Procurement follow-up</t>
        </is>
      </c>
      <c r="O666" s="8" t="inlineStr">
        <is>
          <t>Medium</t>
        </is>
      </c>
      <c r="P666" s="8" t="inlineStr">
        <is>
          <t>Closed</t>
        </is>
      </c>
      <c r="Q666" s="9">
        <f>IFERROR(IF(INDEX(Tbl_KPIMaster[Direction],MATCH($G666,Tbl_KPIMaster[KPI],0))="Lower is Better",IF($J666=0,1,IF($I666=0,0,$I666/$J666)),IF($I666=0,1,$J666/$I666)),0)</f>
        <v/>
      </c>
      <c r="R666" s="8">
        <f>IF(OR($I666="",$J666=""),"",$J666-$I666)</f>
        <v/>
      </c>
      <c r="S666" s="8">
        <f>IFERROR(IF(INDEX(Tbl_KPIMaster[Direction],MATCH($G666,Tbl_KPIMaster[KPI],0))="Lower is Better",IF($J666&lt;=$I666,"Green",IF($J666&lt;=$I666+IF($I666=0,$K666,$I666*$K666),"Amber","Red")),IF($J666&gt;=$I666,"Green",IF($J666&gt;=$I666-IF($I666=0,$K666,$I666*$K666),"Amber","Red"))),"")</f>
        <v/>
      </c>
      <c r="T666" s="10" t="inlineStr"/>
    </row>
    <row r="667">
      <c r="A667" s="3" t="n">
        <v>46163</v>
      </c>
      <c r="B667" s="4">
        <f>IF($A667="","",TEXT($A667,"mmm-yyyy"))</f>
        <v/>
      </c>
      <c r="C667" s="4">
        <f>IF($A667="","","W"&amp;WEEKNUM($A667,2))</f>
        <v/>
      </c>
      <c r="D667" s="4">
        <f>IF($A667="","",TEXT($A667,"ddd"))</f>
        <v/>
      </c>
      <c r="E667" s="4" t="inlineStr">
        <is>
          <t>Quality</t>
        </is>
      </c>
      <c r="F667" s="4">
        <f>IFERROR(INDEX(Tbl_KPIMaster[Category],MATCH($G667,Tbl_KPIMaster[KPI],0)),"")</f>
        <v/>
      </c>
      <c r="G667" s="4" t="inlineStr">
        <is>
          <t>Defect Rate %</t>
        </is>
      </c>
      <c r="H667" s="4">
        <f>IFERROR(INDEX(Tbl_KPIMaster[Unit],MATCH($G667,Tbl_KPIMaster[KPI],0)),"")</f>
        <v/>
      </c>
      <c r="I667" s="5">
        <f>IFERROR(INDEX(Tbl_KPIMaster[Maximum Target],MATCH($G667,Tbl_KPIMaster[KPI],0)),"")</f>
        <v/>
      </c>
      <c r="J667" s="5" t="n">
        <v>0.1203</v>
      </c>
      <c r="K667" s="4">
        <f>IFERROR(INDEX(Tbl_KPIMaster[Tolerance],MATCH($G667,Tbl_KPIMaster[KPI],0)),"")</f>
        <v/>
      </c>
      <c r="L667" s="4">
        <f>IFERROR(INDEX(Tbl_KPIMaster[Owner],MATCH($G667,Tbl_KPIMaster[KPI],0)),"")</f>
        <v/>
      </c>
      <c r="M667" s="6" t="inlineStr">
        <is>
          <t>Awaiting spares</t>
        </is>
      </c>
      <c r="N667" s="4" t="inlineStr">
        <is>
          <t>Management approval pending</t>
        </is>
      </c>
      <c r="O667" s="4" t="inlineStr">
        <is>
          <t>Medium</t>
        </is>
      </c>
      <c r="P667" s="4" t="inlineStr">
        <is>
          <t>Closed</t>
        </is>
      </c>
      <c r="Q667" s="5">
        <f>IFERROR(IF(INDEX(Tbl_KPIMaster[Direction],MATCH($G667,Tbl_KPIMaster[KPI],0))="Lower is Better",IF($J667=0,1,IF($I667=0,0,$I667/$J667)),IF($I667=0,1,$J667/$I667)),0)</f>
        <v/>
      </c>
      <c r="R667" s="4">
        <f>IF(OR($I667="",$J667=""),"",$J667-$I667)</f>
        <v/>
      </c>
      <c r="S667" s="4">
        <f>IFERROR(IF(INDEX(Tbl_KPIMaster[Direction],MATCH($G667,Tbl_KPIMaster[KPI],0))="Lower is Better",IF($J667&lt;=$I667,"Green",IF($J667&lt;=$I667+IF($I667=0,$K667,$I667*$K667),"Amber","Red")),IF($J667&gt;=$I667,"Green",IF($J667&gt;=$I667-IF($I667=0,$K667,$I667*$K667),"Amber","Red"))),"")</f>
        <v/>
      </c>
      <c r="T667" s="6" t="inlineStr"/>
    </row>
    <row r="668">
      <c r="A668" s="7" t="n">
        <v>46163</v>
      </c>
      <c r="B668" s="8">
        <f>IF($A668="","",TEXT($A668,"mmm-yyyy"))</f>
        <v/>
      </c>
      <c r="C668" s="8">
        <f>IF($A668="","","W"&amp;WEEKNUM($A668,2))</f>
        <v/>
      </c>
      <c r="D668" s="8">
        <f>IF($A668="","",TEXT($A668,"ddd"))</f>
        <v/>
      </c>
      <c r="E668" s="8" t="inlineStr">
        <is>
          <t>Quality</t>
        </is>
      </c>
      <c r="F668" s="8">
        <f>IFERROR(INDEX(Tbl_KPIMaster[Category],MATCH($G668,Tbl_KPIMaster[KPI],0)),"")</f>
        <v/>
      </c>
      <c r="G668" s="8" t="inlineStr">
        <is>
          <t>Customer Complaints</t>
        </is>
      </c>
      <c r="H668" s="8">
        <f>IFERROR(INDEX(Tbl_KPIMaster[Unit],MATCH($G668,Tbl_KPIMaster[KPI],0)),"")</f>
        <v/>
      </c>
      <c r="I668" s="9">
        <f>IFERROR(INDEX(Tbl_KPIMaster[Maximum Target],MATCH($G668,Tbl_KPIMaster[KPI],0)),"")</f>
        <v/>
      </c>
      <c r="J668" s="9" t="n">
        <v>0</v>
      </c>
      <c r="K668" s="8">
        <f>IFERROR(INDEX(Tbl_KPIMaster[Tolerance],MATCH($G668,Tbl_KPIMaster[KPI],0)),"")</f>
        <v/>
      </c>
      <c r="L668" s="8">
        <f>IFERROR(INDEX(Tbl_KPIMaster[Owner],MATCH($G668,Tbl_KPIMaster[KPI],0)),"")</f>
        <v/>
      </c>
      <c r="M668" s="10" t="inlineStr">
        <is>
          <t>Equipment breakdown</t>
        </is>
      </c>
      <c r="N668" s="8" t="inlineStr">
        <is>
          <t>Management approval pending</t>
        </is>
      </c>
      <c r="O668" s="8" t="inlineStr">
        <is>
          <t>Medium</t>
        </is>
      </c>
      <c r="P668" s="8" t="inlineStr">
        <is>
          <t>In Progress</t>
        </is>
      </c>
      <c r="Q668" s="9">
        <f>IFERROR(IF(INDEX(Tbl_KPIMaster[Direction],MATCH($G668,Tbl_KPIMaster[KPI],0))="Lower is Better",IF($J668=0,1,IF($I668=0,0,$I668/$J668)),IF($I668=0,1,$J668/$I668)),0)</f>
        <v/>
      </c>
      <c r="R668" s="8">
        <f>IF(OR($I668="",$J668=""),"",$J668-$I668)</f>
        <v/>
      </c>
      <c r="S668" s="8">
        <f>IFERROR(IF(INDEX(Tbl_KPIMaster[Direction],MATCH($G668,Tbl_KPIMaster[KPI],0))="Lower is Better",IF($J668&lt;=$I668,"Green",IF($J668&lt;=$I668+IF($I668=0,$K668,$I668*$K668),"Amber","Red")),IF($J668&gt;=$I668,"Green",IF($J668&gt;=$I668-IF($I668=0,$K668,$I668*$K668),"Amber","Red"))),"")</f>
        <v/>
      </c>
      <c r="T668" s="10" t="inlineStr"/>
    </row>
    <row r="669">
      <c r="A669" s="3" t="n">
        <v>46163</v>
      </c>
      <c r="B669" s="4">
        <f>IF($A669="","",TEXT($A669,"mmm-yyyy"))</f>
        <v/>
      </c>
      <c r="C669" s="4">
        <f>IF($A669="","","W"&amp;WEEKNUM($A669,2))</f>
        <v/>
      </c>
      <c r="D669" s="4">
        <f>IF($A669="","",TEXT($A669,"ddd"))</f>
        <v/>
      </c>
      <c r="E669" s="4" t="inlineStr">
        <is>
          <t>Maintenance</t>
        </is>
      </c>
      <c r="F669" s="4">
        <f>IFERROR(INDEX(Tbl_KPIMaster[Category],MATCH($G669,Tbl_KPIMaster[KPI],0)),"")</f>
        <v/>
      </c>
      <c r="G669" s="4" t="inlineStr">
        <is>
          <t>Unplanned Downtime</t>
        </is>
      </c>
      <c r="H669" s="4">
        <f>IFERROR(INDEX(Tbl_KPIMaster[Unit],MATCH($G669,Tbl_KPIMaster[KPI],0)),"")</f>
        <v/>
      </c>
      <c r="I669" s="5">
        <f>IFERROR(INDEX(Tbl_KPIMaster[Maximum Target],MATCH($G669,Tbl_KPIMaster[KPI],0)),"")</f>
        <v/>
      </c>
      <c r="J669" s="5" t="n">
        <v>0</v>
      </c>
      <c r="K669" s="4">
        <f>IFERROR(INDEX(Tbl_KPIMaster[Tolerance],MATCH($G669,Tbl_KPIMaster[KPI],0)),"")</f>
        <v/>
      </c>
      <c r="L669" s="4">
        <f>IFERROR(INDEX(Tbl_KPIMaster[Owner],MATCH($G669,Tbl_KPIMaster[KPI],0)),"")</f>
        <v/>
      </c>
      <c r="M669" s="6" t="inlineStr">
        <is>
          <t>New operator training effect</t>
        </is>
      </c>
      <c r="N669" s="4" t="inlineStr">
        <is>
          <t>Engineering support needed</t>
        </is>
      </c>
      <c r="O669" s="4" t="inlineStr">
        <is>
          <t>Low</t>
        </is>
      </c>
      <c r="P669" s="4" t="inlineStr">
        <is>
          <t>Closed</t>
        </is>
      </c>
      <c r="Q669" s="5">
        <f>IFERROR(IF(INDEX(Tbl_KPIMaster[Direction],MATCH($G669,Tbl_KPIMaster[KPI],0))="Lower is Better",IF($J669=0,1,IF($I669=0,0,$I669/$J669)),IF($I669=0,1,$J669/$I669)),0)</f>
        <v/>
      </c>
      <c r="R669" s="4">
        <f>IF(OR($I669="",$J669=""),"",$J669-$I669)</f>
        <v/>
      </c>
      <c r="S669" s="4">
        <f>IFERROR(IF(INDEX(Tbl_KPIMaster[Direction],MATCH($G669,Tbl_KPIMaster[KPI],0))="Lower is Better",IF($J669&lt;=$I669,"Green",IF($J669&lt;=$I669+IF($I669=0,$K669,$I669*$K669),"Amber","Red")),IF($J669&gt;=$I669,"Green",IF($J669&gt;=$I669-IF($I669=0,$K669,$I669*$K669),"Amber","Red"))),"")</f>
        <v/>
      </c>
      <c r="T669" s="6" t="inlineStr"/>
    </row>
    <row r="670">
      <c r="A670" s="7" t="n">
        <v>46163</v>
      </c>
      <c r="B670" s="8">
        <f>IF($A670="","",TEXT($A670,"mmm-yyyy"))</f>
        <v/>
      </c>
      <c r="C670" s="8">
        <f>IF($A670="","","W"&amp;WEEKNUM($A670,2))</f>
        <v/>
      </c>
      <c r="D670" s="8">
        <f>IF($A670="","",TEXT($A670,"ddd"))</f>
        <v/>
      </c>
      <c r="E670" s="8" t="inlineStr">
        <is>
          <t>Maintenance</t>
        </is>
      </c>
      <c r="F670" s="8">
        <f>IFERROR(INDEX(Tbl_KPIMaster[Category],MATCH($G670,Tbl_KPIMaster[KPI],0)),"")</f>
        <v/>
      </c>
      <c r="G670" s="8" t="inlineStr">
        <is>
          <t>PM Compliance %</t>
        </is>
      </c>
      <c r="H670" s="8">
        <f>IFERROR(INDEX(Tbl_KPIMaster[Unit],MATCH($G670,Tbl_KPIMaster[KPI],0)),"")</f>
        <v/>
      </c>
      <c r="I670" s="9">
        <f>IFERROR(INDEX(Tbl_KPIMaster[Maximum Target],MATCH($G670,Tbl_KPIMaster[KPI],0)),"")</f>
        <v/>
      </c>
      <c r="J670" s="9" t="n">
        <v>1.0958</v>
      </c>
      <c r="K670" s="8">
        <f>IFERROR(INDEX(Tbl_KPIMaster[Tolerance],MATCH($G670,Tbl_KPIMaster[KPI],0)),"")</f>
        <v/>
      </c>
      <c r="L670" s="8">
        <f>IFERROR(INDEX(Tbl_KPIMaster[Owner],MATCH($G670,Tbl_KPIMaster[KPI],0)),"")</f>
        <v/>
      </c>
      <c r="M670" s="10" t="inlineStr">
        <is>
          <t>Preventive check done</t>
        </is>
      </c>
      <c r="N670" s="8" t="inlineStr"/>
      <c r="O670" s="8" t="inlineStr">
        <is>
          <t>Medium</t>
        </is>
      </c>
      <c r="P670" s="8" t="inlineStr">
        <is>
          <t>Closed</t>
        </is>
      </c>
      <c r="Q670" s="9">
        <f>IFERROR(IF(INDEX(Tbl_KPIMaster[Direction],MATCH($G670,Tbl_KPIMaster[KPI],0))="Lower is Better",IF($J670=0,1,IF($I670=0,0,$I670/$J670)),IF($I670=0,1,$J670/$I670)),0)</f>
        <v/>
      </c>
      <c r="R670" s="8">
        <f>IF(OR($I670="",$J670=""),"",$J670-$I670)</f>
        <v/>
      </c>
      <c r="S670" s="8">
        <f>IFERROR(IF(INDEX(Tbl_KPIMaster[Direction],MATCH($G670,Tbl_KPIMaster[KPI],0))="Lower is Better",IF($J670&lt;=$I670,"Green",IF($J670&lt;=$I670+IF($I670=0,$K670,$I670*$K670),"Amber","Red")),IF($J670&gt;=$I670,"Green",IF($J670&gt;=$I670-IF($I670=0,$K670,$I670*$K670),"Amber","Red"))),"")</f>
        <v/>
      </c>
      <c r="T670" s="10" t="inlineStr"/>
    </row>
    <row r="671">
      <c r="A671" s="3" t="n">
        <v>46163</v>
      </c>
      <c r="B671" s="4">
        <f>IF($A671="","",TEXT($A671,"mmm-yyyy"))</f>
        <v/>
      </c>
      <c r="C671" s="4">
        <f>IF($A671="","","W"&amp;WEEKNUM($A671,2))</f>
        <v/>
      </c>
      <c r="D671" s="4">
        <f>IF($A671="","",TEXT($A671,"ddd"))</f>
        <v/>
      </c>
      <c r="E671" s="4" t="inlineStr">
        <is>
          <t>Utilities</t>
        </is>
      </c>
      <c r="F671" s="4">
        <f>IFERROR(INDEX(Tbl_KPIMaster[Category],MATCH($G671,Tbl_KPIMaster[KPI],0)),"")</f>
        <v/>
      </c>
      <c r="G671" s="4" t="inlineStr">
        <is>
          <t>Power Consumption</t>
        </is>
      </c>
      <c r="H671" s="4">
        <f>IFERROR(INDEX(Tbl_KPIMaster[Unit],MATCH($G671,Tbl_KPIMaster[KPI],0)),"")</f>
        <v/>
      </c>
      <c r="I671" s="5">
        <f>IFERROR(INDEX(Tbl_KPIMaster[Maximum Target],MATCH($G671,Tbl_KPIMaster[KPI],0)),"")</f>
        <v/>
      </c>
      <c r="J671" s="5" t="n">
        <v>3826.37</v>
      </c>
      <c r="K671" s="4">
        <f>IFERROR(INDEX(Tbl_KPIMaster[Tolerance],MATCH($G671,Tbl_KPIMaster[KPI],0)),"")</f>
        <v/>
      </c>
      <c r="L671" s="4">
        <f>IFERROR(INDEX(Tbl_KPIMaster[Owner],MATCH($G671,Tbl_KPIMaster[KPI],0)),"")</f>
        <v/>
      </c>
      <c r="M671" s="6" t="inlineStr">
        <is>
          <t>Awaiting spares</t>
        </is>
      </c>
      <c r="N671" s="4" t="inlineStr"/>
      <c r="O671" s="4" t="inlineStr">
        <is>
          <t>Medium</t>
        </is>
      </c>
      <c r="P671" s="4" t="inlineStr">
        <is>
          <t>Closed</t>
        </is>
      </c>
      <c r="Q671" s="5">
        <f>IFERROR(IF(INDEX(Tbl_KPIMaster[Direction],MATCH($G671,Tbl_KPIMaster[KPI],0))="Lower is Better",IF($J671=0,1,IF($I671=0,0,$I671/$J671)),IF($I671=0,1,$J671/$I671)),0)</f>
        <v/>
      </c>
      <c r="R671" s="4">
        <f>IF(OR($I671="",$J671=""),"",$J671-$I671)</f>
        <v/>
      </c>
      <c r="S671" s="4">
        <f>IFERROR(IF(INDEX(Tbl_KPIMaster[Direction],MATCH($G671,Tbl_KPIMaster[KPI],0))="Lower is Better",IF($J671&lt;=$I671,"Green",IF($J671&lt;=$I671+IF($I671=0,$K671,$I671*$K671),"Amber","Red")),IF($J671&gt;=$I671,"Green",IF($J671&gt;=$I671-IF($I671=0,$K671,$I671*$K671),"Amber","Red"))),"")</f>
        <v/>
      </c>
      <c r="T671" s="6" t="inlineStr"/>
    </row>
    <row r="672">
      <c r="A672" s="7" t="n">
        <v>46163</v>
      </c>
      <c r="B672" s="8">
        <f>IF($A672="","",TEXT($A672,"mmm-yyyy"))</f>
        <v/>
      </c>
      <c r="C672" s="8">
        <f>IF($A672="","","W"&amp;WEEKNUM($A672,2))</f>
        <v/>
      </c>
      <c r="D672" s="8">
        <f>IF($A672="","",TEXT($A672,"ddd"))</f>
        <v/>
      </c>
      <c r="E672" s="8" t="inlineStr">
        <is>
          <t>Utilities</t>
        </is>
      </c>
      <c r="F672" s="8">
        <f>IFERROR(INDEX(Tbl_KPIMaster[Category],MATCH($G672,Tbl_KPIMaster[KPI],0)),"")</f>
        <v/>
      </c>
      <c r="G672" s="8" t="inlineStr">
        <is>
          <t>Water Consumption</t>
        </is>
      </c>
      <c r="H672" s="8">
        <f>IFERROR(INDEX(Tbl_KPIMaster[Unit],MATCH($G672,Tbl_KPIMaster[KPI],0)),"")</f>
        <v/>
      </c>
      <c r="I672" s="9">
        <f>IFERROR(INDEX(Tbl_KPIMaster[Maximum Target],MATCH($G672,Tbl_KPIMaster[KPI],0)),"")</f>
        <v/>
      </c>
      <c r="J672" s="9" t="n">
        <v>59.73</v>
      </c>
      <c r="K672" s="8">
        <f>IFERROR(INDEX(Tbl_KPIMaster[Tolerance],MATCH($G672,Tbl_KPIMaster[KPI],0)),"")</f>
        <v/>
      </c>
      <c r="L672" s="8">
        <f>IFERROR(INDEX(Tbl_KPIMaster[Owner],MATCH($G672,Tbl_KPIMaster[KPI],0)),"")</f>
        <v/>
      </c>
      <c r="M672" s="10" t="inlineStr">
        <is>
          <t>Awaiting spares</t>
        </is>
      </c>
      <c r="N672" s="8" t="inlineStr"/>
      <c r="O672" s="8" t="inlineStr">
        <is>
          <t>Low</t>
        </is>
      </c>
      <c r="P672" s="8" t="inlineStr">
        <is>
          <t>Closed</t>
        </is>
      </c>
      <c r="Q672" s="9">
        <f>IFERROR(IF(INDEX(Tbl_KPIMaster[Direction],MATCH($G672,Tbl_KPIMaster[KPI],0))="Lower is Better",IF($J672=0,1,IF($I672=0,0,$I672/$J672)),IF($I672=0,1,$J672/$I672)),0)</f>
        <v/>
      </c>
      <c r="R672" s="8">
        <f>IF(OR($I672="",$J672=""),"",$J672-$I672)</f>
        <v/>
      </c>
      <c r="S672" s="8">
        <f>IFERROR(IF(INDEX(Tbl_KPIMaster[Direction],MATCH($G672,Tbl_KPIMaster[KPI],0))="Lower is Better",IF($J672&lt;=$I672,"Green",IF($J672&lt;=$I672+IF($I672=0,$K672,$I672*$K672),"Amber","Red")),IF($J672&gt;=$I672,"Green",IF($J672&gt;=$I672-IF($I672=0,$K672,$I672*$K672),"Amber","Red"))),"")</f>
        <v/>
      </c>
      <c r="T672" s="10" t="inlineStr"/>
    </row>
    <row r="673">
      <c r="A673" s="3" t="n">
        <v>46163</v>
      </c>
      <c r="B673" s="4">
        <f>IF($A673="","",TEXT($A673,"mmm-yyyy"))</f>
        <v/>
      </c>
      <c r="C673" s="4">
        <f>IF($A673="","","W"&amp;WEEKNUM($A673,2))</f>
        <v/>
      </c>
      <c r="D673" s="4">
        <f>IF($A673="","",TEXT($A673,"ddd"))</f>
        <v/>
      </c>
      <c r="E673" s="4" t="inlineStr">
        <is>
          <t>Warehouse</t>
        </is>
      </c>
      <c r="F673" s="4">
        <f>IFERROR(INDEX(Tbl_KPIMaster[Category],MATCH($G673,Tbl_KPIMaster[KPI],0)),"")</f>
        <v/>
      </c>
      <c r="G673" s="4" t="inlineStr">
        <is>
          <t>On-Time Dispatch %</t>
        </is>
      </c>
      <c r="H673" s="4">
        <f>IFERROR(INDEX(Tbl_KPIMaster[Unit],MATCH($G673,Tbl_KPIMaster[KPI],0)),"")</f>
        <v/>
      </c>
      <c r="I673" s="5">
        <f>IFERROR(INDEX(Tbl_KPIMaster[Maximum Target],MATCH($G673,Tbl_KPIMaster[KPI],0)),"")</f>
        <v/>
      </c>
      <c r="J673" s="5" t="n">
        <v>0.9019</v>
      </c>
      <c r="K673" s="4">
        <f>IFERROR(INDEX(Tbl_KPIMaster[Tolerance],MATCH($G673,Tbl_KPIMaster[KPI],0)),"")</f>
        <v/>
      </c>
      <c r="L673" s="4">
        <f>IFERROR(INDEX(Tbl_KPIMaster[Owner],MATCH($G673,Tbl_KPIMaster[KPI],0)),"")</f>
        <v/>
      </c>
      <c r="M673" s="6" t="inlineStr">
        <is>
          <t>Vendor delay</t>
        </is>
      </c>
      <c r="N673" s="4" t="inlineStr">
        <is>
          <t>Management approval pending</t>
        </is>
      </c>
      <c r="O673" s="4" t="inlineStr">
        <is>
          <t>Medium</t>
        </is>
      </c>
      <c r="P673" s="4" t="inlineStr">
        <is>
          <t>Closed</t>
        </is>
      </c>
      <c r="Q673" s="5">
        <f>IFERROR(IF(INDEX(Tbl_KPIMaster[Direction],MATCH($G673,Tbl_KPIMaster[KPI],0))="Lower is Better",IF($J673=0,1,IF($I673=0,0,$I673/$J673)),IF($I673=0,1,$J673/$I673)),0)</f>
        <v/>
      </c>
      <c r="R673" s="4">
        <f>IF(OR($I673="",$J673=""),"",$J673-$I673)</f>
        <v/>
      </c>
      <c r="S673" s="4">
        <f>IFERROR(IF(INDEX(Tbl_KPIMaster[Direction],MATCH($G673,Tbl_KPIMaster[KPI],0))="Lower is Better",IF($J673&lt;=$I673,"Green",IF($J673&lt;=$I673+IF($I673=0,$K673,$I673*$K673),"Amber","Red")),IF($J673&gt;=$I673,"Green",IF($J673&gt;=$I673-IF($I673=0,$K673,$I673*$K673),"Amber","Red"))),"")</f>
        <v/>
      </c>
      <c r="T673" s="6" t="inlineStr"/>
    </row>
    <row r="674">
      <c r="A674" s="7" t="n">
        <v>46163</v>
      </c>
      <c r="B674" s="8">
        <f>IF($A674="","",TEXT($A674,"mmm-yyyy"))</f>
        <v/>
      </c>
      <c r="C674" s="8">
        <f>IF($A674="","","W"&amp;WEEKNUM($A674,2))</f>
        <v/>
      </c>
      <c r="D674" s="8">
        <f>IF($A674="","",TEXT($A674,"ddd"))</f>
        <v/>
      </c>
      <c r="E674" s="8" t="inlineStr">
        <is>
          <t>Warehouse</t>
        </is>
      </c>
      <c r="F674" s="8">
        <f>IFERROR(INDEX(Tbl_KPIMaster[Category],MATCH($G674,Tbl_KPIMaster[KPI],0)),"")</f>
        <v/>
      </c>
      <c r="G674" s="8" t="inlineStr">
        <is>
          <t>Inventory Accuracy %</t>
        </is>
      </c>
      <c r="H674" s="8">
        <f>IFERROR(INDEX(Tbl_KPIMaster[Unit],MATCH($G674,Tbl_KPIMaster[KPI],0)),"")</f>
        <v/>
      </c>
      <c r="I674" s="9">
        <f>IFERROR(INDEX(Tbl_KPIMaster[Maximum Target],MATCH($G674,Tbl_KPIMaster[KPI],0)),"")</f>
        <v/>
      </c>
      <c r="J674" s="9" t="n">
        <v>1.1791</v>
      </c>
      <c r="K674" s="8">
        <f>IFERROR(INDEX(Tbl_KPIMaster[Tolerance],MATCH($G674,Tbl_KPIMaster[KPI],0)),"")</f>
        <v/>
      </c>
      <c r="L674" s="8">
        <f>IFERROR(INDEX(Tbl_KPIMaster[Owner],MATCH($G674,Tbl_KPIMaster[KPI],0)),"")</f>
        <v/>
      </c>
      <c r="M674" s="10" t="inlineStr">
        <is>
          <t>Vendor delay</t>
        </is>
      </c>
      <c r="N674" s="8" t="inlineStr">
        <is>
          <t>Management approval pending</t>
        </is>
      </c>
      <c r="O674" s="8" t="inlineStr">
        <is>
          <t>Medium</t>
        </is>
      </c>
      <c r="P674" s="8" t="inlineStr">
        <is>
          <t>Open</t>
        </is>
      </c>
      <c r="Q674" s="9">
        <f>IFERROR(IF(INDEX(Tbl_KPIMaster[Direction],MATCH($G674,Tbl_KPIMaster[KPI],0))="Lower is Better",IF($J674=0,1,IF($I674=0,0,$I674/$J674)),IF($I674=0,1,$J674/$I674)),0)</f>
        <v/>
      </c>
      <c r="R674" s="8">
        <f>IF(OR($I674="",$J674=""),"",$J674-$I674)</f>
        <v/>
      </c>
      <c r="S674" s="8">
        <f>IFERROR(IF(INDEX(Tbl_KPIMaster[Direction],MATCH($G674,Tbl_KPIMaster[KPI],0))="Lower is Better",IF($J674&lt;=$I674,"Green",IF($J674&lt;=$I674+IF($I674=0,$K674,$I674*$K674),"Amber","Red")),IF($J674&gt;=$I674,"Green",IF($J674&gt;=$I674-IF($I674=0,$K674,$I674*$K674),"Amber","Red"))),"")</f>
        <v/>
      </c>
      <c r="T674" s="10" t="inlineStr"/>
    </row>
    <row r="675">
      <c r="A675" s="3" t="n">
        <v>46163</v>
      </c>
      <c r="B675" s="4">
        <f>IF($A675="","",TEXT($A675,"mmm-yyyy"))</f>
        <v/>
      </c>
      <c r="C675" s="4">
        <f>IF($A675="","","W"&amp;WEEKNUM($A675,2))</f>
        <v/>
      </c>
      <c r="D675" s="4">
        <f>IF($A675="","",TEXT($A675,"ddd"))</f>
        <v/>
      </c>
      <c r="E675" s="4" t="inlineStr">
        <is>
          <t>HR</t>
        </is>
      </c>
      <c r="F675" s="4">
        <f>IFERROR(INDEX(Tbl_KPIMaster[Category],MATCH($G675,Tbl_KPIMaster[KPI],0)),"")</f>
        <v/>
      </c>
      <c r="G675" s="4" t="inlineStr">
        <is>
          <t>Absenteeism %</t>
        </is>
      </c>
      <c r="H675" s="4">
        <f>IFERROR(INDEX(Tbl_KPIMaster[Unit],MATCH($G675,Tbl_KPIMaster[KPI],0)),"")</f>
        <v/>
      </c>
      <c r="I675" s="5">
        <f>IFERROR(INDEX(Tbl_KPIMaster[Maximum Target],MATCH($G675,Tbl_KPIMaster[KPI],0)),"")</f>
        <v/>
      </c>
      <c r="J675" s="5" t="n">
        <v>0</v>
      </c>
      <c r="K675" s="4">
        <f>IFERROR(INDEX(Tbl_KPIMaster[Tolerance],MATCH($G675,Tbl_KPIMaster[KPI],0)),"")</f>
        <v/>
      </c>
      <c r="L675" s="4">
        <f>IFERROR(INDEX(Tbl_KPIMaster[Owner],MATCH($G675,Tbl_KPIMaster[KPI],0)),"")</f>
        <v/>
      </c>
      <c r="M675" s="6" t="inlineStr">
        <is>
          <t>Vendor delay</t>
        </is>
      </c>
      <c r="N675" s="4" t="inlineStr"/>
      <c r="O675" s="4" t="inlineStr">
        <is>
          <t>Low</t>
        </is>
      </c>
      <c r="P675" s="4" t="inlineStr">
        <is>
          <t>Closed</t>
        </is>
      </c>
      <c r="Q675" s="5">
        <f>IFERROR(IF(INDEX(Tbl_KPIMaster[Direction],MATCH($G675,Tbl_KPIMaster[KPI],0))="Lower is Better",IF($J675=0,1,IF($I675=0,0,$I675/$J675)),IF($I675=0,1,$J675/$I675)),0)</f>
        <v/>
      </c>
      <c r="R675" s="4">
        <f>IF(OR($I675="",$J675=""),"",$J675-$I675)</f>
        <v/>
      </c>
      <c r="S675" s="4">
        <f>IFERROR(IF(INDEX(Tbl_KPIMaster[Direction],MATCH($G675,Tbl_KPIMaster[KPI],0))="Lower is Better",IF($J675&lt;=$I675,"Green",IF($J675&lt;=$I675+IF($I675=0,$K675,$I675*$K675),"Amber","Red")),IF($J675&gt;=$I675,"Green",IF($J675&gt;=$I675-IF($I675=0,$K675,$I675*$K675),"Amber","Red"))),"")</f>
        <v/>
      </c>
      <c r="T675" s="6" t="inlineStr"/>
    </row>
    <row r="676">
      <c r="A676" s="7" t="n">
        <v>46163</v>
      </c>
      <c r="B676" s="8">
        <f>IF($A676="","",TEXT($A676,"mmm-yyyy"))</f>
        <v/>
      </c>
      <c r="C676" s="8">
        <f>IF($A676="","","W"&amp;WEEKNUM($A676,2))</f>
        <v/>
      </c>
      <c r="D676" s="8">
        <f>IF($A676="","",TEXT($A676,"ddd"))</f>
        <v/>
      </c>
      <c r="E676" s="8" t="inlineStr">
        <is>
          <t>HR</t>
        </is>
      </c>
      <c r="F676" s="8">
        <f>IFERROR(INDEX(Tbl_KPIMaster[Category],MATCH($G676,Tbl_KPIMaster[KPI],0)),"")</f>
        <v/>
      </c>
      <c r="G676" s="8" t="inlineStr">
        <is>
          <t>Training Hours</t>
        </is>
      </c>
      <c r="H676" s="8">
        <f>IFERROR(INDEX(Tbl_KPIMaster[Unit],MATCH($G676,Tbl_KPIMaster[KPI],0)),"")</f>
        <v/>
      </c>
      <c r="I676" s="9">
        <f>IFERROR(INDEX(Tbl_KPIMaster[Maximum Target],MATCH($G676,Tbl_KPIMaster[KPI],0)),"")</f>
        <v/>
      </c>
      <c r="J676" s="9" t="n">
        <v>2.43</v>
      </c>
      <c r="K676" s="8">
        <f>IFERROR(INDEX(Tbl_KPIMaster[Tolerance],MATCH($G676,Tbl_KPIMaster[KPI],0)),"")</f>
        <v/>
      </c>
      <c r="L676" s="8">
        <f>IFERROR(INDEX(Tbl_KPIMaster[Owner],MATCH($G676,Tbl_KPIMaster[KPI],0)),"")</f>
        <v/>
      </c>
      <c r="M676" s="10" t="inlineStr">
        <is>
          <t>Awaiting spares</t>
        </is>
      </c>
      <c r="N676" s="8" t="inlineStr">
        <is>
          <t>Procurement follow-up</t>
        </is>
      </c>
      <c r="O676" s="8" t="inlineStr">
        <is>
          <t>Low</t>
        </is>
      </c>
      <c r="P676" s="8" t="inlineStr">
        <is>
          <t>Closed</t>
        </is>
      </c>
      <c r="Q676" s="9">
        <f>IFERROR(IF(INDEX(Tbl_KPIMaster[Direction],MATCH($G676,Tbl_KPIMaster[KPI],0))="Lower is Better",IF($J676=0,1,IF($I676=0,0,$I676/$J676)),IF($I676=0,1,$J676/$I676)),0)</f>
        <v/>
      </c>
      <c r="R676" s="8">
        <f>IF(OR($I676="",$J676=""),"",$J676-$I676)</f>
        <v/>
      </c>
      <c r="S676" s="8">
        <f>IFERROR(IF(INDEX(Tbl_KPIMaster[Direction],MATCH($G676,Tbl_KPIMaster[KPI],0))="Lower is Better",IF($J676&lt;=$I676,"Green",IF($J676&lt;=$I676+IF($I676=0,$K676,$I676*$K676),"Amber","Red")),IF($J676&gt;=$I676,"Green",IF($J676&gt;=$I676-IF($I676=0,$K676,$I676*$K676),"Amber","Red"))),"")</f>
        <v/>
      </c>
      <c r="T676" s="10" t="inlineStr"/>
    </row>
    <row r="677">
      <c r="A677" s="3" t="n">
        <v>46163</v>
      </c>
      <c r="B677" s="4">
        <f>IF($A677="","",TEXT($A677,"mmm-yyyy"))</f>
        <v/>
      </c>
      <c r="C677" s="4">
        <f>IF($A677="","","W"&amp;WEEKNUM($A677,2))</f>
        <v/>
      </c>
      <c r="D677" s="4">
        <f>IF($A677="","",TEXT($A677,"ddd"))</f>
        <v/>
      </c>
      <c r="E677" s="4" t="inlineStr">
        <is>
          <t>Engineering</t>
        </is>
      </c>
      <c r="F677" s="4">
        <f>IFERROR(INDEX(Tbl_KPIMaster[Category],MATCH($G677,Tbl_KPIMaster[KPI],0)),"")</f>
        <v/>
      </c>
      <c r="G677" s="4" t="inlineStr">
        <is>
          <t>Project Milestone Adherence %</t>
        </is>
      </c>
      <c r="H677" s="4">
        <f>IFERROR(INDEX(Tbl_KPIMaster[Unit],MATCH($G677,Tbl_KPIMaster[KPI],0)),"")</f>
        <v/>
      </c>
      <c r="I677" s="5">
        <f>IFERROR(INDEX(Tbl_KPIMaster[Maximum Target],MATCH($G677,Tbl_KPIMaster[KPI],0)),"")</f>
        <v/>
      </c>
      <c r="J677" s="5" t="n">
        <v>0.9278</v>
      </c>
      <c r="K677" s="4">
        <f>IFERROR(INDEX(Tbl_KPIMaster[Tolerance],MATCH($G677,Tbl_KPIMaster[KPI],0)),"")</f>
        <v/>
      </c>
      <c r="L677" s="4">
        <f>IFERROR(INDEX(Tbl_KPIMaster[Owner],MATCH($G677,Tbl_KPIMaster[KPI],0)),"")</f>
        <v/>
      </c>
      <c r="M677" s="6" t="inlineStr">
        <is>
          <t>Vendor delay</t>
        </is>
      </c>
      <c r="N677" s="4" t="inlineStr"/>
      <c r="O677" s="4" t="inlineStr">
        <is>
          <t>Medium</t>
        </is>
      </c>
      <c r="P677" s="4" t="inlineStr">
        <is>
          <t>Closed</t>
        </is>
      </c>
      <c r="Q677" s="5">
        <f>IFERROR(IF(INDEX(Tbl_KPIMaster[Direction],MATCH($G677,Tbl_KPIMaster[KPI],0))="Lower is Better",IF($J677=0,1,IF($I677=0,0,$I677/$J677)),IF($I677=0,1,$J677/$I677)),0)</f>
        <v/>
      </c>
      <c r="R677" s="4">
        <f>IF(OR($I677="",$J677=""),"",$J677-$I677)</f>
        <v/>
      </c>
      <c r="S677" s="4">
        <f>IFERROR(IF(INDEX(Tbl_KPIMaster[Direction],MATCH($G677,Tbl_KPIMaster[KPI],0))="Lower is Better",IF($J677&lt;=$I677,"Green",IF($J677&lt;=$I677+IF($I677=0,$K677,$I677*$K677),"Amber","Red")),IF($J677&gt;=$I677,"Green",IF($J677&gt;=$I677-IF($I677=0,$K677,$I677*$K677),"Amber","Red"))),"")</f>
        <v/>
      </c>
      <c r="T677" s="6" t="inlineStr"/>
    </row>
    <row r="678">
      <c r="A678" s="7" t="n">
        <v>46163</v>
      </c>
      <c r="B678" s="8">
        <f>IF($A678="","",TEXT($A678,"mmm-yyyy"))</f>
        <v/>
      </c>
      <c r="C678" s="8">
        <f>IF($A678="","","W"&amp;WEEKNUM($A678,2))</f>
        <v/>
      </c>
      <c r="D678" s="8">
        <f>IF($A678="","",TEXT($A678,"ddd"))</f>
        <v/>
      </c>
      <c r="E678" s="8" t="inlineStr">
        <is>
          <t>Engineering</t>
        </is>
      </c>
      <c r="F678" s="8">
        <f>IFERROR(INDEX(Tbl_KPIMaster[Category],MATCH($G678,Tbl_KPIMaster[KPI],0)),"")</f>
        <v/>
      </c>
      <c r="G678" s="8" t="inlineStr">
        <is>
          <t>Breakdown Resolution Time</t>
        </is>
      </c>
      <c r="H678" s="8">
        <f>IFERROR(INDEX(Tbl_KPIMaster[Unit],MATCH($G678,Tbl_KPIMaster[KPI],0)),"")</f>
        <v/>
      </c>
      <c r="I678" s="9">
        <f>IFERROR(INDEX(Tbl_KPIMaster[Maximum Target],MATCH($G678,Tbl_KPIMaster[KPI],0)),"")</f>
        <v/>
      </c>
      <c r="J678" s="9" t="n">
        <v>0.48</v>
      </c>
      <c r="K678" s="8">
        <f>IFERROR(INDEX(Tbl_KPIMaster[Tolerance],MATCH($G678,Tbl_KPIMaster[KPI],0)),"")</f>
        <v/>
      </c>
      <c r="L678" s="8">
        <f>IFERROR(INDEX(Tbl_KPIMaster[Owner],MATCH($G678,Tbl_KPIMaster[KPI],0)),"")</f>
        <v/>
      </c>
      <c r="M678" s="10" t="inlineStr">
        <is>
          <t>Awaiting spares</t>
        </is>
      </c>
      <c r="N678" s="8" t="inlineStr"/>
      <c r="O678" s="8" t="inlineStr">
        <is>
          <t>Low</t>
        </is>
      </c>
      <c r="P678" s="8" t="inlineStr">
        <is>
          <t>Closed</t>
        </is>
      </c>
      <c r="Q678" s="9">
        <f>IFERROR(IF(INDEX(Tbl_KPIMaster[Direction],MATCH($G678,Tbl_KPIMaster[KPI],0))="Lower is Better",IF($J678=0,1,IF($I678=0,0,$I678/$J678)),IF($I678=0,1,$J678/$I678)),0)</f>
        <v/>
      </c>
      <c r="R678" s="8">
        <f>IF(OR($I678="",$J678=""),"",$J678-$I678)</f>
        <v/>
      </c>
      <c r="S678" s="8">
        <f>IFERROR(IF(INDEX(Tbl_KPIMaster[Direction],MATCH($G678,Tbl_KPIMaster[KPI],0))="Lower is Better",IF($J678&lt;=$I678,"Green",IF($J678&lt;=$I678+IF($I678=0,$K678,$I678*$K678),"Amber","Red")),IF($J678&gt;=$I678,"Green",IF($J678&gt;=$I678-IF($I678=0,$K678,$I678*$K678),"Amber","Red"))),"")</f>
        <v/>
      </c>
      <c r="T678" s="10" t="inlineStr"/>
    </row>
    <row r="679">
      <c r="A679" s="3" t="n">
        <v>46163</v>
      </c>
      <c r="B679" s="4">
        <f>IF($A679="","",TEXT($A679,"mmm-yyyy"))</f>
        <v/>
      </c>
      <c r="C679" s="4">
        <f>IF($A679="","","W"&amp;WEEKNUM($A679,2))</f>
        <v/>
      </c>
      <c r="D679" s="4">
        <f>IF($A679="","",TEXT($A679,"ddd"))</f>
        <v/>
      </c>
      <c r="E679" s="4" t="inlineStr">
        <is>
          <t>Cost</t>
        </is>
      </c>
      <c r="F679" s="4">
        <f>IFERROR(INDEX(Tbl_KPIMaster[Category],MATCH($G679,Tbl_KPIMaster[KPI],0)),"")</f>
        <v/>
      </c>
      <c r="G679" s="4" t="inlineStr">
        <is>
          <t>Cost per Unit</t>
        </is>
      </c>
      <c r="H679" s="4">
        <f>IFERROR(INDEX(Tbl_KPIMaster[Unit],MATCH($G679,Tbl_KPIMaster[KPI],0)),"")</f>
        <v/>
      </c>
      <c r="I679" s="5">
        <f>IFERROR(INDEX(Tbl_KPIMaster[Maximum Target],MATCH($G679,Tbl_KPIMaster[KPI],0)),"")</f>
        <v/>
      </c>
      <c r="J679" s="5" t="n">
        <v>43.52</v>
      </c>
      <c r="K679" s="4">
        <f>IFERROR(INDEX(Tbl_KPIMaster[Tolerance],MATCH($G679,Tbl_KPIMaster[KPI],0)),"")</f>
        <v/>
      </c>
      <c r="L679" s="4">
        <f>IFERROR(INDEX(Tbl_KPIMaster[Owner],MATCH($G679,Tbl_KPIMaster[KPI],0)),"")</f>
        <v/>
      </c>
      <c r="M679" s="6" t="inlineStr">
        <is>
          <t>Vendor delay</t>
        </is>
      </c>
      <c r="N679" s="4" t="inlineStr">
        <is>
          <t>Procurement follow-up</t>
        </is>
      </c>
      <c r="O679" s="4" t="inlineStr">
        <is>
          <t>Low</t>
        </is>
      </c>
      <c r="P679" s="4" t="inlineStr">
        <is>
          <t>In Progress</t>
        </is>
      </c>
      <c r="Q679" s="5">
        <f>IFERROR(IF(INDEX(Tbl_KPIMaster[Direction],MATCH($G679,Tbl_KPIMaster[KPI],0))="Lower is Better",IF($J679=0,1,IF($I679=0,0,$I679/$J679)),IF($I679=0,1,$J679/$I679)),0)</f>
        <v/>
      </c>
      <c r="R679" s="4">
        <f>IF(OR($I679="",$J679=""),"",$J679-$I679)</f>
        <v/>
      </c>
      <c r="S679" s="4">
        <f>IFERROR(IF(INDEX(Tbl_KPIMaster[Direction],MATCH($G679,Tbl_KPIMaster[KPI],0))="Lower is Better",IF($J679&lt;=$I679,"Green",IF($J679&lt;=$I679+IF($I679=0,$K679,$I679*$K679),"Amber","Red")),IF($J679&gt;=$I679,"Green",IF($J679&gt;=$I679-IF($I679=0,$K679,$I679*$K679),"Amber","Red"))),"")</f>
        <v/>
      </c>
      <c r="T679" s="6" t="inlineStr"/>
    </row>
    <row r="680">
      <c r="A680" s="7" t="n">
        <v>46163</v>
      </c>
      <c r="B680" s="8">
        <f>IF($A680="","",TEXT($A680,"mmm-yyyy"))</f>
        <v/>
      </c>
      <c r="C680" s="8">
        <f>IF($A680="","","W"&amp;WEEKNUM($A680,2))</f>
        <v/>
      </c>
      <c r="D680" s="8">
        <f>IF($A680="","",TEXT($A680,"ddd"))</f>
        <v/>
      </c>
      <c r="E680" s="8" t="inlineStr">
        <is>
          <t>Cost</t>
        </is>
      </c>
      <c r="F680" s="8">
        <f>IFERROR(INDEX(Tbl_KPIMaster[Category],MATCH($G680,Tbl_KPIMaster[KPI],0)),"")</f>
        <v/>
      </c>
      <c r="G680" s="8" t="inlineStr">
        <is>
          <t>Budget Variance %</t>
        </is>
      </c>
      <c r="H680" s="8">
        <f>IFERROR(INDEX(Tbl_KPIMaster[Unit],MATCH($G680,Tbl_KPIMaster[KPI],0)),"")</f>
        <v/>
      </c>
      <c r="I680" s="9">
        <f>IFERROR(INDEX(Tbl_KPIMaster[Maximum Target],MATCH($G680,Tbl_KPIMaster[KPI],0)),"")</f>
        <v/>
      </c>
      <c r="J680" s="9" t="n">
        <v>0</v>
      </c>
      <c r="K680" s="8">
        <f>IFERROR(INDEX(Tbl_KPIMaster[Tolerance],MATCH($G680,Tbl_KPIMaster[KPI],0)),"")</f>
        <v/>
      </c>
      <c r="L680" s="8">
        <f>IFERROR(INDEX(Tbl_KPIMaster[Owner],MATCH($G680,Tbl_KPIMaster[KPI],0)),"")</f>
        <v/>
      </c>
      <c r="M680" s="10" t="inlineStr">
        <is>
          <t>Process improvement in progress</t>
        </is>
      </c>
      <c r="N680" s="8" t="inlineStr">
        <is>
          <t>Engineering support needed</t>
        </is>
      </c>
      <c r="O680" s="8" t="inlineStr">
        <is>
          <t>Medium</t>
        </is>
      </c>
      <c r="P680" s="8" t="inlineStr">
        <is>
          <t>In Progress</t>
        </is>
      </c>
      <c r="Q680" s="9">
        <f>IFERROR(IF(INDEX(Tbl_KPIMaster[Direction],MATCH($G680,Tbl_KPIMaster[KPI],0))="Lower is Better",IF($J680=0,1,IF($I680=0,0,$I680/$J680)),IF($I680=0,1,$J680/$I680)),0)</f>
        <v/>
      </c>
      <c r="R680" s="8">
        <f>IF(OR($I680="",$J680=""),"",$J680-$I680)</f>
        <v/>
      </c>
      <c r="S680" s="8">
        <f>IFERROR(IF(INDEX(Tbl_KPIMaster[Direction],MATCH($G680,Tbl_KPIMaster[KPI],0))="Lower is Better",IF($J680&lt;=$I680,"Green",IF($J680&lt;=$I680+IF($I680=0,$K680,$I680*$K680),"Amber","Red")),IF($J680&gt;=$I680,"Green",IF($J680&gt;=$I680-IF($I680=0,$K680,$I680*$K680),"Amber","Red"))),"")</f>
        <v/>
      </c>
      <c r="T680" s="10" t="inlineStr"/>
    </row>
    <row r="681">
      <c r="A681" s="3" t="n">
        <v>46163</v>
      </c>
      <c r="B681" s="4">
        <f>IF($A681="","",TEXT($A681,"mmm-yyyy"))</f>
        <v/>
      </c>
      <c r="C681" s="4">
        <f>IF($A681="","","W"&amp;WEEKNUM($A681,2))</f>
        <v/>
      </c>
      <c r="D681" s="4">
        <f>IF($A681="","",TEXT($A681,"ddd"))</f>
        <v/>
      </c>
      <c r="E681" s="4" t="inlineStr">
        <is>
          <t>Energy</t>
        </is>
      </c>
      <c r="F681" s="4">
        <f>IFERROR(INDEX(Tbl_KPIMaster[Category],MATCH($G681,Tbl_KPIMaster[KPI],0)),"")</f>
        <v/>
      </c>
      <c r="G681" s="4" t="inlineStr">
        <is>
          <t>Energy Intensity (kWh/unit)</t>
        </is>
      </c>
      <c r="H681" s="4">
        <f>IFERROR(INDEX(Tbl_KPIMaster[Unit],MATCH($G681,Tbl_KPIMaster[KPI],0)),"")</f>
        <v/>
      </c>
      <c r="I681" s="5">
        <f>IFERROR(INDEX(Tbl_KPIMaster[Maximum Target],MATCH($G681,Tbl_KPIMaster[KPI],0)),"")</f>
        <v/>
      </c>
      <c r="J681" s="5" t="n">
        <v>3.38</v>
      </c>
      <c r="K681" s="4">
        <f>IFERROR(INDEX(Tbl_KPIMaster[Tolerance],MATCH($G681,Tbl_KPIMaster[KPI],0)),"")</f>
        <v/>
      </c>
      <c r="L681" s="4">
        <f>IFERROR(INDEX(Tbl_KPIMaster[Owner],MATCH($G681,Tbl_KPIMaster[KPI],0)),"")</f>
        <v/>
      </c>
      <c r="M681" s="6" t="inlineStr">
        <is>
          <t>Awaiting spares</t>
        </is>
      </c>
      <c r="N681" s="4" t="inlineStr"/>
      <c r="O681" s="4" t="inlineStr">
        <is>
          <t>Low</t>
        </is>
      </c>
      <c r="P681" s="4" t="inlineStr">
        <is>
          <t>Open</t>
        </is>
      </c>
      <c r="Q681" s="5">
        <f>IFERROR(IF(INDEX(Tbl_KPIMaster[Direction],MATCH($G681,Tbl_KPIMaster[KPI],0))="Lower is Better",IF($J681=0,1,IF($I681=0,0,$I681/$J681)),IF($I681=0,1,$J681/$I681)),0)</f>
        <v/>
      </c>
      <c r="R681" s="4">
        <f>IF(OR($I681="",$J681=""),"",$J681-$I681)</f>
        <v/>
      </c>
      <c r="S681" s="4">
        <f>IFERROR(IF(INDEX(Tbl_KPIMaster[Direction],MATCH($G681,Tbl_KPIMaster[KPI],0))="Lower is Better",IF($J681&lt;=$I681,"Green",IF($J681&lt;=$I681+IF($I681=0,$K681,$I681*$K681),"Amber","Red")),IF($J681&gt;=$I681,"Green",IF($J681&gt;=$I681-IF($I681=0,$K681,$I681*$K681),"Amber","Red"))),"")</f>
        <v/>
      </c>
      <c r="T681" s="6" t="inlineStr"/>
    </row>
    <row r="682">
      <c r="A682" s="7" t="n">
        <v>46163</v>
      </c>
      <c r="B682" s="8">
        <f>IF($A682="","",TEXT($A682,"mmm-yyyy"))</f>
        <v/>
      </c>
      <c r="C682" s="8">
        <f>IF($A682="","","W"&amp;WEEKNUM($A682,2))</f>
        <v/>
      </c>
      <c r="D682" s="8">
        <f>IF($A682="","",TEXT($A682,"ddd"))</f>
        <v/>
      </c>
      <c r="E682" s="8" t="inlineStr">
        <is>
          <t>Energy</t>
        </is>
      </c>
      <c r="F682" s="8">
        <f>IFERROR(INDEX(Tbl_KPIMaster[Category],MATCH($G682,Tbl_KPIMaster[KPI],0)),"")</f>
        <v/>
      </c>
      <c r="G682" s="8" t="inlineStr">
        <is>
          <t>Renewable Energy Share %</t>
        </is>
      </c>
      <c r="H682" s="8">
        <f>IFERROR(INDEX(Tbl_KPIMaster[Unit],MATCH($G682,Tbl_KPIMaster[KPI],0)),"")</f>
        <v/>
      </c>
      <c r="I682" s="9">
        <f>IFERROR(INDEX(Tbl_KPIMaster[Maximum Target],MATCH($G682,Tbl_KPIMaster[KPI],0)),"")</f>
        <v/>
      </c>
      <c r="J682" s="9" t="n">
        <v>0.2027</v>
      </c>
      <c r="K682" s="8">
        <f>IFERROR(INDEX(Tbl_KPIMaster[Tolerance],MATCH($G682,Tbl_KPIMaster[KPI],0)),"")</f>
        <v/>
      </c>
      <c r="L682" s="8">
        <f>IFERROR(INDEX(Tbl_KPIMaster[Owner],MATCH($G682,Tbl_KPIMaster[KPI],0)),"")</f>
        <v/>
      </c>
      <c r="M682" s="10" t="inlineStr">
        <is>
          <t>Weather impact</t>
        </is>
      </c>
      <c r="N682" s="8" t="inlineStr"/>
      <c r="O682" s="8" t="inlineStr">
        <is>
          <t>Medium</t>
        </is>
      </c>
      <c r="P682" s="8" t="inlineStr">
        <is>
          <t>Closed</t>
        </is>
      </c>
      <c r="Q682" s="9">
        <f>IFERROR(IF(INDEX(Tbl_KPIMaster[Direction],MATCH($G682,Tbl_KPIMaster[KPI],0))="Lower is Better",IF($J682=0,1,IF($I682=0,0,$I682/$J682)),IF($I682=0,1,$J682/$I682)),0)</f>
        <v/>
      </c>
      <c r="R682" s="8">
        <f>IF(OR($I682="",$J682=""),"",$J682-$I682)</f>
        <v/>
      </c>
      <c r="S682" s="8">
        <f>IFERROR(IF(INDEX(Tbl_KPIMaster[Direction],MATCH($G682,Tbl_KPIMaster[KPI],0))="Lower is Better",IF($J682&lt;=$I682,"Green",IF($J682&lt;=$I682+IF($I682=0,$K682,$I682*$K682),"Amber","Red")),IF($J682&gt;=$I682,"Green",IF($J682&gt;=$I682-IF($I682=0,$K682,$I682*$K682),"Amber","Red"))),"")</f>
        <v/>
      </c>
      <c r="T682" s="10" t="inlineStr"/>
    </row>
    <row r="683">
      <c r="A683" s="3" t="n">
        <v>46164</v>
      </c>
      <c r="B683" s="4">
        <f>IF($A683="","",TEXT($A683,"mmm-yyyy"))</f>
        <v/>
      </c>
      <c r="C683" s="4">
        <f>IF($A683="","","W"&amp;WEEKNUM($A683,2))</f>
        <v/>
      </c>
      <c r="D683" s="4">
        <f>IF($A683="","",TEXT($A683,"ddd"))</f>
        <v/>
      </c>
      <c r="E683" s="4" t="inlineStr">
        <is>
          <t>Safety</t>
        </is>
      </c>
      <c r="F683" s="4">
        <f>IFERROR(INDEX(Tbl_KPIMaster[Category],MATCH($G683,Tbl_KPIMaster[KPI],0)),"")</f>
        <v/>
      </c>
      <c r="G683" s="4" t="inlineStr">
        <is>
          <t>Safety Incidents (LTI)</t>
        </is>
      </c>
      <c r="H683" s="4">
        <f>IFERROR(INDEX(Tbl_KPIMaster[Unit],MATCH($G683,Tbl_KPIMaster[KPI],0)),"")</f>
        <v/>
      </c>
      <c r="I683" s="5">
        <f>IFERROR(INDEX(Tbl_KPIMaster[Maximum Target],MATCH($G683,Tbl_KPIMaster[KPI],0)),"")</f>
        <v/>
      </c>
      <c r="J683" s="5" t="n">
        <v>3</v>
      </c>
      <c r="K683" s="4">
        <f>IFERROR(INDEX(Tbl_KPIMaster[Tolerance],MATCH($G683,Tbl_KPIMaster[KPI],0)),"")</f>
        <v/>
      </c>
      <c r="L683" s="4">
        <f>IFERROR(INDEX(Tbl_KPIMaster[Owner],MATCH($G683,Tbl_KPIMaster[KPI],0)),"")</f>
        <v/>
      </c>
      <c r="M683" s="6" t="inlineStr">
        <is>
          <t>Preventive check done</t>
        </is>
      </c>
      <c r="N683" s="4" t="inlineStr">
        <is>
          <t>Procurement follow-up</t>
        </is>
      </c>
      <c r="O683" s="4" t="inlineStr">
        <is>
          <t>Medium</t>
        </is>
      </c>
      <c r="P683" s="4" t="inlineStr">
        <is>
          <t>Open</t>
        </is>
      </c>
      <c r="Q683" s="5">
        <f>IFERROR(IF(INDEX(Tbl_KPIMaster[Direction],MATCH($G683,Tbl_KPIMaster[KPI],0))="Lower is Better",IF($J683=0,1,IF($I683=0,0,$I683/$J683)),IF($I683=0,1,$J683/$I683)),0)</f>
        <v/>
      </c>
      <c r="R683" s="4">
        <f>IF(OR($I683="",$J683=""),"",$J683-$I683)</f>
        <v/>
      </c>
      <c r="S683" s="4">
        <f>IFERROR(IF(INDEX(Tbl_KPIMaster[Direction],MATCH($G683,Tbl_KPIMaster[KPI],0))="Lower is Better",IF($J683&lt;=$I683,"Green",IF($J683&lt;=$I683+IF($I683=0,$K683,$I683*$K683),"Amber","Red")),IF($J683&gt;=$I683,"Green",IF($J683&gt;=$I683-IF($I683=0,$K683,$I683*$K683),"Amber","Red"))),"")</f>
        <v/>
      </c>
      <c r="T683" s="6" t="inlineStr"/>
    </row>
    <row r="684">
      <c r="A684" s="7" t="n">
        <v>46164</v>
      </c>
      <c r="B684" s="8">
        <f>IF($A684="","",TEXT($A684,"mmm-yyyy"))</f>
        <v/>
      </c>
      <c r="C684" s="8">
        <f>IF($A684="","","W"&amp;WEEKNUM($A684,2))</f>
        <v/>
      </c>
      <c r="D684" s="8">
        <f>IF($A684="","",TEXT($A684,"ddd"))</f>
        <v/>
      </c>
      <c r="E684" s="8" t="inlineStr">
        <is>
          <t>Safety</t>
        </is>
      </c>
      <c r="F684" s="8">
        <f>IFERROR(INDEX(Tbl_KPIMaster[Category],MATCH($G684,Tbl_KPIMaster[KPI],0)),"")</f>
        <v/>
      </c>
      <c r="G684" s="8" t="inlineStr">
        <is>
          <t>Near Miss Reports</t>
        </is>
      </c>
      <c r="H684" s="8">
        <f>IFERROR(INDEX(Tbl_KPIMaster[Unit],MATCH($G684,Tbl_KPIMaster[KPI],0)),"")</f>
        <v/>
      </c>
      <c r="I684" s="9">
        <f>IFERROR(INDEX(Tbl_KPIMaster[Maximum Target],MATCH($G684,Tbl_KPIMaster[KPI],0)),"")</f>
        <v/>
      </c>
      <c r="J684" s="9" t="n">
        <v>2</v>
      </c>
      <c r="K684" s="8">
        <f>IFERROR(INDEX(Tbl_KPIMaster[Tolerance],MATCH($G684,Tbl_KPIMaster[KPI],0)),"")</f>
        <v/>
      </c>
      <c r="L684" s="8">
        <f>IFERROR(INDEX(Tbl_KPIMaster[Owner],MATCH($G684,Tbl_KPIMaster[KPI],0)),"")</f>
        <v/>
      </c>
      <c r="M684" s="10" t="inlineStr">
        <is>
          <t>New operator training effect</t>
        </is>
      </c>
      <c r="N684" s="8" t="inlineStr"/>
      <c r="O684" s="8" t="inlineStr">
        <is>
          <t>Medium</t>
        </is>
      </c>
      <c r="P684" s="8" t="inlineStr">
        <is>
          <t>Open</t>
        </is>
      </c>
      <c r="Q684" s="9">
        <f>IFERROR(IF(INDEX(Tbl_KPIMaster[Direction],MATCH($G684,Tbl_KPIMaster[KPI],0))="Lower is Better",IF($J684=0,1,IF($I684=0,0,$I684/$J684)),IF($I684=0,1,$J684/$I684)),0)</f>
        <v/>
      </c>
      <c r="R684" s="8">
        <f>IF(OR($I684="",$J684=""),"",$J684-$I684)</f>
        <v/>
      </c>
      <c r="S684" s="8">
        <f>IFERROR(IF(INDEX(Tbl_KPIMaster[Direction],MATCH($G684,Tbl_KPIMaster[KPI],0))="Lower is Better",IF($J684&lt;=$I684,"Green",IF($J684&lt;=$I684+IF($I684=0,$K684,$I684*$K684),"Amber","Red")),IF($J684&gt;=$I684,"Green",IF($J684&gt;=$I684-IF($I684=0,$K684,$I684*$K684),"Amber","Red"))),"")</f>
        <v/>
      </c>
      <c r="T684" s="10" t="inlineStr"/>
    </row>
    <row r="685">
      <c r="A685" s="3" t="n">
        <v>46164</v>
      </c>
      <c r="B685" s="4">
        <f>IF($A685="","",TEXT($A685,"mmm-yyyy"))</f>
        <v/>
      </c>
      <c r="C685" s="4">
        <f>IF($A685="","","W"&amp;WEEKNUM($A685,2))</f>
        <v/>
      </c>
      <c r="D685" s="4">
        <f>IF($A685="","",TEXT($A685,"ddd"))</f>
        <v/>
      </c>
      <c r="E685" s="4" t="inlineStr">
        <is>
          <t>Production</t>
        </is>
      </c>
      <c r="F685" s="4">
        <f>IFERROR(INDEX(Tbl_KPIMaster[Category],MATCH($G685,Tbl_KPIMaster[KPI],0)),"")</f>
        <v/>
      </c>
      <c r="G685" s="4" t="inlineStr">
        <is>
          <t>Production Output</t>
        </is>
      </c>
      <c r="H685" s="4">
        <f>IFERROR(INDEX(Tbl_KPIMaster[Unit],MATCH($G685,Tbl_KPIMaster[KPI],0)),"")</f>
        <v/>
      </c>
      <c r="I685" s="5">
        <f>IFERROR(INDEX(Tbl_KPIMaster[Maximum Target],MATCH($G685,Tbl_KPIMaster[KPI],0)),"")</f>
        <v/>
      </c>
      <c r="J685" s="5" t="n">
        <v>962.8200000000001</v>
      </c>
      <c r="K685" s="4">
        <f>IFERROR(INDEX(Tbl_KPIMaster[Tolerance],MATCH($G685,Tbl_KPIMaster[KPI],0)),"")</f>
        <v/>
      </c>
      <c r="L685" s="4">
        <f>IFERROR(INDEX(Tbl_KPIMaster[Owner],MATCH($G685,Tbl_KPIMaster[KPI],0)),"")</f>
        <v/>
      </c>
      <c r="M685" s="6" t="inlineStr">
        <is>
          <t>Within normal range</t>
        </is>
      </c>
      <c r="N685" s="4" t="inlineStr"/>
      <c r="O685" s="4" t="inlineStr">
        <is>
          <t>Medium</t>
        </is>
      </c>
      <c r="P685" s="4" t="inlineStr">
        <is>
          <t>Closed</t>
        </is>
      </c>
      <c r="Q685" s="5">
        <f>IFERROR(IF(INDEX(Tbl_KPIMaster[Direction],MATCH($G685,Tbl_KPIMaster[KPI],0))="Lower is Better",IF($J685=0,1,IF($I685=0,0,$I685/$J685)),IF($I685=0,1,$J685/$I685)),0)</f>
        <v/>
      </c>
      <c r="R685" s="4">
        <f>IF(OR($I685="",$J685=""),"",$J685-$I685)</f>
        <v/>
      </c>
      <c r="S685" s="4">
        <f>IFERROR(IF(INDEX(Tbl_KPIMaster[Direction],MATCH($G685,Tbl_KPIMaster[KPI],0))="Lower is Better",IF($J685&lt;=$I685,"Green",IF($J685&lt;=$I685+IF($I685=0,$K685,$I685*$K685),"Amber","Red")),IF($J685&gt;=$I685,"Green",IF($J685&gt;=$I685-IF($I685=0,$K685,$I685*$K685),"Amber","Red"))),"")</f>
        <v/>
      </c>
      <c r="T685" s="6" t="inlineStr"/>
    </row>
    <row r="686">
      <c r="A686" s="7" t="n">
        <v>46164</v>
      </c>
      <c r="B686" s="8">
        <f>IF($A686="","",TEXT($A686,"mmm-yyyy"))</f>
        <v/>
      </c>
      <c r="C686" s="8">
        <f>IF($A686="","","W"&amp;WEEKNUM($A686,2))</f>
        <v/>
      </c>
      <c r="D686" s="8">
        <f>IF($A686="","",TEXT($A686,"ddd"))</f>
        <v/>
      </c>
      <c r="E686" s="8" t="inlineStr">
        <is>
          <t>Production</t>
        </is>
      </c>
      <c r="F686" s="8">
        <f>IFERROR(INDEX(Tbl_KPIMaster[Category],MATCH($G686,Tbl_KPIMaster[KPI],0)),"")</f>
        <v/>
      </c>
      <c r="G686" s="8" t="inlineStr">
        <is>
          <t>OEE %</t>
        </is>
      </c>
      <c r="H686" s="8">
        <f>IFERROR(INDEX(Tbl_KPIMaster[Unit],MATCH($G686,Tbl_KPIMaster[KPI],0)),"")</f>
        <v/>
      </c>
      <c r="I686" s="9">
        <f>IFERROR(INDEX(Tbl_KPIMaster[Maximum Target],MATCH($G686,Tbl_KPIMaster[KPI],0)),"")</f>
        <v/>
      </c>
      <c r="J686" s="9" t="n">
        <v>1.0692</v>
      </c>
      <c r="K686" s="8">
        <f>IFERROR(INDEX(Tbl_KPIMaster[Tolerance],MATCH($G686,Tbl_KPIMaster[KPI],0)),"")</f>
        <v/>
      </c>
      <c r="L686" s="8">
        <f>IFERROR(INDEX(Tbl_KPIMaster[Owner],MATCH($G686,Tbl_KPIMaster[KPI],0)),"")</f>
        <v/>
      </c>
      <c r="M686" s="10" t="inlineStr">
        <is>
          <t>Within normal range</t>
        </is>
      </c>
      <c r="N686" s="8" t="inlineStr">
        <is>
          <t>Engineering support needed</t>
        </is>
      </c>
      <c r="O686" s="8" t="inlineStr">
        <is>
          <t>Medium</t>
        </is>
      </c>
      <c r="P686" s="8" t="inlineStr">
        <is>
          <t>Closed</t>
        </is>
      </c>
      <c r="Q686" s="9">
        <f>IFERROR(IF(INDEX(Tbl_KPIMaster[Direction],MATCH($G686,Tbl_KPIMaster[KPI],0))="Lower is Better",IF($J686=0,1,IF($I686=0,0,$I686/$J686)),IF($I686=0,1,$J686/$I686)),0)</f>
        <v/>
      </c>
      <c r="R686" s="8">
        <f>IF(OR($I686="",$J686=""),"",$J686-$I686)</f>
        <v/>
      </c>
      <c r="S686" s="8">
        <f>IFERROR(IF(INDEX(Tbl_KPIMaster[Direction],MATCH($G686,Tbl_KPIMaster[KPI],0))="Lower is Better",IF($J686&lt;=$I686,"Green",IF($J686&lt;=$I686+IF($I686=0,$K686,$I686*$K686),"Amber","Red")),IF($J686&gt;=$I686,"Green",IF($J686&gt;=$I686-IF($I686=0,$K686,$I686*$K686),"Amber","Red"))),"")</f>
        <v/>
      </c>
      <c r="T686" s="10" t="inlineStr"/>
    </row>
    <row r="687">
      <c r="A687" s="3" t="n">
        <v>46164</v>
      </c>
      <c r="B687" s="4">
        <f>IF($A687="","",TEXT($A687,"mmm-yyyy"))</f>
        <v/>
      </c>
      <c r="C687" s="4">
        <f>IF($A687="","","W"&amp;WEEKNUM($A687,2))</f>
        <v/>
      </c>
      <c r="D687" s="4">
        <f>IF($A687="","",TEXT($A687,"ddd"))</f>
        <v/>
      </c>
      <c r="E687" s="4" t="inlineStr">
        <is>
          <t>Quality</t>
        </is>
      </c>
      <c r="F687" s="4">
        <f>IFERROR(INDEX(Tbl_KPIMaster[Category],MATCH($G687,Tbl_KPIMaster[KPI],0)),"")</f>
        <v/>
      </c>
      <c r="G687" s="4" t="inlineStr">
        <is>
          <t>Defect Rate %</t>
        </is>
      </c>
      <c r="H687" s="4">
        <f>IFERROR(INDEX(Tbl_KPIMaster[Unit],MATCH($G687,Tbl_KPIMaster[KPI],0)),"")</f>
        <v/>
      </c>
      <c r="I687" s="5">
        <f>IFERROR(INDEX(Tbl_KPIMaster[Maximum Target],MATCH($G687,Tbl_KPIMaster[KPI],0)),"")</f>
        <v/>
      </c>
      <c r="J687" s="5" t="n">
        <v>0.3344</v>
      </c>
      <c r="K687" s="4">
        <f>IFERROR(INDEX(Tbl_KPIMaster[Tolerance],MATCH($G687,Tbl_KPIMaster[KPI],0)),"")</f>
        <v/>
      </c>
      <c r="L687" s="4">
        <f>IFERROR(INDEX(Tbl_KPIMaster[Owner],MATCH($G687,Tbl_KPIMaster[KPI],0)),"")</f>
        <v/>
      </c>
      <c r="M687" s="6" t="inlineStr">
        <is>
          <t>Awaiting spares</t>
        </is>
      </c>
      <c r="N687" s="4" t="inlineStr"/>
      <c r="O687" s="4" t="inlineStr">
        <is>
          <t>Low</t>
        </is>
      </c>
      <c r="P687" s="4" t="inlineStr">
        <is>
          <t>Open</t>
        </is>
      </c>
      <c r="Q687" s="5">
        <f>IFERROR(IF(INDEX(Tbl_KPIMaster[Direction],MATCH($G687,Tbl_KPIMaster[KPI],0))="Lower is Better",IF($J687=0,1,IF($I687=0,0,$I687/$J687)),IF($I687=0,1,$J687/$I687)),0)</f>
        <v/>
      </c>
      <c r="R687" s="4">
        <f>IF(OR($I687="",$J687=""),"",$J687-$I687)</f>
        <v/>
      </c>
      <c r="S687" s="4">
        <f>IFERROR(IF(INDEX(Tbl_KPIMaster[Direction],MATCH($G687,Tbl_KPIMaster[KPI],0))="Lower is Better",IF($J687&lt;=$I687,"Green",IF($J687&lt;=$I687+IF($I687=0,$K687,$I687*$K687),"Amber","Red")),IF($J687&gt;=$I687,"Green",IF($J687&gt;=$I687-IF($I687=0,$K687,$I687*$K687),"Amber","Red"))),"")</f>
        <v/>
      </c>
      <c r="T687" s="6" t="inlineStr"/>
    </row>
    <row r="688">
      <c r="A688" s="7" t="n">
        <v>46164</v>
      </c>
      <c r="B688" s="8">
        <f>IF($A688="","",TEXT($A688,"mmm-yyyy"))</f>
        <v/>
      </c>
      <c r="C688" s="8">
        <f>IF($A688="","","W"&amp;WEEKNUM($A688,2))</f>
        <v/>
      </c>
      <c r="D688" s="8">
        <f>IF($A688="","",TEXT($A688,"ddd"))</f>
        <v/>
      </c>
      <c r="E688" s="8" t="inlineStr">
        <is>
          <t>Quality</t>
        </is>
      </c>
      <c r="F688" s="8">
        <f>IFERROR(INDEX(Tbl_KPIMaster[Category],MATCH($G688,Tbl_KPIMaster[KPI],0)),"")</f>
        <v/>
      </c>
      <c r="G688" s="8" t="inlineStr">
        <is>
          <t>Customer Complaints</t>
        </is>
      </c>
      <c r="H688" s="8">
        <f>IFERROR(INDEX(Tbl_KPIMaster[Unit],MATCH($G688,Tbl_KPIMaster[KPI],0)),"")</f>
        <v/>
      </c>
      <c r="I688" s="9">
        <f>IFERROR(INDEX(Tbl_KPIMaster[Maximum Target],MATCH($G688,Tbl_KPIMaster[KPI],0)),"")</f>
        <v/>
      </c>
      <c r="J688" s="9" t="n">
        <v>0</v>
      </c>
      <c r="K688" s="8">
        <f>IFERROR(INDEX(Tbl_KPIMaster[Tolerance],MATCH($G688,Tbl_KPIMaster[KPI],0)),"")</f>
        <v/>
      </c>
      <c r="L688" s="8">
        <f>IFERROR(INDEX(Tbl_KPIMaster[Owner],MATCH($G688,Tbl_KPIMaster[KPI],0)),"")</f>
        <v/>
      </c>
      <c r="M688" s="10" t="inlineStr">
        <is>
          <t>Manpower shortage</t>
        </is>
      </c>
      <c r="N688" s="8" t="inlineStr">
        <is>
          <t>Procurement follow-up</t>
        </is>
      </c>
      <c r="O688" s="8" t="inlineStr">
        <is>
          <t>Medium</t>
        </is>
      </c>
      <c r="P688" s="8" t="inlineStr">
        <is>
          <t>Open</t>
        </is>
      </c>
      <c r="Q688" s="9">
        <f>IFERROR(IF(INDEX(Tbl_KPIMaster[Direction],MATCH($G688,Tbl_KPIMaster[KPI],0))="Lower is Better",IF($J688=0,1,IF($I688=0,0,$I688/$J688)),IF($I688=0,1,$J688/$I688)),0)</f>
        <v/>
      </c>
      <c r="R688" s="8">
        <f>IF(OR($I688="",$J688=""),"",$J688-$I688)</f>
        <v/>
      </c>
      <c r="S688" s="8">
        <f>IFERROR(IF(INDEX(Tbl_KPIMaster[Direction],MATCH($G688,Tbl_KPIMaster[KPI],0))="Lower is Better",IF($J688&lt;=$I688,"Green",IF($J688&lt;=$I688+IF($I688=0,$K688,$I688*$K688),"Amber","Red")),IF($J688&gt;=$I688,"Green",IF($J688&gt;=$I688-IF($I688=0,$K688,$I688*$K688),"Amber","Red"))),"")</f>
        <v/>
      </c>
      <c r="T688" s="10" t="inlineStr"/>
    </row>
    <row r="689">
      <c r="A689" s="3" t="n">
        <v>46164</v>
      </c>
      <c r="B689" s="4">
        <f>IF($A689="","",TEXT($A689,"mmm-yyyy"))</f>
        <v/>
      </c>
      <c r="C689" s="4">
        <f>IF($A689="","","W"&amp;WEEKNUM($A689,2))</f>
        <v/>
      </c>
      <c r="D689" s="4">
        <f>IF($A689="","",TEXT($A689,"ddd"))</f>
        <v/>
      </c>
      <c r="E689" s="4" t="inlineStr">
        <is>
          <t>Maintenance</t>
        </is>
      </c>
      <c r="F689" s="4">
        <f>IFERROR(INDEX(Tbl_KPIMaster[Category],MATCH($G689,Tbl_KPIMaster[KPI],0)),"")</f>
        <v/>
      </c>
      <c r="G689" s="4" t="inlineStr">
        <is>
          <t>Unplanned Downtime</t>
        </is>
      </c>
      <c r="H689" s="4">
        <f>IFERROR(INDEX(Tbl_KPIMaster[Unit],MATCH($G689,Tbl_KPIMaster[KPI],0)),"")</f>
        <v/>
      </c>
      <c r="I689" s="5">
        <f>IFERROR(INDEX(Tbl_KPIMaster[Maximum Target],MATCH($G689,Tbl_KPIMaster[KPI],0)),"")</f>
        <v/>
      </c>
      <c r="J689" s="5" t="n">
        <v>0.16</v>
      </c>
      <c r="K689" s="4">
        <f>IFERROR(INDEX(Tbl_KPIMaster[Tolerance],MATCH($G689,Tbl_KPIMaster[KPI],0)),"")</f>
        <v/>
      </c>
      <c r="L689" s="4">
        <f>IFERROR(INDEX(Tbl_KPIMaster[Owner],MATCH($G689,Tbl_KPIMaster[KPI],0)),"")</f>
        <v/>
      </c>
      <c r="M689" s="6" t="inlineStr">
        <is>
          <t>Preventive check done</t>
        </is>
      </c>
      <c r="N689" s="4" t="inlineStr"/>
      <c r="O689" s="4" t="inlineStr">
        <is>
          <t>Low</t>
        </is>
      </c>
      <c r="P689" s="4" t="inlineStr">
        <is>
          <t>Closed</t>
        </is>
      </c>
      <c r="Q689" s="5">
        <f>IFERROR(IF(INDEX(Tbl_KPIMaster[Direction],MATCH($G689,Tbl_KPIMaster[KPI],0))="Lower is Better",IF($J689=0,1,IF($I689=0,0,$I689/$J689)),IF($I689=0,1,$J689/$I689)),0)</f>
        <v/>
      </c>
      <c r="R689" s="4">
        <f>IF(OR($I689="",$J689=""),"",$J689-$I689)</f>
        <v/>
      </c>
      <c r="S689" s="4">
        <f>IFERROR(IF(INDEX(Tbl_KPIMaster[Direction],MATCH($G689,Tbl_KPIMaster[KPI],0))="Lower is Better",IF($J689&lt;=$I689,"Green",IF($J689&lt;=$I689+IF($I689=0,$K689,$I689*$K689),"Amber","Red")),IF($J689&gt;=$I689,"Green",IF($J689&gt;=$I689-IF($I689=0,$K689,$I689*$K689),"Amber","Red"))),"")</f>
        <v/>
      </c>
      <c r="T689" s="6" t="inlineStr"/>
    </row>
    <row r="690">
      <c r="A690" s="7" t="n">
        <v>46164</v>
      </c>
      <c r="B690" s="8">
        <f>IF($A690="","",TEXT($A690,"mmm-yyyy"))</f>
        <v/>
      </c>
      <c r="C690" s="8">
        <f>IF($A690="","","W"&amp;WEEKNUM($A690,2))</f>
        <v/>
      </c>
      <c r="D690" s="8">
        <f>IF($A690="","",TEXT($A690,"ddd"))</f>
        <v/>
      </c>
      <c r="E690" s="8" t="inlineStr">
        <is>
          <t>Maintenance</t>
        </is>
      </c>
      <c r="F690" s="8">
        <f>IFERROR(INDEX(Tbl_KPIMaster[Category],MATCH($G690,Tbl_KPIMaster[KPI],0)),"")</f>
        <v/>
      </c>
      <c r="G690" s="8" t="inlineStr">
        <is>
          <t>PM Compliance %</t>
        </is>
      </c>
      <c r="H690" s="8">
        <f>IFERROR(INDEX(Tbl_KPIMaster[Unit],MATCH($G690,Tbl_KPIMaster[KPI],0)),"")</f>
        <v/>
      </c>
      <c r="I690" s="9">
        <f>IFERROR(INDEX(Tbl_KPIMaster[Maximum Target],MATCH($G690,Tbl_KPIMaster[KPI],0)),"")</f>
        <v/>
      </c>
      <c r="J690" s="9" t="n">
        <v>1.0066</v>
      </c>
      <c r="K690" s="8">
        <f>IFERROR(INDEX(Tbl_KPIMaster[Tolerance],MATCH($G690,Tbl_KPIMaster[KPI],0)),"")</f>
        <v/>
      </c>
      <c r="L690" s="8">
        <f>IFERROR(INDEX(Tbl_KPIMaster[Owner],MATCH($G690,Tbl_KPIMaster[KPI],0)),"")</f>
        <v/>
      </c>
      <c r="M690" s="10" t="inlineStr">
        <is>
          <t>New operator training effect</t>
        </is>
      </c>
      <c r="N690" s="8" t="inlineStr">
        <is>
          <t>Management approval pending</t>
        </is>
      </c>
      <c r="O690" s="8" t="inlineStr">
        <is>
          <t>Medium</t>
        </is>
      </c>
      <c r="P690" s="8" t="inlineStr">
        <is>
          <t>Closed</t>
        </is>
      </c>
      <c r="Q690" s="9">
        <f>IFERROR(IF(INDEX(Tbl_KPIMaster[Direction],MATCH($G690,Tbl_KPIMaster[KPI],0))="Lower is Better",IF($J690=0,1,IF($I690=0,0,$I690/$J690)),IF($I690=0,1,$J690/$I690)),0)</f>
        <v/>
      </c>
      <c r="R690" s="8">
        <f>IF(OR($I690="",$J690=""),"",$J690-$I690)</f>
        <v/>
      </c>
      <c r="S690" s="8">
        <f>IFERROR(IF(INDEX(Tbl_KPIMaster[Direction],MATCH($G690,Tbl_KPIMaster[KPI],0))="Lower is Better",IF($J690&lt;=$I690,"Green",IF($J690&lt;=$I690+IF($I690=0,$K690,$I690*$K690),"Amber","Red")),IF($J690&gt;=$I690,"Green",IF($J690&gt;=$I690-IF($I690=0,$K690,$I690*$K690),"Amber","Red"))),"")</f>
        <v/>
      </c>
      <c r="T690" s="10" t="inlineStr"/>
    </row>
    <row r="691">
      <c r="A691" s="3" t="n">
        <v>46164</v>
      </c>
      <c r="B691" s="4">
        <f>IF($A691="","",TEXT($A691,"mmm-yyyy"))</f>
        <v/>
      </c>
      <c r="C691" s="4">
        <f>IF($A691="","","W"&amp;WEEKNUM($A691,2))</f>
        <v/>
      </c>
      <c r="D691" s="4">
        <f>IF($A691="","",TEXT($A691,"ddd"))</f>
        <v/>
      </c>
      <c r="E691" s="4" t="inlineStr">
        <is>
          <t>Utilities</t>
        </is>
      </c>
      <c r="F691" s="4">
        <f>IFERROR(INDEX(Tbl_KPIMaster[Category],MATCH($G691,Tbl_KPIMaster[KPI],0)),"")</f>
        <v/>
      </c>
      <c r="G691" s="4" t="inlineStr">
        <is>
          <t>Power Consumption</t>
        </is>
      </c>
      <c r="H691" s="4">
        <f>IFERROR(INDEX(Tbl_KPIMaster[Unit],MATCH($G691,Tbl_KPIMaster[KPI],0)),"")</f>
        <v/>
      </c>
      <c r="I691" s="5">
        <f>IFERROR(INDEX(Tbl_KPIMaster[Maximum Target],MATCH($G691,Tbl_KPIMaster[KPI],0)),"")</f>
        <v/>
      </c>
      <c r="J691" s="5" t="n">
        <v>4465.03</v>
      </c>
      <c r="K691" s="4">
        <f>IFERROR(INDEX(Tbl_KPIMaster[Tolerance],MATCH($G691,Tbl_KPIMaster[KPI],0)),"")</f>
        <v/>
      </c>
      <c r="L691" s="4">
        <f>IFERROR(INDEX(Tbl_KPIMaster[Owner],MATCH($G691,Tbl_KPIMaster[KPI],0)),"")</f>
        <v/>
      </c>
      <c r="M691" s="6" t="inlineStr">
        <is>
          <t>Weather impact</t>
        </is>
      </c>
      <c r="N691" s="4" t="inlineStr">
        <is>
          <t>Engineering support needed</t>
        </is>
      </c>
      <c r="O691" s="4" t="inlineStr">
        <is>
          <t>Low</t>
        </is>
      </c>
      <c r="P691" s="4" t="inlineStr">
        <is>
          <t>Closed</t>
        </is>
      </c>
      <c r="Q691" s="5">
        <f>IFERROR(IF(INDEX(Tbl_KPIMaster[Direction],MATCH($G691,Tbl_KPIMaster[KPI],0))="Lower is Better",IF($J691=0,1,IF($I691=0,0,$I691/$J691)),IF($I691=0,1,$J691/$I691)),0)</f>
        <v/>
      </c>
      <c r="R691" s="4">
        <f>IF(OR($I691="",$J691=""),"",$J691-$I691)</f>
        <v/>
      </c>
      <c r="S691" s="4">
        <f>IFERROR(IF(INDEX(Tbl_KPIMaster[Direction],MATCH($G691,Tbl_KPIMaster[KPI],0))="Lower is Better",IF($J691&lt;=$I691,"Green",IF($J691&lt;=$I691+IF($I691=0,$K691,$I691*$K691),"Amber","Red")),IF($J691&gt;=$I691,"Green",IF($J691&gt;=$I691-IF($I691=0,$K691,$I691*$K691),"Amber","Red"))),"")</f>
        <v/>
      </c>
      <c r="T691" s="6" t="inlineStr"/>
    </row>
    <row r="692">
      <c r="A692" s="7" t="n">
        <v>46164</v>
      </c>
      <c r="B692" s="8">
        <f>IF($A692="","",TEXT($A692,"mmm-yyyy"))</f>
        <v/>
      </c>
      <c r="C692" s="8">
        <f>IF($A692="","","W"&amp;WEEKNUM($A692,2))</f>
        <v/>
      </c>
      <c r="D692" s="8">
        <f>IF($A692="","",TEXT($A692,"ddd"))</f>
        <v/>
      </c>
      <c r="E692" s="8" t="inlineStr">
        <is>
          <t>Utilities</t>
        </is>
      </c>
      <c r="F692" s="8">
        <f>IFERROR(INDEX(Tbl_KPIMaster[Category],MATCH($G692,Tbl_KPIMaster[KPI],0)),"")</f>
        <v/>
      </c>
      <c r="G692" s="8" t="inlineStr">
        <is>
          <t>Water Consumption</t>
        </is>
      </c>
      <c r="H692" s="8">
        <f>IFERROR(INDEX(Tbl_KPIMaster[Unit],MATCH($G692,Tbl_KPIMaster[KPI],0)),"")</f>
        <v/>
      </c>
      <c r="I692" s="9">
        <f>IFERROR(INDEX(Tbl_KPIMaster[Maximum Target],MATCH($G692,Tbl_KPIMaster[KPI],0)),"")</f>
        <v/>
      </c>
      <c r="J692" s="9" t="n">
        <v>50.5</v>
      </c>
      <c r="K692" s="8">
        <f>IFERROR(INDEX(Tbl_KPIMaster[Tolerance],MATCH($G692,Tbl_KPIMaster[KPI],0)),"")</f>
        <v/>
      </c>
      <c r="L692" s="8">
        <f>IFERROR(INDEX(Tbl_KPIMaster[Owner],MATCH($G692,Tbl_KPIMaster[KPI],0)),"")</f>
        <v/>
      </c>
      <c r="M692" s="10" t="inlineStr">
        <is>
          <t>Equipment breakdown</t>
        </is>
      </c>
      <c r="N692" s="8" t="inlineStr">
        <is>
          <t>Procurement follow-up</t>
        </is>
      </c>
      <c r="O692" s="8" t="inlineStr">
        <is>
          <t>High</t>
        </is>
      </c>
      <c r="P692" s="8" t="inlineStr">
        <is>
          <t>In Progress</t>
        </is>
      </c>
      <c r="Q692" s="9">
        <f>IFERROR(IF(INDEX(Tbl_KPIMaster[Direction],MATCH($G692,Tbl_KPIMaster[KPI],0))="Lower is Better",IF($J692=0,1,IF($I692=0,0,$I692/$J692)),IF($I692=0,1,$J692/$I692)),0)</f>
        <v/>
      </c>
      <c r="R692" s="8">
        <f>IF(OR($I692="",$J692=""),"",$J692-$I692)</f>
        <v/>
      </c>
      <c r="S692" s="8">
        <f>IFERROR(IF(INDEX(Tbl_KPIMaster[Direction],MATCH($G692,Tbl_KPIMaster[KPI],0))="Lower is Better",IF($J692&lt;=$I692,"Green",IF($J692&lt;=$I692+IF($I692=0,$K692,$I692*$K692),"Amber","Red")),IF($J692&gt;=$I692,"Green",IF($J692&gt;=$I692-IF($I692=0,$K692,$I692*$K692),"Amber","Red"))),"")</f>
        <v/>
      </c>
      <c r="T692" s="10" t="inlineStr"/>
    </row>
    <row r="693">
      <c r="A693" s="3" t="n">
        <v>46164</v>
      </c>
      <c r="B693" s="4">
        <f>IF($A693="","",TEXT($A693,"mmm-yyyy"))</f>
        <v/>
      </c>
      <c r="C693" s="4">
        <f>IF($A693="","","W"&amp;WEEKNUM($A693,2))</f>
        <v/>
      </c>
      <c r="D693" s="4">
        <f>IF($A693="","",TEXT($A693,"ddd"))</f>
        <v/>
      </c>
      <c r="E693" s="4" t="inlineStr">
        <is>
          <t>Warehouse</t>
        </is>
      </c>
      <c r="F693" s="4">
        <f>IFERROR(INDEX(Tbl_KPIMaster[Category],MATCH($G693,Tbl_KPIMaster[KPI],0)),"")</f>
        <v/>
      </c>
      <c r="G693" s="4" t="inlineStr">
        <is>
          <t>On-Time Dispatch %</t>
        </is>
      </c>
      <c r="H693" s="4">
        <f>IFERROR(INDEX(Tbl_KPIMaster[Unit],MATCH($G693,Tbl_KPIMaster[KPI],0)),"")</f>
        <v/>
      </c>
      <c r="I693" s="5">
        <f>IFERROR(INDEX(Tbl_KPIMaster[Maximum Target],MATCH($G693,Tbl_KPIMaster[KPI],0)),"")</f>
        <v/>
      </c>
      <c r="J693" s="5" t="n">
        <v>1.0706</v>
      </c>
      <c r="K693" s="4">
        <f>IFERROR(INDEX(Tbl_KPIMaster[Tolerance],MATCH($G693,Tbl_KPIMaster[KPI],0)),"")</f>
        <v/>
      </c>
      <c r="L693" s="4">
        <f>IFERROR(INDEX(Tbl_KPIMaster[Owner],MATCH($G693,Tbl_KPIMaster[KPI],0)),"")</f>
        <v/>
      </c>
      <c r="M693" s="6" t="inlineStr">
        <is>
          <t>Awaiting spares</t>
        </is>
      </c>
      <c r="N693" s="4" t="inlineStr">
        <is>
          <t>Engineering support needed</t>
        </is>
      </c>
      <c r="O693" s="4" t="inlineStr">
        <is>
          <t>Low</t>
        </is>
      </c>
      <c r="P693" s="4" t="inlineStr">
        <is>
          <t>In Progress</t>
        </is>
      </c>
      <c r="Q693" s="5">
        <f>IFERROR(IF(INDEX(Tbl_KPIMaster[Direction],MATCH($G693,Tbl_KPIMaster[KPI],0))="Lower is Better",IF($J693=0,1,IF($I693=0,0,$I693/$J693)),IF($I693=0,1,$J693/$I693)),0)</f>
        <v/>
      </c>
      <c r="R693" s="4">
        <f>IF(OR($I693="",$J693=""),"",$J693-$I693)</f>
        <v/>
      </c>
      <c r="S693" s="4">
        <f>IFERROR(IF(INDEX(Tbl_KPIMaster[Direction],MATCH($G693,Tbl_KPIMaster[KPI],0))="Lower is Better",IF($J693&lt;=$I693,"Green",IF($J693&lt;=$I693+IF($I693=0,$K693,$I693*$K693),"Amber","Red")),IF($J693&gt;=$I693,"Green",IF($J693&gt;=$I693-IF($I693=0,$K693,$I693*$K693),"Amber","Red"))),"")</f>
        <v/>
      </c>
      <c r="T693" s="6" t="inlineStr"/>
    </row>
    <row r="694">
      <c r="A694" s="7" t="n">
        <v>46164</v>
      </c>
      <c r="B694" s="8">
        <f>IF($A694="","",TEXT($A694,"mmm-yyyy"))</f>
        <v/>
      </c>
      <c r="C694" s="8">
        <f>IF($A694="","","W"&amp;WEEKNUM($A694,2))</f>
        <v/>
      </c>
      <c r="D694" s="8">
        <f>IF($A694="","",TEXT($A694,"ddd"))</f>
        <v/>
      </c>
      <c r="E694" s="8" t="inlineStr">
        <is>
          <t>Warehouse</t>
        </is>
      </c>
      <c r="F694" s="8">
        <f>IFERROR(INDEX(Tbl_KPIMaster[Category],MATCH($G694,Tbl_KPIMaster[KPI],0)),"")</f>
        <v/>
      </c>
      <c r="G694" s="8" t="inlineStr">
        <is>
          <t>Inventory Accuracy %</t>
        </is>
      </c>
      <c r="H694" s="8">
        <f>IFERROR(INDEX(Tbl_KPIMaster[Unit],MATCH($G694,Tbl_KPIMaster[KPI],0)),"")</f>
        <v/>
      </c>
      <c r="I694" s="9">
        <f>IFERROR(INDEX(Tbl_KPIMaster[Maximum Target],MATCH($G694,Tbl_KPIMaster[KPI],0)),"")</f>
        <v/>
      </c>
      <c r="J694" s="9" t="n">
        <v>0.8357</v>
      </c>
      <c r="K694" s="8">
        <f>IFERROR(INDEX(Tbl_KPIMaster[Tolerance],MATCH($G694,Tbl_KPIMaster[KPI],0)),"")</f>
        <v/>
      </c>
      <c r="L694" s="8">
        <f>IFERROR(INDEX(Tbl_KPIMaster[Owner],MATCH($G694,Tbl_KPIMaster[KPI],0)),"")</f>
        <v/>
      </c>
      <c r="M694" s="10" t="inlineStr">
        <is>
          <t>Awaiting spares</t>
        </is>
      </c>
      <c r="N694" s="8" t="inlineStr">
        <is>
          <t>Engineering support needed</t>
        </is>
      </c>
      <c r="O694" s="8" t="inlineStr">
        <is>
          <t>Low</t>
        </is>
      </c>
      <c r="P694" s="8" t="inlineStr">
        <is>
          <t>Closed</t>
        </is>
      </c>
      <c r="Q694" s="9">
        <f>IFERROR(IF(INDEX(Tbl_KPIMaster[Direction],MATCH($G694,Tbl_KPIMaster[KPI],0))="Lower is Better",IF($J694=0,1,IF($I694=0,0,$I694/$J694)),IF($I694=0,1,$J694/$I694)),0)</f>
        <v/>
      </c>
      <c r="R694" s="8">
        <f>IF(OR($I694="",$J694=""),"",$J694-$I694)</f>
        <v/>
      </c>
      <c r="S694" s="8">
        <f>IFERROR(IF(INDEX(Tbl_KPIMaster[Direction],MATCH($G694,Tbl_KPIMaster[KPI],0))="Lower is Better",IF($J694&lt;=$I694,"Green",IF($J694&lt;=$I694+IF($I694=0,$K694,$I694*$K694),"Amber","Red")),IF($J694&gt;=$I694,"Green",IF($J694&gt;=$I694-IF($I694=0,$K694,$I694*$K694),"Amber","Red"))),"")</f>
        <v/>
      </c>
      <c r="T694" s="10" t="inlineStr"/>
    </row>
    <row r="695">
      <c r="A695" s="3" t="n">
        <v>46164</v>
      </c>
      <c r="B695" s="4">
        <f>IF($A695="","",TEXT($A695,"mmm-yyyy"))</f>
        <v/>
      </c>
      <c r="C695" s="4">
        <f>IF($A695="","","W"&amp;WEEKNUM($A695,2))</f>
        <v/>
      </c>
      <c r="D695" s="4">
        <f>IF($A695="","",TEXT($A695,"ddd"))</f>
        <v/>
      </c>
      <c r="E695" s="4" t="inlineStr">
        <is>
          <t>HR</t>
        </is>
      </c>
      <c r="F695" s="4">
        <f>IFERROR(INDEX(Tbl_KPIMaster[Category],MATCH($G695,Tbl_KPIMaster[KPI],0)),"")</f>
        <v/>
      </c>
      <c r="G695" s="4" t="inlineStr">
        <is>
          <t>Absenteeism %</t>
        </is>
      </c>
      <c r="H695" s="4">
        <f>IFERROR(INDEX(Tbl_KPIMaster[Unit],MATCH($G695,Tbl_KPIMaster[KPI],0)),"")</f>
        <v/>
      </c>
      <c r="I695" s="5">
        <f>IFERROR(INDEX(Tbl_KPIMaster[Maximum Target],MATCH($G695,Tbl_KPIMaster[KPI],0)),"")</f>
        <v/>
      </c>
      <c r="J695" s="5" t="n">
        <v>0</v>
      </c>
      <c r="K695" s="4">
        <f>IFERROR(INDEX(Tbl_KPIMaster[Tolerance],MATCH($G695,Tbl_KPIMaster[KPI],0)),"")</f>
        <v/>
      </c>
      <c r="L695" s="4">
        <f>IFERROR(INDEX(Tbl_KPIMaster[Owner],MATCH($G695,Tbl_KPIMaster[KPI],0)),"")</f>
        <v/>
      </c>
      <c r="M695" s="6" t="inlineStr">
        <is>
          <t>Awaiting spares</t>
        </is>
      </c>
      <c r="N695" s="4" t="inlineStr"/>
      <c r="O695" s="4" t="inlineStr">
        <is>
          <t>High</t>
        </is>
      </c>
      <c r="P695" s="4" t="inlineStr">
        <is>
          <t>In Progress</t>
        </is>
      </c>
      <c r="Q695" s="5">
        <f>IFERROR(IF(INDEX(Tbl_KPIMaster[Direction],MATCH($G695,Tbl_KPIMaster[KPI],0))="Lower is Better",IF($J695=0,1,IF($I695=0,0,$I695/$J695)),IF($I695=0,1,$J695/$I695)),0)</f>
        <v/>
      </c>
      <c r="R695" s="4">
        <f>IF(OR($I695="",$J695=""),"",$J695-$I695)</f>
        <v/>
      </c>
      <c r="S695" s="4">
        <f>IFERROR(IF(INDEX(Tbl_KPIMaster[Direction],MATCH($G695,Tbl_KPIMaster[KPI],0))="Lower is Better",IF($J695&lt;=$I695,"Green",IF($J695&lt;=$I695+IF($I695=0,$K695,$I695*$K695),"Amber","Red")),IF($J695&gt;=$I695,"Green",IF($J695&gt;=$I695-IF($I695=0,$K695,$I695*$K695),"Amber","Red"))),"")</f>
        <v/>
      </c>
      <c r="T695" s="6" t="inlineStr"/>
    </row>
    <row r="696">
      <c r="A696" s="7" t="n">
        <v>46164</v>
      </c>
      <c r="B696" s="8">
        <f>IF($A696="","",TEXT($A696,"mmm-yyyy"))</f>
        <v/>
      </c>
      <c r="C696" s="8">
        <f>IF($A696="","","W"&amp;WEEKNUM($A696,2))</f>
        <v/>
      </c>
      <c r="D696" s="8">
        <f>IF($A696="","",TEXT($A696,"ddd"))</f>
        <v/>
      </c>
      <c r="E696" s="8" t="inlineStr">
        <is>
          <t>HR</t>
        </is>
      </c>
      <c r="F696" s="8">
        <f>IFERROR(INDEX(Tbl_KPIMaster[Category],MATCH($G696,Tbl_KPIMaster[KPI],0)),"")</f>
        <v/>
      </c>
      <c r="G696" s="8" t="inlineStr">
        <is>
          <t>Training Hours</t>
        </is>
      </c>
      <c r="H696" s="8">
        <f>IFERROR(INDEX(Tbl_KPIMaster[Unit],MATCH($G696,Tbl_KPIMaster[KPI],0)),"")</f>
        <v/>
      </c>
      <c r="I696" s="9">
        <f>IFERROR(INDEX(Tbl_KPIMaster[Maximum Target],MATCH($G696,Tbl_KPIMaster[KPI],0)),"")</f>
        <v/>
      </c>
      <c r="J696" s="9" t="n">
        <v>2.44</v>
      </c>
      <c r="K696" s="8">
        <f>IFERROR(INDEX(Tbl_KPIMaster[Tolerance],MATCH($G696,Tbl_KPIMaster[KPI],0)),"")</f>
        <v/>
      </c>
      <c r="L696" s="8">
        <f>IFERROR(INDEX(Tbl_KPIMaster[Owner],MATCH($G696,Tbl_KPIMaster[KPI],0)),"")</f>
        <v/>
      </c>
      <c r="M696" s="10" t="inlineStr">
        <is>
          <t>Line changeover impact</t>
        </is>
      </c>
      <c r="N696" s="8" t="inlineStr"/>
      <c r="O696" s="8" t="inlineStr">
        <is>
          <t>Medium</t>
        </is>
      </c>
      <c r="P696" s="8" t="inlineStr">
        <is>
          <t>Closed</t>
        </is>
      </c>
      <c r="Q696" s="9">
        <f>IFERROR(IF(INDEX(Tbl_KPIMaster[Direction],MATCH($G696,Tbl_KPIMaster[KPI],0))="Lower is Better",IF($J696=0,1,IF($I696=0,0,$I696/$J696)),IF($I696=0,1,$J696/$I696)),0)</f>
        <v/>
      </c>
      <c r="R696" s="8">
        <f>IF(OR($I696="",$J696=""),"",$J696-$I696)</f>
        <v/>
      </c>
      <c r="S696" s="8">
        <f>IFERROR(IF(INDEX(Tbl_KPIMaster[Direction],MATCH($G696,Tbl_KPIMaster[KPI],0))="Lower is Better",IF($J696&lt;=$I696,"Green",IF($J696&lt;=$I696+IF($I696=0,$K696,$I696*$K696),"Amber","Red")),IF($J696&gt;=$I696,"Green",IF($J696&gt;=$I696-IF($I696=0,$K696,$I696*$K696),"Amber","Red"))),"")</f>
        <v/>
      </c>
      <c r="T696" s="10" t="inlineStr"/>
    </row>
    <row r="697">
      <c r="A697" s="3" t="n">
        <v>46164</v>
      </c>
      <c r="B697" s="4">
        <f>IF($A697="","",TEXT($A697,"mmm-yyyy"))</f>
        <v/>
      </c>
      <c r="C697" s="4">
        <f>IF($A697="","","W"&amp;WEEKNUM($A697,2))</f>
        <v/>
      </c>
      <c r="D697" s="4">
        <f>IF($A697="","",TEXT($A697,"ddd"))</f>
        <v/>
      </c>
      <c r="E697" s="4" t="inlineStr">
        <is>
          <t>Engineering</t>
        </is>
      </c>
      <c r="F697" s="4">
        <f>IFERROR(INDEX(Tbl_KPIMaster[Category],MATCH($G697,Tbl_KPIMaster[KPI],0)),"")</f>
        <v/>
      </c>
      <c r="G697" s="4" t="inlineStr">
        <is>
          <t>Project Milestone Adherence %</t>
        </is>
      </c>
      <c r="H697" s="4">
        <f>IFERROR(INDEX(Tbl_KPIMaster[Unit],MATCH($G697,Tbl_KPIMaster[KPI],0)),"")</f>
        <v/>
      </c>
      <c r="I697" s="5">
        <f>IFERROR(INDEX(Tbl_KPIMaster[Maximum Target],MATCH($G697,Tbl_KPIMaster[KPI],0)),"")</f>
        <v/>
      </c>
      <c r="J697" s="5" t="n">
        <v>0.9157</v>
      </c>
      <c r="K697" s="4">
        <f>IFERROR(INDEX(Tbl_KPIMaster[Tolerance],MATCH($G697,Tbl_KPIMaster[KPI],0)),"")</f>
        <v/>
      </c>
      <c r="L697" s="4">
        <f>IFERROR(INDEX(Tbl_KPIMaster[Owner],MATCH($G697,Tbl_KPIMaster[KPI],0)),"")</f>
        <v/>
      </c>
      <c r="M697" s="6" t="inlineStr">
        <is>
          <t>Process improvement in progress</t>
        </is>
      </c>
      <c r="N697" s="4" t="inlineStr">
        <is>
          <t>Engineering support needed</t>
        </is>
      </c>
      <c r="O697" s="4" t="inlineStr">
        <is>
          <t>Low</t>
        </is>
      </c>
      <c r="P697" s="4" t="inlineStr">
        <is>
          <t>In Progress</t>
        </is>
      </c>
      <c r="Q697" s="5">
        <f>IFERROR(IF(INDEX(Tbl_KPIMaster[Direction],MATCH($G697,Tbl_KPIMaster[KPI],0))="Lower is Better",IF($J697=0,1,IF($I697=0,0,$I697/$J697)),IF($I697=0,1,$J697/$I697)),0)</f>
        <v/>
      </c>
      <c r="R697" s="4">
        <f>IF(OR($I697="",$J697=""),"",$J697-$I697)</f>
        <v/>
      </c>
      <c r="S697" s="4">
        <f>IFERROR(IF(INDEX(Tbl_KPIMaster[Direction],MATCH($G697,Tbl_KPIMaster[KPI],0))="Lower is Better",IF($J697&lt;=$I697,"Green",IF($J697&lt;=$I697+IF($I697=0,$K697,$I697*$K697),"Amber","Red")),IF($J697&gt;=$I697,"Green",IF($J697&gt;=$I697-IF($I697=0,$K697,$I697*$K697),"Amber","Red"))),"")</f>
        <v/>
      </c>
      <c r="T697" s="6" t="inlineStr"/>
    </row>
    <row r="698">
      <c r="A698" s="7" t="n">
        <v>46164</v>
      </c>
      <c r="B698" s="8">
        <f>IF($A698="","",TEXT($A698,"mmm-yyyy"))</f>
        <v/>
      </c>
      <c r="C698" s="8">
        <f>IF($A698="","","W"&amp;WEEKNUM($A698,2))</f>
        <v/>
      </c>
      <c r="D698" s="8">
        <f>IF($A698="","",TEXT($A698,"ddd"))</f>
        <v/>
      </c>
      <c r="E698" s="8" t="inlineStr">
        <is>
          <t>Engineering</t>
        </is>
      </c>
      <c r="F698" s="8">
        <f>IFERROR(INDEX(Tbl_KPIMaster[Category],MATCH($G698,Tbl_KPIMaster[KPI],0)),"")</f>
        <v/>
      </c>
      <c r="G698" s="8" t="inlineStr">
        <is>
          <t>Breakdown Resolution Time</t>
        </is>
      </c>
      <c r="H698" s="8">
        <f>IFERROR(INDEX(Tbl_KPIMaster[Unit],MATCH($G698,Tbl_KPIMaster[KPI],0)),"")</f>
        <v/>
      </c>
      <c r="I698" s="9">
        <f>IFERROR(INDEX(Tbl_KPIMaster[Maximum Target],MATCH($G698,Tbl_KPIMaster[KPI],0)),"")</f>
        <v/>
      </c>
      <c r="J698" s="9" t="n">
        <v>1.31</v>
      </c>
      <c r="K698" s="8">
        <f>IFERROR(INDEX(Tbl_KPIMaster[Tolerance],MATCH($G698,Tbl_KPIMaster[KPI],0)),"")</f>
        <v/>
      </c>
      <c r="L698" s="8">
        <f>IFERROR(INDEX(Tbl_KPIMaster[Owner],MATCH($G698,Tbl_KPIMaster[KPI],0)),"")</f>
        <v/>
      </c>
      <c r="M698" s="10" t="inlineStr">
        <is>
          <t>Process improvement in progress</t>
        </is>
      </c>
      <c r="N698" s="8" t="inlineStr">
        <is>
          <t>Management approval pending</t>
        </is>
      </c>
      <c r="O698" s="8" t="inlineStr">
        <is>
          <t>High</t>
        </is>
      </c>
      <c r="P698" s="8" t="inlineStr">
        <is>
          <t>Closed</t>
        </is>
      </c>
      <c r="Q698" s="9">
        <f>IFERROR(IF(INDEX(Tbl_KPIMaster[Direction],MATCH($G698,Tbl_KPIMaster[KPI],0))="Lower is Better",IF($J698=0,1,IF($I698=0,0,$I698/$J698)),IF($I698=0,1,$J698/$I698)),0)</f>
        <v/>
      </c>
      <c r="R698" s="8">
        <f>IF(OR($I698="",$J698=""),"",$J698-$I698)</f>
        <v/>
      </c>
      <c r="S698" s="8">
        <f>IFERROR(IF(INDEX(Tbl_KPIMaster[Direction],MATCH($G698,Tbl_KPIMaster[KPI],0))="Lower is Better",IF($J698&lt;=$I698,"Green",IF($J698&lt;=$I698+IF($I698=0,$K698,$I698*$K698),"Amber","Red")),IF($J698&gt;=$I698,"Green",IF($J698&gt;=$I698-IF($I698=0,$K698,$I698*$K698),"Amber","Red"))),"")</f>
        <v/>
      </c>
      <c r="T698" s="10" t="inlineStr"/>
    </row>
    <row r="699">
      <c r="A699" s="3" t="n">
        <v>46164</v>
      </c>
      <c r="B699" s="4">
        <f>IF($A699="","",TEXT($A699,"mmm-yyyy"))</f>
        <v/>
      </c>
      <c r="C699" s="4">
        <f>IF($A699="","","W"&amp;WEEKNUM($A699,2))</f>
        <v/>
      </c>
      <c r="D699" s="4">
        <f>IF($A699="","",TEXT($A699,"ddd"))</f>
        <v/>
      </c>
      <c r="E699" s="4" t="inlineStr">
        <is>
          <t>Cost</t>
        </is>
      </c>
      <c r="F699" s="4">
        <f>IFERROR(INDEX(Tbl_KPIMaster[Category],MATCH($G699,Tbl_KPIMaster[KPI],0)),"")</f>
        <v/>
      </c>
      <c r="G699" s="4" t="inlineStr">
        <is>
          <t>Cost per Unit</t>
        </is>
      </c>
      <c r="H699" s="4">
        <f>IFERROR(INDEX(Tbl_KPIMaster[Unit],MATCH($G699,Tbl_KPIMaster[KPI],0)),"")</f>
        <v/>
      </c>
      <c r="I699" s="5">
        <f>IFERROR(INDEX(Tbl_KPIMaster[Maximum Target],MATCH($G699,Tbl_KPIMaster[KPI],0)),"")</f>
        <v/>
      </c>
      <c r="J699" s="5" t="n">
        <v>40.85</v>
      </c>
      <c r="K699" s="4">
        <f>IFERROR(INDEX(Tbl_KPIMaster[Tolerance],MATCH($G699,Tbl_KPIMaster[KPI],0)),"")</f>
        <v/>
      </c>
      <c r="L699" s="4">
        <f>IFERROR(INDEX(Tbl_KPIMaster[Owner],MATCH($G699,Tbl_KPIMaster[KPI],0)),"")</f>
        <v/>
      </c>
      <c r="M699" s="6" t="inlineStr">
        <is>
          <t>Equipment breakdown</t>
        </is>
      </c>
      <c r="N699" s="4" t="inlineStr">
        <is>
          <t>Procurement follow-up</t>
        </is>
      </c>
      <c r="O699" s="4" t="inlineStr">
        <is>
          <t>Low</t>
        </is>
      </c>
      <c r="P699" s="4" t="inlineStr">
        <is>
          <t>Closed</t>
        </is>
      </c>
      <c r="Q699" s="5">
        <f>IFERROR(IF(INDEX(Tbl_KPIMaster[Direction],MATCH($G699,Tbl_KPIMaster[KPI],0))="Lower is Better",IF($J699=0,1,IF($I699=0,0,$I699/$J699)),IF($I699=0,1,$J699/$I699)),0)</f>
        <v/>
      </c>
      <c r="R699" s="4">
        <f>IF(OR($I699="",$J699=""),"",$J699-$I699)</f>
        <v/>
      </c>
      <c r="S699" s="4">
        <f>IFERROR(IF(INDEX(Tbl_KPIMaster[Direction],MATCH($G699,Tbl_KPIMaster[KPI],0))="Lower is Better",IF($J699&lt;=$I699,"Green",IF($J699&lt;=$I699+IF($I699=0,$K699,$I699*$K699),"Amber","Red")),IF($J699&gt;=$I699,"Green",IF($J699&gt;=$I699-IF($I699=0,$K699,$I699*$K699),"Amber","Red"))),"")</f>
        <v/>
      </c>
      <c r="T699" s="6" t="inlineStr"/>
    </row>
    <row r="700">
      <c r="A700" s="7" t="n">
        <v>46164</v>
      </c>
      <c r="B700" s="8">
        <f>IF($A700="","",TEXT($A700,"mmm-yyyy"))</f>
        <v/>
      </c>
      <c r="C700" s="8">
        <f>IF($A700="","","W"&amp;WEEKNUM($A700,2))</f>
        <v/>
      </c>
      <c r="D700" s="8">
        <f>IF($A700="","",TEXT($A700,"ddd"))</f>
        <v/>
      </c>
      <c r="E700" s="8" t="inlineStr">
        <is>
          <t>Cost</t>
        </is>
      </c>
      <c r="F700" s="8">
        <f>IFERROR(INDEX(Tbl_KPIMaster[Category],MATCH($G700,Tbl_KPIMaster[KPI],0)),"")</f>
        <v/>
      </c>
      <c r="G700" s="8" t="inlineStr">
        <is>
          <t>Budget Variance %</t>
        </is>
      </c>
      <c r="H700" s="8">
        <f>IFERROR(INDEX(Tbl_KPIMaster[Unit],MATCH($G700,Tbl_KPIMaster[KPI],0)),"")</f>
        <v/>
      </c>
      <c r="I700" s="9">
        <f>IFERROR(INDEX(Tbl_KPIMaster[Maximum Target],MATCH($G700,Tbl_KPIMaster[KPI],0)),"")</f>
        <v/>
      </c>
      <c r="J700" s="9" t="n">
        <v>0.9484</v>
      </c>
      <c r="K700" s="8">
        <f>IFERROR(INDEX(Tbl_KPIMaster[Tolerance],MATCH($G700,Tbl_KPIMaster[KPI],0)),"")</f>
        <v/>
      </c>
      <c r="L700" s="8">
        <f>IFERROR(INDEX(Tbl_KPIMaster[Owner],MATCH($G700,Tbl_KPIMaster[KPI],0)),"")</f>
        <v/>
      </c>
      <c r="M700" s="10" t="inlineStr">
        <is>
          <t>New operator training effect</t>
        </is>
      </c>
      <c r="N700" s="8" t="inlineStr">
        <is>
          <t>Procurement follow-up</t>
        </is>
      </c>
      <c r="O700" s="8" t="inlineStr">
        <is>
          <t>High</t>
        </is>
      </c>
      <c r="P700" s="8" t="inlineStr">
        <is>
          <t>Closed</t>
        </is>
      </c>
      <c r="Q700" s="9">
        <f>IFERROR(IF(INDEX(Tbl_KPIMaster[Direction],MATCH($G700,Tbl_KPIMaster[KPI],0))="Lower is Better",IF($J700=0,1,IF($I700=0,0,$I700/$J700)),IF($I700=0,1,$J700/$I700)),0)</f>
        <v/>
      </c>
      <c r="R700" s="8">
        <f>IF(OR($I700="",$J700=""),"",$J700-$I700)</f>
        <v/>
      </c>
      <c r="S700" s="8">
        <f>IFERROR(IF(INDEX(Tbl_KPIMaster[Direction],MATCH($G700,Tbl_KPIMaster[KPI],0))="Lower is Better",IF($J700&lt;=$I700,"Green",IF($J700&lt;=$I700+IF($I700=0,$K700,$I700*$K700),"Amber","Red")),IF($J700&gt;=$I700,"Green",IF($J700&gt;=$I700-IF($I700=0,$K700,$I700*$K700),"Amber","Red"))),"")</f>
        <v/>
      </c>
      <c r="T700" s="10" t="inlineStr"/>
    </row>
    <row r="701">
      <c r="A701" s="3" t="n">
        <v>46164</v>
      </c>
      <c r="B701" s="4">
        <f>IF($A701="","",TEXT($A701,"mmm-yyyy"))</f>
        <v/>
      </c>
      <c r="C701" s="4">
        <f>IF($A701="","","W"&amp;WEEKNUM($A701,2))</f>
        <v/>
      </c>
      <c r="D701" s="4">
        <f>IF($A701="","",TEXT($A701,"ddd"))</f>
        <v/>
      </c>
      <c r="E701" s="4" t="inlineStr">
        <is>
          <t>Energy</t>
        </is>
      </c>
      <c r="F701" s="4">
        <f>IFERROR(INDEX(Tbl_KPIMaster[Category],MATCH($G701,Tbl_KPIMaster[KPI],0)),"")</f>
        <v/>
      </c>
      <c r="G701" s="4" t="inlineStr">
        <is>
          <t>Energy Intensity (kWh/unit)</t>
        </is>
      </c>
      <c r="H701" s="4">
        <f>IFERROR(INDEX(Tbl_KPIMaster[Unit],MATCH($G701,Tbl_KPIMaster[KPI],0)),"")</f>
        <v/>
      </c>
      <c r="I701" s="5">
        <f>IFERROR(INDEX(Tbl_KPIMaster[Maximum Target],MATCH($G701,Tbl_KPIMaster[KPI],0)),"")</f>
        <v/>
      </c>
      <c r="J701" s="5" t="n">
        <v>3.77</v>
      </c>
      <c r="K701" s="4">
        <f>IFERROR(INDEX(Tbl_KPIMaster[Tolerance],MATCH($G701,Tbl_KPIMaster[KPI],0)),"")</f>
        <v/>
      </c>
      <c r="L701" s="4">
        <f>IFERROR(INDEX(Tbl_KPIMaster[Owner],MATCH($G701,Tbl_KPIMaster[KPI],0)),"")</f>
        <v/>
      </c>
      <c r="M701" s="6" t="inlineStr">
        <is>
          <t>Equipment breakdown</t>
        </is>
      </c>
      <c r="N701" s="4" t="inlineStr">
        <is>
          <t>Engineering support needed</t>
        </is>
      </c>
      <c r="O701" s="4" t="inlineStr">
        <is>
          <t>Low</t>
        </is>
      </c>
      <c r="P701" s="4" t="inlineStr">
        <is>
          <t>Closed</t>
        </is>
      </c>
      <c r="Q701" s="5">
        <f>IFERROR(IF(INDEX(Tbl_KPIMaster[Direction],MATCH($G701,Tbl_KPIMaster[KPI],0))="Lower is Better",IF($J701=0,1,IF($I701=0,0,$I701/$J701)),IF($I701=0,1,$J701/$I701)),0)</f>
        <v/>
      </c>
      <c r="R701" s="4">
        <f>IF(OR($I701="",$J701=""),"",$J701-$I701)</f>
        <v/>
      </c>
      <c r="S701" s="4">
        <f>IFERROR(IF(INDEX(Tbl_KPIMaster[Direction],MATCH($G701,Tbl_KPIMaster[KPI],0))="Lower is Better",IF($J701&lt;=$I701,"Green",IF($J701&lt;=$I701+IF($I701=0,$K701,$I701*$K701),"Amber","Red")),IF($J701&gt;=$I701,"Green",IF($J701&gt;=$I701-IF($I701=0,$K701,$I701*$K701),"Amber","Red"))),"")</f>
        <v/>
      </c>
      <c r="T701" s="6" t="inlineStr"/>
    </row>
    <row r="702">
      <c r="A702" s="7" t="n">
        <v>46164</v>
      </c>
      <c r="B702" s="8">
        <f>IF($A702="","",TEXT($A702,"mmm-yyyy"))</f>
        <v/>
      </c>
      <c r="C702" s="8">
        <f>IF($A702="","","W"&amp;WEEKNUM($A702,2))</f>
        <v/>
      </c>
      <c r="D702" s="8">
        <f>IF($A702="","",TEXT($A702,"ddd"))</f>
        <v/>
      </c>
      <c r="E702" s="8" t="inlineStr">
        <is>
          <t>Energy</t>
        </is>
      </c>
      <c r="F702" s="8">
        <f>IFERROR(INDEX(Tbl_KPIMaster[Category],MATCH($G702,Tbl_KPIMaster[KPI],0)),"")</f>
        <v/>
      </c>
      <c r="G702" s="8" t="inlineStr">
        <is>
          <t>Renewable Energy Share %</t>
        </is>
      </c>
      <c r="H702" s="8">
        <f>IFERROR(INDEX(Tbl_KPIMaster[Unit],MATCH($G702,Tbl_KPIMaster[KPI],0)),"")</f>
        <v/>
      </c>
      <c r="I702" s="9">
        <f>IFERROR(INDEX(Tbl_KPIMaster[Maximum Target],MATCH($G702,Tbl_KPIMaster[KPI],0)),"")</f>
        <v/>
      </c>
      <c r="J702" s="9" t="n">
        <v>0.2475</v>
      </c>
      <c r="K702" s="8">
        <f>IFERROR(INDEX(Tbl_KPIMaster[Tolerance],MATCH($G702,Tbl_KPIMaster[KPI],0)),"")</f>
        <v/>
      </c>
      <c r="L702" s="8">
        <f>IFERROR(INDEX(Tbl_KPIMaster[Owner],MATCH($G702,Tbl_KPIMaster[KPI],0)),"")</f>
        <v/>
      </c>
      <c r="M702" s="10" t="inlineStr">
        <is>
          <t>Preventive check done</t>
        </is>
      </c>
      <c r="N702" s="8" t="inlineStr">
        <is>
          <t>Engineering support needed</t>
        </is>
      </c>
      <c r="O702" s="8" t="inlineStr">
        <is>
          <t>Low</t>
        </is>
      </c>
      <c r="P702" s="8" t="inlineStr">
        <is>
          <t>Closed</t>
        </is>
      </c>
      <c r="Q702" s="9">
        <f>IFERROR(IF(INDEX(Tbl_KPIMaster[Direction],MATCH($G702,Tbl_KPIMaster[KPI],0))="Lower is Better",IF($J702=0,1,IF($I702=0,0,$I702/$J702)),IF($I702=0,1,$J702/$I702)),0)</f>
        <v/>
      </c>
      <c r="R702" s="8">
        <f>IF(OR($I702="",$J702=""),"",$J702-$I702)</f>
        <v/>
      </c>
      <c r="S702" s="8">
        <f>IFERROR(IF(INDEX(Tbl_KPIMaster[Direction],MATCH($G702,Tbl_KPIMaster[KPI],0))="Lower is Better",IF($J702&lt;=$I702,"Green",IF($J702&lt;=$I702+IF($I702=0,$K702,$I702*$K702),"Amber","Red")),IF($J702&gt;=$I702,"Green",IF($J702&gt;=$I702-IF($I702=0,$K702,$I702*$K702),"Amber","Red"))),"")</f>
        <v/>
      </c>
      <c r="T702" s="10" t="inlineStr"/>
    </row>
    <row r="703">
      <c r="A703" s="3" t="n">
        <v>46165</v>
      </c>
      <c r="B703" s="4">
        <f>IF($A703="","",TEXT($A703,"mmm-yyyy"))</f>
        <v/>
      </c>
      <c r="C703" s="4">
        <f>IF($A703="","","W"&amp;WEEKNUM($A703,2))</f>
        <v/>
      </c>
      <c r="D703" s="4">
        <f>IF($A703="","",TEXT($A703,"ddd"))</f>
        <v/>
      </c>
      <c r="E703" s="4" t="inlineStr">
        <is>
          <t>Safety</t>
        </is>
      </c>
      <c r="F703" s="4">
        <f>IFERROR(INDEX(Tbl_KPIMaster[Category],MATCH($G703,Tbl_KPIMaster[KPI],0)),"")</f>
        <v/>
      </c>
      <c r="G703" s="4" t="inlineStr">
        <is>
          <t>Safety Incidents (LTI)</t>
        </is>
      </c>
      <c r="H703" s="4">
        <f>IFERROR(INDEX(Tbl_KPIMaster[Unit],MATCH($G703,Tbl_KPIMaster[KPI],0)),"")</f>
        <v/>
      </c>
      <c r="I703" s="5">
        <f>IFERROR(INDEX(Tbl_KPIMaster[Maximum Target],MATCH($G703,Tbl_KPIMaster[KPI],0)),"")</f>
        <v/>
      </c>
      <c r="J703" s="5" t="n">
        <v>1</v>
      </c>
      <c r="K703" s="4">
        <f>IFERROR(INDEX(Tbl_KPIMaster[Tolerance],MATCH($G703,Tbl_KPIMaster[KPI],0)),"")</f>
        <v/>
      </c>
      <c r="L703" s="4">
        <f>IFERROR(INDEX(Tbl_KPIMaster[Owner],MATCH($G703,Tbl_KPIMaster[KPI],0)),"")</f>
        <v/>
      </c>
      <c r="M703" s="6" t="inlineStr">
        <is>
          <t>Equipment breakdown</t>
        </is>
      </c>
      <c r="N703" s="4" t="inlineStr"/>
      <c r="O703" s="4" t="inlineStr">
        <is>
          <t>Low</t>
        </is>
      </c>
      <c r="P703" s="4" t="inlineStr">
        <is>
          <t>In Progress</t>
        </is>
      </c>
      <c r="Q703" s="5">
        <f>IFERROR(IF(INDEX(Tbl_KPIMaster[Direction],MATCH($G703,Tbl_KPIMaster[KPI],0))="Lower is Better",IF($J703=0,1,IF($I703=0,0,$I703/$J703)),IF($I703=0,1,$J703/$I703)),0)</f>
        <v/>
      </c>
      <c r="R703" s="4">
        <f>IF(OR($I703="",$J703=""),"",$J703-$I703)</f>
        <v/>
      </c>
      <c r="S703" s="4">
        <f>IFERROR(IF(INDEX(Tbl_KPIMaster[Direction],MATCH($G703,Tbl_KPIMaster[KPI],0))="Lower is Better",IF($J703&lt;=$I703,"Green",IF($J703&lt;=$I703+IF($I703=0,$K703,$I703*$K703),"Amber","Red")),IF($J703&gt;=$I703,"Green",IF($J703&gt;=$I703-IF($I703=0,$K703,$I703*$K703),"Amber","Red"))),"")</f>
        <v/>
      </c>
      <c r="T703" s="6" t="inlineStr"/>
    </row>
    <row r="704">
      <c r="A704" s="7" t="n">
        <v>46165</v>
      </c>
      <c r="B704" s="8">
        <f>IF($A704="","",TEXT($A704,"mmm-yyyy"))</f>
        <v/>
      </c>
      <c r="C704" s="8">
        <f>IF($A704="","","W"&amp;WEEKNUM($A704,2))</f>
        <v/>
      </c>
      <c r="D704" s="8">
        <f>IF($A704="","",TEXT($A704,"ddd"))</f>
        <v/>
      </c>
      <c r="E704" s="8" t="inlineStr">
        <is>
          <t>Safety</t>
        </is>
      </c>
      <c r="F704" s="8">
        <f>IFERROR(INDEX(Tbl_KPIMaster[Category],MATCH($G704,Tbl_KPIMaster[KPI],0)),"")</f>
        <v/>
      </c>
      <c r="G704" s="8" t="inlineStr">
        <is>
          <t>Near Miss Reports</t>
        </is>
      </c>
      <c r="H704" s="8">
        <f>IFERROR(INDEX(Tbl_KPIMaster[Unit],MATCH($G704,Tbl_KPIMaster[KPI],0)),"")</f>
        <v/>
      </c>
      <c r="I704" s="9">
        <f>IFERROR(INDEX(Tbl_KPIMaster[Maximum Target],MATCH($G704,Tbl_KPIMaster[KPI],0)),"")</f>
        <v/>
      </c>
      <c r="J704" s="9" t="n">
        <v>2</v>
      </c>
      <c r="K704" s="8">
        <f>IFERROR(INDEX(Tbl_KPIMaster[Tolerance],MATCH($G704,Tbl_KPIMaster[KPI],0)),"")</f>
        <v/>
      </c>
      <c r="L704" s="8">
        <f>IFERROR(INDEX(Tbl_KPIMaster[Owner],MATCH($G704,Tbl_KPIMaster[KPI],0)),"")</f>
        <v/>
      </c>
      <c r="M704" s="10" t="inlineStr">
        <is>
          <t>Preventive check done</t>
        </is>
      </c>
      <c r="N704" s="8" t="inlineStr">
        <is>
          <t>Procurement follow-up</t>
        </is>
      </c>
      <c r="O704" s="8" t="inlineStr">
        <is>
          <t>Low</t>
        </is>
      </c>
      <c r="P704" s="8" t="inlineStr">
        <is>
          <t>In Progress</t>
        </is>
      </c>
      <c r="Q704" s="9">
        <f>IFERROR(IF(INDEX(Tbl_KPIMaster[Direction],MATCH($G704,Tbl_KPIMaster[KPI],0))="Lower is Better",IF($J704=0,1,IF($I704=0,0,$I704/$J704)),IF($I704=0,1,$J704/$I704)),0)</f>
        <v/>
      </c>
      <c r="R704" s="8">
        <f>IF(OR($I704="",$J704=""),"",$J704-$I704)</f>
        <v/>
      </c>
      <c r="S704" s="8">
        <f>IFERROR(IF(INDEX(Tbl_KPIMaster[Direction],MATCH($G704,Tbl_KPIMaster[KPI],0))="Lower is Better",IF($J704&lt;=$I704,"Green",IF($J704&lt;=$I704+IF($I704=0,$K704,$I704*$K704),"Amber","Red")),IF($J704&gt;=$I704,"Green",IF($J704&gt;=$I704-IF($I704=0,$K704,$I704*$K704),"Amber","Red"))),"")</f>
        <v/>
      </c>
      <c r="T704" s="10" t="inlineStr"/>
    </row>
    <row r="705">
      <c r="A705" s="3" t="n">
        <v>46165</v>
      </c>
      <c r="B705" s="4">
        <f>IF($A705="","",TEXT($A705,"mmm-yyyy"))</f>
        <v/>
      </c>
      <c r="C705" s="4">
        <f>IF($A705="","","W"&amp;WEEKNUM($A705,2))</f>
        <v/>
      </c>
      <c r="D705" s="4">
        <f>IF($A705="","",TEXT($A705,"ddd"))</f>
        <v/>
      </c>
      <c r="E705" s="4" t="inlineStr">
        <is>
          <t>Production</t>
        </is>
      </c>
      <c r="F705" s="4">
        <f>IFERROR(INDEX(Tbl_KPIMaster[Category],MATCH($G705,Tbl_KPIMaster[KPI],0)),"")</f>
        <v/>
      </c>
      <c r="G705" s="4" t="inlineStr">
        <is>
          <t>Production Output</t>
        </is>
      </c>
      <c r="H705" s="4">
        <f>IFERROR(INDEX(Tbl_KPIMaster[Unit],MATCH($G705,Tbl_KPIMaster[KPI],0)),"")</f>
        <v/>
      </c>
      <c r="I705" s="5">
        <f>IFERROR(INDEX(Tbl_KPIMaster[Maximum Target],MATCH($G705,Tbl_KPIMaster[KPI],0)),"")</f>
        <v/>
      </c>
      <c r="J705" s="5" t="n">
        <v>1199.79</v>
      </c>
      <c r="K705" s="4">
        <f>IFERROR(INDEX(Tbl_KPIMaster[Tolerance],MATCH($G705,Tbl_KPIMaster[KPI],0)),"")</f>
        <v/>
      </c>
      <c r="L705" s="4">
        <f>IFERROR(INDEX(Tbl_KPIMaster[Owner],MATCH($G705,Tbl_KPIMaster[KPI],0)),"")</f>
        <v/>
      </c>
      <c r="M705" s="6" t="inlineStr">
        <is>
          <t>Preventive check done</t>
        </is>
      </c>
      <c r="N705" s="4" t="inlineStr">
        <is>
          <t>Procurement follow-up</t>
        </is>
      </c>
      <c r="O705" s="4" t="inlineStr">
        <is>
          <t>Low</t>
        </is>
      </c>
      <c r="P705" s="4" t="inlineStr">
        <is>
          <t>Closed</t>
        </is>
      </c>
      <c r="Q705" s="5">
        <f>IFERROR(IF(INDEX(Tbl_KPIMaster[Direction],MATCH($G705,Tbl_KPIMaster[KPI],0))="Lower is Better",IF($J705=0,1,IF($I705=0,0,$I705/$J705)),IF($I705=0,1,$J705/$I705)),0)</f>
        <v/>
      </c>
      <c r="R705" s="4">
        <f>IF(OR($I705="",$J705=""),"",$J705-$I705)</f>
        <v/>
      </c>
      <c r="S705" s="4">
        <f>IFERROR(IF(INDEX(Tbl_KPIMaster[Direction],MATCH($G705,Tbl_KPIMaster[KPI],0))="Lower is Better",IF($J705&lt;=$I705,"Green",IF($J705&lt;=$I705+IF($I705=0,$K705,$I705*$K705),"Amber","Red")),IF($J705&gt;=$I705,"Green",IF($J705&gt;=$I705-IF($I705=0,$K705,$I705*$K705),"Amber","Red"))),"")</f>
        <v/>
      </c>
      <c r="T705" s="6" t="inlineStr"/>
    </row>
    <row r="706">
      <c r="A706" s="7" t="n">
        <v>46165</v>
      </c>
      <c r="B706" s="8">
        <f>IF($A706="","",TEXT($A706,"mmm-yyyy"))</f>
        <v/>
      </c>
      <c r="C706" s="8">
        <f>IF($A706="","","W"&amp;WEEKNUM($A706,2))</f>
        <v/>
      </c>
      <c r="D706" s="8">
        <f>IF($A706="","",TEXT($A706,"ddd"))</f>
        <v/>
      </c>
      <c r="E706" s="8" t="inlineStr">
        <is>
          <t>Production</t>
        </is>
      </c>
      <c r="F706" s="8">
        <f>IFERROR(INDEX(Tbl_KPIMaster[Category],MATCH($G706,Tbl_KPIMaster[KPI],0)),"")</f>
        <v/>
      </c>
      <c r="G706" s="8" t="inlineStr">
        <is>
          <t>OEE %</t>
        </is>
      </c>
      <c r="H706" s="8">
        <f>IFERROR(INDEX(Tbl_KPIMaster[Unit],MATCH($G706,Tbl_KPIMaster[KPI],0)),"")</f>
        <v/>
      </c>
      <c r="I706" s="9">
        <f>IFERROR(INDEX(Tbl_KPIMaster[Maximum Target],MATCH($G706,Tbl_KPIMaster[KPI],0)),"")</f>
        <v/>
      </c>
      <c r="J706" s="9" t="n">
        <v>0.992</v>
      </c>
      <c r="K706" s="8">
        <f>IFERROR(INDEX(Tbl_KPIMaster[Tolerance],MATCH($G706,Tbl_KPIMaster[KPI],0)),"")</f>
        <v/>
      </c>
      <c r="L706" s="8">
        <f>IFERROR(INDEX(Tbl_KPIMaster[Owner],MATCH($G706,Tbl_KPIMaster[KPI],0)),"")</f>
        <v/>
      </c>
      <c r="M706" s="10" t="inlineStr">
        <is>
          <t>New operator training effect</t>
        </is>
      </c>
      <c r="N706" s="8" t="inlineStr"/>
      <c r="O706" s="8" t="inlineStr">
        <is>
          <t>Low</t>
        </is>
      </c>
      <c r="P706" s="8" t="inlineStr">
        <is>
          <t>Closed</t>
        </is>
      </c>
      <c r="Q706" s="9">
        <f>IFERROR(IF(INDEX(Tbl_KPIMaster[Direction],MATCH($G706,Tbl_KPIMaster[KPI],0))="Lower is Better",IF($J706=0,1,IF($I706=0,0,$I706/$J706)),IF($I706=0,1,$J706/$I706)),0)</f>
        <v/>
      </c>
      <c r="R706" s="8">
        <f>IF(OR($I706="",$J706=""),"",$J706-$I706)</f>
        <v/>
      </c>
      <c r="S706" s="8">
        <f>IFERROR(IF(INDEX(Tbl_KPIMaster[Direction],MATCH($G706,Tbl_KPIMaster[KPI],0))="Lower is Better",IF($J706&lt;=$I706,"Green",IF($J706&lt;=$I706+IF($I706=0,$K706,$I706*$K706),"Amber","Red")),IF($J706&gt;=$I706,"Green",IF($J706&gt;=$I706-IF($I706=0,$K706,$I706*$K706),"Amber","Red"))),"")</f>
        <v/>
      </c>
      <c r="T706" s="10" t="inlineStr"/>
    </row>
    <row r="707">
      <c r="A707" s="3" t="n">
        <v>46165</v>
      </c>
      <c r="B707" s="4">
        <f>IF($A707="","",TEXT($A707,"mmm-yyyy"))</f>
        <v/>
      </c>
      <c r="C707" s="4">
        <f>IF($A707="","","W"&amp;WEEKNUM($A707,2))</f>
        <v/>
      </c>
      <c r="D707" s="4">
        <f>IF($A707="","",TEXT($A707,"ddd"))</f>
        <v/>
      </c>
      <c r="E707" s="4" t="inlineStr">
        <is>
          <t>Quality</t>
        </is>
      </c>
      <c r="F707" s="4">
        <f>IFERROR(INDEX(Tbl_KPIMaster[Category],MATCH($G707,Tbl_KPIMaster[KPI],0)),"")</f>
        <v/>
      </c>
      <c r="G707" s="4" t="inlineStr">
        <is>
          <t>Defect Rate %</t>
        </is>
      </c>
      <c r="H707" s="4">
        <f>IFERROR(INDEX(Tbl_KPIMaster[Unit],MATCH($G707,Tbl_KPIMaster[KPI],0)),"")</f>
        <v/>
      </c>
      <c r="I707" s="5">
        <f>IFERROR(INDEX(Tbl_KPIMaster[Maximum Target],MATCH($G707,Tbl_KPIMaster[KPI],0)),"")</f>
        <v/>
      </c>
      <c r="J707" s="5" t="n">
        <v>0.926</v>
      </c>
      <c r="K707" s="4">
        <f>IFERROR(INDEX(Tbl_KPIMaster[Tolerance],MATCH($G707,Tbl_KPIMaster[KPI],0)),"")</f>
        <v/>
      </c>
      <c r="L707" s="4">
        <f>IFERROR(INDEX(Tbl_KPIMaster[Owner],MATCH($G707,Tbl_KPIMaster[KPI],0)),"")</f>
        <v/>
      </c>
      <c r="M707" s="6" t="inlineStr">
        <is>
          <t>Preventive check done</t>
        </is>
      </c>
      <c r="N707" s="4" t="inlineStr"/>
      <c r="O707" s="4" t="inlineStr">
        <is>
          <t>High</t>
        </is>
      </c>
      <c r="P707" s="4" t="inlineStr">
        <is>
          <t>In Progress</t>
        </is>
      </c>
      <c r="Q707" s="5">
        <f>IFERROR(IF(INDEX(Tbl_KPIMaster[Direction],MATCH($G707,Tbl_KPIMaster[KPI],0))="Lower is Better",IF($J707=0,1,IF($I707=0,0,$I707/$J707)),IF($I707=0,1,$J707/$I707)),0)</f>
        <v/>
      </c>
      <c r="R707" s="4">
        <f>IF(OR($I707="",$J707=""),"",$J707-$I707)</f>
        <v/>
      </c>
      <c r="S707" s="4">
        <f>IFERROR(IF(INDEX(Tbl_KPIMaster[Direction],MATCH($G707,Tbl_KPIMaster[KPI],0))="Lower is Better",IF($J707&lt;=$I707,"Green",IF($J707&lt;=$I707+IF($I707=0,$K707,$I707*$K707),"Amber","Red")),IF($J707&gt;=$I707,"Green",IF($J707&gt;=$I707-IF($I707=0,$K707,$I707*$K707),"Amber","Red"))),"")</f>
        <v/>
      </c>
      <c r="T707" s="6" t="inlineStr"/>
    </row>
    <row r="708">
      <c r="A708" s="7" t="n">
        <v>46165</v>
      </c>
      <c r="B708" s="8">
        <f>IF($A708="","",TEXT($A708,"mmm-yyyy"))</f>
        <v/>
      </c>
      <c r="C708" s="8">
        <f>IF($A708="","","W"&amp;WEEKNUM($A708,2))</f>
        <v/>
      </c>
      <c r="D708" s="8">
        <f>IF($A708="","",TEXT($A708,"ddd"))</f>
        <v/>
      </c>
      <c r="E708" s="8" t="inlineStr">
        <is>
          <t>Quality</t>
        </is>
      </c>
      <c r="F708" s="8">
        <f>IFERROR(INDEX(Tbl_KPIMaster[Category],MATCH($G708,Tbl_KPIMaster[KPI],0)),"")</f>
        <v/>
      </c>
      <c r="G708" s="8" t="inlineStr">
        <is>
          <t>Customer Complaints</t>
        </is>
      </c>
      <c r="H708" s="8">
        <f>IFERROR(INDEX(Tbl_KPIMaster[Unit],MATCH($G708,Tbl_KPIMaster[KPI],0)),"")</f>
        <v/>
      </c>
      <c r="I708" s="9">
        <f>IFERROR(INDEX(Tbl_KPIMaster[Maximum Target],MATCH($G708,Tbl_KPIMaster[KPI],0)),"")</f>
        <v/>
      </c>
      <c r="J708" s="9" t="n">
        <v>0</v>
      </c>
      <c r="K708" s="8">
        <f>IFERROR(INDEX(Tbl_KPIMaster[Tolerance],MATCH($G708,Tbl_KPIMaster[KPI],0)),"")</f>
        <v/>
      </c>
      <c r="L708" s="8">
        <f>IFERROR(INDEX(Tbl_KPIMaster[Owner],MATCH($G708,Tbl_KPIMaster[KPI],0)),"")</f>
        <v/>
      </c>
      <c r="M708" s="10" t="inlineStr">
        <is>
          <t>New operator training effect</t>
        </is>
      </c>
      <c r="N708" s="8" t="inlineStr"/>
      <c r="O708" s="8" t="inlineStr">
        <is>
          <t>Medium</t>
        </is>
      </c>
      <c r="P708" s="8" t="inlineStr">
        <is>
          <t>In Progress</t>
        </is>
      </c>
      <c r="Q708" s="9">
        <f>IFERROR(IF(INDEX(Tbl_KPIMaster[Direction],MATCH($G708,Tbl_KPIMaster[KPI],0))="Lower is Better",IF($J708=0,1,IF($I708=0,0,$I708/$J708)),IF($I708=0,1,$J708/$I708)),0)</f>
        <v/>
      </c>
      <c r="R708" s="8">
        <f>IF(OR($I708="",$J708=""),"",$J708-$I708)</f>
        <v/>
      </c>
      <c r="S708" s="8">
        <f>IFERROR(IF(INDEX(Tbl_KPIMaster[Direction],MATCH($G708,Tbl_KPIMaster[KPI],0))="Lower is Better",IF($J708&lt;=$I708,"Green",IF($J708&lt;=$I708+IF($I708=0,$K708,$I708*$K708),"Amber","Red")),IF($J708&gt;=$I708,"Green",IF($J708&gt;=$I708-IF($I708=0,$K708,$I708*$K708),"Amber","Red"))),"")</f>
        <v/>
      </c>
      <c r="T708" s="10" t="inlineStr"/>
    </row>
    <row r="709">
      <c r="A709" s="3" t="n">
        <v>46165</v>
      </c>
      <c r="B709" s="4">
        <f>IF($A709="","",TEXT($A709,"mmm-yyyy"))</f>
        <v/>
      </c>
      <c r="C709" s="4">
        <f>IF($A709="","","W"&amp;WEEKNUM($A709,2))</f>
        <v/>
      </c>
      <c r="D709" s="4">
        <f>IF($A709="","",TEXT($A709,"ddd"))</f>
        <v/>
      </c>
      <c r="E709" s="4" t="inlineStr">
        <is>
          <t>Maintenance</t>
        </is>
      </c>
      <c r="F709" s="4">
        <f>IFERROR(INDEX(Tbl_KPIMaster[Category],MATCH($G709,Tbl_KPIMaster[KPI],0)),"")</f>
        <v/>
      </c>
      <c r="G709" s="4" t="inlineStr">
        <is>
          <t>Unplanned Downtime</t>
        </is>
      </c>
      <c r="H709" s="4">
        <f>IFERROR(INDEX(Tbl_KPIMaster[Unit],MATCH($G709,Tbl_KPIMaster[KPI],0)),"")</f>
        <v/>
      </c>
      <c r="I709" s="5">
        <f>IFERROR(INDEX(Tbl_KPIMaster[Maximum Target],MATCH($G709,Tbl_KPIMaster[KPI],0)),"")</f>
        <v/>
      </c>
      <c r="J709" s="5" t="n">
        <v>0</v>
      </c>
      <c r="K709" s="4">
        <f>IFERROR(INDEX(Tbl_KPIMaster[Tolerance],MATCH($G709,Tbl_KPIMaster[KPI],0)),"")</f>
        <v/>
      </c>
      <c r="L709" s="4">
        <f>IFERROR(INDEX(Tbl_KPIMaster[Owner],MATCH($G709,Tbl_KPIMaster[KPI],0)),"")</f>
        <v/>
      </c>
      <c r="M709" s="6" t="inlineStr">
        <is>
          <t>Process improvement in progress</t>
        </is>
      </c>
      <c r="N709" s="4" t="inlineStr"/>
      <c r="O709" s="4" t="inlineStr">
        <is>
          <t>Low</t>
        </is>
      </c>
      <c r="P709" s="4" t="inlineStr">
        <is>
          <t>Open</t>
        </is>
      </c>
      <c r="Q709" s="5">
        <f>IFERROR(IF(INDEX(Tbl_KPIMaster[Direction],MATCH($G709,Tbl_KPIMaster[KPI],0))="Lower is Better",IF($J709=0,1,IF($I709=0,0,$I709/$J709)),IF($I709=0,1,$J709/$I709)),0)</f>
        <v/>
      </c>
      <c r="R709" s="4">
        <f>IF(OR($I709="",$J709=""),"",$J709-$I709)</f>
        <v/>
      </c>
      <c r="S709" s="4">
        <f>IFERROR(IF(INDEX(Tbl_KPIMaster[Direction],MATCH($G709,Tbl_KPIMaster[KPI],0))="Lower is Better",IF($J709&lt;=$I709,"Green",IF($J709&lt;=$I709+IF($I709=0,$K709,$I709*$K709),"Amber","Red")),IF($J709&gt;=$I709,"Green",IF($J709&gt;=$I709-IF($I709=0,$K709,$I709*$K709),"Amber","Red"))),"")</f>
        <v/>
      </c>
      <c r="T709" s="6" t="inlineStr"/>
    </row>
    <row r="710">
      <c r="A710" s="7" t="n">
        <v>46165</v>
      </c>
      <c r="B710" s="8">
        <f>IF($A710="","",TEXT($A710,"mmm-yyyy"))</f>
        <v/>
      </c>
      <c r="C710" s="8">
        <f>IF($A710="","","W"&amp;WEEKNUM($A710,2))</f>
        <v/>
      </c>
      <c r="D710" s="8">
        <f>IF($A710="","",TEXT($A710,"ddd"))</f>
        <v/>
      </c>
      <c r="E710" s="8" t="inlineStr">
        <is>
          <t>Maintenance</t>
        </is>
      </c>
      <c r="F710" s="8">
        <f>IFERROR(INDEX(Tbl_KPIMaster[Category],MATCH($G710,Tbl_KPIMaster[KPI],0)),"")</f>
        <v/>
      </c>
      <c r="G710" s="8" t="inlineStr">
        <is>
          <t>PM Compliance %</t>
        </is>
      </c>
      <c r="H710" s="8">
        <f>IFERROR(INDEX(Tbl_KPIMaster[Unit],MATCH($G710,Tbl_KPIMaster[KPI],0)),"")</f>
        <v/>
      </c>
      <c r="I710" s="9">
        <f>IFERROR(INDEX(Tbl_KPIMaster[Maximum Target],MATCH($G710,Tbl_KPIMaster[KPI],0)),"")</f>
        <v/>
      </c>
      <c r="J710" s="9" t="n">
        <v>0.9412</v>
      </c>
      <c r="K710" s="8">
        <f>IFERROR(INDEX(Tbl_KPIMaster[Tolerance],MATCH($G710,Tbl_KPIMaster[KPI],0)),"")</f>
        <v/>
      </c>
      <c r="L710" s="8">
        <f>IFERROR(INDEX(Tbl_KPIMaster[Owner],MATCH($G710,Tbl_KPIMaster[KPI],0)),"")</f>
        <v/>
      </c>
      <c r="M710" s="10" t="inlineStr">
        <is>
          <t>Manpower shortage</t>
        </is>
      </c>
      <c r="N710" s="8" t="inlineStr"/>
      <c r="O710" s="8" t="inlineStr">
        <is>
          <t>Low</t>
        </is>
      </c>
      <c r="P710" s="8" t="inlineStr">
        <is>
          <t>Closed</t>
        </is>
      </c>
      <c r="Q710" s="9">
        <f>IFERROR(IF(INDEX(Tbl_KPIMaster[Direction],MATCH($G710,Tbl_KPIMaster[KPI],0))="Lower is Better",IF($J710=0,1,IF($I710=0,0,$I710/$J710)),IF($I710=0,1,$J710/$I710)),0)</f>
        <v/>
      </c>
      <c r="R710" s="8">
        <f>IF(OR($I710="",$J710=""),"",$J710-$I710)</f>
        <v/>
      </c>
      <c r="S710" s="8">
        <f>IFERROR(IF(INDEX(Tbl_KPIMaster[Direction],MATCH($G710,Tbl_KPIMaster[KPI],0))="Lower is Better",IF($J710&lt;=$I710,"Green",IF($J710&lt;=$I710+IF($I710=0,$K710,$I710*$K710),"Amber","Red")),IF($J710&gt;=$I710,"Green",IF($J710&gt;=$I710-IF($I710=0,$K710,$I710*$K710),"Amber","Red"))),"")</f>
        <v/>
      </c>
      <c r="T710" s="10" t="inlineStr"/>
    </row>
    <row r="711">
      <c r="A711" s="3" t="n">
        <v>46165</v>
      </c>
      <c r="B711" s="4">
        <f>IF($A711="","",TEXT($A711,"mmm-yyyy"))</f>
        <v/>
      </c>
      <c r="C711" s="4">
        <f>IF($A711="","","W"&amp;WEEKNUM($A711,2))</f>
        <v/>
      </c>
      <c r="D711" s="4">
        <f>IF($A711="","",TEXT($A711,"ddd"))</f>
        <v/>
      </c>
      <c r="E711" s="4" t="inlineStr">
        <is>
          <t>Utilities</t>
        </is>
      </c>
      <c r="F711" s="4">
        <f>IFERROR(INDEX(Tbl_KPIMaster[Category],MATCH($G711,Tbl_KPIMaster[KPI],0)),"")</f>
        <v/>
      </c>
      <c r="G711" s="4" t="inlineStr">
        <is>
          <t>Power Consumption</t>
        </is>
      </c>
      <c r="H711" s="4">
        <f>IFERROR(INDEX(Tbl_KPIMaster[Unit],MATCH($G711,Tbl_KPIMaster[KPI],0)),"")</f>
        <v/>
      </c>
      <c r="I711" s="5">
        <f>IFERROR(INDEX(Tbl_KPIMaster[Maximum Target],MATCH($G711,Tbl_KPIMaster[KPI],0)),"")</f>
        <v/>
      </c>
      <c r="J711" s="5" t="n">
        <v>5117.56</v>
      </c>
      <c r="K711" s="4">
        <f>IFERROR(INDEX(Tbl_KPIMaster[Tolerance],MATCH($G711,Tbl_KPIMaster[KPI],0)),"")</f>
        <v/>
      </c>
      <c r="L711" s="4">
        <f>IFERROR(INDEX(Tbl_KPIMaster[Owner],MATCH($G711,Tbl_KPIMaster[KPI],0)),"")</f>
        <v/>
      </c>
      <c r="M711" s="6" t="inlineStr">
        <is>
          <t>Line changeover impact</t>
        </is>
      </c>
      <c r="N711" s="4" t="inlineStr">
        <is>
          <t>Procurement follow-up</t>
        </is>
      </c>
      <c r="O711" s="4" t="inlineStr">
        <is>
          <t>Medium</t>
        </is>
      </c>
      <c r="P711" s="4" t="inlineStr">
        <is>
          <t>Closed</t>
        </is>
      </c>
      <c r="Q711" s="5">
        <f>IFERROR(IF(INDEX(Tbl_KPIMaster[Direction],MATCH($G711,Tbl_KPIMaster[KPI],0))="Lower is Better",IF($J711=0,1,IF($I711=0,0,$I711/$J711)),IF($I711=0,1,$J711/$I711)),0)</f>
        <v/>
      </c>
      <c r="R711" s="4">
        <f>IF(OR($I711="",$J711=""),"",$J711-$I711)</f>
        <v/>
      </c>
      <c r="S711" s="4">
        <f>IFERROR(IF(INDEX(Tbl_KPIMaster[Direction],MATCH($G711,Tbl_KPIMaster[KPI],0))="Lower is Better",IF($J711&lt;=$I711,"Green",IF($J711&lt;=$I711+IF($I711=0,$K711,$I711*$K711),"Amber","Red")),IF($J711&gt;=$I711,"Green",IF($J711&gt;=$I711-IF($I711=0,$K711,$I711*$K711),"Amber","Red"))),"")</f>
        <v/>
      </c>
      <c r="T711" s="6" t="inlineStr"/>
    </row>
    <row r="712">
      <c r="A712" s="7" t="n">
        <v>46165</v>
      </c>
      <c r="B712" s="8">
        <f>IF($A712="","",TEXT($A712,"mmm-yyyy"))</f>
        <v/>
      </c>
      <c r="C712" s="8">
        <f>IF($A712="","","W"&amp;WEEKNUM($A712,2))</f>
        <v/>
      </c>
      <c r="D712" s="8">
        <f>IF($A712="","",TEXT($A712,"ddd"))</f>
        <v/>
      </c>
      <c r="E712" s="8" t="inlineStr">
        <is>
          <t>Utilities</t>
        </is>
      </c>
      <c r="F712" s="8">
        <f>IFERROR(INDEX(Tbl_KPIMaster[Category],MATCH($G712,Tbl_KPIMaster[KPI],0)),"")</f>
        <v/>
      </c>
      <c r="G712" s="8" t="inlineStr">
        <is>
          <t>Water Consumption</t>
        </is>
      </c>
      <c r="H712" s="8">
        <f>IFERROR(INDEX(Tbl_KPIMaster[Unit],MATCH($G712,Tbl_KPIMaster[KPI],0)),"")</f>
        <v/>
      </c>
      <c r="I712" s="9">
        <f>IFERROR(INDEX(Tbl_KPIMaster[Maximum Target],MATCH($G712,Tbl_KPIMaster[KPI],0)),"")</f>
        <v/>
      </c>
      <c r="J712" s="9" t="n">
        <v>70.84</v>
      </c>
      <c r="K712" s="8">
        <f>IFERROR(INDEX(Tbl_KPIMaster[Tolerance],MATCH($G712,Tbl_KPIMaster[KPI],0)),"")</f>
        <v/>
      </c>
      <c r="L712" s="8">
        <f>IFERROR(INDEX(Tbl_KPIMaster[Owner],MATCH($G712,Tbl_KPIMaster[KPI],0)),"")</f>
        <v/>
      </c>
      <c r="M712" s="10" t="inlineStr">
        <is>
          <t>Equipment breakdown</t>
        </is>
      </c>
      <c r="N712" s="8" t="inlineStr">
        <is>
          <t>Engineering support needed</t>
        </is>
      </c>
      <c r="O712" s="8" t="inlineStr">
        <is>
          <t>High</t>
        </is>
      </c>
      <c r="P712" s="8" t="inlineStr">
        <is>
          <t>Open</t>
        </is>
      </c>
      <c r="Q712" s="9">
        <f>IFERROR(IF(INDEX(Tbl_KPIMaster[Direction],MATCH($G712,Tbl_KPIMaster[KPI],0))="Lower is Better",IF($J712=0,1,IF($I712=0,0,$I712/$J712)),IF($I712=0,1,$J712/$I712)),0)</f>
        <v/>
      </c>
      <c r="R712" s="8">
        <f>IF(OR($I712="",$J712=""),"",$J712-$I712)</f>
        <v/>
      </c>
      <c r="S712" s="8">
        <f>IFERROR(IF(INDEX(Tbl_KPIMaster[Direction],MATCH($G712,Tbl_KPIMaster[KPI],0))="Lower is Better",IF($J712&lt;=$I712,"Green",IF($J712&lt;=$I712+IF($I712=0,$K712,$I712*$K712),"Amber","Red")),IF($J712&gt;=$I712,"Green",IF($J712&gt;=$I712-IF($I712=0,$K712,$I712*$K712),"Amber","Red"))),"")</f>
        <v/>
      </c>
      <c r="T712" s="10" t="inlineStr"/>
    </row>
    <row r="713">
      <c r="A713" s="3" t="n">
        <v>46165</v>
      </c>
      <c r="B713" s="4">
        <f>IF($A713="","",TEXT($A713,"mmm-yyyy"))</f>
        <v/>
      </c>
      <c r="C713" s="4">
        <f>IF($A713="","","W"&amp;WEEKNUM($A713,2))</f>
        <v/>
      </c>
      <c r="D713" s="4">
        <f>IF($A713="","",TEXT($A713,"ddd"))</f>
        <v/>
      </c>
      <c r="E713" s="4" t="inlineStr">
        <is>
          <t>Warehouse</t>
        </is>
      </c>
      <c r="F713" s="4">
        <f>IFERROR(INDEX(Tbl_KPIMaster[Category],MATCH($G713,Tbl_KPIMaster[KPI],0)),"")</f>
        <v/>
      </c>
      <c r="G713" s="4" t="inlineStr">
        <is>
          <t>On-Time Dispatch %</t>
        </is>
      </c>
      <c r="H713" s="4">
        <f>IFERROR(INDEX(Tbl_KPIMaster[Unit],MATCH($G713,Tbl_KPIMaster[KPI],0)),"")</f>
        <v/>
      </c>
      <c r="I713" s="5">
        <f>IFERROR(INDEX(Tbl_KPIMaster[Maximum Target],MATCH($G713,Tbl_KPIMaster[KPI],0)),"")</f>
        <v/>
      </c>
      <c r="J713" s="5" t="n">
        <v>0.6294999999999999</v>
      </c>
      <c r="K713" s="4">
        <f>IFERROR(INDEX(Tbl_KPIMaster[Tolerance],MATCH($G713,Tbl_KPIMaster[KPI],0)),"")</f>
        <v/>
      </c>
      <c r="L713" s="4">
        <f>IFERROR(INDEX(Tbl_KPIMaster[Owner],MATCH($G713,Tbl_KPIMaster[KPI],0)),"")</f>
        <v/>
      </c>
      <c r="M713" s="6" t="inlineStr">
        <is>
          <t>New operator training effect</t>
        </is>
      </c>
      <c r="N713" s="4" t="inlineStr">
        <is>
          <t>Management approval pending</t>
        </is>
      </c>
      <c r="O713" s="4" t="inlineStr">
        <is>
          <t>High</t>
        </is>
      </c>
      <c r="P713" s="4" t="inlineStr">
        <is>
          <t>Closed</t>
        </is>
      </c>
      <c r="Q713" s="5">
        <f>IFERROR(IF(INDEX(Tbl_KPIMaster[Direction],MATCH($G713,Tbl_KPIMaster[KPI],0))="Lower is Better",IF($J713=0,1,IF($I713=0,0,$I713/$J713)),IF($I713=0,1,$J713/$I713)),0)</f>
        <v/>
      </c>
      <c r="R713" s="4">
        <f>IF(OR($I713="",$J713=""),"",$J713-$I713)</f>
        <v/>
      </c>
      <c r="S713" s="4">
        <f>IFERROR(IF(INDEX(Tbl_KPIMaster[Direction],MATCH($G713,Tbl_KPIMaster[KPI],0))="Lower is Better",IF($J713&lt;=$I713,"Green",IF($J713&lt;=$I713+IF($I713=0,$K713,$I713*$K713),"Amber","Red")),IF($J713&gt;=$I713,"Green",IF($J713&gt;=$I713-IF($I713=0,$K713,$I713*$K713),"Amber","Red"))),"")</f>
        <v/>
      </c>
      <c r="T713" s="6" t="inlineStr"/>
    </row>
    <row r="714">
      <c r="A714" s="7" t="n">
        <v>46165</v>
      </c>
      <c r="B714" s="8">
        <f>IF($A714="","",TEXT($A714,"mmm-yyyy"))</f>
        <v/>
      </c>
      <c r="C714" s="8">
        <f>IF($A714="","","W"&amp;WEEKNUM($A714,2))</f>
        <v/>
      </c>
      <c r="D714" s="8">
        <f>IF($A714="","",TEXT($A714,"ddd"))</f>
        <v/>
      </c>
      <c r="E714" s="8" t="inlineStr">
        <is>
          <t>Warehouse</t>
        </is>
      </c>
      <c r="F714" s="8">
        <f>IFERROR(INDEX(Tbl_KPIMaster[Category],MATCH($G714,Tbl_KPIMaster[KPI],0)),"")</f>
        <v/>
      </c>
      <c r="G714" s="8" t="inlineStr">
        <is>
          <t>Inventory Accuracy %</t>
        </is>
      </c>
      <c r="H714" s="8">
        <f>IFERROR(INDEX(Tbl_KPIMaster[Unit],MATCH($G714,Tbl_KPIMaster[KPI],0)),"")</f>
        <v/>
      </c>
      <c r="I714" s="9">
        <f>IFERROR(INDEX(Tbl_KPIMaster[Maximum Target],MATCH($G714,Tbl_KPIMaster[KPI],0)),"")</f>
        <v/>
      </c>
      <c r="J714" s="9" t="n">
        <v>0.9639</v>
      </c>
      <c r="K714" s="8">
        <f>IFERROR(INDEX(Tbl_KPIMaster[Tolerance],MATCH($G714,Tbl_KPIMaster[KPI],0)),"")</f>
        <v/>
      </c>
      <c r="L714" s="8">
        <f>IFERROR(INDEX(Tbl_KPIMaster[Owner],MATCH($G714,Tbl_KPIMaster[KPI],0)),"")</f>
        <v/>
      </c>
      <c r="M714" s="10" t="inlineStr">
        <is>
          <t>Equipment breakdown</t>
        </is>
      </c>
      <c r="N714" s="8" t="inlineStr"/>
      <c r="O714" s="8" t="inlineStr">
        <is>
          <t>High</t>
        </is>
      </c>
      <c r="P714" s="8" t="inlineStr">
        <is>
          <t>Closed</t>
        </is>
      </c>
      <c r="Q714" s="9">
        <f>IFERROR(IF(INDEX(Tbl_KPIMaster[Direction],MATCH($G714,Tbl_KPIMaster[KPI],0))="Lower is Better",IF($J714=0,1,IF($I714=0,0,$I714/$J714)),IF($I714=0,1,$J714/$I714)),0)</f>
        <v/>
      </c>
      <c r="R714" s="8">
        <f>IF(OR($I714="",$J714=""),"",$J714-$I714)</f>
        <v/>
      </c>
      <c r="S714" s="8">
        <f>IFERROR(IF(INDEX(Tbl_KPIMaster[Direction],MATCH($G714,Tbl_KPIMaster[KPI],0))="Lower is Better",IF($J714&lt;=$I714,"Green",IF($J714&lt;=$I714+IF($I714=0,$K714,$I714*$K714),"Amber","Red")),IF($J714&gt;=$I714,"Green",IF($J714&gt;=$I714-IF($I714=0,$K714,$I714*$K714),"Amber","Red"))),"")</f>
        <v/>
      </c>
      <c r="T714" s="10" t="inlineStr"/>
    </row>
    <row r="715">
      <c r="A715" s="3" t="n">
        <v>46165</v>
      </c>
      <c r="B715" s="4">
        <f>IF($A715="","",TEXT($A715,"mmm-yyyy"))</f>
        <v/>
      </c>
      <c r="C715" s="4">
        <f>IF($A715="","","W"&amp;WEEKNUM($A715,2))</f>
        <v/>
      </c>
      <c r="D715" s="4">
        <f>IF($A715="","",TEXT($A715,"ddd"))</f>
        <v/>
      </c>
      <c r="E715" s="4" t="inlineStr">
        <is>
          <t>HR</t>
        </is>
      </c>
      <c r="F715" s="4">
        <f>IFERROR(INDEX(Tbl_KPIMaster[Category],MATCH($G715,Tbl_KPIMaster[KPI],0)),"")</f>
        <v/>
      </c>
      <c r="G715" s="4" t="inlineStr">
        <is>
          <t>Absenteeism %</t>
        </is>
      </c>
      <c r="H715" s="4">
        <f>IFERROR(INDEX(Tbl_KPIMaster[Unit],MATCH($G715,Tbl_KPIMaster[KPI],0)),"")</f>
        <v/>
      </c>
      <c r="I715" s="5">
        <f>IFERROR(INDEX(Tbl_KPIMaster[Maximum Target],MATCH($G715,Tbl_KPIMaster[KPI],0)),"")</f>
        <v/>
      </c>
      <c r="J715" s="5" t="n">
        <v>0</v>
      </c>
      <c r="K715" s="4">
        <f>IFERROR(INDEX(Tbl_KPIMaster[Tolerance],MATCH($G715,Tbl_KPIMaster[KPI],0)),"")</f>
        <v/>
      </c>
      <c r="L715" s="4">
        <f>IFERROR(INDEX(Tbl_KPIMaster[Owner],MATCH($G715,Tbl_KPIMaster[KPI],0)),"")</f>
        <v/>
      </c>
      <c r="M715" s="6" t="inlineStr">
        <is>
          <t>Within normal range</t>
        </is>
      </c>
      <c r="N715" s="4" t="inlineStr"/>
      <c r="O715" s="4" t="inlineStr">
        <is>
          <t>Low</t>
        </is>
      </c>
      <c r="P715" s="4" t="inlineStr">
        <is>
          <t>In Progress</t>
        </is>
      </c>
      <c r="Q715" s="5">
        <f>IFERROR(IF(INDEX(Tbl_KPIMaster[Direction],MATCH($G715,Tbl_KPIMaster[KPI],0))="Lower is Better",IF($J715=0,1,IF($I715=0,0,$I715/$J715)),IF($I715=0,1,$J715/$I715)),0)</f>
        <v/>
      </c>
      <c r="R715" s="4">
        <f>IF(OR($I715="",$J715=""),"",$J715-$I715)</f>
        <v/>
      </c>
      <c r="S715" s="4">
        <f>IFERROR(IF(INDEX(Tbl_KPIMaster[Direction],MATCH($G715,Tbl_KPIMaster[KPI],0))="Lower is Better",IF($J715&lt;=$I715,"Green",IF($J715&lt;=$I715+IF($I715=0,$K715,$I715*$K715),"Amber","Red")),IF($J715&gt;=$I715,"Green",IF($J715&gt;=$I715-IF($I715=0,$K715,$I715*$K715),"Amber","Red"))),"")</f>
        <v/>
      </c>
      <c r="T715" s="6" t="inlineStr"/>
    </row>
    <row r="716">
      <c r="A716" s="7" t="n">
        <v>46165</v>
      </c>
      <c r="B716" s="8">
        <f>IF($A716="","",TEXT($A716,"mmm-yyyy"))</f>
        <v/>
      </c>
      <c r="C716" s="8">
        <f>IF($A716="","","W"&amp;WEEKNUM($A716,2))</f>
        <v/>
      </c>
      <c r="D716" s="8">
        <f>IF($A716="","",TEXT($A716,"ddd"))</f>
        <v/>
      </c>
      <c r="E716" s="8" t="inlineStr">
        <is>
          <t>HR</t>
        </is>
      </c>
      <c r="F716" s="8">
        <f>IFERROR(INDEX(Tbl_KPIMaster[Category],MATCH($G716,Tbl_KPIMaster[KPI],0)),"")</f>
        <v/>
      </c>
      <c r="G716" s="8" t="inlineStr">
        <is>
          <t>Training Hours</t>
        </is>
      </c>
      <c r="H716" s="8">
        <f>IFERROR(INDEX(Tbl_KPIMaster[Unit],MATCH($G716,Tbl_KPIMaster[KPI],0)),"")</f>
        <v/>
      </c>
      <c r="I716" s="9">
        <f>IFERROR(INDEX(Tbl_KPIMaster[Maximum Target],MATCH($G716,Tbl_KPIMaster[KPI],0)),"")</f>
        <v/>
      </c>
      <c r="J716" s="9" t="n">
        <v>2.06</v>
      </c>
      <c r="K716" s="8">
        <f>IFERROR(INDEX(Tbl_KPIMaster[Tolerance],MATCH($G716,Tbl_KPIMaster[KPI],0)),"")</f>
        <v/>
      </c>
      <c r="L716" s="8">
        <f>IFERROR(INDEX(Tbl_KPIMaster[Owner],MATCH($G716,Tbl_KPIMaster[KPI],0)),"")</f>
        <v/>
      </c>
      <c r="M716" s="10" t="inlineStr">
        <is>
          <t>Vendor delay</t>
        </is>
      </c>
      <c r="N716" s="8" t="inlineStr"/>
      <c r="O716" s="8" t="inlineStr">
        <is>
          <t>Low</t>
        </is>
      </c>
      <c r="P716" s="8" t="inlineStr">
        <is>
          <t>Closed</t>
        </is>
      </c>
      <c r="Q716" s="9">
        <f>IFERROR(IF(INDEX(Tbl_KPIMaster[Direction],MATCH($G716,Tbl_KPIMaster[KPI],0))="Lower is Better",IF($J716=0,1,IF($I716=0,0,$I716/$J716)),IF($I716=0,1,$J716/$I716)),0)</f>
        <v/>
      </c>
      <c r="R716" s="8">
        <f>IF(OR($I716="",$J716=""),"",$J716-$I716)</f>
        <v/>
      </c>
      <c r="S716" s="8">
        <f>IFERROR(IF(INDEX(Tbl_KPIMaster[Direction],MATCH($G716,Tbl_KPIMaster[KPI],0))="Lower is Better",IF($J716&lt;=$I716,"Green",IF($J716&lt;=$I716+IF($I716=0,$K716,$I716*$K716),"Amber","Red")),IF($J716&gt;=$I716,"Green",IF($J716&gt;=$I716-IF($I716=0,$K716,$I716*$K716),"Amber","Red"))),"")</f>
        <v/>
      </c>
      <c r="T716" s="10" t="inlineStr"/>
    </row>
    <row r="717">
      <c r="A717" s="3" t="n">
        <v>46165</v>
      </c>
      <c r="B717" s="4">
        <f>IF($A717="","",TEXT($A717,"mmm-yyyy"))</f>
        <v/>
      </c>
      <c r="C717" s="4">
        <f>IF($A717="","","W"&amp;WEEKNUM($A717,2))</f>
        <v/>
      </c>
      <c r="D717" s="4">
        <f>IF($A717="","",TEXT($A717,"ddd"))</f>
        <v/>
      </c>
      <c r="E717" s="4" t="inlineStr">
        <is>
          <t>Engineering</t>
        </is>
      </c>
      <c r="F717" s="4">
        <f>IFERROR(INDEX(Tbl_KPIMaster[Category],MATCH($G717,Tbl_KPIMaster[KPI],0)),"")</f>
        <v/>
      </c>
      <c r="G717" s="4" t="inlineStr">
        <is>
          <t>Project Milestone Adherence %</t>
        </is>
      </c>
      <c r="H717" s="4">
        <f>IFERROR(INDEX(Tbl_KPIMaster[Unit],MATCH($G717,Tbl_KPIMaster[KPI],0)),"")</f>
        <v/>
      </c>
      <c r="I717" s="5">
        <f>IFERROR(INDEX(Tbl_KPIMaster[Maximum Target],MATCH($G717,Tbl_KPIMaster[KPI],0)),"")</f>
        <v/>
      </c>
      <c r="J717" s="5" t="n">
        <v>1.1499</v>
      </c>
      <c r="K717" s="4">
        <f>IFERROR(INDEX(Tbl_KPIMaster[Tolerance],MATCH($G717,Tbl_KPIMaster[KPI],0)),"")</f>
        <v/>
      </c>
      <c r="L717" s="4">
        <f>IFERROR(INDEX(Tbl_KPIMaster[Owner],MATCH($G717,Tbl_KPIMaster[KPI],0)),"")</f>
        <v/>
      </c>
      <c r="M717" s="6" t="inlineStr">
        <is>
          <t>Process improvement in progress</t>
        </is>
      </c>
      <c r="N717" s="4" t="inlineStr">
        <is>
          <t>Management approval pending</t>
        </is>
      </c>
      <c r="O717" s="4" t="inlineStr">
        <is>
          <t>High</t>
        </is>
      </c>
      <c r="P717" s="4" t="inlineStr">
        <is>
          <t>Closed</t>
        </is>
      </c>
      <c r="Q717" s="5">
        <f>IFERROR(IF(INDEX(Tbl_KPIMaster[Direction],MATCH($G717,Tbl_KPIMaster[KPI],0))="Lower is Better",IF($J717=0,1,IF($I717=0,0,$I717/$J717)),IF($I717=0,1,$J717/$I717)),0)</f>
        <v/>
      </c>
      <c r="R717" s="4">
        <f>IF(OR($I717="",$J717=""),"",$J717-$I717)</f>
        <v/>
      </c>
      <c r="S717" s="4">
        <f>IFERROR(IF(INDEX(Tbl_KPIMaster[Direction],MATCH($G717,Tbl_KPIMaster[KPI],0))="Lower is Better",IF($J717&lt;=$I717,"Green",IF($J717&lt;=$I717+IF($I717=0,$K717,$I717*$K717),"Amber","Red")),IF($J717&gt;=$I717,"Green",IF($J717&gt;=$I717-IF($I717=0,$K717,$I717*$K717),"Amber","Red"))),"")</f>
        <v/>
      </c>
      <c r="T717" s="6" t="inlineStr"/>
    </row>
    <row r="718">
      <c r="A718" s="7" t="n">
        <v>46165</v>
      </c>
      <c r="B718" s="8">
        <f>IF($A718="","",TEXT($A718,"mmm-yyyy"))</f>
        <v/>
      </c>
      <c r="C718" s="8">
        <f>IF($A718="","","W"&amp;WEEKNUM($A718,2))</f>
        <v/>
      </c>
      <c r="D718" s="8">
        <f>IF($A718="","",TEXT($A718,"ddd"))</f>
        <v/>
      </c>
      <c r="E718" s="8" t="inlineStr">
        <is>
          <t>Engineering</t>
        </is>
      </c>
      <c r="F718" s="8">
        <f>IFERROR(INDEX(Tbl_KPIMaster[Category],MATCH($G718,Tbl_KPIMaster[KPI],0)),"")</f>
        <v/>
      </c>
      <c r="G718" s="8" t="inlineStr">
        <is>
          <t>Breakdown Resolution Time</t>
        </is>
      </c>
      <c r="H718" s="8">
        <f>IFERROR(INDEX(Tbl_KPIMaster[Unit],MATCH($G718,Tbl_KPIMaster[KPI],0)),"")</f>
        <v/>
      </c>
      <c r="I718" s="9">
        <f>IFERROR(INDEX(Tbl_KPIMaster[Maximum Target],MATCH($G718,Tbl_KPIMaster[KPI],0)),"")</f>
        <v/>
      </c>
      <c r="J718" s="9" t="n">
        <v>0.09</v>
      </c>
      <c r="K718" s="8">
        <f>IFERROR(INDEX(Tbl_KPIMaster[Tolerance],MATCH($G718,Tbl_KPIMaster[KPI],0)),"")</f>
        <v/>
      </c>
      <c r="L718" s="8">
        <f>IFERROR(INDEX(Tbl_KPIMaster[Owner],MATCH($G718,Tbl_KPIMaster[KPI],0)),"")</f>
        <v/>
      </c>
      <c r="M718" s="10" t="inlineStr">
        <is>
          <t>Preventive check done</t>
        </is>
      </c>
      <c r="N718" s="8" t="inlineStr"/>
      <c r="O718" s="8" t="inlineStr">
        <is>
          <t>Medium</t>
        </is>
      </c>
      <c r="P718" s="8" t="inlineStr">
        <is>
          <t>In Progress</t>
        </is>
      </c>
      <c r="Q718" s="9">
        <f>IFERROR(IF(INDEX(Tbl_KPIMaster[Direction],MATCH($G718,Tbl_KPIMaster[KPI],0))="Lower is Better",IF($J718=0,1,IF($I718=0,0,$I718/$J718)),IF($I718=0,1,$J718/$I718)),0)</f>
        <v/>
      </c>
      <c r="R718" s="8">
        <f>IF(OR($I718="",$J718=""),"",$J718-$I718)</f>
        <v/>
      </c>
      <c r="S718" s="8">
        <f>IFERROR(IF(INDEX(Tbl_KPIMaster[Direction],MATCH($G718,Tbl_KPIMaster[KPI],0))="Lower is Better",IF($J718&lt;=$I718,"Green",IF($J718&lt;=$I718+IF($I718=0,$K718,$I718*$K718),"Amber","Red")),IF($J718&gt;=$I718,"Green",IF($J718&gt;=$I718-IF($I718=0,$K718,$I718*$K718),"Amber","Red"))),"")</f>
        <v/>
      </c>
      <c r="T718" s="10" t="inlineStr"/>
    </row>
    <row r="719">
      <c r="A719" s="3" t="n">
        <v>46165</v>
      </c>
      <c r="B719" s="4">
        <f>IF($A719="","",TEXT($A719,"mmm-yyyy"))</f>
        <v/>
      </c>
      <c r="C719" s="4">
        <f>IF($A719="","","W"&amp;WEEKNUM($A719,2))</f>
        <v/>
      </c>
      <c r="D719" s="4">
        <f>IF($A719="","",TEXT($A719,"ddd"))</f>
        <v/>
      </c>
      <c r="E719" s="4" t="inlineStr">
        <is>
          <t>Cost</t>
        </is>
      </c>
      <c r="F719" s="4">
        <f>IFERROR(INDEX(Tbl_KPIMaster[Category],MATCH($G719,Tbl_KPIMaster[KPI],0)),"")</f>
        <v/>
      </c>
      <c r="G719" s="4" t="inlineStr">
        <is>
          <t>Cost per Unit</t>
        </is>
      </c>
      <c r="H719" s="4">
        <f>IFERROR(INDEX(Tbl_KPIMaster[Unit],MATCH($G719,Tbl_KPIMaster[KPI],0)),"")</f>
        <v/>
      </c>
      <c r="I719" s="5">
        <f>IFERROR(INDEX(Tbl_KPIMaster[Maximum Target],MATCH($G719,Tbl_KPIMaster[KPI],0)),"")</f>
        <v/>
      </c>
      <c r="J719" s="5" t="n">
        <v>34.29</v>
      </c>
      <c r="K719" s="4">
        <f>IFERROR(INDEX(Tbl_KPIMaster[Tolerance],MATCH($G719,Tbl_KPIMaster[KPI],0)),"")</f>
        <v/>
      </c>
      <c r="L719" s="4">
        <f>IFERROR(INDEX(Tbl_KPIMaster[Owner],MATCH($G719,Tbl_KPIMaster[KPI],0)),"")</f>
        <v/>
      </c>
      <c r="M719" s="6" t="inlineStr">
        <is>
          <t>Weather impact</t>
        </is>
      </c>
      <c r="N719" s="4" t="inlineStr"/>
      <c r="O719" s="4" t="inlineStr">
        <is>
          <t>Medium</t>
        </is>
      </c>
      <c r="P719" s="4" t="inlineStr">
        <is>
          <t>Closed</t>
        </is>
      </c>
      <c r="Q719" s="5">
        <f>IFERROR(IF(INDEX(Tbl_KPIMaster[Direction],MATCH($G719,Tbl_KPIMaster[KPI],0))="Lower is Better",IF($J719=0,1,IF($I719=0,0,$I719/$J719)),IF($I719=0,1,$J719/$I719)),0)</f>
        <v/>
      </c>
      <c r="R719" s="4">
        <f>IF(OR($I719="",$J719=""),"",$J719-$I719)</f>
        <v/>
      </c>
      <c r="S719" s="4">
        <f>IFERROR(IF(INDEX(Tbl_KPIMaster[Direction],MATCH($G719,Tbl_KPIMaster[KPI],0))="Lower is Better",IF($J719&lt;=$I719,"Green",IF($J719&lt;=$I719+IF($I719=0,$K719,$I719*$K719),"Amber","Red")),IF($J719&gt;=$I719,"Green",IF($J719&gt;=$I719-IF($I719=0,$K719,$I719*$K719),"Amber","Red"))),"")</f>
        <v/>
      </c>
      <c r="T719" s="6" t="inlineStr"/>
    </row>
    <row r="720">
      <c r="A720" s="7" t="n">
        <v>46165</v>
      </c>
      <c r="B720" s="8">
        <f>IF($A720="","",TEXT($A720,"mmm-yyyy"))</f>
        <v/>
      </c>
      <c r="C720" s="8">
        <f>IF($A720="","","W"&amp;WEEKNUM($A720,2))</f>
        <v/>
      </c>
      <c r="D720" s="8">
        <f>IF($A720="","",TEXT($A720,"ddd"))</f>
        <v/>
      </c>
      <c r="E720" s="8" t="inlineStr">
        <is>
          <t>Cost</t>
        </is>
      </c>
      <c r="F720" s="8">
        <f>IFERROR(INDEX(Tbl_KPIMaster[Category],MATCH($G720,Tbl_KPIMaster[KPI],0)),"")</f>
        <v/>
      </c>
      <c r="G720" s="8" t="inlineStr">
        <is>
          <t>Budget Variance %</t>
        </is>
      </c>
      <c r="H720" s="8">
        <f>IFERROR(INDEX(Tbl_KPIMaster[Unit],MATCH($G720,Tbl_KPIMaster[KPI],0)),"")</f>
        <v/>
      </c>
      <c r="I720" s="9">
        <f>IFERROR(INDEX(Tbl_KPIMaster[Maximum Target],MATCH($G720,Tbl_KPIMaster[KPI],0)),"")</f>
        <v/>
      </c>
      <c r="J720" s="9" t="n">
        <v>0</v>
      </c>
      <c r="K720" s="8">
        <f>IFERROR(INDEX(Tbl_KPIMaster[Tolerance],MATCH($G720,Tbl_KPIMaster[KPI],0)),"")</f>
        <v/>
      </c>
      <c r="L720" s="8">
        <f>IFERROR(INDEX(Tbl_KPIMaster[Owner],MATCH($G720,Tbl_KPIMaster[KPI],0)),"")</f>
        <v/>
      </c>
      <c r="M720" s="10" t="inlineStr">
        <is>
          <t>Line changeover impact</t>
        </is>
      </c>
      <c r="N720" s="8" t="inlineStr">
        <is>
          <t>Procurement follow-up</t>
        </is>
      </c>
      <c r="O720" s="8" t="inlineStr">
        <is>
          <t>Medium</t>
        </is>
      </c>
      <c r="P720" s="8" t="inlineStr">
        <is>
          <t>Closed</t>
        </is>
      </c>
      <c r="Q720" s="9">
        <f>IFERROR(IF(INDEX(Tbl_KPIMaster[Direction],MATCH($G720,Tbl_KPIMaster[KPI],0))="Lower is Better",IF($J720=0,1,IF($I720=0,0,$I720/$J720)),IF($I720=0,1,$J720/$I720)),0)</f>
        <v/>
      </c>
      <c r="R720" s="8">
        <f>IF(OR($I720="",$J720=""),"",$J720-$I720)</f>
        <v/>
      </c>
      <c r="S720" s="8">
        <f>IFERROR(IF(INDEX(Tbl_KPIMaster[Direction],MATCH($G720,Tbl_KPIMaster[KPI],0))="Lower is Better",IF($J720&lt;=$I720,"Green",IF($J720&lt;=$I720+IF($I720=0,$K720,$I720*$K720),"Amber","Red")),IF($J720&gt;=$I720,"Green",IF($J720&gt;=$I720-IF($I720=0,$K720,$I720*$K720),"Amber","Red"))),"")</f>
        <v/>
      </c>
      <c r="T720" s="10" t="inlineStr"/>
    </row>
    <row r="721">
      <c r="A721" s="3" t="n">
        <v>46165</v>
      </c>
      <c r="B721" s="4">
        <f>IF($A721="","",TEXT($A721,"mmm-yyyy"))</f>
        <v/>
      </c>
      <c r="C721" s="4">
        <f>IF($A721="","","W"&amp;WEEKNUM($A721,2))</f>
        <v/>
      </c>
      <c r="D721" s="4">
        <f>IF($A721="","",TEXT($A721,"ddd"))</f>
        <v/>
      </c>
      <c r="E721" s="4" t="inlineStr">
        <is>
          <t>Energy</t>
        </is>
      </c>
      <c r="F721" s="4">
        <f>IFERROR(INDEX(Tbl_KPIMaster[Category],MATCH($G721,Tbl_KPIMaster[KPI],0)),"")</f>
        <v/>
      </c>
      <c r="G721" s="4" t="inlineStr">
        <is>
          <t>Energy Intensity (kWh/unit)</t>
        </is>
      </c>
      <c r="H721" s="4">
        <f>IFERROR(INDEX(Tbl_KPIMaster[Unit],MATCH($G721,Tbl_KPIMaster[KPI],0)),"")</f>
        <v/>
      </c>
      <c r="I721" s="5">
        <f>IFERROR(INDEX(Tbl_KPIMaster[Maximum Target],MATCH($G721,Tbl_KPIMaster[KPI],0)),"")</f>
        <v/>
      </c>
      <c r="J721" s="5" t="n">
        <v>4.58</v>
      </c>
      <c r="K721" s="4">
        <f>IFERROR(INDEX(Tbl_KPIMaster[Tolerance],MATCH($G721,Tbl_KPIMaster[KPI],0)),"")</f>
        <v/>
      </c>
      <c r="L721" s="4">
        <f>IFERROR(INDEX(Tbl_KPIMaster[Owner],MATCH($G721,Tbl_KPIMaster[KPI],0)),"")</f>
        <v/>
      </c>
      <c r="M721" s="6" t="inlineStr">
        <is>
          <t>Awaiting spares</t>
        </is>
      </c>
      <c r="N721" s="4" t="inlineStr">
        <is>
          <t>Management approval pending</t>
        </is>
      </c>
      <c r="O721" s="4" t="inlineStr">
        <is>
          <t>Medium</t>
        </is>
      </c>
      <c r="P721" s="4" t="inlineStr">
        <is>
          <t>Closed</t>
        </is>
      </c>
      <c r="Q721" s="5">
        <f>IFERROR(IF(INDEX(Tbl_KPIMaster[Direction],MATCH($G721,Tbl_KPIMaster[KPI],0))="Lower is Better",IF($J721=0,1,IF($I721=0,0,$I721/$J721)),IF($I721=0,1,$J721/$I721)),0)</f>
        <v/>
      </c>
      <c r="R721" s="4">
        <f>IF(OR($I721="",$J721=""),"",$J721-$I721)</f>
        <v/>
      </c>
      <c r="S721" s="4">
        <f>IFERROR(IF(INDEX(Tbl_KPIMaster[Direction],MATCH($G721,Tbl_KPIMaster[KPI],0))="Lower is Better",IF($J721&lt;=$I721,"Green",IF($J721&lt;=$I721+IF($I721=0,$K721,$I721*$K721),"Amber","Red")),IF($J721&gt;=$I721,"Green",IF($J721&gt;=$I721-IF($I721=0,$K721,$I721*$K721),"Amber","Red"))),"")</f>
        <v/>
      </c>
      <c r="T721" s="6" t="inlineStr"/>
    </row>
    <row r="722">
      <c r="A722" s="7" t="n">
        <v>46165</v>
      </c>
      <c r="B722" s="8">
        <f>IF($A722="","",TEXT($A722,"mmm-yyyy"))</f>
        <v/>
      </c>
      <c r="C722" s="8">
        <f>IF($A722="","","W"&amp;WEEKNUM($A722,2))</f>
        <v/>
      </c>
      <c r="D722" s="8">
        <f>IF($A722="","",TEXT($A722,"ddd"))</f>
        <v/>
      </c>
      <c r="E722" s="8" t="inlineStr">
        <is>
          <t>Energy</t>
        </is>
      </c>
      <c r="F722" s="8">
        <f>IFERROR(INDEX(Tbl_KPIMaster[Category],MATCH($G722,Tbl_KPIMaster[KPI],0)),"")</f>
        <v/>
      </c>
      <c r="G722" s="8" t="inlineStr">
        <is>
          <t>Renewable Energy Share %</t>
        </is>
      </c>
      <c r="H722" s="8">
        <f>IFERROR(INDEX(Tbl_KPIMaster[Unit],MATCH($G722,Tbl_KPIMaster[KPI],0)),"")</f>
        <v/>
      </c>
      <c r="I722" s="9">
        <f>IFERROR(INDEX(Tbl_KPIMaster[Maximum Target],MATCH($G722,Tbl_KPIMaster[KPI],0)),"")</f>
        <v/>
      </c>
      <c r="J722" s="9" t="n">
        <v>0.2604</v>
      </c>
      <c r="K722" s="8">
        <f>IFERROR(INDEX(Tbl_KPIMaster[Tolerance],MATCH($G722,Tbl_KPIMaster[KPI],0)),"")</f>
        <v/>
      </c>
      <c r="L722" s="8">
        <f>IFERROR(INDEX(Tbl_KPIMaster[Owner],MATCH($G722,Tbl_KPIMaster[KPI],0)),"")</f>
        <v/>
      </c>
      <c r="M722" s="10" t="inlineStr">
        <is>
          <t>Awaiting spares</t>
        </is>
      </c>
      <c r="N722" s="8" t="inlineStr"/>
      <c r="O722" s="8" t="inlineStr">
        <is>
          <t>Medium</t>
        </is>
      </c>
      <c r="P722" s="8" t="inlineStr">
        <is>
          <t>Closed</t>
        </is>
      </c>
      <c r="Q722" s="9">
        <f>IFERROR(IF(INDEX(Tbl_KPIMaster[Direction],MATCH($G722,Tbl_KPIMaster[KPI],0))="Lower is Better",IF($J722=0,1,IF($I722=0,0,$I722/$J722)),IF($I722=0,1,$J722/$I722)),0)</f>
        <v/>
      </c>
      <c r="R722" s="8">
        <f>IF(OR($I722="",$J722=""),"",$J722-$I722)</f>
        <v/>
      </c>
      <c r="S722" s="8">
        <f>IFERROR(IF(INDEX(Tbl_KPIMaster[Direction],MATCH($G722,Tbl_KPIMaster[KPI],0))="Lower is Better",IF($J722&lt;=$I722,"Green",IF($J722&lt;=$I722+IF($I722=0,$K722,$I722*$K722),"Amber","Red")),IF($J722&gt;=$I722,"Green",IF($J722&gt;=$I722-IF($I722=0,$K722,$I722*$K722),"Amber","Red"))),"")</f>
        <v/>
      </c>
      <c r="T722" s="10" t="inlineStr"/>
    </row>
    <row r="723">
      <c r="A723" s="3" t="n">
        <v>46166</v>
      </c>
      <c r="B723" s="4">
        <f>IF($A723="","",TEXT($A723,"mmm-yyyy"))</f>
        <v/>
      </c>
      <c r="C723" s="4">
        <f>IF($A723="","","W"&amp;WEEKNUM($A723,2))</f>
        <v/>
      </c>
      <c r="D723" s="4">
        <f>IF($A723="","",TEXT($A723,"ddd"))</f>
        <v/>
      </c>
      <c r="E723" s="4" t="inlineStr">
        <is>
          <t>Safety</t>
        </is>
      </c>
      <c r="F723" s="4">
        <f>IFERROR(INDEX(Tbl_KPIMaster[Category],MATCH($G723,Tbl_KPIMaster[KPI],0)),"")</f>
        <v/>
      </c>
      <c r="G723" s="4" t="inlineStr">
        <is>
          <t>Safety Incidents (LTI)</t>
        </is>
      </c>
      <c r="H723" s="4">
        <f>IFERROR(INDEX(Tbl_KPIMaster[Unit],MATCH($G723,Tbl_KPIMaster[KPI],0)),"")</f>
        <v/>
      </c>
      <c r="I723" s="5">
        <f>IFERROR(INDEX(Tbl_KPIMaster[Maximum Target],MATCH($G723,Tbl_KPIMaster[KPI],0)),"")</f>
        <v/>
      </c>
      <c r="J723" s="5" t="n">
        <v>0</v>
      </c>
      <c r="K723" s="4">
        <f>IFERROR(INDEX(Tbl_KPIMaster[Tolerance],MATCH($G723,Tbl_KPIMaster[KPI],0)),"")</f>
        <v/>
      </c>
      <c r="L723" s="4">
        <f>IFERROR(INDEX(Tbl_KPIMaster[Owner],MATCH($G723,Tbl_KPIMaster[KPI],0)),"")</f>
        <v/>
      </c>
      <c r="M723" s="6" t="inlineStr">
        <is>
          <t>Vendor delay</t>
        </is>
      </c>
      <c r="N723" s="4" t="inlineStr"/>
      <c r="O723" s="4" t="inlineStr">
        <is>
          <t>Low</t>
        </is>
      </c>
      <c r="P723" s="4" t="inlineStr">
        <is>
          <t>Closed</t>
        </is>
      </c>
      <c r="Q723" s="5">
        <f>IFERROR(IF(INDEX(Tbl_KPIMaster[Direction],MATCH($G723,Tbl_KPIMaster[KPI],0))="Lower is Better",IF($J723=0,1,IF($I723=0,0,$I723/$J723)),IF($I723=0,1,$J723/$I723)),0)</f>
        <v/>
      </c>
      <c r="R723" s="4">
        <f>IF(OR($I723="",$J723=""),"",$J723-$I723)</f>
        <v/>
      </c>
      <c r="S723" s="4">
        <f>IFERROR(IF(INDEX(Tbl_KPIMaster[Direction],MATCH($G723,Tbl_KPIMaster[KPI],0))="Lower is Better",IF($J723&lt;=$I723,"Green",IF($J723&lt;=$I723+IF($I723=0,$K723,$I723*$K723),"Amber","Red")),IF($J723&gt;=$I723,"Green",IF($J723&gt;=$I723-IF($I723=0,$K723,$I723*$K723),"Amber","Red"))),"")</f>
        <v/>
      </c>
      <c r="T723" s="6" t="inlineStr"/>
    </row>
    <row r="724">
      <c r="A724" s="7" t="n">
        <v>46166</v>
      </c>
      <c r="B724" s="8">
        <f>IF($A724="","",TEXT($A724,"mmm-yyyy"))</f>
        <v/>
      </c>
      <c r="C724" s="8">
        <f>IF($A724="","","W"&amp;WEEKNUM($A724,2))</f>
        <v/>
      </c>
      <c r="D724" s="8">
        <f>IF($A724="","",TEXT($A724,"ddd"))</f>
        <v/>
      </c>
      <c r="E724" s="8" t="inlineStr">
        <is>
          <t>Safety</t>
        </is>
      </c>
      <c r="F724" s="8">
        <f>IFERROR(INDEX(Tbl_KPIMaster[Category],MATCH($G724,Tbl_KPIMaster[KPI],0)),"")</f>
        <v/>
      </c>
      <c r="G724" s="8" t="inlineStr">
        <is>
          <t>Near Miss Reports</t>
        </is>
      </c>
      <c r="H724" s="8">
        <f>IFERROR(INDEX(Tbl_KPIMaster[Unit],MATCH($G724,Tbl_KPIMaster[KPI],0)),"")</f>
        <v/>
      </c>
      <c r="I724" s="9">
        <f>IFERROR(INDEX(Tbl_KPIMaster[Maximum Target],MATCH($G724,Tbl_KPIMaster[KPI],0)),"")</f>
        <v/>
      </c>
      <c r="J724" s="9" t="n">
        <v>2</v>
      </c>
      <c r="K724" s="8">
        <f>IFERROR(INDEX(Tbl_KPIMaster[Tolerance],MATCH($G724,Tbl_KPIMaster[KPI],0)),"")</f>
        <v/>
      </c>
      <c r="L724" s="8">
        <f>IFERROR(INDEX(Tbl_KPIMaster[Owner],MATCH($G724,Tbl_KPIMaster[KPI],0)),"")</f>
        <v/>
      </c>
      <c r="M724" s="10" t="inlineStr">
        <is>
          <t>New operator training effect</t>
        </is>
      </c>
      <c r="N724" s="8" t="inlineStr">
        <is>
          <t>Engineering support needed</t>
        </is>
      </c>
      <c r="O724" s="8" t="inlineStr">
        <is>
          <t>Low</t>
        </is>
      </c>
      <c r="P724" s="8" t="inlineStr">
        <is>
          <t>In Progress</t>
        </is>
      </c>
      <c r="Q724" s="9">
        <f>IFERROR(IF(INDEX(Tbl_KPIMaster[Direction],MATCH($G724,Tbl_KPIMaster[KPI],0))="Lower is Better",IF($J724=0,1,IF($I724=0,0,$I724/$J724)),IF($I724=0,1,$J724/$I724)),0)</f>
        <v/>
      </c>
      <c r="R724" s="8">
        <f>IF(OR($I724="",$J724=""),"",$J724-$I724)</f>
        <v/>
      </c>
      <c r="S724" s="8">
        <f>IFERROR(IF(INDEX(Tbl_KPIMaster[Direction],MATCH($G724,Tbl_KPIMaster[KPI],0))="Lower is Better",IF($J724&lt;=$I724,"Green",IF($J724&lt;=$I724+IF($I724=0,$K724,$I724*$K724),"Amber","Red")),IF($J724&gt;=$I724,"Green",IF($J724&gt;=$I724-IF($I724=0,$K724,$I724*$K724),"Amber","Red"))),"")</f>
        <v/>
      </c>
      <c r="T724" s="10" t="inlineStr"/>
    </row>
    <row r="725">
      <c r="A725" s="3" t="n">
        <v>46166</v>
      </c>
      <c r="B725" s="4">
        <f>IF($A725="","",TEXT($A725,"mmm-yyyy"))</f>
        <v/>
      </c>
      <c r="C725" s="4">
        <f>IF($A725="","","W"&amp;WEEKNUM($A725,2))</f>
        <v/>
      </c>
      <c r="D725" s="4">
        <f>IF($A725="","",TEXT($A725,"ddd"))</f>
        <v/>
      </c>
      <c r="E725" s="4" t="inlineStr">
        <is>
          <t>Production</t>
        </is>
      </c>
      <c r="F725" s="4">
        <f>IFERROR(INDEX(Tbl_KPIMaster[Category],MATCH($G725,Tbl_KPIMaster[KPI],0)),"")</f>
        <v/>
      </c>
      <c r="G725" s="4" t="inlineStr">
        <is>
          <t>Production Output</t>
        </is>
      </c>
      <c r="H725" s="4">
        <f>IFERROR(INDEX(Tbl_KPIMaster[Unit],MATCH($G725,Tbl_KPIMaster[KPI],0)),"")</f>
        <v/>
      </c>
      <c r="I725" s="5">
        <f>IFERROR(INDEX(Tbl_KPIMaster[Maximum Target],MATCH($G725,Tbl_KPIMaster[KPI],0)),"")</f>
        <v/>
      </c>
      <c r="J725" s="5" t="n">
        <v>1016.33</v>
      </c>
      <c r="K725" s="4">
        <f>IFERROR(INDEX(Tbl_KPIMaster[Tolerance],MATCH($G725,Tbl_KPIMaster[KPI],0)),"")</f>
        <v/>
      </c>
      <c r="L725" s="4">
        <f>IFERROR(INDEX(Tbl_KPIMaster[Owner],MATCH($G725,Tbl_KPIMaster[KPI],0)),"")</f>
        <v/>
      </c>
      <c r="M725" s="6" t="inlineStr">
        <is>
          <t>Line changeover impact</t>
        </is>
      </c>
      <c r="N725" s="4" t="inlineStr"/>
      <c r="O725" s="4" t="inlineStr">
        <is>
          <t>Low</t>
        </is>
      </c>
      <c r="P725" s="4" t="inlineStr">
        <is>
          <t>Closed</t>
        </is>
      </c>
      <c r="Q725" s="5">
        <f>IFERROR(IF(INDEX(Tbl_KPIMaster[Direction],MATCH($G725,Tbl_KPIMaster[KPI],0))="Lower is Better",IF($J725=0,1,IF($I725=0,0,$I725/$J725)),IF($I725=0,1,$J725/$I725)),0)</f>
        <v/>
      </c>
      <c r="R725" s="4">
        <f>IF(OR($I725="",$J725=""),"",$J725-$I725)</f>
        <v/>
      </c>
      <c r="S725" s="4">
        <f>IFERROR(IF(INDEX(Tbl_KPIMaster[Direction],MATCH($G725,Tbl_KPIMaster[KPI],0))="Lower is Better",IF($J725&lt;=$I725,"Green",IF($J725&lt;=$I725+IF($I725=0,$K725,$I725*$K725),"Amber","Red")),IF($J725&gt;=$I725,"Green",IF($J725&gt;=$I725-IF($I725=0,$K725,$I725*$K725),"Amber","Red"))),"")</f>
        <v/>
      </c>
      <c r="T725" s="6" t="inlineStr"/>
    </row>
    <row r="726">
      <c r="A726" s="7" t="n">
        <v>46166</v>
      </c>
      <c r="B726" s="8">
        <f>IF($A726="","",TEXT($A726,"mmm-yyyy"))</f>
        <v/>
      </c>
      <c r="C726" s="8">
        <f>IF($A726="","","W"&amp;WEEKNUM($A726,2))</f>
        <v/>
      </c>
      <c r="D726" s="8">
        <f>IF($A726="","",TEXT($A726,"ddd"))</f>
        <v/>
      </c>
      <c r="E726" s="8" t="inlineStr">
        <is>
          <t>Production</t>
        </is>
      </c>
      <c r="F726" s="8">
        <f>IFERROR(INDEX(Tbl_KPIMaster[Category],MATCH($G726,Tbl_KPIMaster[KPI],0)),"")</f>
        <v/>
      </c>
      <c r="G726" s="8" t="inlineStr">
        <is>
          <t>OEE %</t>
        </is>
      </c>
      <c r="H726" s="8">
        <f>IFERROR(INDEX(Tbl_KPIMaster[Unit],MATCH($G726,Tbl_KPIMaster[KPI],0)),"")</f>
        <v/>
      </c>
      <c r="I726" s="9">
        <f>IFERROR(INDEX(Tbl_KPIMaster[Maximum Target],MATCH($G726,Tbl_KPIMaster[KPI],0)),"")</f>
        <v/>
      </c>
      <c r="J726" s="9" t="n">
        <v>0.8159</v>
      </c>
      <c r="K726" s="8">
        <f>IFERROR(INDEX(Tbl_KPIMaster[Tolerance],MATCH($G726,Tbl_KPIMaster[KPI],0)),"")</f>
        <v/>
      </c>
      <c r="L726" s="8">
        <f>IFERROR(INDEX(Tbl_KPIMaster[Owner],MATCH($G726,Tbl_KPIMaster[KPI],0)),"")</f>
        <v/>
      </c>
      <c r="M726" s="10" t="inlineStr">
        <is>
          <t>Manpower shortage</t>
        </is>
      </c>
      <c r="N726" s="8" t="inlineStr">
        <is>
          <t>Procurement follow-up</t>
        </is>
      </c>
      <c r="O726" s="8" t="inlineStr">
        <is>
          <t>Medium</t>
        </is>
      </c>
      <c r="P726" s="8" t="inlineStr">
        <is>
          <t>In Progress</t>
        </is>
      </c>
      <c r="Q726" s="9">
        <f>IFERROR(IF(INDEX(Tbl_KPIMaster[Direction],MATCH($G726,Tbl_KPIMaster[KPI],0))="Lower is Better",IF($J726=0,1,IF($I726=0,0,$I726/$J726)),IF($I726=0,1,$J726/$I726)),0)</f>
        <v/>
      </c>
      <c r="R726" s="8">
        <f>IF(OR($I726="",$J726=""),"",$J726-$I726)</f>
        <v/>
      </c>
      <c r="S726" s="8">
        <f>IFERROR(IF(INDEX(Tbl_KPIMaster[Direction],MATCH($G726,Tbl_KPIMaster[KPI],0))="Lower is Better",IF($J726&lt;=$I726,"Green",IF($J726&lt;=$I726+IF($I726=0,$K726,$I726*$K726),"Amber","Red")),IF($J726&gt;=$I726,"Green",IF($J726&gt;=$I726-IF($I726=0,$K726,$I726*$K726),"Amber","Red"))),"")</f>
        <v/>
      </c>
      <c r="T726" s="10" t="inlineStr"/>
    </row>
    <row r="727">
      <c r="A727" s="3" t="n">
        <v>46166</v>
      </c>
      <c r="B727" s="4">
        <f>IF($A727="","",TEXT($A727,"mmm-yyyy"))</f>
        <v/>
      </c>
      <c r="C727" s="4">
        <f>IF($A727="","","W"&amp;WEEKNUM($A727,2))</f>
        <v/>
      </c>
      <c r="D727" s="4">
        <f>IF($A727="","",TEXT($A727,"ddd"))</f>
        <v/>
      </c>
      <c r="E727" s="4" t="inlineStr">
        <is>
          <t>Quality</t>
        </is>
      </c>
      <c r="F727" s="4">
        <f>IFERROR(INDEX(Tbl_KPIMaster[Category],MATCH($G727,Tbl_KPIMaster[KPI],0)),"")</f>
        <v/>
      </c>
      <c r="G727" s="4" t="inlineStr">
        <is>
          <t>Defect Rate %</t>
        </is>
      </c>
      <c r="H727" s="4">
        <f>IFERROR(INDEX(Tbl_KPIMaster[Unit],MATCH($G727,Tbl_KPIMaster[KPI],0)),"")</f>
        <v/>
      </c>
      <c r="I727" s="5">
        <f>IFERROR(INDEX(Tbl_KPIMaster[Maximum Target],MATCH($G727,Tbl_KPIMaster[KPI],0)),"")</f>
        <v/>
      </c>
      <c r="J727" s="5" t="n">
        <v>0</v>
      </c>
      <c r="K727" s="4">
        <f>IFERROR(INDEX(Tbl_KPIMaster[Tolerance],MATCH($G727,Tbl_KPIMaster[KPI],0)),"")</f>
        <v/>
      </c>
      <c r="L727" s="4">
        <f>IFERROR(INDEX(Tbl_KPIMaster[Owner],MATCH($G727,Tbl_KPIMaster[KPI],0)),"")</f>
        <v/>
      </c>
      <c r="M727" s="6" t="inlineStr">
        <is>
          <t>Weather impact</t>
        </is>
      </c>
      <c r="N727" s="4" t="inlineStr">
        <is>
          <t>Procurement follow-up</t>
        </is>
      </c>
      <c r="O727" s="4" t="inlineStr">
        <is>
          <t>Medium</t>
        </is>
      </c>
      <c r="P727" s="4" t="inlineStr">
        <is>
          <t>Open</t>
        </is>
      </c>
      <c r="Q727" s="5">
        <f>IFERROR(IF(INDEX(Tbl_KPIMaster[Direction],MATCH($G727,Tbl_KPIMaster[KPI],0))="Lower is Better",IF($J727=0,1,IF($I727=0,0,$I727/$J727)),IF($I727=0,1,$J727/$I727)),0)</f>
        <v/>
      </c>
      <c r="R727" s="4">
        <f>IF(OR($I727="",$J727=""),"",$J727-$I727)</f>
        <v/>
      </c>
      <c r="S727" s="4">
        <f>IFERROR(IF(INDEX(Tbl_KPIMaster[Direction],MATCH($G727,Tbl_KPIMaster[KPI],0))="Lower is Better",IF($J727&lt;=$I727,"Green",IF($J727&lt;=$I727+IF($I727=0,$K727,$I727*$K727),"Amber","Red")),IF($J727&gt;=$I727,"Green",IF($J727&gt;=$I727-IF($I727=0,$K727,$I727*$K727),"Amber","Red"))),"")</f>
        <v/>
      </c>
      <c r="T727" s="6" t="inlineStr"/>
    </row>
    <row r="728">
      <c r="A728" s="7" t="n">
        <v>46166</v>
      </c>
      <c r="B728" s="8">
        <f>IF($A728="","",TEXT($A728,"mmm-yyyy"))</f>
        <v/>
      </c>
      <c r="C728" s="8">
        <f>IF($A728="","","W"&amp;WEEKNUM($A728,2))</f>
        <v/>
      </c>
      <c r="D728" s="8">
        <f>IF($A728="","",TEXT($A728,"ddd"))</f>
        <v/>
      </c>
      <c r="E728" s="8" t="inlineStr">
        <is>
          <t>Quality</t>
        </is>
      </c>
      <c r="F728" s="8">
        <f>IFERROR(INDEX(Tbl_KPIMaster[Category],MATCH($G728,Tbl_KPIMaster[KPI],0)),"")</f>
        <v/>
      </c>
      <c r="G728" s="8" t="inlineStr">
        <is>
          <t>Customer Complaints</t>
        </is>
      </c>
      <c r="H728" s="8">
        <f>IFERROR(INDEX(Tbl_KPIMaster[Unit],MATCH($G728,Tbl_KPIMaster[KPI],0)),"")</f>
        <v/>
      </c>
      <c r="I728" s="9">
        <f>IFERROR(INDEX(Tbl_KPIMaster[Maximum Target],MATCH($G728,Tbl_KPIMaster[KPI],0)),"")</f>
        <v/>
      </c>
      <c r="J728" s="9" t="n">
        <v>0</v>
      </c>
      <c r="K728" s="8">
        <f>IFERROR(INDEX(Tbl_KPIMaster[Tolerance],MATCH($G728,Tbl_KPIMaster[KPI],0)),"")</f>
        <v/>
      </c>
      <c r="L728" s="8">
        <f>IFERROR(INDEX(Tbl_KPIMaster[Owner],MATCH($G728,Tbl_KPIMaster[KPI],0)),"")</f>
        <v/>
      </c>
      <c r="M728" s="10" t="inlineStr">
        <is>
          <t>Line changeover impact</t>
        </is>
      </c>
      <c r="N728" s="8" t="inlineStr">
        <is>
          <t>Engineering support needed</t>
        </is>
      </c>
      <c r="O728" s="8" t="inlineStr">
        <is>
          <t>Low</t>
        </is>
      </c>
      <c r="P728" s="8" t="inlineStr">
        <is>
          <t>Closed</t>
        </is>
      </c>
      <c r="Q728" s="9">
        <f>IFERROR(IF(INDEX(Tbl_KPIMaster[Direction],MATCH($G728,Tbl_KPIMaster[KPI],0))="Lower is Better",IF($J728=0,1,IF($I728=0,0,$I728/$J728)),IF($I728=0,1,$J728/$I728)),0)</f>
        <v/>
      </c>
      <c r="R728" s="8">
        <f>IF(OR($I728="",$J728=""),"",$J728-$I728)</f>
        <v/>
      </c>
      <c r="S728" s="8">
        <f>IFERROR(IF(INDEX(Tbl_KPIMaster[Direction],MATCH($G728,Tbl_KPIMaster[KPI],0))="Lower is Better",IF($J728&lt;=$I728,"Green",IF($J728&lt;=$I728+IF($I728=0,$K728,$I728*$K728),"Amber","Red")),IF($J728&gt;=$I728,"Green",IF($J728&gt;=$I728-IF($I728=0,$K728,$I728*$K728),"Amber","Red"))),"")</f>
        <v/>
      </c>
      <c r="T728" s="10" t="inlineStr"/>
    </row>
    <row r="729">
      <c r="A729" s="3" t="n">
        <v>46166</v>
      </c>
      <c r="B729" s="4">
        <f>IF($A729="","",TEXT($A729,"mmm-yyyy"))</f>
        <v/>
      </c>
      <c r="C729" s="4">
        <f>IF($A729="","","W"&amp;WEEKNUM($A729,2))</f>
        <v/>
      </c>
      <c r="D729" s="4">
        <f>IF($A729="","",TEXT($A729,"ddd"))</f>
        <v/>
      </c>
      <c r="E729" s="4" t="inlineStr">
        <is>
          <t>Maintenance</t>
        </is>
      </c>
      <c r="F729" s="4">
        <f>IFERROR(INDEX(Tbl_KPIMaster[Category],MATCH($G729,Tbl_KPIMaster[KPI],0)),"")</f>
        <v/>
      </c>
      <c r="G729" s="4" t="inlineStr">
        <is>
          <t>Unplanned Downtime</t>
        </is>
      </c>
      <c r="H729" s="4">
        <f>IFERROR(INDEX(Tbl_KPIMaster[Unit],MATCH($G729,Tbl_KPIMaster[KPI],0)),"")</f>
        <v/>
      </c>
      <c r="I729" s="5">
        <f>IFERROR(INDEX(Tbl_KPIMaster[Maximum Target],MATCH($G729,Tbl_KPIMaster[KPI],0)),"")</f>
        <v/>
      </c>
      <c r="J729" s="5" t="n">
        <v>1.37</v>
      </c>
      <c r="K729" s="4">
        <f>IFERROR(INDEX(Tbl_KPIMaster[Tolerance],MATCH($G729,Tbl_KPIMaster[KPI],0)),"")</f>
        <v/>
      </c>
      <c r="L729" s="4">
        <f>IFERROR(INDEX(Tbl_KPIMaster[Owner],MATCH($G729,Tbl_KPIMaster[KPI],0)),"")</f>
        <v/>
      </c>
      <c r="M729" s="6" t="inlineStr">
        <is>
          <t>Vendor delay</t>
        </is>
      </c>
      <c r="N729" s="4" t="inlineStr"/>
      <c r="O729" s="4" t="inlineStr">
        <is>
          <t>Low</t>
        </is>
      </c>
      <c r="P729" s="4" t="inlineStr">
        <is>
          <t>Closed</t>
        </is>
      </c>
      <c r="Q729" s="5">
        <f>IFERROR(IF(INDEX(Tbl_KPIMaster[Direction],MATCH($G729,Tbl_KPIMaster[KPI],0))="Lower is Better",IF($J729=0,1,IF($I729=0,0,$I729/$J729)),IF($I729=0,1,$J729/$I729)),0)</f>
        <v/>
      </c>
      <c r="R729" s="4">
        <f>IF(OR($I729="",$J729=""),"",$J729-$I729)</f>
        <v/>
      </c>
      <c r="S729" s="4">
        <f>IFERROR(IF(INDEX(Tbl_KPIMaster[Direction],MATCH($G729,Tbl_KPIMaster[KPI],0))="Lower is Better",IF($J729&lt;=$I729,"Green",IF($J729&lt;=$I729+IF($I729=0,$K729,$I729*$K729),"Amber","Red")),IF($J729&gt;=$I729,"Green",IF($J729&gt;=$I729-IF($I729=0,$K729,$I729*$K729),"Amber","Red"))),"")</f>
        <v/>
      </c>
      <c r="T729" s="6" t="inlineStr"/>
    </row>
    <row r="730">
      <c r="A730" s="7" t="n">
        <v>46166</v>
      </c>
      <c r="B730" s="8">
        <f>IF($A730="","",TEXT($A730,"mmm-yyyy"))</f>
        <v/>
      </c>
      <c r="C730" s="8">
        <f>IF($A730="","","W"&amp;WEEKNUM($A730,2))</f>
        <v/>
      </c>
      <c r="D730" s="8">
        <f>IF($A730="","",TEXT($A730,"ddd"))</f>
        <v/>
      </c>
      <c r="E730" s="8" t="inlineStr">
        <is>
          <t>Maintenance</t>
        </is>
      </c>
      <c r="F730" s="8">
        <f>IFERROR(INDEX(Tbl_KPIMaster[Category],MATCH($G730,Tbl_KPIMaster[KPI],0)),"")</f>
        <v/>
      </c>
      <c r="G730" s="8" t="inlineStr">
        <is>
          <t>PM Compliance %</t>
        </is>
      </c>
      <c r="H730" s="8">
        <f>IFERROR(INDEX(Tbl_KPIMaster[Unit],MATCH($G730,Tbl_KPIMaster[KPI],0)),"")</f>
        <v/>
      </c>
      <c r="I730" s="9">
        <f>IFERROR(INDEX(Tbl_KPIMaster[Maximum Target],MATCH($G730,Tbl_KPIMaster[KPI],0)),"")</f>
        <v/>
      </c>
      <c r="J730" s="9" t="n">
        <v>0.9413</v>
      </c>
      <c r="K730" s="8">
        <f>IFERROR(INDEX(Tbl_KPIMaster[Tolerance],MATCH($G730,Tbl_KPIMaster[KPI],0)),"")</f>
        <v/>
      </c>
      <c r="L730" s="8">
        <f>IFERROR(INDEX(Tbl_KPIMaster[Owner],MATCH($G730,Tbl_KPIMaster[KPI],0)),"")</f>
        <v/>
      </c>
      <c r="M730" s="10" t="inlineStr">
        <is>
          <t>Awaiting spares</t>
        </is>
      </c>
      <c r="N730" s="8" t="inlineStr"/>
      <c r="O730" s="8" t="inlineStr">
        <is>
          <t>High</t>
        </is>
      </c>
      <c r="P730" s="8" t="inlineStr">
        <is>
          <t>In Progress</t>
        </is>
      </c>
      <c r="Q730" s="9">
        <f>IFERROR(IF(INDEX(Tbl_KPIMaster[Direction],MATCH($G730,Tbl_KPIMaster[KPI],0))="Lower is Better",IF($J730=0,1,IF($I730=0,0,$I730/$J730)),IF($I730=0,1,$J730/$I730)),0)</f>
        <v/>
      </c>
      <c r="R730" s="8">
        <f>IF(OR($I730="",$J730=""),"",$J730-$I730)</f>
        <v/>
      </c>
      <c r="S730" s="8">
        <f>IFERROR(IF(INDEX(Tbl_KPIMaster[Direction],MATCH($G730,Tbl_KPIMaster[KPI],0))="Lower is Better",IF($J730&lt;=$I730,"Green",IF($J730&lt;=$I730+IF($I730=0,$K730,$I730*$K730),"Amber","Red")),IF($J730&gt;=$I730,"Green",IF($J730&gt;=$I730-IF($I730=0,$K730,$I730*$K730),"Amber","Red"))),"")</f>
        <v/>
      </c>
      <c r="T730" s="10" t="inlineStr"/>
    </row>
    <row r="731">
      <c r="A731" s="3" t="n">
        <v>46166</v>
      </c>
      <c r="B731" s="4">
        <f>IF($A731="","",TEXT($A731,"mmm-yyyy"))</f>
        <v/>
      </c>
      <c r="C731" s="4">
        <f>IF($A731="","","W"&amp;WEEKNUM($A731,2))</f>
        <v/>
      </c>
      <c r="D731" s="4">
        <f>IF($A731="","",TEXT($A731,"ddd"))</f>
        <v/>
      </c>
      <c r="E731" s="4" t="inlineStr">
        <is>
          <t>Utilities</t>
        </is>
      </c>
      <c r="F731" s="4">
        <f>IFERROR(INDEX(Tbl_KPIMaster[Category],MATCH($G731,Tbl_KPIMaster[KPI],0)),"")</f>
        <v/>
      </c>
      <c r="G731" s="4" t="inlineStr">
        <is>
          <t>Power Consumption</t>
        </is>
      </c>
      <c r="H731" s="4">
        <f>IFERROR(INDEX(Tbl_KPIMaster[Unit],MATCH($G731,Tbl_KPIMaster[KPI],0)),"")</f>
        <v/>
      </c>
      <c r="I731" s="5">
        <f>IFERROR(INDEX(Tbl_KPIMaster[Maximum Target],MATCH($G731,Tbl_KPIMaster[KPI],0)),"")</f>
        <v/>
      </c>
      <c r="J731" s="5" t="n">
        <v>3983.28</v>
      </c>
      <c r="K731" s="4">
        <f>IFERROR(INDEX(Tbl_KPIMaster[Tolerance],MATCH($G731,Tbl_KPIMaster[KPI],0)),"")</f>
        <v/>
      </c>
      <c r="L731" s="4">
        <f>IFERROR(INDEX(Tbl_KPIMaster[Owner],MATCH($G731,Tbl_KPIMaster[KPI],0)),"")</f>
        <v/>
      </c>
      <c r="M731" s="6" t="inlineStr">
        <is>
          <t>Equipment breakdown</t>
        </is>
      </c>
      <c r="N731" s="4" t="inlineStr">
        <is>
          <t>Procurement follow-up</t>
        </is>
      </c>
      <c r="O731" s="4" t="inlineStr">
        <is>
          <t>Medium</t>
        </is>
      </c>
      <c r="P731" s="4" t="inlineStr">
        <is>
          <t>Closed</t>
        </is>
      </c>
      <c r="Q731" s="5">
        <f>IFERROR(IF(INDEX(Tbl_KPIMaster[Direction],MATCH($G731,Tbl_KPIMaster[KPI],0))="Lower is Better",IF($J731=0,1,IF($I731=0,0,$I731/$J731)),IF($I731=0,1,$J731/$I731)),0)</f>
        <v/>
      </c>
      <c r="R731" s="4">
        <f>IF(OR($I731="",$J731=""),"",$J731-$I731)</f>
        <v/>
      </c>
      <c r="S731" s="4">
        <f>IFERROR(IF(INDEX(Tbl_KPIMaster[Direction],MATCH($G731,Tbl_KPIMaster[KPI],0))="Lower is Better",IF($J731&lt;=$I731,"Green",IF($J731&lt;=$I731+IF($I731=0,$K731,$I731*$K731),"Amber","Red")),IF($J731&gt;=$I731,"Green",IF($J731&gt;=$I731-IF($I731=0,$K731,$I731*$K731),"Amber","Red"))),"")</f>
        <v/>
      </c>
      <c r="T731" s="6" t="inlineStr"/>
    </row>
    <row r="732">
      <c r="A732" s="7" t="n">
        <v>46166</v>
      </c>
      <c r="B732" s="8">
        <f>IF($A732="","",TEXT($A732,"mmm-yyyy"))</f>
        <v/>
      </c>
      <c r="C732" s="8">
        <f>IF($A732="","","W"&amp;WEEKNUM($A732,2))</f>
        <v/>
      </c>
      <c r="D732" s="8">
        <f>IF($A732="","",TEXT($A732,"ddd"))</f>
        <v/>
      </c>
      <c r="E732" s="8" t="inlineStr">
        <is>
          <t>Utilities</t>
        </is>
      </c>
      <c r="F732" s="8">
        <f>IFERROR(INDEX(Tbl_KPIMaster[Category],MATCH($G732,Tbl_KPIMaster[KPI],0)),"")</f>
        <v/>
      </c>
      <c r="G732" s="8" t="inlineStr">
        <is>
          <t>Water Consumption</t>
        </is>
      </c>
      <c r="H732" s="8">
        <f>IFERROR(INDEX(Tbl_KPIMaster[Unit],MATCH($G732,Tbl_KPIMaster[KPI],0)),"")</f>
        <v/>
      </c>
      <c r="I732" s="9">
        <f>IFERROR(INDEX(Tbl_KPIMaster[Maximum Target],MATCH($G732,Tbl_KPIMaster[KPI],0)),"")</f>
        <v/>
      </c>
      <c r="J732" s="9" t="n">
        <v>60.04</v>
      </c>
      <c r="K732" s="8">
        <f>IFERROR(INDEX(Tbl_KPIMaster[Tolerance],MATCH($G732,Tbl_KPIMaster[KPI],0)),"")</f>
        <v/>
      </c>
      <c r="L732" s="8">
        <f>IFERROR(INDEX(Tbl_KPIMaster[Owner],MATCH($G732,Tbl_KPIMaster[KPI],0)),"")</f>
        <v/>
      </c>
      <c r="M732" s="10" t="inlineStr">
        <is>
          <t>Preventive check done</t>
        </is>
      </c>
      <c r="N732" s="8" t="inlineStr"/>
      <c r="O732" s="8" t="inlineStr">
        <is>
          <t>Medium</t>
        </is>
      </c>
      <c r="P732" s="8" t="inlineStr">
        <is>
          <t>Closed</t>
        </is>
      </c>
      <c r="Q732" s="9">
        <f>IFERROR(IF(INDEX(Tbl_KPIMaster[Direction],MATCH($G732,Tbl_KPIMaster[KPI],0))="Lower is Better",IF($J732=0,1,IF($I732=0,0,$I732/$J732)),IF($I732=0,1,$J732/$I732)),0)</f>
        <v/>
      </c>
      <c r="R732" s="8">
        <f>IF(OR($I732="",$J732=""),"",$J732-$I732)</f>
        <v/>
      </c>
      <c r="S732" s="8">
        <f>IFERROR(IF(INDEX(Tbl_KPIMaster[Direction],MATCH($G732,Tbl_KPIMaster[KPI],0))="Lower is Better",IF($J732&lt;=$I732,"Green",IF($J732&lt;=$I732+IF($I732=0,$K732,$I732*$K732),"Amber","Red")),IF($J732&gt;=$I732,"Green",IF($J732&gt;=$I732-IF($I732=0,$K732,$I732*$K732),"Amber","Red"))),"")</f>
        <v/>
      </c>
      <c r="T732" s="10" t="inlineStr"/>
    </row>
    <row r="733">
      <c r="A733" s="3" t="n">
        <v>46166</v>
      </c>
      <c r="B733" s="4">
        <f>IF($A733="","",TEXT($A733,"mmm-yyyy"))</f>
        <v/>
      </c>
      <c r="C733" s="4">
        <f>IF($A733="","","W"&amp;WEEKNUM($A733,2))</f>
        <v/>
      </c>
      <c r="D733" s="4">
        <f>IF($A733="","",TEXT($A733,"ddd"))</f>
        <v/>
      </c>
      <c r="E733" s="4" t="inlineStr">
        <is>
          <t>Warehouse</t>
        </is>
      </c>
      <c r="F733" s="4">
        <f>IFERROR(INDEX(Tbl_KPIMaster[Category],MATCH($G733,Tbl_KPIMaster[KPI],0)),"")</f>
        <v/>
      </c>
      <c r="G733" s="4" t="inlineStr">
        <is>
          <t>On-Time Dispatch %</t>
        </is>
      </c>
      <c r="H733" s="4">
        <f>IFERROR(INDEX(Tbl_KPIMaster[Unit],MATCH($G733,Tbl_KPIMaster[KPI],0)),"")</f>
        <v/>
      </c>
      <c r="I733" s="5">
        <f>IFERROR(INDEX(Tbl_KPIMaster[Maximum Target],MATCH($G733,Tbl_KPIMaster[KPI],0)),"")</f>
        <v/>
      </c>
      <c r="J733" s="5" t="n">
        <v>1.0254</v>
      </c>
      <c r="K733" s="4">
        <f>IFERROR(INDEX(Tbl_KPIMaster[Tolerance],MATCH($G733,Tbl_KPIMaster[KPI],0)),"")</f>
        <v/>
      </c>
      <c r="L733" s="4">
        <f>IFERROR(INDEX(Tbl_KPIMaster[Owner],MATCH($G733,Tbl_KPIMaster[KPI],0)),"")</f>
        <v/>
      </c>
      <c r="M733" s="6" t="inlineStr">
        <is>
          <t>Vendor delay</t>
        </is>
      </c>
      <c r="N733" s="4" t="inlineStr">
        <is>
          <t>Management approval pending</t>
        </is>
      </c>
      <c r="O733" s="4" t="inlineStr">
        <is>
          <t>Low</t>
        </is>
      </c>
      <c r="P733" s="4" t="inlineStr">
        <is>
          <t>Closed</t>
        </is>
      </c>
      <c r="Q733" s="5">
        <f>IFERROR(IF(INDEX(Tbl_KPIMaster[Direction],MATCH($G733,Tbl_KPIMaster[KPI],0))="Lower is Better",IF($J733=0,1,IF($I733=0,0,$I733/$J733)),IF($I733=0,1,$J733/$I733)),0)</f>
        <v/>
      </c>
      <c r="R733" s="4">
        <f>IF(OR($I733="",$J733=""),"",$J733-$I733)</f>
        <v/>
      </c>
      <c r="S733" s="4">
        <f>IFERROR(IF(INDEX(Tbl_KPIMaster[Direction],MATCH($G733,Tbl_KPIMaster[KPI],0))="Lower is Better",IF($J733&lt;=$I733,"Green",IF($J733&lt;=$I733+IF($I733=0,$K733,$I733*$K733),"Amber","Red")),IF($J733&gt;=$I733,"Green",IF($J733&gt;=$I733-IF($I733=0,$K733,$I733*$K733),"Amber","Red"))),"")</f>
        <v/>
      </c>
      <c r="T733" s="6" t="inlineStr"/>
    </row>
    <row r="734">
      <c r="A734" s="7" t="n">
        <v>46166</v>
      </c>
      <c r="B734" s="8">
        <f>IF($A734="","",TEXT($A734,"mmm-yyyy"))</f>
        <v/>
      </c>
      <c r="C734" s="8">
        <f>IF($A734="","","W"&amp;WEEKNUM($A734,2))</f>
        <v/>
      </c>
      <c r="D734" s="8">
        <f>IF($A734="","",TEXT($A734,"ddd"))</f>
        <v/>
      </c>
      <c r="E734" s="8" t="inlineStr">
        <is>
          <t>Warehouse</t>
        </is>
      </c>
      <c r="F734" s="8">
        <f>IFERROR(INDEX(Tbl_KPIMaster[Category],MATCH($G734,Tbl_KPIMaster[KPI],0)),"")</f>
        <v/>
      </c>
      <c r="G734" s="8" t="inlineStr">
        <is>
          <t>Inventory Accuracy %</t>
        </is>
      </c>
      <c r="H734" s="8">
        <f>IFERROR(INDEX(Tbl_KPIMaster[Unit],MATCH($G734,Tbl_KPIMaster[KPI],0)),"")</f>
        <v/>
      </c>
      <c r="I734" s="9">
        <f>IFERROR(INDEX(Tbl_KPIMaster[Maximum Target],MATCH($G734,Tbl_KPIMaster[KPI],0)),"")</f>
        <v/>
      </c>
      <c r="J734" s="9" t="n">
        <v>0.7487</v>
      </c>
      <c r="K734" s="8">
        <f>IFERROR(INDEX(Tbl_KPIMaster[Tolerance],MATCH($G734,Tbl_KPIMaster[KPI],0)),"")</f>
        <v/>
      </c>
      <c r="L734" s="8">
        <f>IFERROR(INDEX(Tbl_KPIMaster[Owner],MATCH($G734,Tbl_KPIMaster[KPI],0)),"")</f>
        <v/>
      </c>
      <c r="M734" s="10" t="inlineStr">
        <is>
          <t>Vendor delay</t>
        </is>
      </c>
      <c r="N734" s="8" t="inlineStr"/>
      <c r="O734" s="8" t="inlineStr">
        <is>
          <t>Low</t>
        </is>
      </c>
      <c r="P734" s="8" t="inlineStr">
        <is>
          <t>Closed</t>
        </is>
      </c>
      <c r="Q734" s="9">
        <f>IFERROR(IF(INDEX(Tbl_KPIMaster[Direction],MATCH($G734,Tbl_KPIMaster[KPI],0))="Lower is Better",IF($J734=0,1,IF($I734=0,0,$I734/$J734)),IF($I734=0,1,$J734/$I734)),0)</f>
        <v/>
      </c>
      <c r="R734" s="8">
        <f>IF(OR($I734="",$J734=""),"",$J734-$I734)</f>
        <v/>
      </c>
      <c r="S734" s="8">
        <f>IFERROR(IF(INDEX(Tbl_KPIMaster[Direction],MATCH($G734,Tbl_KPIMaster[KPI],0))="Lower is Better",IF($J734&lt;=$I734,"Green",IF($J734&lt;=$I734+IF($I734=0,$K734,$I734*$K734),"Amber","Red")),IF($J734&gt;=$I734,"Green",IF($J734&gt;=$I734-IF($I734=0,$K734,$I734*$K734),"Amber","Red"))),"")</f>
        <v/>
      </c>
      <c r="T734" s="10" t="inlineStr"/>
    </row>
    <row r="735">
      <c r="A735" s="3" t="n">
        <v>46166</v>
      </c>
      <c r="B735" s="4">
        <f>IF($A735="","",TEXT($A735,"mmm-yyyy"))</f>
        <v/>
      </c>
      <c r="C735" s="4">
        <f>IF($A735="","","W"&amp;WEEKNUM($A735,2))</f>
        <v/>
      </c>
      <c r="D735" s="4">
        <f>IF($A735="","",TEXT($A735,"ddd"))</f>
        <v/>
      </c>
      <c r="E735" s="4" t="inlineStr">
        <is>
          <t>HR</t>
        </is>
      </c>
      <c r="F735" s="4">
        <f>IFERROR(INDEX(Tbl_KPIMaster[Category],MATCH($G735,Tbl_KPIMaster[KPI],0)),"")</f>
        <v/>
      </c>
      <c r="G735" s="4" t="inlineStr">
        <is>
          <t>Absenteeism %</t>
        </is>
      </c>
      <c r="H735" s="4">
        <f>IFERROR(INDEX(Tbl_KPIMaster[Unit],MATCH($G735,Tbl_KPIMaster[KPI],0)),"")</f>
        <v/>
      </c>
      <c r="I735" s="5">
        <f>IFERROR(INDEX(Tbl_KPIMaster[Maximum Target],MATCH($G735,Tbl_KPIMaster[KPI],0)),"")</f>
        <v/>
      </c>
      <c r="J735" s="5" t="n">
        <v>0</v>
      </c>
      <c r="K735" s="4">
        <f>IFERROR(INDEX(Tbl_KPIMaster[Tolerance],MATCH($G735,Tbl_KPIMaster[KPI],0)),"")</f>
        <v/>
      </c>
      <c r="L735" s="4">
        <f>IFERROR(INDEX(Tbl_KPIMaster[Owner],MATCH($G735,Tbl_KPIMaster[KPI],0)),"")</f>
        <v/>
      </c>
      <c r="M735" s="6" t="inlineStr">
        <is>
          <t>Line changeover impact</t>
        </is>
      </c>
      <c r="N735" s="4" t="inlineStr"/>
      <c r="O735" s="4" t="inlineStr">
        <is>
          <t>Low</t>
        </is>
      </c>
      <c r="P735" s="4" t="inlineStr">
        <is>
          <t>Closed</t>
        </is>
      </c>
      <c r="Q735" s="5">
        <f>IFERROR(IF(INDEX(Tbl_KPIMaster[Direction],MATCH($G735,Tbl_KPIMaster[KPI],0))="Lower is Better",IF($J735=0,1,IF($I735=0,0,$I735/$J735)),IF($I735=0,1,$J735/$I735)),0)</f>
        <v/>
      </c>
      <c r="R735" s="4">
        <f>IF(OR($I735="",$J735=""),"",$J735-$I735)</f>
        <v/>
      </c>
      <c r="S735" s="4">
        <f>IFERROR(IF(INDEX(Tbl_KPIMaster[Direction],MATCH($G735,Tbl_KPIMaster[KPI],0))="Lower is Better",IF($J735&lt;=$I735,"Green",IF($J735&lt;=$I735+IF($I735=0,$K735,$I735*$K735),"Amber","Red")),IF($J735&gt;=$I735,"Green",IF($J735&gt;=$I735-IF($I735=0,$K735,$I735*$K735),"Amber","Red"))),"")</f>
        <v/>
      </c>
      <c r="T735" s="6" t="inlineStr"/>
    </row>
    <row r="736">
      <c r="A736" s="7" t="n">
        <v>46166</v>
      </c>
      <c r="B736" s="8">
        <f>IF($A736="","",TEXT($A736,"mmm-yyyy"))</f>
        <v/>
      </c>
      <c r="C736" s="8">
        <f>IF($A736="","","W"&amp;WEEKNUM($A736,2))</f>
        <v/>
      </c>
      <c r="D736" s="8">
        <f>IF($A736="","",TEXT($A736,"ddd"))</f>
        <v/>
      </c>
      <c r="E736" s="8" t="inlineStr">
        <is>
          <t>HR</t>
        </is>
      </c>
      <c r="F736" s="8">
        <f>IFERROR(INDEX(Tbl_KPIMaster[Category],MATCH($G736,Tbl_KPIMaster[KPI],0)),"")</f>
        <v/>
      </c>
      <c r="G736" s="8" t="inlineStr">
        <is>
          <t>Training Hours</t>
        </is>
      </c>
      <c r="H736" s="8">
        <f>IFERROR(INDEX(Tbl_KPIMaster[Unit],MATCH($G736,Tbl_KPIMaster[KPI],0)),"")</f>
        <v/>
      </c>
      <c r="I736" s="9">
        <f>IFERROR(INDEX(Tbl_KPIMaster[Maximum Target],MATCH($G736,Tbl_KPIMaster[KPI],0)),"")</f>
        <v/>
      </c>
      <c r="J736" s="9" t="n">
        <v>2.37</v>
      </c>
      <c r="K736" s="8">
        <f>IFERROR(INDEX(Tbl_KPIMaster[Tolerance],MATCH($G736,Tbl_KPIMaster[KPI],0)),"")</f>
        <v/>
      </c>
      <c r="L736" s="8">
        <f>IFERROR(INDEX(Tbl_KPIMaster[Owner],MATCH($G736,Tbl_KPIMaster[KPI],0)),"")</f>
        <v/>
      </c>
      <c r="M736" s="10" t="inlineStr">
        <is>
          <t>Process improvement in progress</t>
        </is>
      </c>
      <c r="N736" s="8" t="inlineStr"/>
      <c r="O736" s="8" t="inlineStr">
        <is>
          <t>Low</t>
        </is>
      </c>
      <c r="P736" s="8" t="inlineStr">
        <is>
          <t>Closed</t>
        </is>
      </c>
      <c r="Q736" s="9">
        <f>IFERROR(IF(INDEX(Tbl_KPIMaster[Direction],MATCH($G736,Tbl_KPIMaster[KPI],0))="Lower is Better",IF($J736=0,1,IF($I736=0,0,$I736/$J736)),IF($I736=0,1,$J736/$I736)),0)</f>
        <v/>
      </c>
      <c r="R736" s="8">
        <f>IF(OR($I736="",$J736=""),"",$J736-$I736)</f>
        <v/>
      </c>
      <c r="S736" s="8">
        <f>IFERROR(IF(INDEX(Tbl_KPIMaster[Direction],MATCH($G736,Tbl_KPIMaster[KPI],0))="Lower is Better",IF($J736&lt;=$I736,"Green",IF($J736&lt;=$I736+IF($I736=0,$K736,$I736*$K736),"Amber","Red")),IF($J736&gt;=$I736,"Green",IF($J736&gt;=$I736-IF($I736=0,$K736,$I736*$K736),"Amber","Red"))),"")</f>
        <v/>
      </c>
      <c r="T736" s="10" t="inlineStr"/>
    </row>
    <row r="737">
      <c r="A737" s="3" t="n">
        <v>46166</v>
      </c>
      <c r="B737" s="4">
        <f>IF($A737="","",TEXT($A737,"mmm-yyyy"))</f>
        <v/>
      </c>
      <c r="C737" s="4">
        <f>IF($A737="","","W"&amp;WEEKNUM($A737,2))</f>
        <v/>
      </c>
      <c r="D737" s="4">
        <f>IF($A737="","",TEXT($A737,"ddd"))</f>
        <v/>
      </c>
      <c r="E737" s="4" t="inlineStr">
        <is>
          <t>Engineering</t>
        </is>
      </c>
      <c r="F737" s="4">
        <f>IFERROR(INDEX(Tbl_KPIMaster[Category],MATCH($G737,Tbl_KPIMaster[KPI],0)),"")</f>
        <v/>
      </c>
      <c r="G737" s="4" t="inlineStr">
        <is>
          <t>Project Milestone Adherence %</t>
        </is>
      </c>
      <c r="H737" s="4">
        <f>IFERROR(INDEX(Tbl_KPIMaster[Unit],MATCH($G737,Tbl_KPIMaster[KPI],0)),"")</f>
        <v/>
      </c>
      <c r="I737" s="5">
        <f>IFERROR(INDEX(Tbl_KPIMaster[Maximum Target],MATCH($G737,Tbl_KPIMaster[KPI],0)),"")</f>
        <v/>
      </c>
      <c r="J737" s="5" t="n">
        <v>0.7171999999999999</v>
      </c>
      <c r="K737" s="4">
        <f>IFERROR(INDEX(Tbl_KPIMaster[Tolerance],MATCH($G737,Tbl_KPIMaster[KPI],0)),"")</f>
        <v/>
      </c>
      <c r="L737" s="4">
        <f>IFERROR(INDEX(Tbl_KPIMaster[Owner],MATCH($G737,Tbl_KPIMaster[KPI],0)),"")</f>
        <v/>
      </c>
      <c r="M737" s="6" t="inlineStr"/>
      <c r="N737" s="4" t="inlineStr">
        <is>
          <t>Procurement follow-up</t>
        </is>
      </c>
      <c r="O737" s="4" t="inlineStr">
        <is>
          <t>Medium</t>
        </is>
      </c>
      <c r="P737" s="4" t="inlineStr">
        <is>
          <t>Closed</t>
        </is>
      </c>
      <c r="Q737" s="5">
        <f>IFERROR(IF(INDEX(Tbl_KPIMaster[Direction],MATCH($G737,Tbl_KPIMaster[KPI],0))="Lower is Better",IF($J737=0,1,IF($I737=0,0,$I737/$J737)),IF($I737=0,1,$J737/$I737)),0)</f>
        <v/>
      </c>
      <c r="R737" s="4">
        <f>IF(OR($I737="",$J737=""),"",$J737-$I737)</f>
        <v/>
      </c>
      <c r="S737" s="4">
        <f>IFERROR(IF(INDEX(Tbl_KPIMaster[Direction],MATCH($G737,Tbl_KPIMaster[KPI],0))="Lower is Better",IF($J737&lt;=$I737,"Green",IF($J737&lt;=$I737+IF($I737=0,$K737,$I737*$K737),"Amber","Red")),IF($J737&gt;=$I737,"Green",IF($J737&gt;=$I737-IF($I737=0,$K737,$I737*$K737),"Amber","Red"))),"")</f>
        <v/>
      </c>
      <c r="T737" s="6" t="inlineStr"/>
    </row>
    <row r="738">
      <c r="A738" s="7" t="n">
        <v>46166</v>
      </c>
      <c r="B738" s="8">
        <f>IF($A738="","",TEXT($A738,"mmm-yyyy"))</f>
        <v/>
      </c>
      <c r="C738" s="8">
        <f>IF($A738="","","W"&amp;WEEKNUM($A738,2))</f>
        <v/>
      </c>
      <c r="D738" s="8">
        <f>IF($A738="","",TEXT($A738,"ddd"))</f>
        <v/>
      </c>
      <c r="E738" s="8" t="inlineStr">
        <is>
          <t>Engineering</t>
        </is>
      </c>
      <c r="F738" s="8">
        <f>IFERROR(INDEX(Tbl_KPIMaster[Category],MATCH($G738,Tbl_KPIMaster[KPI],0)),"")</f>
        <v/>
      </c>
      <c r="G738" s="8" t="inlineStr">
        <is>
          <t>Breakdown Resolution Time</t>
        </is>
      </c>
      <c r="H738" s="8">
        <f>IFERROR(INDEX(Tbl_KPIMaster[Unit],MATCH($G738,Tbl_KPIMaster[KPI],0)),"")</f>
        <v/>
      </c>
      <c r="I738" s="9">
        <f>IFERROR(INDEX(Tbl_KPIMaster[Maximum Target],MATCH($G738,Tbl_KPIMaster[KPI],0)),"")</f>
        <v/>
      </c>
      <c r="J738" s="9" t="n">
        <v>0.88</v>
      </c>
      <c r="K738" s="8">
        <f>IFERROR(INDEX(Tbl_KPIMaster[Tolerance],MATCH($G738,Tbl_KPIMaster[KPI],0)),"")</f>
        <v/>
      </c>
      <c r="L738" s="8">
        <f>IFERROR(INDEX(Tbl_KPIMaster[Owner],MATCH($G738,Tbl_KPIMaster[KPI],0)),"")</f>
        <v/>
      </c>
      <c r="M738" s="10" t="inlineStr">
        <is>
          <t>Preventive check done</t>
        </is>
      </c>
      <c r="N738" s="8" t="inlineStr"/>
      <c r="O738" s="8" t="inlineStr">
        <is>
          <t>Low</t>
        </is>
      </c>
      <c r="P738" s="8" t="inlineStr">
        <is>
          <t>Open</t>
        </is>
      </c>
      <c r="Q738" s="9">
        <f>IFERROR(IF(INDEX(Tbl_KPIMaster[Direction],MATCH($G738,Tbl_KPIMaster[KPI],0))="Lower is Better",IF($J738=0,1,IF($I738=0,0,$I738/$J738)),IF($I738=0,1,$J738/$I738)),0)</f>
        <v/>
      </c>
      <c r="R738" s="8">
        <f>IF(OR($I738="",$J738=""),"",$J738-$I738)</f>
        <v/>
      </c>
      <c r="S738" s="8">
        <f>IFERROR(IF(INDEX(Tbl_KPIMaster[Direction],MATCH($G738,Tbl_KPIMaster[KPI],0))="Lower is Better",IF($J738&lt;=$I738,"Green",IF($J738&lt;=$I738+IF($I738=0,$K738,$I738*$K738),"Amber","Red")),IF($J738&gt;=$I738,"Green",IF($J738&gt;=$I738-IF($I738=0,$K738,$I738*$K738),"Amber","Red"))),"")</f>
        <v/>
      </c>
      <c r="T738" s="10" t="inlineStr"/>
    </row>
    <row r="739">
      <c r="A739" s="3" t="n">
        <v>46166</v>
      </c>
      <c r="B739" s="4">
        <f>IF($A739="","",TEXT($A739,"mmm-yyyy"))</f>
        <v/>
      </c>
      <c r="C739" s="4">
        <f>IF($A739="","","W"&amp;WEEKNUM($A739,2))</f>
        <v/>
      </c>
      <c r="D739" s="4">
        <f>IF($A739="","",TEXT($A739,"ddd"))</f>
        <v/>
      </c>
      <c r="E739" s="4" t="inlineStr">
        <is>
          <t>Cost</t>
        </is>
      </c>
      <c r="F739" s="4">
        <f>IFERROR(INDEX(Tbl_KPIMaster[Category],MATCH($G739,Tbl_KPIMaster[KPI],0)),"")</f>
        <v/>
      </c>
      <c r="G739" s="4" t="inlineStr">
        <is>
          <t>Cost per Unit</t>
        </is>
      </c>
      <c r="H739" s="4">
        <f>IFERROR(INDEX(Tbl_KPIMaster[Unit],MATCH($G739,Tbl_KPIMaster[KPI],0)),"")</f>
        <v/>
      </c>
      <c r="I739" s="5">
        <f>IFERROR(INDEX(Tbl_KPIMaster[Maximum Target],MATCH($G739,Tbl_KPIMaster[KPI],0)),"")</f>
        <v/>
      </c>
      <c r="J739" s="5" t="n">
        <v>45.16</v>
      </c>
      <c r="K739" s="4">
        <f>IFERROR(INDEX(Tbl_KPIMaster[Tolerance],MATCH($G739,Tbl_KPIMaster[KPI],0)),"")</f>
        <v/>
      </c>
      <c r="L739" s="4">
        <f>IFERROR(INDEX(Tbl_KPIMaster[Owner],MATCH($G739,Tbl_KPIMaster[KPI],0)),"")</f>
        <v/>
      </c>
      <c r="M739" s="6" t="inlineStr">
        <is>
          <t>Line changeover impact</t>
        </is>
      </c>
      <c r="N739" s="4" t="inlineStr"/>
      <c r="O739" s="4" t="inlineStr">
        <is>
          <t>High</t>
        </is>
      </c>
      <c r="P739" s="4" t="inlineStr">
        <is>
          <t>Closed</t>
        </is>
      </c>
      <c r="Q739" s="5">
        <f>IFERROR(IF(INDEX(Tbl_KPIMaster[Direction],MATCH($G739,Tbl_KPIMaster[KPI],0))="Lower is Better",IF($J739=0,1,IF($I739=0,0,$I739/$J739)),IF($I739=0,1,$J739/$I739)),0)</f>
        <v/>
      </c>
      <c r="R739" s="4">
        <f>IF(OR($I739="",$J739=""),"",$J739-$I739)</f>
        <v/>
      </c>
      <c r="S739" s="4">
        <f>IFERROR(IF(INDEX(Tbl_KPIMaster[Direction],MATCH($G739,Tbl_KPIMaster[KPI],0))="Lower is Better",IF($J739&lt;=$I739,"Green",IF($J739&lt;=$I739+IF($I739=0,$K739,$I739*$K739),"Amber","Red")),IF($J739&gt;=$I739,"Green",IF($J739&gt;=$I739-IF($I739=0,$K739,$I739*$K739),"Amber","Red"))),"")</f>
        <v/>
      </c>
      <c r="T739" s="6" t="inlineStr"/>
    </row>
    <row r="740">
      <c r="A740" s="7" t="n">
        <v>46166</v>
      </c>
      <c r="B740" s="8">
        <f>IF($A740="","",TEXT($A740,"mmm-yyyy"))</f>
        <v/>
      </c>
      <c r="C740" s="8">
        <f>IF($A740="","","W"&amp;WEEKNUM($A740,2))</f>
        <v/>
      </c>
      <c r="D740" s="8">
        <f>IF($A740="","",TEXT($A740,"ddd"))</f>
        <v/>
      </c>
      <c r="E740" s="8" t="inlineStr">
        <is>
          <t>Cost</t>
        </is>
      </c>
      <c r="F740" s="8">
        <f>IFERROR(INDEX(Tbl_KPIMaster[Category],MATCH($G740,Tbl_KPIMaster[KPI],0)),"")</f>
        <v/>
      </c>
      <c r="G740" s="8" t="inlineStr">
        <is>
          <t>Budget Variance %</t>
        </is>
      </c>
      <c r="H740" s="8">
        <f>IFERROR(INDEX(Tbl_KPIMaster[Unit],MATCH($G740,Tbl_KPIMaster[KPI],0)),"")</f>
        <v/>
      </c>
      <c r="I740" s="9">
        <f>IFERROR(INDEX(Tbl_KPIMaster[Maximum Target],MATCH($G740,Tbl_KPIMaster[KPI],0)),"")</f>
        <v/>
      </c>
      <c r="J740" s="9" t="n">
        <v>0</v>
      </c>
      <c r="K740" s="8">
        <f>IFERROR(INDEX(Tbl_KPIMaster[Tolerance],MATCH($G740,Tbl_KPIMaster[KPI],0)),"")</f>
        <v/>
      </c>
      <c r="L740" s="8">
        <f>IFERROR(INDEX(Tbl_KPIMaster[Owner],MATCH($G740,Tbl_KPIMaster[KPI],0)),"")</f>
        <v/>
      </c>
      <c r="M740" s="10" t="inlineStr">
        <is>
          <t>Manpower shortage</t>
        </is>
      </c>
      <c r="N740" s="8" t="inlineStr"/>
      <c r="O740" s="8" t="inlineStr">
        <is>
          <t>Medium</t>
        </is>
      </c>
      <c r="P740" s="8" t="inlineStr">
        <is>
          <t>Closed</t>
        </is>
      </c>
      <c r="Q740" s="9">
        <f>IFERROR(IF(INDEX(Tbl_KPIMaster[Direction],MATCH($G740,Tbl_KPIMaster[KPI],0))="Lower is Better",IF($J740=0,1,IF($I740=0,0,$I740/$J740)),IF($I740=0,1,$J740/$I740)),0)</f>
        <v/>
      </c>
      <c r="R740" s="8">
        <f>IF(OR($I740="",$J740=""),"",$J740-$I740)</f>
        <v/>
      </c>
      <c r="S740" s="8">
        <f>IFERROR(IF(INDEX(Tbl_KPIMaster[Direction],MATCH($G740,Tbl_KPIMaster[KPI],0))="Lower is Better",IF($J740&lt;=$I740,"Green",IF($J740&lt;=$I740+IF($I740=0,$K740,$I740*$K740),"Amber","Red")),IF($J740&gt;=$I740,"Green",IF($J740&gt;=$I740-IF($I740=0,$K740,$I740*$K740),"Amber","Red"))),"")</f>
        <v/>
      </c>
      <c r="T740" s="10" t="inlineStr"/>
    </row>
    <row r="741">
      <c r="A741" s="3" t="n">
        <v>46166</v>
      </c>
      <c r="B741" s="4">
        <f>IF($A741="","",TEXT($A741,"mmm-yyyy"))</f>
        <v/>
      </c>
      <c r="C741" s="4">
        <f>IF($A741="","","W"&amp;WEEKNUM($A741,2))</f>
        <v/>
      </c>
      <c r="D741" s="4">
        <f>IF($A741="","",TEXT($A741,"ddd"))</f>
        <v/>
      </c>
      <c r="E741" s="4" t="inlineStr">
        <is>
          <t>Energy</t>
        </is>
      </c>
      <c r="F741" s="4">
        <f>IFERROR(INDEX(Tbl_KPIMaster[Category],MATCH($G741,Tbl_KPIMaster[KPI],0)),"")</f>
        <v/>
      </c>
      <c r="G741" s="4" t="inlineStr">
        <is>
          <t>Energy Intensity (kWh/unit)</t>
        </is>
      </c>
      <c r="H741" s="4">
        <f>IFERROR(INDEX(Tbl_KPIMaster[Unit],MATCH($G741,Tbl_KPIMaster[KPI],0)),"")</f>
        <v/>
      </c>
      <c r="I741" s="5">
        <f>IFERROR(INDEX(Tbl_KPIMaster[Maximum Target],MATCH($G741,Tbl_KPIMaster[KPI],0)),"")</f>
        <v/>
      </c>
      <c r="J741" s="5" t="n">
        <v>4.57</v>
      </c>
      <c r="K741" s="4">
        <f>IFERROR(INDEX(Tbl_KPIMaster[Tolerance],MATCH($G741,Tbl_KPIMaster[KPI],0)),"")</f>
        <v/>
      </c>
      <c r="L741" s="4">
        <f>IFERROR(INDEX(Tbl_KPIMaster[Owner],MATCH($G741,Tbl_KPIMaster[KPI],0)),"")</f>
        <v/>
      </c>
      <c r="M741" s="6" t="inlineStr">
        <is>
          <t>Vendor delay</t>
        </is>
      </c>
      <c r="N741" s="4" t="inlineStr">
        <is>
          <t>Management approval pending</t>
        </is>
      </c>
      <c r="O741" s="4" t="inlineStr">
        <is>
          <t>High</t>
        </is>
      </c>
      <c r="P741" s="4" t="inlineStr">
        <is>
          <t>In Progress</t>
        </is>
      </c>
      <c r="Q741" s="5">
        <f>IFERROR(IF(INDEX(Tbl_KPIMaster[Direction],MATCH($G741,Tbl_KPIMaster[KPI],0))="Lower is Better",IF($J741=0,1,IF($I741=0,0,$I741/$J741)),IF($I741=0,1,$J741/$I741)),0)</f>
        <v/>
      </c>
      <c r="R741" s="4">
        <f>IF(OR($I741="",$J741=""),"",$J741-$I741)</f>
        <v/>
      </c>
      <c r="S741" s="4">
        <f>IFERROR(IF(INDEX(Tbl_KPIMaster[Direction],MATCH($G741,Tbl_KPIMaster[KPI],0))="Lower is Better",IF($J741&lt;=$I741,"Green",IF($J741&lt;=$I741+IF($I741=0,$K741,$I741*$K741),"Amber","Red")),IF($J741&gt;=$I741,"Green",IF($J741&gt;=$I741-IF($I741=0,$K741,$I741*$K741),"Amber","Red"))),"")</f>
        <v/>
      </c>
      <c r="T741" s="6" t="inlineStr"/>
    </row>
    <row r="742">
      <c r="A742" s="7" t="n">
        <v>46166</v>
      </c>
      <c r="B742" s="8">
        <f>IF($A742="","",TEXT($A742,"mmm-yyyy"))</f>
        <v/>
      </c>
      <c r="C742" s="8">
        <f>IF($A742="","","W"&amp;WEEKNUM($A742,2))</f>
        <v/>
      </c>
      <c r="D742" s="8">
        <f>IF($A742="","",TEXT($A742,"ddd"))</f>
        <v/>
      </c>
      <c r="E742" s="8" t="inlineStr">
        <is>
          <t>Energy</t>
        </is>
      </c>
      <c r="F742" s="8">
        <f>IFERROR(INDEX(Tbl_KPIMaster[Category],MATCH($G742,Tbl_KPIMaster[KPI],0)),"")</f>
        <v/>
      </c>
      <c r="G742" s="8" t="inlineStr">
        <is>
          <t>Renewable Energy Share %</t>
        </is>
      </c>
      <c r="H742" s="8">
        <f>IFERROR(INDEX(Tbl_KPIMaster[Unit],MATCH($G742,Tbl_KPIMaster[KPI],0)),"")</f>
        <v/>
      </c>
      <c r="I742" s="9">
        <f>IFERROR(INDEX(Tbl_KPIMaster[Maximum Target],MATCH($G742,Tbl_KPIMaster[KPI],0)),"")</f>
        <v/>
      </c>
      <c r="J742" s="9" t="n">
        <v>0.2694</v>
      </c>
      <c r="K742" s="8">
        <f>IFERROR(INDEX(Tbl_KPIMaster[Tolerance],MATCH($G742,Tbl_KPIMaster[KPI],0)),"")</f>
        <v/>
      </c>
      <c r="L742" s="8">
        <f>IFERROR(INDEX(Tbl_KPIMaster[Owner],MATCH($G742,Tbl_KPIMaster[KPI],0)),"")</f>
        <v/>
      </c>
      <c r="M742" s="10" t="inlineStr">
        <is>
          <t>Awaiting spares</t>
        </is>
      </c>
      <c r="N742" s="8" t="inlineStr"/>
      <c r="O742" s="8" t="inlineStr">
        <is>
          <t>Low</t>
        </is>
      </c>
      <c r="P742" s="8" t="inlineStr">
        <is>
          <t>Closed</t>
        </is>
      </c>
      <c r="Q742" s="9">
        <f>IFERROR(IF(INDEX(Tbl_KPIMaster[Direction],MATCH($G742,Tbl_KPIMaster[KPI],0))="Lower is Better",IF($J742=0,1,IF($I742=0,0,$I742/$J742)),IF($I742=0,1,$J742/$I742)),0)</f>
        <v/>
      </c>
      <c r="R742" s="8">
        <f>IF(OR($I742="",$J742=""),"",$J742-$I742)</f>
        <v/>
      </c>
      <c r="S742" s="8">
        <f>IFERROR(IF(INDEX(Tbl_KPIMaster[Direction],MATCH($G742,Tbl_KPIMaster[KPI],0))="Lower is Better",IF($J742&lt;=$I742,"Green",IF($J742&lt;=$I742+IF($I742=0,$K742,$I742*$K742),"Amber","Red")),IF($J742&gt;=$I742,"Green",IF($J742&gt;=$I742-IF($I742=0,$K742,$I742*$K742),"Amber","Red"))),"")</f>
        <v/>
      </c>
      <c r="T742" s="10" t="inlineStr"/>
    </row>
    <row r="743">
      <c r="A743" s="3" t="n">
        <v>46167</v>
      </c>
      <c r="B743" s="4">
        <f>IF($A743="","",TEXT($A743,"mmm-yyyy"))</f>
        <v/>
      </c>
      <c r="C743" s="4">
        <f>IF($A743="","","W"&amp;WEEKNUM($A743,2))</f>
        <v/>
      </c>
      <c r="D743" s="4">
        <f>IF($A743="","",TEXT($A743,"ddd"))</f>
        <v/>
      </c>
      <c r="E743" s="4" t="inlineStr">
        <is>
          <t>Safety</t>
        </is>
      </c>
      <c r="F743" s="4">
        <f>IFERROR(INDEX(Tbl_KPIMaster[Category],MATCH($G743,Tbl_KPIMaster[KPI],0)),"")</f>
        <v/>
      </c>
      <c r="G743" s="4" t="inlineStr">
        <is>
          <t>Safety Incidents (LTI)</t>
        </is>
      </c>
      <c r="H743" s="4">
        <f>IFERROR(INDEX(Tbl_KPIMaster[Unit],MATCH($G743,Tbl_KPIMaster[KPI],0)),"")</f>
        <v/>
      </c>
      <c r="I743" s="5">
        <f>IFERROR(INDEX(Tbl_KPIMaster[Maximum Target],MATCH($G743,Tbl_KPIMaster[KPI],0)),"")</f>
        <v/>
      </c>
      <c r="J743" s="5" t="n">
        <v>0</v>
      </c>
      <c r="K743" s="4">
        <f>IFERROR(INDEX(Tbl_KPIMaster[Tolerance],MATCH($G743,Tbl_KPIMaster[KPI],0)),"")</f>
        <v/>
      </c>
      <c r="L743" s="4">
        <f>IFERROR(INDEX(Tbl_KPIMaster[Owner],MATCH($G743,Tbl_KPIMaster[KPI],0)),"")</f>
        <v/>
      </c>
      <c r="M743" s="6" t="inlineStr">
        <is>
          <t>Equipment breakdown</t>
        </is>
      </c>
      <c r="N743" s="4" t="inlineStr"/>
      <c r="O743" s="4" t="inlineStr">
        <is>
          <t>Medium</t>
        </is>
      </c>
      <c r="P743" s="4" t="inlineStr">
        <is>
          <t>Closed</t>
        </is>
      </c>
      <c r="Q743" s="5">
        <f>IFERROR(IF(INDEX(Tbl_KPIMaster[Direction],MATCH($G743,Tbl_KPIMaster[KPI],0))="Lower is Better",IF($J743=0,1,IF($I743=0,0,$I743/$J743)),IF($I743=0,1,$J743/$I743)),0)</f>
        <v/>
      </c>
      <c r="R743" s="4">
        <f>IF(OR($I743="",$J743=""),"",$J743-$I743)</f>
        <v/>
      </c>
      <c r="S743" s="4">
        <f>IFERROR(IF(INDEX(Tbl_KPIMaster[Direction],MATCH($G743,Tbl_KPIMaster[KPI],0))="Lower is Better",IF($J743&lt;=$I743,"Green",IF($J743&lt;=$I743+IF($I743=0,$K743,$I743*$K743),"Amber","Red")),IF($J743&gt;=$I743,"Green",IF($J743&gt;=$I743-IF($I743=0,$K743,$I743*$K743),"Amber","Red"))),"")</f>
        <v/>
      </c>
      <c r="T743" s="6" t="inlineStr"/>
    </row>
    <row r="744">
      <c r="A744" s="7" t="n">
        <v>46167</v>
      </c>
      <c r="B744" s="8">
        <f>IF($A744="","",TEXT($A744,"mmm-yyyy"))</f>
        <v/>
      </c>
      <c r="C744" s="8">
        <f>IF($A744="","","W"&amp;WEEKNUM($A744,2))</f>
        <v/>
      </c>
      <c r="D744" s="8">
        <f>IF($A744="","",TEXT($A744,"ddd"))</f>
        <v/>
      </c>
      <c r="E744" s="8" t="inlineStr">
        <is>
          <t>Safety</t>
        </is>
      </c>
      <c r="F744" s="8">
        <f>IFERROR(INDEX(Tbl_KPIMaster[Category],MATCH($G744,Tbl_KPIMaster[KPI],0)),"")</f>
        <v/>
      </c>
      <c r="G744" s="8" t="inlineStr">
        <is>
          <t>Near Miss Reports</t>
        </is>
      </c>
      <c r="H744" s="8">
        <f>IFERROR(INDEX(Tbl_KPIMaster[Unit],MATCH($G744,Tbl_KPIMaster[KPI],0)),"")</f>
        <v/>
      </c>
      <c r="I744" s="9">
        <f>IFERROR(INDEX(Tbl_KPIMaster[Maximum Target],MATCH($G744,Tbl_KPIMaster[KPI],0)),"")</f>
        <v/>
      </c>
      <c r="J744" s="9" t="n">
        <v>2</v>
      </c>
      <c r="K744" s="8">
        <f>IFERROR(INDEX(Tbl_KPIMaster[Tolerance],MATCH($G744,Tbl_KPIMaster[KPI],0)),"")</f>
        <v/>
      </c>
      <c r="L744" s="8">
        <f>IFERROR(INDEX(Tbl_KPIMaster[Owner],MATCH($G744,Tbl_KPIMaster[KPI],0)),"")</f>
        <v/>
      </c>
      <c r="M744" s="10" t="inlineStr">
        <is>
          <t>Equipment breakdown</t>
        </is>
      </c>
      <c r="N744" s="8" t="inlineStr"/>
      <c r="O744" s="8" t="inlineStr">
        <is>
          <t>Medium</t>
        </is>
      </c>
      <c r="P744" s="8" t="inlineStr">
        <is>
          <t>Open</t>
        </is>
      </c>
      <c r="Q744" s="9">
        <f>IFERROR(IF(INDEX(Tbl_KPIMaster[Direction],MATCH($G744,Tbl_KPIMaster[KPI],0))="Lower is Better",IF($J744=0,1,IF($I744=0,0,$I744/$J744)),IF($I744=0,1,$J744/$I744)),0)</f>
        <v/>
      </c>
      <c r="R744" s="8">
        <f>IF(OR($I744="",$J744=""),"",$J744-$I744)</f>
        <v/>
      </c>
      <c r="S744" s="8">
        <f>IFERROR(IF(INDEX(Tbl_KPIMaster[Direction],MATCH($G744,Tbl_KPIMaster[KPI],0))="Lower is Better",IF($J744&lt;=$I744,"Green",IF($J744&lt;=$I744+IF($I744=0,$K744,$I744*$K744),"Amber","Red")),IF($J744&gt;=$I744,"Green",IF($J744&gt;=$I744-IF($I744=0,$K744,$I744*$K744),"Amber","Red"))),"")</f>
        <v/>
      </c>
      <c r="T744" s="10" t="inlineStr"/>
    </row>
    <row r="745">
      <c r="A745" s="3" t="n">
        <v>46167</v>
      </c>
      <c r="B745" s="4">
        <f>IF($A745="","",TEXT($A745,"mmm-yyyy"))</f>
        <v/>
      </c>
      <c r="C745" s="4">
        <f>IF($A745="","","W"&amp;WEEKNUM($A745,2))</f>
        <v/>
      </c>
      <c r="D745" s="4">
        <f>IF($A745="","",TEXT($A745,"ddd"))</f>
        <v/>
      </c>
      <c r="E745" s="4" t="inlineStr">
        <is>
          <t>Production</t>
        </is>
      </c>
      <c r="F745" s="4">
        <f>IFERROR(INDEX(Tbl_KPIMaster[Category],MATCH($G745,Tbl_KPIMaster[KPI],0)),"")</f>
        <v/>
      </c>
      <c r="G745" s="4" t="inlineStr">
        <is>
          <t>Production Output</t>
        </is>
      </c>
      <c r="H745" s="4">
        <f>IFERROR(INDEX(Tbl_KPIMaster[Unit],MATCH($G745,Tbl_KPIMaster[KPI],0)),"")</f>
        <v/>
      </c>
      <c r="I745" s="5">
        <f>IFERROR(INDEX(Tbl_KPIMaster[Maximum Target],MATCH($G745,Tbl_KPIMaster[KPI],0)),"")</f>
        <v/>
      </c>
      <c r="J745" s="5" t="n">
        <v>898.9299999999999</v>
      </c>
      <c r="K745" s="4">
        <f>IFERROR(INDEX(Tbl_KPIMaster[Tolerance],MATCH($G745,Tbl_KPIMaster[KPI],0)),"")</f>
        <v/>
      </c>
      <c r="L745" s="4">
        <f>IFERROR(INDEX(Tbl_KPIMaster[Owner],MATCH($G745,Tbl_KPIMaster[KPI],0)),"")</f>
        <v/>
      </c>
      <c r="M745" s="6" t="inlineStr">
        <is>
          <t>Preventive check done</t>
        </is>
      </c>
      <c r="N745" s="4" t="inlineStr"/>
      <c r="O745" s="4" t="inlineStr">
        <is>
          <t>High</t>
        </is>
      </c>
      <c r="P745" s="4" t="inlineStr">
        <is>
          <t>Closed</t>
        </is>
      </c>
      <c r="Q745" s="5">
        <f>IFERROR(IF(INDEX(Tbl_KPIMaster[Direction],MATCH($G745,Tbl_KPIMaster[KPI],0))="Lower is Better",IF($J745=0,1,IF($I745=0,0,$I745/$J745)),IF($I745=0,1,$J745/$I745)),0)</f>
        <v/>
      </c>
      <c r="R745" s="4">
        <f>IF(OR($I745="",$J745=""),"",$J745-$I745)</f>
        <v/>
      </c>
      <c r="S745" s="4">
        <f>IFERROR(IF(INDEX(Tbl_KPIMaster[Direction],MATCH($G745,Tbl_KPIMaster[KPI],0))="Lower is Better",IF($J745&lt;=$I745,"Green",IF($J745&lt;=$I745+IF($I745=0,$K745,$I745*$K745),"Amber","Red")),IF($J745&gt;=$I745,"Green",IF($J745&gt;=$I745-IF($I745=0,$K745,$I745*$K745),"Amber","Red"))),"")</f>
        <v/>
      </c>
      <c r="T745" s="6" t="inlineStr"/>
    </row>
    <row r="746">
      <c r="A746" s="7" t="n">
        <v>46167</v>
      </c>
      <c r="B746" s="8">
        <f>IF($A746="","",TEXT($A746,"mmm-yyyy"))</f>
        <v/>
      </c>
      <c r="C746" s="8">
        <f>IF($A746="","","W"&amp;WEEKNUM($A746,2))</f>
        <v/>
      </c>
      <c r="D746" s="8">
        <f>IF($A746="","",TEXT($A746,"ddd"))</f>
        <v/>
      </c>
      <c r="E746" s="8" t="inlineStr">
        <is>
          <t>Production</t>
        </is>
      </c>
      <c r="F746" s="8">
        <f>IFERROR(INDEX(Tbl_KPIMaster[Category],MATCH($G746,Tbl_KPIMaster[KPI],0)),"")</f>
        <v/>
      </c>
      <c r="G746" s="8" t="inlineStr">
        <is>
          <t>OEE %</t>
        </is>
      </c>
      <c r="H746" s="8">
        <f>IFERROR(INDEX(Tbl_KPIMaster[Unit],MATCH($G746,Tbl_KPIMaster[KPI],0)),"")</f>
        <v/>
      </c>
      <c r="I746" s="9">
        <f>IFERROR(INDEX(Tbl_KPIMaster[Maximum Target],MATCH($G746,Tbl_KPIMaster[KPI],0)),"")</f>
        <v/>
      </c>
      <c r="J746" s="9" t="n">
        <v>0.7854</v>
      </c>
      <c r="K746" s="8">
        <f>IFERROR(INDEX(Tbl_KPIMaster[Tolerance],MATCH($G746,Tbl_KPIMaster[KPI],0)),"")</f>
        <v/>
      </c>
      <c r="L746" s="8">
        <f>IFERROR(INDEX(Tbl_KPIMaster[Owner],MATCH($G746,Tbl_KPIMaster[KPI],0)),"")</f>
        <v/>
      </c>
      <c r="M746" s="10" t="inlineStr">
        <is>
          <t>Line changeover impact</t>
        </is>
      </c>
      <c r="N746" s="8" t="inlineStr"/>
      <c r="O746" s="8" t="inlineStr">
        <is>
          <t>High</t>
        </is>
      </c>
      <c r="P746" s="8" t="inlineStr">
        <is>
          <t>In Progress</t>
        </is>
      </c>
      <c r="Q746" s="9">
        <f>IFERROR(IF(INDEX(Tbl_KPIMaster[Direction],MATCH($G746,Tbl_KPIMaster[KPI],0))="Lower is Better",IF($J746=0,1,IF($I746=0,0,$I746/$J746)),IF($I746=0,1,$J746/$I746)),0)</f>
        <v/>
      </c>
      <c r="R746" s="8">
        <f>IF(OR($I746="",$J746=""),"",$J746-$I746)</f>
        <v/>
      </c>
      <c r="S746" s="8">
        <f>IFERROR(IF(INDEX(Tbl_KPIMaster[Direction],MATCH($G746,Tbl_KPIMaster[KPI],0))="Lower is Better",IF($J746&lt;=$I746,"Green",IF($J746&lt;=$I746+IF($I746=0,$K746,$I746*$K746),"Amber","Red")),IF($J746&gt;=$I746,"Green",IF($J746&gt;=$I746-IF($I746=0,$K746,$I746*$K746),"Amber","Red"))),"")</f>
        <v/>
      </c>
      <c r="T746" s="10" t="inlineStr"/>
    </row>
    <row r="747">
      <c r="A747" s="3" t="n">
        <v>46167</v>
      </c>
      <c r="B747" s="4">
        <f>IF($A747="","",TEXT($A747,"mmm-yyyy"))</f>
        <v/>
      </c>
      <c r="C747" s="4">
        <f>IF($A747="","","W"&amp;WEEKNUM($A747,2))</f>
        <v/>
      </c>
      <c r="D747" s="4">
        <f>IF($A747="","",TEXT($A747,"ddd"))</f>
        <v/>
      </c>
      <c r="E747" s="4" t="inlineStr">
        <is>
          <t>Quality</t>
        </is>
      </c>
      <c r="F747" s="4">
        <f>IFERROR(INDEX(Tbl_KPIMaster[Category],MATCH($G747,Tbl_KPIMaster[KPI],0)),"")</f>
        <v/>
      </c>
      <c r="G747" s="4" t="inlineStr">
        <is>
          <t>Defect Rate %</t>
        </is>
      </c>
      <c r="H747" s="4">
        <f>IFERROR(INDEX(Tbl_KPIMaster[Unit],MATCH($G747,Tbl_KPIMaster[KPI],0)),"")</f>
        <v/>
      </c>
      <c r="I747" s="5">
        <f>IFERROR(INDEX(Tbl_KPIMaster[Maximum Target],MATCH($G747,Tbl_KPIMaster[KPI],0)),"")</f>
        <v/>
      </c>
      <c r="J747" s="5" t="n">
        <v>0.9745</v>
      </c>
      <c r="K747" s="4">
        <f>IFERROR(INDEX(Tbl_KPIMaster[Tolerance],MATCH($G747,Tbl_KPIMaster[KPI],0)),"")</f>
        <v/>
      </c>
      <c r="L747" s="4">
        <f>IFERROR(INDEX(Tbl_KPIMaster[Owner],MATCH($G747,Tbl_KPIMaster[KPI],0)),"")</f>
        <v/>
      </c>
      <c r="M747" s="6" t="inlineStr">
        <is>
          <t>New operator training effect</t>
        </is>
      </c>
      <c r="N747" s="4" t="inlineStr"/>
      <c r="O747" s="4" t="inlineStr">
        <is>
          <t>Medium</t>
        </is>
      </c>
      <c r="P747" s="4" t="inlineStr">
        <is>
          <t>Closed</t>
        </is>
      </c>
      <c r="Q747" s="5">
        <f>IFERROR(IF(INDEX(Tbl_KPIMaster[Direction],MATCH($G747,Tbl_KPIMaster[KPI],0))="Lower is Better",IF($J747=0,1,IF($I747=0,0,$I747/$J747)),IF($I747=0,1,$J747/$I747)),0)</f>
        <v/>
      </c>
      <c r="R747" s="4">
        <f>IF(OR($I747="",$J747=""),"",$J747-$I747)</f>
        <v/>
      </c>
      <c r="S747" s="4">
        <f>IFERROR(IF(INDEX(Tbl_KPIMaster[Direction],MATCH($G747,Tbl_KPIMaster[KPI],0))="Lower is Better",IF($J747&lt;=$I747,"Green",IF($J747&lt;=$I747+IF($I747=0,$K747,$I747*$K747),"Amber","Red")),IF($J747&gt;=$I747,"Green",IF($J747&gt;=$I747-IF($I747=0,$K747,$I747*$K747),"Amber","Red"))),"")</f>
        <v/>
      </c>
      <c r="T747" s="6" t="inlineStr"/>
    </row>
    <row r="748">
      <c r="A748" s="7" t="n">
        <v>46167</v>
      </c>
      <c r="B748" s="8">
        <f>IF($A748="","",TEXT($A748,"mmm-yyyy"))</f>
        <v/>
      </c>
      <c r="C748" s="8">
        <f>IF($A748="","","W"&amp;WEEKNUM($A748,2))</f>
        <v/>
      </c>
      <c r="D748" s="8">
        <f>IF($A748="","",TEXT($A748,"ddd"))</f>
        <v/>
      </c>
      <c r="E748" s="8" t="inlineStr">
        <is>
          <t>Quality</t>
        </is>
      </c>
      <c r="F748" s="8">
        <f>IFERROR(INDEX(Tbl_KPIMaster[Category],MATCH($G748,Tbl_KPIMaster[KPI],0)),"")</f>
        <v/>
      </c>
      <c r="G748" s="8" t="inlineStr">
        <is>
          <t>Customer Complaints</t>
        </is>
      </c>
      <c r="H748" s="8">
        <f>IFERROR(INDEX(Tbl_KPIMaster[Unit],MATCH($G748,Tbl_KPIMaster[KPI],0)),"")</f>
        <v/>
      </c>
      <c r="I748" s="9">
        <f>IFERROR(INDEX(Tbl_KPIMaster[Maximum Target],MATCH($G748,Tbl_KPIMaster[KPI],0)),"")</f>
        <v/>
      </c>
      <c r="J748" s="9" t="n">
        <v>1</v>
      </c>
      <c r="K748" s="8">
        <f>IFERROR(INDEX(Tbl_KPIMaster[Tolerance],MATCH($G748,Tbl_KPIMaster[KPI],0)),"")</f>
        <v/>
      </c>
      <c r="L748" s="8">
        <f>IFERROR(INDEX(Tbl_KPIMaster[Owner],MATCH($G748,Tbl_KPIMaster[KPI],0)),"")</f>
        <v/>
      </c>
      <c r="M748" s="10" t="inlineStr"/>
      <c r="N748" s="8" t="inlineStr"/>
      <c r="O748" s="8" t="inlineStr">
        <is>
          <t>Low</t>
        </is>
      </c>
      <c r="P748" s="8" t="inlineStr">
        <is>
          <t>Closed</t>
        </is>
      </c>
      <c r="Q748" s="9">
        <f>IFERROR(IF(INDEX(Tbl_KPIMaster[Direction],MATCH($G748,Tbl_KPIMaster[KPI],0))="Lower is Better",IF($J748=0,1,IF($I748=0,0,$I748/$J748)),IF($I748=0,1,$J748/$I748)),0)</f>
        <v/>
      </c>
      <c r="R748" s="8">
        <f>IF(OR($I748="",$J748=""),"",$J748-$I748)</f>
        <v/>
      </c>
      <c r="S748" s="8">
        <f>IFERROR(IF(INDEX(Tbl_KPIMaster[Direction],MATCH($G748,Tbl_KPIMaster[KPI],0))="Lower is Better",IF($J748&lt;=$I748,"Green",IF($J748&lt;=$I748+IF($I748=0,$K748,$I748*$K748),"Amber","Red")),IF($J748&gt;=$I748,"Green",IF($J748&gt;=$I748-IF($I748=0,$K748,$I748*$K748),"Amber","Red"))),"")</f>
        <v/>
      </c>
      <c r="T748" s="10" t="inlineStr"/>
    </row>
    <row r="749">
      <c r="A749" s="3" t="n">
        <v>46167</v>
      </c>
      <c r="B749" s="4">
        <f>IF($A749="","",TEXT($A749,"mmm-yyyy"))</f>
        <v/>
      </c>
      <c r="C749" s="4">
        <f>IF($A749="","","W"&amp;WEEKNUM($A749,2))</f>
        <v/>
      </c>
      <c r="D749" s="4">
        <f>IF($A749="","",TEXT($A749,"ddd"))</f>
        <v/>
      </c>
      <c r="E749" s="4" t="inlineStr">
        <is>
          <t>Maintenance</t>
        </is>
      </c>
      <c r="F749" s="4">
        <f>IFERROR(INDEX(Tbl_KPIMaster[Category],MATCH($G749,Tbl_KPIMaster[KPI],0)),"")</f>
        <v/>
      </c>
      <c r="G749" s="4" t="inlineStr">
        <is>
          <t>Unplanned Downtime</t>
        </is>
      </c>
      <c r="H749" s="4">
        <f>IFERROR(INDEX(Tbl_KPIMaster[Unit],MATCH($G749,Tbl_KPIMaster[KPI],0)),"")</f>
        <v/>
      </c>
      <c r="I749" s="5">
        <f>IFERROR(INDEX(Tbl_KPIMaster[Maximum Target],MATCH($G749,Tbl_KPIMaster[KPI],0)),"")</f>
        <v/>
      </c>
      <c r="J749" s="5" t="n">
        <v>0</v>
      </c>
      <c r="K749" s="4">
        <f>IFERROR(INDEX(Tbl_KPIMaster[Tolerance],MATCH($G749,Tbl_KPIMaster[KPI],0)),"")</f>
        <v/>
      </c>
      <c r="L749" s="4">
        <f>IFERROR(INDEX(Tbl_KPIMaster[Owner],MATCH($G749,Tbl_KPIMaster[KPI],0)),"")</f>
        <v/>
      </c>
      <c r="M749" s="6" t="inlineStr">
        <is>
          <t>Process improvement in progress</t>
        </is>
      </c>
      <c r="N749" s="4" t="inlineStr">
        <is>
          <t>Engineering support needed</t>
        </is>
      </c>
      <c r="O749" s="4" t="inlineStr">
        <is>
          <t>Low</t>
        </is>
      </c>
      <c r="P749" s="4" t="inlineStr">
        <is>
          <t>Closed</t>
        </is>
      </c>
      <c r="Q749" s="5">
        <f>IFERROR(IF(INDEX(Tbl_KPIMaster[Direction],MATCH($G749,Tbl_KPIMaster[KPI],0))="Lower is Better",IF($J749=0,1,IF($I749=0,0,$I749/$J749)),IF($I749=0,1,$J749/$I749)),0)</f>
        <v/>
      </c>
      <c r="R749" s="4">
        <f>IF(OR($I749="",$J749=""),"",$J749-$I749)</f>
        <v/>
      </c>
      <c r="S749" s="4">
        <f>IFERROR(IF(INDEX(Tbl_KPIMaster[Direction],MATCH($G749,Tbl_KPIMaster[KPI],0))="Lower is Better",IF($J749&lt;=$I749,"Green",IF($J749&lt;=$I749+IF($I749=0,$K749,$I749*$K749),"Amber","Red")),IF($J749&gt;=$I749,"Green",IF($J749&gt;=$I749-IF($I749=0,$K749,$I749*$K749),"Amber","Red"))),"")</f>
        <v/>
      </c>
      <c r="T749" s="6" t="inlineStr"/>
    </row>
    <row r="750">
      <c r="A750" s="7" t="n">
        <v>46167</v>
      </c>
      <c r="B750" s="8">
        <f>IF($A750="","",TEXT($A750,"mmm-yyyy"))</f>
        <v/>
      </c>
      <c r="C750" s="8">
        <f>IF($A750="","","W"&amp;WEEKNUM($A750,2))</f>
        <v/>
      </c>
      <c r="D750" s="8">
        <f>IF($A750="","",TEXT($A750,"ddd"))</f>
        <v/>
      </c>
      <c r="E750" s="8" t="inlineStr">
        <is>
          <t>Maintenance</t>
        </is>
      </c>
      <c r="F750" s="8">
        <f>IFERROR(INDEX(Tbl_KPIMaster[Category],MATCH($G750,Tbl_KPIMaster[KPI],0)),"")</f>
        <v/>
      </c>
      <c r="G750" s="8" t="inlineStr">
        <is>
          <t>PM Compliance %</t>
        </is>
      </c>
      <c r="H750" s="8">
        <f>IFERROR(INDEX(Tbl_KPIMaster[Unit],MATCH($G750,Tbl_KPIMaster[KPI],0)),"")</f>
        <v/>
      </c>
      <c r="I750" s="9">
        <f>IFERROR(INDEX(Tbl_KPIMaster[Maximum Target],MATCH($G750,Tbl_KPIMaster[KPI],0)),"")</f>
        <v/>
      </c>
      <c r="J750" s="9" t="n">
        <v>1.3317</v>
      </c>
      <c r="K750" s="8">
        <f>IFERROR(INDEX(Tbl_KPIMaster[Tolerance],MATCH($G750,Tbl_KPIMaster[KPI],0)),"")</f>
        <v/>
      </c>
      <c r="L750" s="8">
        <f>IFERROR(INDEX(Tbl_KPIMaster[Owner],MATCH($G750,Tbl_KPIMaster[KPI],0)),"")</f>
        <v/>
      </c>
      <c r="M750" s="10" t="inlineStr">
        <is>
          <t>Line changeover impact</t>
        </is>
      </c>
      <c r="N750" s="8" t="inlineStr"/>
      <c r="O750" s="8" t="inlineStr">
        <is>
          <t>Low</t>
        </is>
      </c>
      <c r="P750" s="8" t="inlineStr">
        <is>
          <t>Closed</t>
        </is>
      </c>
      <c r="Q750" s="9">
        <f>IFERROR(IF(INDEX(Tbl_KPIMaster[Direction],MATCH($G750,Tbl_KPIMaster[KPI],0))="Lower is Better",IF($J750=0,1,IF($I750=0,0,$I750/$J750)),IF($I750=0,1,$J750/$I750)),0)</f>
        <v/>
      </c>
      <c r="R750" s="8">
        <f>IF(OR($I750="",$J750=""),"",$J750-$I750)</f>
        <v/>
      </c>
      <c r="S750" s="8">
        <f>IFERROR(IF(INDEX(Tbl_KPIMaster[Direction],MATCH($G750,Tbl_KPIMaster[KPI],0))="Lower is Better",IF($J750&lt;=$I750,"Green",IF($J750&lt;=$I750+IF($I750=0,$K750,$I750*$K750),"Amber","Red")),IF($J750&gt;=$I750,"Green",IF($J750&gt;=$I750-IF($I750=0,$K750,$I750*$K750),"Amber","Red"))),"")</f>
        <v/>
      </c>
      <c r="T750" s="10" t="inlineStr"/>
    </row>
    <row r="751">
      <c r="A751" s="3" t="n">
        <v>46167</v>
      </c>
      <c r="B751" s="4">
        <f>IF($A751="","",TEXT($A751,"mmm-yyyy"))</f>
        <v/>
      </c>
      <c r="C751" s="4">
        <f>IF($A751="","","W"&amp;WEEKNUM($A751,2))</f>
        <v/>
      </c>
      <c r="D751" s="4">
        <f>IF($A751="","",TEXT($A751,"ddd"))</f>
        <v/>
      </c>
      <c r="E751" s="4" t="inlineStr">
        <is>
          <t>Utilities</t>
        </is>
      </c>
      <c r="F751" s="4">
        <f>IFERROR(INDEX(Tbl_KPIMaster[Category],MATCH($G751,Tbl_KPIMaster[KPI],0)),"")</f>
        <v/>
      </c>
      <c r="G751" s="4" t="inlineStr">
        <is>
          <t>Power Consumption</t>
        </is>
      </c>
      <c r="H751" s="4">
        <f>IFERROR(INDEX(Tbl_KPIMaster[Unit],MATCH($G751,Tbl_KPIMaster[KPI],0)),"")</f>
        <v/>
      </c>
      <c r="I751" s="5">
        <f>IFERROR(INDEX(Tbl_KPIMaster[Maximum Target],MATCH($G751,Tbl_KPIMaster[KPI],0)),"")</f>
        <v/>
      </c>
      <c r="J751" s="5" t="n">
        <v>4740.49</v>
      </c>
      <c r="K751" s="4">
        <f>IFERROR(INDEX(Tbl_KPIMaster[Tolerance],MATCH($G751,Tbl_KPIMaster[KPI],0)),"")</f>
        <v/>
      </c>
      <c r="L751" s="4">
        <f>IFERROR(INDEX(Tbl_KPIMaster[Owner],MATCH($G751,Tbl_KPIMaster[KPI],0)),"")</f>
        <v/>
      </c>
      <c r="M751" s="6" t="inlineStr">
        <is>
          <t>Vendor delay</t>
        </is>
      </c>
      <c r="N751" s="4" t="inlineStr">
        <is>
          <t>Engineering support needed</t>
        </is>
      </c>
      <c r="O751" s="4" t="inlineStr">
        <is>
          <t>Medium</t>
        </is>
      </c>
      <c r="P751" s="4" t="inlineStr">
        <is>
          <t>Open</t>
        </is>
      </c>
      <c r="Q751" s="5">
        <f>IFERROR(IF(INDEX(Tbl_KPIMaster[Direction],MATCH($G751,Tbl_KPIMaster[KPI],0))="Lower is Better",IF($J751=0,1,IF($I751=0,0,$I751/$J751)),IF($I751=0,1,$J751/$I751)),0)</f>
        <v/>
      </c>
      <c r="R751" s="4">
        <f>IF(OR($I751="",$J751=""),"",$J751-$I751)</f>
        <v/>
      </c>
      <c r="S751" s="4">
        <f>IFERROR(IF(INDEX(Tbl_KPIMaster[Direction],MATCH($G751,Tbl_KPIMaster[KPI],0))="Lower is Better",IF($J751&lt;=$I751,"Green",IF($J751&lt;=$I751+IF($I751=0,$K751,$I751*$K751),"Amber","Red")),IF($J751&gt;=$I751,"Green",IF($J751&gt;=$I751-IF($I751=0,$K751,$I751*$K751),"Amber","Red"))),"")</f>
        <v/>
      </c>
      <c r="T751" s="6" t="inlineStr"/>
    </row>
    <row r="752">
      <c r="A752" s="7" t="n">
        <v>46167</v>
      </c>
      <c r="B752" s="8">
        <f>IF($A752="","",TEXT($A752,"mmm-yyyy"))</f>
        <v/>
      </c>
      <c r="C752" s="8">
        <f>IF($A752="","","W"&amp;WEEKNUM($A752,2))</f>
        <v/>
      </c>
      <c r="D752" s="8">
        <f>IF($A752="","",TEXT($A752,"ddd"))</f>
        <v/>
      </c>
      <c r="E752" s="8" t="inlineStr">
        <is>
          <t>Utilities</t>
        </is>
      </c>
      <c r="F752" s="8">
        <f>IFERROR(INDEX(Tbl_KPIMaster[Category],MATCH($G752,Tbl_KPIMaster[KPI],0)),"")</f>
        <v/>
      </c>
      <c r="G752" s="8" t="inlineStr">
        <is>
          <t>Water Consumption</t>
        </is>
      </c>
      <c r="H752" s="8">
        <f>IFERROR(INDEX(Tbl_KPIMaster[Unit],MATCH($G752,Tbl_KPIMaster[KPI],0)),"")</f>
        <v/>
      </c>
      <c r="I752" s="9">
        <f>IFERROR(INDEX(Tbl_KPIMaster[Maximum Target],MATCH($G752,Tbl_KPIMaster[KPI],0)),"")</f>
        <v/>
      </c>
      <c r="J752" s="9" t="n">
        <v>45.66</v>
      </c>
      <c r="K752" s="8">
        <f>IFERROR(INDEX(Tbl_KPIMaster[Tolerance],MATCH($G752,Tbl_KPIMaster[KPI],0)),"")</f>
        <v/>
      </c>
      <c r="L752" s="8">
        <f>IFERROR(INDEX(Tbl_KPIMaster[Owner],MATCH($G752,Tbl_KPIMaster[KPI],0)),"")</f>
        <v/>
      </c>
      <c r="M752" s="10" t="inlineStr">
        <is>
          <t>Weather impact</t>
        </is>
      </c>
      <c r="N752" s="8" t="inlineStr">
        <is>
          <t>Management approval pending</t>
        </is>
      </c>
      <c r="O752" s="8" t="inlineStr">
        <is>
          <t>Low</t>
        </is>
      </c>
      <c r="P752" s="8" t="inlineStr">
        <is>
          <t>Closed</t>
        </is>
      </c>
      <c r="Q752" s="9">
        <f>IFERROR(IF(INDEX(Tbl_KPIMaster[Direction],MATCH($G752,Tbl_KPIMaster[KPI],0))="Lower is Better",IF($J752=0,1,IF($I752=0,0,$I752/$J752)),IF($I752=0,1,$J752/$I752)),0)</f>
        <v/>
      </c>
      <c r="R752" s="8">
        <f>IF(OR($I752="",$J752=""),"",$J752-$I752)</f>
        <v/>
      </c>
      <c r="S752" s="8">
        <f>IFERROR(IF(INDEX(Tbl_KPIMaster[Direction],MATCH($G752,Tbl_KPIMaster[KPI],0))="Lower is Better",IF($J752&lt;=$I752,"Green",IF($J752&lt;=$I752+IF($I752=0,$K752,$I752*$K752),"Amber","Red")),IF($J752&gt;=$I752,"Green",IF($J752&gt;=$I752-IF($I752=0,$K752,$I752*$K752),"Amber","Red"))),"")</f>
        <v/>
      </c>
      <c r="T752" s="10" t="inlineStr"/>
    </row>
    <row r="753">
      <c r="A753" s="3" t="n">
        <v>46167</v>
      </c>
      <c r="B753" s="4">
        <f>IF($A753="","",TEXT($A753,"mmm-yyyy"))</f>
        <v/>
      </c>
      <c r="C753" s="4">
        <f>IF($A753="","","W"&amp;WEEKNUM($A753,2))</f>
        <v/>
      </c>
      <c r="D753" s="4">
        <f>IF($A753="","",TEXT($A753,"ddd"))</f>
        <v/>
      </c>
      <c r="E753" s="4" t="inlineStr">
        <is>
          <t>Warehouse</t>
        </is>
      </c>
      <c r="F753" s="4">
        <f>IFERROR(INDEX(Tbl_KPIMaster[Category],MATCH($G753,Tbl_KPIMaster[KPI],0)),"")</f>
        <v/>
      </c>
      <c r="G753" s="4" t="inlineStr">
        <is>
          <t>On-Time Dispatch %</t>
        </is>
      </c>
      <c r="H753" s="4">
        <f>IFERROR(INDEX(Tbl_KPIMaster[Unit],MATCH($G753,Tbl_KPIMaster[KPI],0)),"")</f>
        <v/>
      </c>
      <c r="I753" s="5">
        <f>IFERROR(INDEX(Tbl_KPIMaster[Maximum Target],MATCH($G753,Tbl_KPIMaster[KPI],0)),"")</f>
        <v/>
      </c>
      <c r="J753" s="5" t="n">
        <v>1.0424</v>
      </c>
      <c r="K753" s="4">
        <f>IFERROR(INDEX(Tbl_KPIMaster[Tolerance],MATCH($G753,Tbl_KPIMaster[KPI],0)),"")</f>
        <v/>
      </c>
      <c r="L753" s="4">
        <f>IFERROR(INDEX(Tbl_KPIMaster[Owner],MATCH($G753,Tbl_KPIMaster[KPI],0)),"")</f>
        <v/>
      </c>
      <c r="M753" s="6" t="inlineStr">
        <is>
          <t>Line changeover impact</t>
        </is>
      </c>
      <c r="N753" s="4" t="inlineStr">
        <is>
          <t>Engineering support needed</t>
        </is>
      </c>
      <c r="O753" s="4" t="inlineStr">
        <is>
          <t>Low</t>
        </is>
      </c>
      <c r="P753" s="4" t="inlineStr">
        <is>
          <t>Open</t>
        </is>
      </c>
      <c r="Q753" s="5">
        <f>IFERROR(IF(INDEX(Tbl_KPIMaster[Direction],MATCH($G753,Tbl_KPIMaster[KPI],0))="Lower is Better",IF($J753=0,1,IF($I753=0,0,$I753/$J753)),IF($I753=0,1,$J753/$I753)),0)</f>
        <v/>
      </c>
      <c r="R753" s="4">
        <f>IF(OR($I753="",$J753=""),"",$J753-$I753)</f>
        <v/>
      </c>
      <c r="S753" s="4">
        <f>IFERROR(IF(INDEX(Tbl_KPIMaster[Direction],MATCH($G753,Tbl_KPIMaster[KPI],0))="Lower is Better",IF($J753&lt;=$I753,"Green",IF($J753&lt;=$I753+IF($I753=0,$K753,$I753*$K753),"Amber","Red")),IF($J753&gt;=$I753,"Green",IF($J753&gt;=$I753-IF($I753=0,$K753,$I753*$K753),"Amber","Red"))),"")</f>
        <v/>
      </c>
      <c r="T753" s="6" t="inlineStr"/>
    </row>
    <row r="754">
      <c r="A754" s="7" t="n">
        <v>46167</v>
      </c>
      <c r="B754" s="8">
        <f>IF($A754="","",TEXT($A754,"mmm-yyyy"))</f>
        <v/>
      </c>
      <c r="C754" s="8">
        <f>IF($A754="","","W"&amp;WEEKNUM($A754,2))</f>
        <v/>
      </c>
      <c r="D754" s="8">
        <f>IF($A754="","",TEXT($A754,"ddd"))</f>
        <v/>
      </c>
      <c r="E754" s="8" t="inlineStr">
        <is>
          <t>Warehouse</t>
        </is>
      </c>
      <c r="F754" s="8">
        <f>IFERROR(INDEX(Tbl_KPIMaster[Category],MATCH($G754,Tbl_KPIMaster[KPI],0)),"")</f>
        <v/>
      </c>
      <c r="G754" s="8" t="inlineStr">
        <is>
          <t>Inventory Accuracy %</t>
        </is>
      </c>
      <c r="H754" s="8">
        <f>IFERROR(INDEX(Tbl_KPIMaster[Unit],MATCH($G754,Tbl_KPIMaster[KPI],0)),"")</f>
        <v/>
      </c>
      <c r="I754" s="9">
        <f>IFERROR(INDEX(Tbl_KPIMaster[Maximum Target],MATCH($G754,Tbl_KPIMaster[KPI],0)),"")</f>
        <v/>
      </c>
      <c r="J754" s="9" t="n">
        <v>0.9609</v>
      </c>
      <c r="K754" s="8">
        <f>IFERROR(INDEX(Tbl_KPIMaster[Tolerance],MATCH($G754,Tbl_KPIMaster[KPI],0)),"")</f>
        <v/>
      </c>
      <c r="L754" s="8">
        <f>IFERROR(INDEX(Tbl_KPIMaster[Owner],MATCH($G754,Tbl_KPIMaster[KPI],0)),"")</f>
        <v/>
      </c>
      <c r="M754" s="10" t="inlineStr">
        <is>
          <t>Preventive check done</t>
        </is>
      </c>
      <c r="N754" s="8" t="inlineStr">
        <is>
          <t>Management approval pending</t>
        </is>
      </c>
      <c r="O754" s="8" t="inlineStr">
        <is>
          <t>High</t>
        </is>
      </c>
      <c r="P754" s="8" t="inlineStr">
        <is>
          <t>Closed</t>
        </is>
      </c>
      <c r="Q754" s="9">
        <f>IFERROR(IF(INDEX(Tbl_KPIMaster[Direction],MATCH($G754,Tbl_KPIMaster[KPI],0))="Lower is Better",IF($J754=0,1,IF($I754=0,0,$I754/$J754)),IF($I754=0,1,$J754/$I754)),0)</f>
        <v/>
      </c>
      <c r="R754" s="8">
        <f>IF(OR($I754="",$J754=""),"",$J754-$I754)</f>
        <v/>
      </c>
      <c r="S754" s="8">
        <f>IFERROR(IF(INDEX(Tbl_KPIMaster[Direction],MATCH($G754,Tbl_KPIMaster[KPI],0))="Lower is Better",IF($J754&lt;=$I754,"Green",IF($J754&lt;=$I754+IF($I754=0,$K754,$I754*$K754),"Amber","Red")),IF($J754&gt;=$I754,"Green",IF($J754&gt;=$I754-IF($I754=0,$K754,$I754*$K754),"Amber","Red"))),"")</f>
        <v/>
      </c>
      <c r="T754" s="10" t="inlineStr"/>
    </row>
    <row r="755">
      <c r="A755" s="3" t="n">
        <v>46167</v>
      </c>
      <c r="B755" s="4">
        <f>IF($A755="","",TEXT($A755,"mmm-yyyy"))</f>
        <v/>
      </c>
      <c r="C755" s="4">
        <f>IF($A755="","","W"&amp;WEEKNUM($A755,2))</f>
        <v/>
      </c>
      <c r="D755" s="4">
        <f>IF($A755="","",TEXT($A755,"ddd"))</f>
        <v/>
      </c>
      <c r="E755" s="4" t="inlineStr">
        <is>
          <t>HR</t>
        </is>
      </c>
      <c r="F755" s="4">
        <f>IFERROR(INDEX(Tbl_KPIMaster[Category],MATCH($G755,Tbl_KPIMaster[KPI],0)),"")</f>
        <v/>
      </c>
      <c r="G755" s="4" t="inlineStr">
        <is>
          <t>Absenteeism %</t>
        </is>
      </c>
      <c r="H755" s="4">
        <f>IFERROR(INDEX(Tbl_KPIMaster[Unit],MATCH($G755,Tbl_KPIMaster[KPI],0)),"")</f>
        <v/>
      </c>
      <c r="I755" s="5">
        <f>IFERROR(INDEX(Tbl_KPIMaster[Maximum Target],MATCH($G755,Tbl_KPIMaster[KPI],0)),"")</f>
        <v/>
      </c>
      <c r="J755" s="5" t="n">
        <v>0.1821</v>
      </c>
      <c r="K755" s="4">
        <f>IFERROR(INDEX(Tbl_KPIMaster[Tolerance],MATCH($G755,Tbl_KPIMaster[KPI],0)),"")</f>
        <v/>
      </c>
      <c r="L755" s="4">
        <f>IFERROR(INDEX(Tbl_KPIMaster[Owner],MATCH($G755,Tbl_KPIMaster[KPI],0)),"")</f>
        <v/>
      </c>
      <c r="M755" s="6" t="inlineStr">
        <is>
          <t>Weather impact</t>
        </is>
      </c>
      <c r="N755" s="4" t="inlineStr">
        <is>
          <t>Engineering support needed</t>
        </is>
      </c>
      <c r="O755" s="4" t="inlineStr">
        <is>
          <t>Low</t>
        </is>
      </c>
      <c r="P755" s="4" t="inlineStr">
        <is>
          <t>In Progress</t>
        </is>
      </c>
      <c r="Q755" s="5">
        <f>IFERROR(IF(INDEX(Tbl_KPIMaster[Direction],MATCH($G755,Tbl_KPIMaster[KPI],0))="Lower is Better",IF($J755=0,1,IF($I755=0,0,$I755/$J755)),IF($I755=0,1,$J755/$I755)),0)</f>
        <v/>
      </c>
      <c r="R755" s="4">
        <f>IF(OR($I755="",$J755=""),"",$J755-$I755)</f>
        <v/>
      </c>
      <c r="S755" s="4">
        <f>IFERROR(IF(INDEX(Tbl_KPIMaster[Direction],MATCH($G755,Tbl_KPIMaster[KPI],0))="Lower is Better",IF($J755&lt;=$I755,"Green",IF($J755&lt;=$I755+IF($I755=0,$K755,$I755*$K755),"Amber","Red")),IF($J755&gt;=$I755,"Green",IF($J755&gt;=$I755-IF($I755=0,$K755,$I755*$K755),"Amber","Red"))),"")</f>
        <v/>
      </c>
      <c r="T755" s="6" t="inlineStr"/>
    </row>
    <row r="756">
      <c r="A756" s="7" t="n">
        <v>46167</v>
      </c>
      <c r="B756" s="8">
        <f>IF($A756="","",TEXT($A756,"mmm-yyyy"))</f>
        <v/>
      </c>
      <c r="C756" s="8">
        <f>IF($A756="","","W"&amp;WEEKNUM($A756,2))</f>
        <v/>
      </c>
      <c r="D756" s="8">
        <f>IF($A756="","",TEXT($A756,"ddd"))</f>
        <v/>
      </c>
      <c r="E756" s="8" t="inlineStr">
        <is>
          <t>HR</t>
        </is>
      </c>
      <c r="F756" s="8">
        <f>IFERROR(INDEX(Tbl_KPIMaster[Category],MATCH($G756,Tbl_KPIMaster[KPI],0)),"")</f>
        <v/>
      </c>
      <c r="G756" s="8" t="inlineStr">
        <is>
          <t>Training Hours</t>
        </is>
      </c>
      <c r="H756" s="8">
        <f>IFERROR(INDEX(Tbl_KPIMaster[Unit],MATCH($G756,Tbl_KPIMaster[KPI],0)),"")</f>
        <v/>
      </c>
      <c r="I756" s="9">
        <f>IFERROR(INDEX(Tbl_KPIMaster[Maximum Target],MATCH($G756,Tbl_KPIMaster[KPI],0)),"")</f>
        <v/>
      </c>
      <c r="J756" s="9" t="n">
        <v>2.02</v>
      </c>
      <c r="K756" s="8">
        <f>IFERROR(INDEX(Tbl_KPIMaster[Tolerance],MATCH($G756,Tbl_KPIMaster[KPI],0)),"")</f>
        <v/>
      </c>
      <c r="L756" s="8">
        <f>IFERROR(INDEX(Tbl_KPIMaster[Owner],MATCH($G756,Tbl_KPIMaster[KPI],0)),"")</f>
        <v/>
      </c>
      <c r="M756" s="10" t="inlineStr">
        <is>
          <t>Manpower shortage</t>
        </is>
      </c>
      <c r="N756" s="8" t="inlineStr"/>
      <c r="O756" s="8" t="inlineStr">
        <is>
          <t>High</t>
        </is>
      </c>
      <c r="P756" s="8" t="inlineStr">
        <is>
          <t>In Progress</t>
        </is>
      </c>
      <c r="Q756" s="9">
        <f>IFERROR(IF(INDEX(Tbl_KPIMaster[Direction],MATCH($G756,Tbl_KPIMaster[KPI],0))="Lower is Better",IF($J756=0,1,IF($I756=0,0,$I756/$J756)),IF($I756=0,1,$J756/$I756)),0)</f>
        <v/>
      </c>
      <c r="R756" s="8">
        <f>IF(OR($I756="",$J756=""),"",$J756-$I756)</f>
        <v/>
      </c>
      <c r="S756" s="8">
        <f>IFERROR(IF(INDEX(Tbl_KPIMaster[Direction],MATCH($G756,Tbl_KPIMaster[KPI],0))="Lower is Better",IF($J756&lt;=$I756,"Green",IF($J756&lt;=$I756+IF($I756=0,$K756,$I756*$K756),"Amber","Red")),IF($J756&gt;=$I756,"Green",IF($J756&gt;=$I756-IF($I756=0,$K756,$I756*$K756),"Amber","Red"))),"")</f>
        <v/>
      </c>
      <c r="T756" s="10" t="inlineStr"/>
    </row>
    <row r="757">
      <c r="A757" s="3" t="n">
        <v>46167</v>
      </c>
      <c r="B757" s="4">
        <f>IF($A757="","",TEXT($A757,"mmm-yyyy"))</f>
        <v/>
      </c>
      <c r="C757" s="4">
        <f>IF($A757="","","W"&amp;WEEKNUM($A757,2))</f>
        <v/>
      </c>
      <c r="D757" s="4">
        <f>IF($A757="","",TEXT($A757,"ddd"))</f>
        <v/>
      </c>
      <c r="E757" s="4" t="inlineStr">
        <is>
          <t>Engineering</t>
        </is>
      </c>
      <c r="F757" s="4">
        <f>IFERROR(INDEX(Tbl_KPIMaster[Category],MATCH($G757,Tbl_KPIMaster[KPI],0)),"")</f>
        <v/>
      </c>
      <c r="G757" s="4" t="inlineStr">
        <is>
          <t>Project Milestone Adherence %</t>
        </is>
      </c>
      <c r="H757" s="4">
        <f>IFERROR(INDEX(Tbl_KPIMaster[Unit],MATCH($G757,Tbl_KPIMaster[KPI],0)),"")</f>
        <v/>
      </c>
      <c r="I757" s="5">
        <f>IFERROR(INDEX(Tbl_KPIMaster[Maximum Target],MATCH($G757,Tbl_KPIMaster[KPI],0)),"")</f>
        <v/>
      </c>
      <c r="J757" s="5" t="n">
        <v>0.8406</v>
      </c>
      <c r="K757" s="4">
        <f>IFERROR(INDEX(Tbl_KPIMaster[Tolerance],MATCH($G757,Tbl_KPIMaster[KPI],0)),"")</f>
        <v/>
      </c>
      <c r="L757" s="4">
        <f>IFERROR(INDEX(Tbl_KPIMaster[Owner],MATCH($G757,Tbl_KPIMaster[KPI],0)),"")</f>
        <v/>
      </c>
      <c r="M757" s="6" t="inlineStr"/>
      <c r="N757" s="4" t="inlineStr"/>
      <c r="O757" s="4" t="inlineStr">
        <is>
          <t>Low</t>
        </is>
      </c>
      <c r="P757" s="4" t="inlineStr">
        <is>
          <t>In Progress</t>
        </is>
      </c>
      <c r="Q757" s="5">
        <f>IFERROR(IF(INDEX(Tbl_KPIMaster[Direction],MATCH($G757,Tbl_KPIMaster[KPI],0))="Lower is Better",IF($J757=0,1,IF($I757=0,0,$I757/$J757)),IF($I757=0,1,$J757/$I757)),0)</f>
        <v/>
      </c>
      <c r="R757" s="4">
        <f>IF(OR($I757="",$J757=""),"",$J757-$I757)</f>
        <v/>
      </c>
      <c r="S757" s="4">
        <f>IFERROR(IF(INDEX(Tbl_KPIMaster[Direction],MATCH($G757,Tbl_KPIMaster[KPI],0))="Lower is Better",IF($J757&lt;=$I757,"Green",IF($J757&lt;=$I757+IF($I757=0,$K757,$I757*$K757),"Amber","Red")),IF($J757&gt;=$I757,"Green",IF($J757&gt;=$I757-IF($I757=0,$K757,$I757*$K757),"Amber","Red"))),"")</f>
        <v/>
      </c>
      <c r="T757" s="6" t="inlineStr"/>
    </row>
    <row r="758">
      <c r="A758" s="7" t="n">
        <v>46167</v>
      </c>
      <c r="B758" s="8">
        <f>IF($A758="","",TEXT($A758,"mmm-yyyy"))</f>
        <v/>
      </c>
      <c r="C758" s="8">
        <f>IF($A758="","","W"&amp;WEEKNUM($A758,2))</f>
        <v/>
      </c>
      <c r="D758" s="8">
        <f>IF($A758="","",TEXT($A758,"ddd"))</f>
        <v/>
      </c>
      <c r="E758" s="8" t="inlineStr">
        <is>
          <t>Engineering</t>
        </is>
      </c>
      <c r="F758" s="8">
        <f>IFERROR(INDEX(Tbl_KPIMaster[Category],MATCH($G758,Tbl_KPIMaster[KPI],0)),"")</f>
        <v/>
      </c>
      <c r="G758" s="8" t="inlineStr">
        <is>
          <t>Breakdown Resolution Time</t>
        </is>
      </c>
      <c r="H758" s="8">
        <f>IFERROR(INDEX(Tbl_KPIMaster[Unit],MATCH($G758,Tbl_KPIMaster[KPI],0)),"")</f>
        <v/>
      </c>
      <c r="I758" s="9">
        <f>IFERROR(INDEX(Tbl_KPIMaster[Maximum Target],MATCH($G758,Tbl_KPIMaster[KPI],0)),"")</f>
        <v/>
      </c>
      <c r="J758" s="9" t="n">
        <v>0.43</v>
      </c>
      <c r="K758" s="8">
        <f>IFERROR(INDEX(Tbl_KPIMaster[Tolerance],MATCH($G758,Tbl_KPIMaster[KPI],0)),"")</f>
        <v/>
      </c>
      <c r="L758" s="8">
        <f>IFERROR(INDEX(Tbl_KPIMaster[Owner],MATCH($G758,Tbl_KPIMaster[KPI],0)),"")</f>
        <v/>
      </c>
      <c r="M758" s="10" t="inlineStr">
        <is>
          <t>New operator training effect</t>
        </is>
      </c>
      <c r="N758" s="8" t="inlineStr">
        <is>
          <t>Management approval pending</t>
        </is>
      </c>
      <c r="O758" s="8" t="inlineStr">
        <is>
          <t>Low</t>
        </is>
      </c>
      <c r="P758" s="8" t="inlineStr">
        <is>
          <t>Closed</t>
        </is>
      </c>
      <c r="Q758" s="9">
        <f>IFERROR(IF(INDEX(Tbl_KPIMaster[Direction],MATCH($G758,Tbl_KPIMaster[KPI],0))="Lower is Better",IF($J758=0,1,IF($I758=0,0,$I758/$J758)),IF($I758=0,1,$J758/$I758)),0)</f>
        <v/>
      </c>
      <c r="R758" s="8">
        <f>IF(OR($I758="",$J758=""),"",$J758-$I758)</f>
        <v/>
      </c>
      <c r="S758" s="8">
        <f>IFERROR(IF(INDEX(Tbl_KPIMaster[Direction],MATCH($G758,Tbl_KPIMaster[KPI],0))="Lower is Better",IF($J758&lt;=$I758,"Green",IF($J758&lt;=$I758+IF($I758=0,$K758,$I758*$K758),"Amber","Red")),IF($J758&gt;=$I758,"Green",IF($J758&gt;=$I758-IF($I758=0,$K758,$I758*$K758),"Amber","Red"))),"")</f>
        <v/>
      </c>
      <c r="T758" s="10" t="inlineStr"/>
    </row>
    <row r="759">
      <c r="A759" s="3" t="n">
        <v>46167</v>
      </c>
      <c r="B759" s="4">
        <f>IF($A759="","",TEXT($A759,"mmm-yyyy"))</f>
        <v/>
      </c>
      <c r="C759" s="4">
        <f>IF($A759="","","W"&amp;WEEKNUM($A759,2))</f>
        <v/>
      </c>
      <c r="D759" s="4">
        <f>IF($A759="","",TEXT($A759,"ddd"))</f>
        <v/>
      </c>
      <c r="E759" s="4" t="inlineStr">
        <is>
          <t>Cost</t>
        </is>
      </c>
      <c r="F759" s="4">
        <f>IFERROR(INDEX(Tbl_KPIMaster[Category],MATCH($G759,Tbl_KPIMaster[KPI],0)),"")</f>
        <v/>
      </c>
      <c r="G759" s="4" t="inlineStr">
        <is>
          <t>Cost per Unit</t>
        </is>
      </c>
      <c r="H759" s="4">
        <f>IFERROR(INDEX(Tbl_KPIMaster[Unit],MATCH($G759,Tbl_KPIMaster[KPI],0)),"")</f>
        <v/>
      </c>
      <c r="I759" s="5">
        <f>IFERROR(INDEX(Tbl_KPIMaster[Maximum Target],MATCH($G759,Tbl_KPIMaster[KPI],0)),"")</f>
        <v/>
      </c>
      <c r="J759" s="5" t="n">
        <v>44.39</v>
      </c>
      <c r="K759" s="4">
        <f>IFERROR(INDEX(Tbl_KPIMaster[Tolerance],MATCH($G759,Tbl_KPIMaster[KPI],0)),"")</f>
        <v/>
      </c>
      <c r="L759" s="4">
        <f>IFERROR(INDEX(Tbl_KPIMaster[Owner],MATCH($G759,Tbl_KPIMaster[KPI],0)),"")</f>
        <v/>
      </c>
      <c r="M759" s="6" t="inlineStr"/>
      <c r="N759" s="4" t="inlineStr">
        <is>
          <t>Management approval pending</t>
        </is>
      </c>
      <c r="O759" s="4" t="inlineStr">
        <is>
          <t>Low</t>
        </is>
      </c>
      <c r="P759" s="4" t="inlineStr">
        <is>
          <t>Closed</t>
        </is>
      </c>
      <c r="Q759" s="5">
        <f>IFERROR(IF(INDEX(Tbl_KPIMaster[Direction],MATCH($G759,Tbl_KPIMaster[KPI],0))="Lower is Better",IF($J759=0,1,IF($I759=0,0,$I759/$J759)),IF($I759=0,1,$J759/$I759)),0)</f>
        <v/>
      </c>
      <c r="R759" s="4">
        <f>IF(OR($I759="",$J759=""),"",$J759-$I759)</f>
        <v/>
      </c>
      <c r="S759" s="4">
        <f>IFERROR(IF(INDEX(Tbl_KPIMaster[Direction],MATCH($G759,Tbl_KPIMaster[KPI],0))="Lower is Better",IF($J759&lt;=$I759,"Green",IF($J759&lt;=$I759+IF($I759=0,$K759,$I759*$K759),"Amber","Red")),IF($J759&gt;=$I759,"Green",IF($J759&gt;=$I759-IF($I759=0,$K759,$I759*$K759),"Amber","Red"))),"")</f>
        <v/>
      </c>
      <c r="T759" s="6" t="inlineStr"/>
    </row>
    <row r="760">
      <c r="A760" s="7" t="n">
        <v>46167</v>
      </c>
      <c r="B760" s="8">
        <f>IF($A760="","",TEXT($A760,"mmm-yyyy"))</f>
        <v/>
      </c>
      <c r="C760" s="8">
        <f>IF($A760="","","W"&amp;WEEKNUM($A760,2))</f>
        <v/>
      </c>
      <c r="D760" s="8">
        <f>IF($A760="","",TEXT($A760,"ddd"))</f>
        <v/>
      </c>
      <c r="E760" s="8" t="inlineStr">
        <is>
          <t>Cost</t>
        </is>
      </c>
      <c r="F760" s="8">
        <f>IFERROR(INDEX(Tbl_KPIMaster[Category],MATCH($G760,Tbl_KPIMaster[KPI],0)),"")</f>
        <v/>
      </c>
      <c r="G760" s="8" t="inlineStr">
        <is>
          <t>Budget Variance %</t>
        </is>
      </c>
      <c r="H760" s="8">
        <f>IFERROR(INDEX(Tbl_KPIMaster[Unit],MATCH($G760,Tbl_KPIMaster[KPI],0)),"")</f>
        <v/>
      </c>
      <c r="I760" s="9">
        <f>IFERROR(INDEX(Tbl_KPIMaster[Maximum Target],MATCH($G760,Tbl_KPIMaster[KPI],0)),"")</f>
        <v/>
      </c>
      <c r="J760" s="9" t="n">
        <v>0</v>
      </c>
      <c r="K760" s="8">
        <f>IFERROR(INDEX(Tbl_KPIMaster[Tolerance],MATCH($G760,Tbl_KPIMaster[KPI],0)),"")</f>
        <v/>
      </c>
      <c r="L760" s="8">
        <f>IFERROR(INDEX(Tbl_KPIMaster[Owner],MATCH($G760,Tbl_KPIMaster[KPI],0)),"")</f>
        <v/>
      </c>
      <c r="M760" s="10" t="inlineStr">
        <is>
          <t>Process improvement in progress</t>
        </is>
      </c>
      <c r="N760" s="8" t="inlineStr">
        <is>
          <t>Management approval pending</t>
        </is>
      </c>
      <c r="O760" s="8" t="inlineStr">
        <is>
          <t>Medium</t>
        </is>
      </c>
      <c r="P760" s="8" t="inlineStr">
        <is>
          <t>Closed</t>
        </is>
      </c>
      <c r="Q760" s="9">
        <f>IFERROR(IF(INDEX(Tbl_KPIMaster[Direction],MATCH($G760,Tbl_KPIMaster[KPI],0))="Lower is Better",IF($J760=0,1,IF($I760=0,0,$I760/$J760)),IF($I760=0,1,$J760/$I760)),0)</f>
        <v/>
      </c>
      <c r="R760" s="8">
        <f>IF(OR($I760="",$J760=""),"",$J760-$I760)</f>
        <v/>
      </c>
      <c r="S760" s="8">
        <f>IFERROR(IF(INDEX(Tbl_KPIMaster[Direction],MATCH($G760,Tbl_KPIMaster[KPI],0))="Lower is Better",IF($J760&lt;=$I760,"Green",IF($J760&lt;=$I760+IF($I760=0,$K760,$I760*$K760),"Amber","Red")),IF($J760&gt;=$I760,"Green",IF($J760&gt;=$I760-IF($I760=0,$K760,$I760*$K760),"Amber","Red"))),"")</f>
        <v/>
      </c>
      <c r="T760" s="10" t="inlineStr"/>
    </row>
    <row r="761">
      <c r="A761" s="3" t="n">
        <v>46167</v>
      </c>
      <c r="B761" s="4">
        <f>IF($A761="","",TEXT($A761,"mmm-yyyy"))</f>
        <v/>
      </c>
      <c r="C761" s="4">
        <f>IF($A761="","","W"&amp;WEEKNUM($A761,2))</f>
        <v/>
      </c>
      <c r="D761" s="4">
        <f>IF($A761="","",TEXT($A761,"ddd"))</f>
        <v/>
      </c>
      <c r="E761" s="4" t="inlineStr">
        <is>
          <t>Energy</t>
        </is>
      </c>
      <c r="F761" s="4">
        <f>IFERROR(INDEX(Tbl_KPIMaster[Category],MATCH($G761,Tbl_KPIMaster[KPI],0)),"")</f>
        <v/>
      </c>
      <c r="G761" s="4" t="inlineStr">
        <is>
          <t>Energy Intensity (kWh/unit)</t>
        </is>
      </c>
      <c r="H761" s="4">
        <f>IFERROR(INDEX(Tbl_KPIMaster[Unit],MATCH($G761,Tbl_KPIMaster[KPI],0)),"")</f>
        <v/>
      </c>
      <c r="I761" s="5">
        <f>IFERROR(INDEX(Tbl_KPIMaster[Maximum Target],MATCH($G761,Tbl_KPIMaster[KPI],0)),"")</f>
        <v/>
      </c>
      <c r="J761" s="5" t="n">
        <v>3.52</v>
      </c>
      <c r="K761" s="4">
        <f>IFERROR(INDEX(Tbl_KPIMaster[Tolerance],MATCH($G761,Tbl_KPIMaster[KPI],0)),"")</f>
        <v/>
      </c>
      <c r="L761" s="4">
        <f>IFERROR(INDEX(Tbl_KPIMaster[Owner],MATCH($G761,Tbl_KPIMaster[KPI],0)),"")</f>
        <v/>
      </c>
      <c r="M761" s="6" t="inlineStr">
        <is>
          <t>Vendor delay</t>
        </is>
      </c>
      <c r="N761" s="4" t="inlineStr"/>
      <c r="O761" s="4" t="inlineStr">
        <is>
          <t>Low</t>
        </is>
      </c>
      <c r="P761" s="4" t="inlineStr">
        <is>
          <t>Closed</t>
        </is>
      </c>
      <c r="Q761" s="5">
        <f>IFERROR(IF(INDEX(Tbl_KPIMaster[Direction],MATCH($G761,Tbl_KPIMaster[KPI],0))="Lower is Better",IF($J761=0,1,IF($I761=0,0,$I761/$J761)),IF($I761=0,1,$J761/$I761)),0)</f>
        <v/>
      </c>
      <c r="R761" s="4">
        <f>IF(OR($I761="",$J761=""),"",$J761-$I761)</f>
        <v/>
      </c>
      <c r="S761" s="4">
        <f>IFERROR(IF(INDEX(Tbl_KPIMaster[Direction],MATCH($G761,Tbl_KPIMaster[KPI],0))="Lower is Better",IF($J761&lt;=$I761,"Green",IF($J761&lt;=$I761+IF($I761=0,$K761,$I761*$K761),"Amber","Red")),IF($J761&gt;=$I761,"Green",IF($J761&gt;=$I761-IF($I761=0,$K761,$I761*$K761),"Amber","Red"))),"")</f>
        <v/>
      </c>
      <c r="T761" s="6" t="inlineStr"/>
    </row>
    <row r="762">
      <c r="A762" s="7" t="n">
        <v>46167</v>
      </c>
      <c r="B762" s="8">
        <f>IF($A762="","",TEXT($A762,"mmm-yyyy"))</f>
        <v/>
      </c>
      <c r="C762" s="8">
        <f>IF($A762="","","W"&amp;WEEKNUM($A762,2))</f>
        <v/>
      </c>
      <c r="D762" s="8">
        <f>IF($A762="","",TEXT($A762,"ddd"))</f>
        <v/>
      </c>
      <c r="E762" s="8" t="inlineStr">
        <is>
          <t>Energy</t>
        </is>
      </c>
      <c r="F762" s="8">
        <f>IFERROR(INDEX(Tbl_KPIMaster[Category],MATCH($G762,Tbl_KPIMaster[KPI],0)),"")</f>
        <v/>
      </c>
      <c r="G762" s="8" t="inlineStr">
        <is>
          <t>Renewable Energy Share %</t>
        </is>
      </c>
      <c r="H762" s="8">
        <f>IFERROR(INDEX(Tbl_KPIMaster[Unit],MATCH($G762,Tbl_KPIMaster[KPI],0)),"")</f>
        <v/>
      </c>
      <c r="I762" s="9">
        <f>IFERROR(INDEX(Tbl_KPIMaster[Maximum Target],MATCH($G762,Tbl_KPIMaster[KPI],0)),"")</f>
        <v/>
      </c>
      <c r="J762" s="9" t="n">
        <v>0.2444</v>
      </c>
      <c r="K762" s="8">
        <f>IFERROR(INDEX(Tbl_KPIMaster[Tolerance],MATCH($G762,Tbl_KPIMaster[KPI],0)),"")</f>
        <v/>
      </c>
      <c r="L762" s="8">
        <f>IFERROR(INDEX(Tbl_KPIMaster[Owner],MATCH($G762,Tbl_KPIMaster[KPI],0)),"")</f>
        <v/>
      </c>
      <c r="M762" s="10" t="inlineStr">
        <is>
          <t>Manpower shortage</t>
        </is>
      </c>
      <c r="N762" s="8" t="inlineStr">
        <is>
          <t>Procurement follow-up</t>
        </is>
      </c>
      <c r="O762" s="8" t="inlineStr">
        <is>
          <t>High</t>
        </is>
      </c>
      <c r="P762" s="8" t="inlineStr">
        <is>
          <t>Closed</t>
        </is>
      </c>
      <c r="Q762" s="9">
        <f>IFERROR(IF(INDEX(Tbl_KPIMaster[Direction],MATCH($G762,Tbl_KPIMaster[KPI],0))="Lower is Better",IF($J762=0,1,IF($I762=0,0,$I762/$J762)),IF($I762=0,1,$J762/$I762)),0)</f>
        <v/>
      </c>
      <c r="R762" s="8">
        <f>IF(OR($I762="",$J762=""),"",$J762-$I762)</f>
        <v/>
      </c>
      <c r="S762" s="8">
        <f>IFERROR(IF(INDEX(Tbl_KPIMaster[Direction],MATCH($G762,Tbl_KPIMaster[KPI],0))="Lower is Better",IF($J762&lt;=$I762,"Green",IF($J762&lt;=$I762+IF($I762=0,$K762,$I762*$K762),"Amber","Red")),IF($J762&gt;=$I762,"Green",IF($J762&gt;=$I762-IF($I762=0,$K762,$I762*$K762),"Amber","Red"))),"")</f>
        <v/>
      </c>
      <c r="T762" s="10" t="inlineStr"/>
    </row>
    <row r="763">
      <c r="A763" s="3" t="n">
        <v>46168</v>
      </c>
      <c r="B763" s="4">
        <f>IF($A763="","",TEXT($A763,"mmm-yyyy"))</f>
        <v/>
      </c>
      <c r="C763" s="4">
        <f>IF($A763="","","W"&amp;WEEKNUM($A763,2))</f>
        <v/>
      </c>
      <c r="D763" s="4">
        <f>IF($A763="","",TEXT($A763,"ddd"))</f>
        <v/>
      </c>
      <c r="E763" s="4" t="inlineStr">
        <is>
          <t>Safety</t>
        </is>
      </c>
      <c r="F763" s="4">
        <f>IFERROR(INDEX(Tbl_KPIMaster[Category],MATCH($G763,Tbl_KPIMaster[KPI],0)),"")</f>
        <v/>
      </c>
      <c r="G763" s="4" t="inlineStr">
        <is>
          <t>Safety Incidents (LTI)</t>
        </is>
      </c>
      <c r="H763" s="4">
        <f>IFERROR(INDEX(Tbl_KPIMaster[Unit],MATCH($G763,Tbl_KPIMaster[KPI],0)),"")</f>
        <v/>
      </c>
      <c r="I763" s="5">
        <f>IFERROR(INDEX(Tbl_KPIMaster[Maximum Target],MATCH($G763,Tbl_KPIMaster[KPI],0)),"")</f>
        <v/>
      </c>
      <c r="J763" s="5" t="n">
        <v>1</v>
      </c>
      <c r="K763" s="4">
        <f>IFERROR(INDEX(Tbl_KPIMaster[Tolerance],MATCH($G763,Tbl_KPIMaster[KPI],0)),"")</f>
        <v/>
      </c>
      <c r="L763" s="4">
        <f>IFERROR(INDEX(Tbl_KPIMaster[Owner],MATCH($G763,Tbl_KPIMaster[KPI],0)),"")</f>
        <v/>
      </c>
      <c r="M763" s="6" t="inlineStr">
        <is>
          <t>Manpower shortage</t>
        </is>
      </c>
      <c r="N763" s="4" t="inlineStr">
        <is>
          <t>Engineering support needed</t>
        </is>
      </c>
      <c r="O763" s="4" t="inlineStr">
        <is>
          <t>Medium</t>
        </is>
      </c>
      <c r="P763" s="4" t="inlineStr">
        <is>
          <t>Closed</t>
        </is>
      </c>
      <c r="Q763" s="5">
        <f>IFERROR(IF(INDEX(Tbl_KPIMaster[Direction],MATCH($G763,Tbl_KPIMaster[KPI],0))="Lower is Better",IF($J763=0,1,IF($I763=0,0,$I763/$J763)),IF($I763=0,1,$J763/$I763)),0)</f>
        <v/>
      </c>
      <c r="R763" s="4">
        <f>IF(OR($I763="",$J763=""),"",$J763-$I763)</f>
        <v/>
      </c>
      <c r="S763" s="4">
        <f>IFERROR(IF(INDEX(Tbl_KPIMaster[Direction],MATCH($G763,Tbl_KPIMaster[KPI],0))="Lower is Better",IF($J763&lt;=$I763,"Green",IF($J763&lt;=$I763+IF($I763=0,$K763,$I763*$K763),"Amber","Red")),IF($J763&gt;=$I763,"Green",IF($J763&gt;=$I763-IF($I763=0,$K763,$I763*$K763),"Amber","Red"))),"")</f>
        <v/>
      </c>
      <c r="T763" s="6" t="inlineStr"/>
    </row>
    <row r="764">
      <c r="A764" s="7" t="n">
        <v>46168</v>
      </c>
      <c r="B764" s="8">
        <f>IF($A764="","",TEXT($A764,"mmm-yyyy"))</f>
        <v/>
      </c>
      <c r="C764" s="8">
        <f>IF($A764="","","W"&amp;WEEKNUM($A764,2))</f>
        <v/>
      </c>
      <c r="D764" s="8">
        <f>IF($A764="","",TEXT($A764,"ddd"))</f>
        <v/>
      </c>
      <c r="E764" s="8" t="inlineStr">
        <is>
          <t>Safety</t>
        </is>
      </c>
      <c r="F764" s="8">
        <f>IFERROR(INDEX(Tbl_KPIMaster[Category],MATCH($G764,Tbl_KPIMaster[KPI],0)),"")</f>
        <v/>
      </c>
      <c r="G764" s="8" t="inlineStr">
        <is>
          <t>Near Miss Reports</t>
        </is>
      </c>
      <c r="H764" s="8">
        <f>IFERROR(INDEX(Tbl_KPIMaster[Unit],MATCH($G764,Tbl_KPIMaster[KPI],0)),"")</f>
        <v/>
      </c>
      <c r="I764" s="9">
        <f>IFERROR(INDEX(Tbl_KPIMaster[Maximum Target],MATCH($G764,Tbl_KPIMaster[KPI],0)),"")</f>
        <v/>
      </c>
      <c r="J764" s="9" t="n">
        <v>2</v>
      </c>
      <c r="K764" s="8">
        <f>IFERROR(INDEX(Tbl_KPIMaster[Tolerance],MATCH($G764,Tbl_KPIMaster[KPI],0)),"")</f>
        <v/>
      </c>
      <c r="L764" s="8">
        <f>IFERROR(INDEX(Tbl_KPIMaster[Owner],MATCH($G764,Tbl_KPIMaster[KPI],0)),"")</f>
        <v/>
      </c>
      <c r="M764" s="10" t="inlineStr">
        <is>
          <t>Equipment breakdown</t>
        </is>
      </c>
      <c r="N764" s="8" t="inlineStr">
        <is>
          <t>Procurement follow-up</t>
        </is>
      </c>
      <c r="O764" s="8" t="inlineStr">
        <is>
          <t>Low</t>
        </is>
      </c>
      <c r="P764" s="8" t="inlineStr">
        <is>
          <t>Open</t>
        </is>
      </c>
      <c r="Q764" s="9">
        <f>IFERROR(IF(INDEX(Tbl_KPIMaster[Direction],MATCH($G764,Tbl_KPIMaster[KPI],0))="Lower is Better",IF($J764=0,1,IF($I764=0,0,$I764/$J764)),IF($I764=0,1,$J764/$I764)),0)</f>
        <v/>
      </c>
      <c r="R764" s="8">
        <f>IF(OR($I764="",$J764=""),"",$J764-$I764)</f>
        <v/>
      </c>
      <c r="S764" s="8">
        <f>IFERROR(IF(INDEX(Tbl_KPIMaster[Direction],MATCH($G764,Tbl_KPIMaster[KPI],0))="Lower is Better",IF($J764&lt;=$I764,"Green",IF($J764&lt;=$I764+IF($I764=0,$K764,$I764*$K764),"Amber","Red")),IF($J764&gt;=$I764,"Green",IF($J764&gt;=$I764-IF($I764=0,$K764,$I764*$K764),"Amber","Red"))),"")</f>
        <v/>
      </c>
      <c r="T764" s="10" t="inlineStr"/>
    </row>
    <row r="765">
      <c r="A765" s="3" t="n">
        <v>46168</v>
      </c>
      <c r="B765" s="4">
        <f>IF($A765="","",TEXT($A765,"mmm-yyyy"))</f>
        <v/>
      </c>
      <c r="C765" s="4">
        <f>IF($A765="","","W"&amp;WEEKNUM($A765,2))</f>
        <v/>
      </c>
      <c r="D765" s="4">
        <f>IF($A765="","",TEXT($A765,"ddd"))</f>
        <v/>
      </c>
      <c r="E765" s="4" t="inlineStr">
        <is>
          <t>Production</t>
        </is>
      </c>
      <c r="F765" s="4">
        <f>IFERROR(INDEX(Tbl_KPIMaster[Category],MATCH($G765,Tbl_KPIMaster[KPI],0)),"")</f>
        <v/>
      </c>
      <c r="G765" s="4" t="inlineStr">
        <is>
          <t>Production Output</t>
        </is>
      </c>
      <c r="H765" s="4">
        <f>IFERROR(INDEX(Tbl_KPIMaster[Unit],MATCH($G765,Tbl_KPIMaster[KPI],0)),"")</f>
        <v/>
      </c>
      <c r="I765" s="5">
        <f>IFERROR(INDEX(Tbl_KPIMaster[Maximum Target],MATCH($G765,Tbl_KPIMaster[KPI],0)),"")</f>
        <v/>
      </c>
      <c r="J765" s="5" t="n">
        <v>913.4400000000001</v>
      </c>
      <c r="K765" s="4">
        <f>IFERROR(INDEX(Tbl_KPIMaster[Tolerance],MATCH($G765,Tbl_KPIMaster[KPI],0)),"")</f>
        <v/>
      </c>
      <c r="L765" s="4">
        <f>IFERROR(INDEX(Tbl_KPIMaster[Owner],MATCH($G765,Tbl_KPIMaster[KPI],0)),"")</f>
        <v/>
      </c>
      <c r="M765" s="6" t="inlineStr"/>
      <c r="N765" s="4" t="inlineStr">
        <is>
          <t>Engineering support needed</t>
        </is>
      </c>
      <c r="O765" s="4" t="inlineStr">
        <is>
          <t>Low</t>
        </is>
      </c>
      <c r="P765" s="4" t="inlineStr">
        <is>
          <t>Open</t>
        </is>
      </c>
      <c r="Q765" s="5">
        <f>IFERROR(IF(INDEX(Tbl_KPIMaster[Direction],MATCH($G765,Tbl_KPIMaster[KPI],0))="Lower is Better",IF($J765=0,1,IF($I765=0,0,$I765/$J765)),IF($I765=0,1,$J765/$I765)),0)</f>
        <v/>
      </c>
      <c r="R765" s="4">
        <f>IF(OR($I765="",$J765=""),"",$J765-$I765)</f>
        <v/>
      </c>
      <c r="S765" s="4">
        <f>IFERROR(IF(INDEX(Tbl_KPIMaster[Direction],MATCH($G765,Tbl_KPIMaster[KPI],0))="Lower is Better",IF($J765&lt;=$I765,"Green",IF($J765&lt;=$I765+IF($I765=0,$K765,$I765*$K765),"Amber","Red")),IF($J765&gt;=$I765,"Green",IF($J765&gt;=$I765-IF($I765=0,$K765,$I765*$K765),"Amber","Red"))),"")</f>
        <v/>
      </c>
      <c r="T765" s="6" t="inlineStr"/>
    </row>
    <row r="766">
      <c r="A766" s="7" t="n">
        <v>46168</v>
      </c>
      <c r="B766" s="8">
        <f>IF($A766="","",TEXT($A766,"mmm-yyyy"))</f>
        <v/>
      </c>
      <c r="C766" s="8">
        <f>IF($A766="","","W"&amp;WEEKNUM($A766,2))</f>
        <v/>
      </c>
      <c r="D766" s="8">
        <f>IF($A766="","",TEXT($A766,"ddd"))</f>
        <v/>
      </c>
      <c r="E766" s="8" t="inlineStr">
        <is>
          <t>Production</t>
        </is>
      </c>
      <c r="F766" s="8">
        <f>IFERROR(INDEX(Tbl_KPIMaster[Category],MATCH($G766,Tbl_KPIMaster[KPI],0)),"")</f>
        <v/>
      </c>
      <c r="G766" s="8" t="inlineStr">
        <is>
          <t>OEE %</t>
        </is>
      </c>
      <c r="H766" s="8">
        <f>IFERROR(INDEX(Tbl_KPIMaster[Unit],MATCH($G766,Tbl_KPIMaster[KPI],0)),"")</f>
        <v/>
      </c>
      <c r="I766" s="9">
        <f>IFERROR(INDEX(Tbl_KPIMaster[Maximum Target],MATCH($G766,Tbl_KPIMaster[KPI],0)),"")</f>
        <v/>
      </c>
      <c r="J766" s="9" t="n">
        <v>0.82</v>
      </c>
      <c r="K766" s="8">
        <f>IFERROR(INDEX(Tbl_KPIMaster[Tolerance],MATCH($G766,Tbl_KPIMaster[KPI],0)),"")</f>
        <v/>
      </c>
      <c r="L766" s="8">
        <f>IFERROR(INDEX(Tbl_KPIMaster[Owner],MATCH($G766,Tbl_KPIMaster[KPI],0)),"")</f>
        <v/>
      </c>
      <c r="M766" s="10" t="inlineStr">
        <is>
          <t>Process improvement in progress</t>
        </is>
      </c>
      <c r="N766" s="8" t="inlineStr">
        <is>
          <t>Engineering support needed</t>
        </is>
      </c>
      <c r="O766" s="8" t="inlineStr">
        <is>
          <t>Medium</t>
        </is>
      </c>
      <c r="P766" s="8" t="inlineStr">
        <is>
          <t>Closed</t>
        </is>
      </c>
      <c r="Q766" s="9">
        <f>IFERROR(IF(INDEX(Tbl_KPIMaster[Direction],MATCH($G766,Tbl_KPIMaster[KPI],0))="Lower is Better",IF($J766=0,1,IF($I766=0,0,$I766/$J766)),IF($I766=0,1,$J766/$I766)),0)</f>
        <v/>
      </c>
      <c r="R766" s="8">
        <f>IF(OR($I766="",$J766=""),"",$J766-$I766)</f>
        <v/>
      </c>
      <c r="S766" s="8">
        <f>IFERROR(IF(INDEX(Tbl_KPIMaster[Direction],MATCH($G766,Tbl_KPIMaster[KPI],0))="Lower is Better",IF($J766&lt;=$I766,"Green",IF($J766&lt;=$I766+IF($I766=0,$K766,$I766*$K766),"Amber","Red")),IF($J766&gt;=$I766,"Green",IF($J766&gt;=$I766-IF($I766=0,$K766,$I766*$K766),"Amber","Red"))),"")</f>
        <v/>
      </c>
      <c r="T766" s="10" t="inlineStr"/>
    </row>
    <row r="767">
      <c r="A767" s="3" t="n">
        <v>46168</v>
      </c>
      <c r="B767" s="4">
        <f>IF($A767="","",TEXT($A767,"mmm-yyyy"))</f>
        <v/>
      </c>
      <c r="C767" s="4">
        <f>IF($A767="","","W"&amp;WEEKNUM($A767,2))</f>
        <v/>
      </c>
      <c r="D767" s="4">
        <f>IF($A767="","",TEXT($A767,"ddd"))</f>
        <v/>
      </c>
      <c r="E767" s="4" t="inlineStr">
        <is>
          <t>Quality</t>
        </is>
      </c>
      <c r="F767" s="4">
        <f>IFERROR(INDEX(Tbl_KPIMaster[Category],MATCH($G767,Tbl_KPIMaster[KPI],0)),"")</f>
        <v/>
      </c>
      <c r="G767" s="4" t="inlineStr">
        <is>
          <t>Defect Rate %</t>
        </is>
      </c>
      <c r="H767" s="4">
        <f>IFERROR(INDEX(Tbl_KPIMaster[Unit],MATCH($G767,Tbl_KPIMaster[KPI],0)),"")</f>
        <v/>
      </c>
      <c r="I767" s="5">
        <f>IFERROR(INDEX(Tbl_KPIMaster[Maximum Target],MATCH($G767,Tbl_KPIMaster[KPI],0)),"")</f>
        <v/>
      </c>
      <c r="J767" s="5" t="n">
        <v>0.4099</v>
      </c>
      <c r="K767" s="4">
        <f>IFERROR(INDEX(Tbl_KPIMaster[Tolerance],MATCH($G767,Tbl_KPIMaster[KPI],0)),"")</f>
        <v/>
      </c>
      <c r="L767" s="4">
        <f>IFERROR(INDEX(Tbl_KPIMaster[Owner],MATCH($G767,Tbl_KPIMaster[KPI],0)),"")</f>
        <v/>
      </c>
      <c r="M767" s="6" t="inlineStr">
        <is>
          <t>New operator training effect</t>
        </is>
      </c>
      <c r="N767" s="4" t="inlineStr"/>
      <c r="O767" s="4" t="inlineStr">
        <is>
          <t>Low</t>
        </is>
      </c>
      <c r="P767" s="4" t="inlineStr">
        <is>
          <t>Closed</t>
        </is>
      </c>
      <c r="Q767" s="5">
        <f>IFERROR(IF(INDEX(Tbl_KPIMaster[Direction],MATCH($G767,Tbl_KPIMaster[KPI],0))="Lower is Better",IF($J767=0,1,IF($I767=0,0,$I767/$J767)),IF($I767=0,1,$J767/$I767)),0)</f>
        <v/>
      </c>
      <c r="R767" s="4">
        <f>IF(OR($I767="",$J767=""),"",$J767-$I767)</f>
        <v/>
      </c>
      <c r="S767" s="4">
        <f>IFERROR(IF(INDEX(Tbl_KPIMaster[Direction],MATCH($G767,Tbl_KPIMaster[KPI],0))="Lower is Better",IF($J767&lt;=$I767,"Green",IF($J767&lt;=$I767+IF($I767=0,$K767,$I767*$K767),"Amber","Red")),IF($J767&gt;=$I767,"Green",IF($J767&gt;=$I767-IF($I767=0,$K767,$I767*$K767),"Amber","Red"))),"")</f>
        <v/>
      </c>
      <c r="T767" s="6" t="inlineStr"/>
    </row>
    <row r="768">
      <c r="A768" s="7" t="n">
        <v>46168</v>
      </c>
      <c r="B768" s="8">
        <f>IF($A768="","",TEXT($A768,"mmm-yyyy"))</f>
        <v/>
      </c>
      <c r="C768" s="8">
        <f>IF($A768="","","W"&amp;WEEKNUM($A768,2))</f>
        <v/>
      </c>
      <c r="D768" s="8">
        <f>IF($A768="","",TEXT($A768,"ddd"))</f>
        <v/>
      </c>
      <c r="E768" s="8" t="inlineStr">
        <is>
          <t>Quality</t>
        </is>
      </c>
      <c r="F768" s="8">
        <f>IFERROR(INDEX(Tbl_KPIMaster[Category],MATCH($G768,Tbl_KPIMaster[KPI],0)),"")</f>
        <v/>
      </c>
      <c r="G768" s="8" t="inlineStr">
        <is>
          <t>Customer Complaints</t>
        </is>
      </c>
      <c r="H768" s="8">
        <f>IFERROR(INDEX(Tbl_KPIMaster[Unit],MATCH($G768,Tbl_KPIMaster[KPI],0)),"")</f>
        <v/>
      </c>
      <c r="I768" s="9">
        <f>IFERROR(INDEX(Tbl_KPIMaster[Maximum Target],MATCH($G768,Tbl_KPIMaster[KPI],0)),"")</f>
        <v/>
      </c>
      <c r="J768" s="9" t="n">
        <v>0</v>
      </c>
      <c r="K768" s="8">
        <f>IFERROR(INDEX(Tbl_KPIMaster[Tolerance],MATCH($G768,Tbl_KPIMaster[KPI],0)),"")</f>
        <v/>
      </c>
      <c r="L768" s="8">
        <f>IFERROR(INDEX(Tbl_KPIMaster[Owner],MATCH($G768,Tbl_KPIMaster[KPI],0)),"")</f>
        <v/>
      </c>
      <c r="M768" s="10" t="inlineStr">
        <is>
          <t>Manpower shortage</t>
        </is>
      </c>
      <c r="N768" s="8" t="inlineStr">
        <is>
          <t>Management approval pending</t>
        </is>
      </c>
      <c r="O768" s="8" t="inlineStr">
        <is>
          <t>High</t>
        </is>
      </c>
      <c r="P768" s="8" t="inlineStr">
        <is>
          <t>Closed</t>
        </is>
      </c>
      <c r="Q768" s="9">
        <f>IFERROR(IF(INDEX(Tbl_KPIMaster[Direction],MATCH($G768,Tbl_KPIMaster[KPI],0))="Lower is Better",IF($J768=0,1,IF($I768=0,0,$I768/$J768)),IF($I768=0,1,$J768/$I768)),0)</f>
        <v/>
      </c>
      <c r="R768" s="8">
        <f>IF(OR($I768="",$J768=""),"",$J768-$I768)</f>
        <v/>
      </c>
      <c r="S768" s="8">
        <f>IFERROR(IF(INDEX(Tbl_KPIMaster[Direction],MATCH($G768,Tbl_KPIMaster[KPI],0))="Lower is Better",IF($J768&lt;=$I768,"Green",IF($J768&lt;=$I768+IF($I768=0,$K768,$I768*$K768),"Amber","Red")),IF($J768&gt;=$I768,"Green",IF($J768&gt;=$I768-IF($I768=0,$K768,$I768*$K768),"Amber","Red"))),"")</f>
        <v/>
      </c>
      <c r="T768" s="10" t="inlineStr"/>
    </row>
    <row r="769">
      <c r="A769" s="3" t="n">
        <v>46168</v>
      </c>
      <c r="B769" s="4">
        <f>IF($A769="","",TEXT($A769,"mmm-yyyy"))</f>
        <v/>
      </c>
      <c r="C769" s="4">
        <f>IF($A769="","","W"&amp;WEEKNUM($A769,2))</f>
        <v/>
      </c>
      <c r="D769" s="4">
        <f>IF($A769="","",TEXT($A769,"ddd"))</f>
        <v/>
      </c>
      <c r="E769" s="4" t="inlineStr">
        <is>
          <t>Maintenance</t>
        </is>
      </c>
      <c r="F769" s="4">
        <f>IFERROR(INDEX(Tbl_KPIMaster[Category],MATCH($G769,Tbl_KPIMaster[KPI],0)),"")</f>
        <v/>
      </c>
      <c r="G769" s="4" t="inlineStr">
        <is>
          <t>Unplanned Downtime</t>
        </is>
      </c>
      <c r="H769" s="4">
        <f>IFERROR(INDEX(Tbl_KPIMaster[Unit],MATCH($G769,Tbl_KPIMaster[KPI],0)),"")</f>
        <v/>
      </c>
      <c r="I769" s="5">
        <f>IFERROR(INDEX(Tbl_KPIMaster[Maximum Target],MATCH($G769,Tbl_KPIMaster[KPI],0)),"")</f>
        <v/>
      </c>
      <c r="J769" s="5" t="n">
        <v>0.7</v>
      </c>
      <c r="K769" s="4">
        <f>IFERROR(INDEX(Tbl_KPIMaster[Tolerance],MATCH($G769,Tbl_KPIMaster[KPI],0)),"")</f>
        <v/>
      </c>
      <c r="L769" s="4">
        <f>IFERROR(INDEX(Tbl_KPIMaster[Owner],MATCH($G769,Tbl_KPIMaster[KPI],0)),"")</f>
        <v/>
      </c>
      <c r="M769" s="6" t="inlineStr">
        <is>
          <t>Within normal range</t>
        </is>
      </c>
      <c r="N769" s="4" t="inlineStr"/>
      <c r="O769" s="4" t="inlineStr">
        <is>
          <t>Low</t>
        </is>
      </c>
      <c r="P769" s="4" t="inlineStr">
        <is>
          <t>Closed</t>
        </is>
      </c>
      <c r="Q769" s="5">
        <f>IFERROR(IF(INDEX(Tbl_KPIMaster[Direction],MATCH($G769,Tbl_KPIMaster[KPI],0))="Lower is Better",IF($J769=0,1,IF($I769=0,0,$I769/$J769)),IF($I769=0,1,$J769/$I769)),0)</f>
        <v/>
      </c>
      <c r="R769" s="4">
        <f>IF(OR($I769="",$J769=""),"",$J769-$I769)</f>
        <v/>
      </c>
      <c r="S769" s="4">
        <f>IFERROR(IF(INDEX(Tbl_KPIMaster[Direction],MATCH($G769,Tbl_KPIMaster[KPI],0))="Lower is Better",IF($J769&lt;=$I769,"Green",IF($J769&lt;=$I769+IF($I769=0,$K769,$I769*$K769),"Amber","Red")),IF($J769&gt;=$I769,"Green",IF($J769&gt;=$I769-IF($I769=0,$K769,$I769*$K769),"Amber","Red"))),"")</f>
        <v/>
      </c>
      <c r="T769" s="6" t="inlineStr"/>
    </row>
    <row r="770">
      <c r="A770" s="7" t="n">
        <v>46168</v>
      </c>
      <c r="B770" s="8">
        <f>IF($A770="","",TEXT($A770,"mmm-yyyy"))</f>
        <v/>
      </c>
      <c r="C770" s="8">
        <f>IF($A770="","","W"&amp;WEEKNUM($A770,2))</f>
        <v/>
      </c>
      <c r="D770" s="8">
        <f>IF($A770="","",TEXT($A770,"ddd"))</f>
        <v/>
      </c>
      <c r="E770" s="8" t="inlineStr">
        <is>
          <t>Maintenance</t>
        </is>
      </c>
      <c r="F770" s="8">
        <f>IFERROR(INDEX(Tbl_KPIMaster[Category],MATCH($G770,Tbl_KPIMaster[KPI],0)),"")</f>
        <v/>
      </c>
      <c r="G770" s="8" t="inlineStr">
        <is>
          <t>PM Compliance %</t>
        </is>
      </c>
      <c r="H770" s="8">
        <f>IFERROR(INDEX(Tbl_KPIMaster[Unit],MATCH($G770,Tbl_KPIMaster[KPI],0)),"")</f>
        <v/>
      </c>
      <c r="I770" s="9">
        <f>IFERROR(INDEX(Tbl_KPIMaster[Maximum Target],MATCH($G770,Tbl_KPIMaster[KPI],0)),"")</f>
        <v/>
      </c>
      <c r="J770" s="9" t="n">
        <v>1.1636</v>
      </c>
      <c r="K770" s="8">
        <f>IFERROR(INDEX(Tbl_KPIMaster[Tolerance],MATCH($G770,Tbl_KPIMaster[KPI],0)),"")</f>
        <v/>
      </c>
      <c r="L770" s="8">
        <f>IFERROR(INDEX(Tbl_KPIMaster[Owner],MATCH($G770,Tbl_KPIMaster[KPI],0)),"")</f>
        <v/>
      </c>
      <c r="M770" s="10" t="inlineStr">
        <is>
          <t>Vendor delay</t>
        </is>
      </c>
      <c r="N770" s="8" t="inlineStr">
        <is>
          <t>Engineering support needed</t>
        </is>
      </c>
      <c r="O770" s="8" t="inlineStr">
        <is>
          <t>Medium</t>
        </is>
      </c>
      <c r="P770" s="8" t="inlineStr">
        <is>
          <t>Closed</t>
        </is>
      </c>
      <c r="Q770" s="9">
        <f>IFERROR(IF(INDEX(Tbl_KPIMaster[Direction],MATCH($G770,Tbl_KPIMaster[KPI],0))="Lower is Better",IF($J770=0,1,IF($I770=0,0,$I770/$J770)),IF($I770=0,1,$J770/$I770)),0)</f>
        <v/>
      </c>
      <c r="R770" s="8">
        <f>IF(OR($I770="",$J770=""),"",$J770-$I770)</f>
        <v/>
      </c>
      <c r="S770" s="8">
        <f>IFERROR(IF(INDEX(Tbl_KPIMaster[Direction],MATCH($G770,Tbl_KPIMaster[KPI],0))="Lower is Better",IF($J770&lt;=$I770,"Green",IF($J770&lt;=$I770+IF($I770=0,$K770,$I770*$K770),"Amber","Red")),IF($J770&gt;=$I770,"Green",IF($J770&gt;=$I770-IF($I770=0,$K770,$I770*$K770),"Amber","Red"))),"")</f>
        <v/>
      </c>
      <c r="T770" s="10" t="inlineStr"/>
    </row>
    <row r="771">
      <c r="A771" s="3" t="n">
        <v>46168</v>
      </c>
      <c r="B771" s="4">
        <f>IF($A771="","",TEXT($A771,"mmm-yyyy"))</f>
        <v/>
      </c>
      <c r="C771" s="4">
        <f>IF($A771="","","W"&amp;WEEKNUM($A771,2))</f>
        <v/>
      </c>
      <c r="D771" s="4">
        <f>IF($A771="","",TEXT($A771,"ddd"))</f>
        <v/>
      </c>
      <c r="E771" s="4" t="inlineStr">
        <is>
          <t>Utilities</t>
        </is>
      </c>
      <c r="F771" s="4">
        <f>IFERROR(INDEX(Tbl_KPIMaster[Category],MATCH($G771,Tbl_KPIMaster[KPI],0)),"")</f>
        <v/>
      </c>
      <c r="G771" s="4" t="inlineStr">
        <is>
          <t>Power Consumption</t>
        </is>
      </c>
      <c r="H771" s="4">
        <f>IFERROR(INDEX(Tbl_KPIMaster[Unit],MATCH($G771,Tbl_KPIMaster[KPI],0)),"")</f>
        <v/>
      </c>
      <c r="I771" s="5">
        <f>IFERROR(INDEX(Tbl_KPIMaster[Maximum Target],MATCH($G771,Tbl_KPIMaster[KPI],0)),"")</f>
        <v/>
      </c>
      <c r="J771" s="5" t="n">
        <v>3806.35</v>
      </c>
      <c r="K771" s="4">
        <f>IFERROR(INDEX(Tbl_KPIMaster[Tolerance],MATCH($G771,Tbl_KPIMaster[KPI],0)),"")</f>
        <v/>
      </c>
      <c r="L771" s="4">
        <f>IFERROR(INDEX(Tbl_KPIMaster[Owner],MATCH($G771,Tbl_KPIMaster[KPI],0)),"")</f>
        <v/>
      </c>
      <c r="M771" s="6" t="inlineStr">
        <is>
          <t>Preventive check done</t>
        </is>
      </c>
      <c r="N771" s="4" t="inlineStr">
        <is>
          <t>Procurement follow-up</t>
        </is>
      </c>
      <c r="O771" s="4" t="inlineStr">
        <is>
          <t>Medium</t>
        </is>
      </c>
      <c r="P771" s="4" t="inlineStr">
        <is>
          <t>Open</t>
        </is>
      </c>
      <c r="Q771" s="5">
        <f>IFERROR(IF(INDEX(Tbl_KPIMaster[Direction],MATCH($G771,Tbl_KPIMaster[KPI],0))="Lower is Better",IF($J771=0,1,IF($I771=0,0,$I771/$J771)),IF($I771=0,1,$J771/$I771)),0)</f>
        <v/>
      </c>
      <c r="R771" s="4">
        <f>IF(OR($I771="",$J771=""),"",$J771-$I771)</f>
        <v/>
      </c>
      <c r="S771" s="4">
        <f>IFERROR(IF(INDEX(Tbl_KPIMaster[Direction],MATCH($G771,Tbl_KPIMaster[KPI],0))="Lower is Better",IF($J771&lt;=$I771,"Green",IF($J771&lt;=$I771+IF($I771=0,$K771,$I771*$K771),"Amber","Red")),IF($J771&gt;=$I771,"Green",IF($J771&gt;=$I771-IF($I771=0,$K771,$I771*$K771),"Amber","Red"))),"")</f>
        <v/>
      </c>
      <c r="T771" s="6" t="inlineStr"/>
    </row>
    <row r="772">
      <c r="A772" s="7" t="n">
        <v>46168</v>
      </c>
      <c r="B772" s="8">
        <f>IF($A772="","",TEXT($A772,"mmm-yyyy"))</f>
        <v/>
      </c>
      <c r="C772" s="8">
        <f>IF($A772="","","W"&amp;WEEKNUM($A772,2))</f>
        <v/>
      </c>
      <c r="D772" s="8">
        <f>IF($A772="","",TEXT($A772,"ddd"))</f>
        <v/>
      </c>
      <c r="E772" s="8" t="inlineStr">
        <is>
          <t>Utilities</t>
        </is>
      </c>
      <c r="F772" s="8">
        <f>IFERROR(INDEX(Tbl_KPIMaster[Category],MATCH($G772,Tbl_KPIMaster[KPI],0)),"")</f>
        <v/>
      </c>
      <c r="G772" s="8" t="inlineStr">
        <is>
          <t>Water Consumption</t>
        </is>
      </c>
      <c r="H772" s="8">
        <f>IFERROR(INDEX(Tbl_KPIMaster[Unit],MATCH($G772,Tbl_KPIMaster[KPI],0)),"")</f>
        <v/>
      </c>
      <c r="I772" s="9">
        <f>IFERROR(INDEX(Tbl_KPIMaster[Maximum Target],MATCH($G772,Tbl_KPIMaster[KPI],0)),"")</f>
        <v/>
      </c>
      <c r="J772" s="9" t="n">
        <v>50.87</v>
      </c>
      <c r="K772" s="8">
        <f>IFERROR(INDEX(Tbl_KPIMaster[Tolerance],MATCH($G772,Tbl_KPIMaster[KPI],0)),"")</f>
        <v/>
      </c>
      <c r="L772" s="8">
        <f>IFERROR(INDEX(Tbl_KPIMaster[Owner],MATCH($G772,Tbl_KPIMaster[KPI],0)),"")</f>
        <v/>
      </c>
      <c r="M772" s="10" t="inlineStr"/>
      <c r="N772" s="8" t="inlineStr">
        <is>
          <t>Procurement follow-up</t>
        </is>
      </c>
      <c r="O772" s="8" t="inlineStr">
        <is>
          <t>Medium</t>
        </is>
      </c>
      <c r="P772" s="8" t="inlineStr">
        <is>
          <t>Open</t>
        </is>
      </c>
      <c r="Q772" s="9">
        <f>IFERROR(IF(INDEX(Tbl_KPIMaster[Direction],MATCH($G772,Tbl_KPIMaster[KPI],0))="Lower is Better",IF($J772=0,1,IF($I772=0,0,$I772/$J772)),IF($I772=0,1,$J772/$I772)),0)</f>
        <v/>
      </c>
      <c r="R772" s="8">
        <f>IF(OR($I772="",$J772=""),"",$J772-$I772)</f>
        <v/>
      </c>
      <c r="S772" s="8">
        <f>IFERROR(IF(INDEX(Tbl_KPIMaster[Direction],MATCH($G772,Tbl_KPIMaster[KPI],0))="Lower is Better",IF($J772&lt;=$I772,"Green",IF($J772&lt;=$I772+IF($I772=0,$K772,$I772*$K772),"Amber","Red")),IF($J772&gt;=$I772,"Green",IF($J772&gt;=$I772-IF($I772=0,$K772,$I772*$K772),"Amber","Red"))),"")</f>
        <v/>
      </c>
      <c r="T772" s="10" t="inlineStr"/>
    </row>
    <row r="773">
      <c r="A773" s="3" t="n">
        <v>46168</v>
      </c>
      <c r="B773" s="4">
        <f>IF($A773="","",TEXT($A773,"mmm-yyyy"))</f>
        <v/>
      </c>
      <c r="C773" s="4">
        <f>IF($A773="","","W"&amp;WEEKNUM($A773,2))</f>
        <v/>
      </c>
      <c r="D773" s="4">
        <f>IF($A773="","",TEXT($A773,"ddd"))</f>
        <v/>
      </c>
      <c r="E773" s="4" t="inlineStr">
        <is>
          <t>Warehouse</t>
        </is>
      </c>
      <c r="F773" s="4">
        <f>IFERROR(INDEX(Tbl_KPIMaster[Category],MATCH($G773,Tbl_KPIMaster[KPI],0)),"")</f>
        <v/>
      </c>
      <c r="G773" s="4" t="inlineStr">
        <is>
          <t>On-Time Dispatch %</t>
        </is>
      </c>
      <c r="H773" s="4">
        <f>IFERROR(INDEX(Tbl_KPIMaster[Unit],MATCH($G773,Tbl_KPIMaster[KPI],0)),"")</f>
        <v/>
      </c>
      <c r="I773" s="5">
        <f>IFERROR(INDEX(Tbl_KPIMaster[Maximum Target],MATCH($G773,Tbl_KPIMaster[KPI],0)),"")</f>
        <v/>
      </c>
      <c r="J773" s="5" t="n">
        <v>0.9340000000000001</v>
      </c>
      <c r="K773" s="4">
        <f>IFERROR(INDEX(Tbl_KPIMaster[Tolerance],MATCH($G773,Tbl_KPIMaster[KPI],0)),"")</f>
        <v/>
      </c>
      <c r="L773" s="4">
        <f>IFERROR(INDEX(Tbl_KPIMaster[Owner],MATCH($G773,Tbl_KPIMaster[KPI],0)),"")</f>
        <v/>
      </c>
      <c r="M773" s="6" t="inlineStr">
        <is>
          <t>Manpower shortage</t>
        </is>
      </c>
      <c r="N773" s="4" t="inlineStr"/>
      <c r="O773" s="4" t="inlineStr">
        <is>
          <t>Medium</t>
        </is>
      </c>
      <c r="P773" s="4" t="inlineStr">
        <is>
          <t>Closed</t>
        </is>
      </c>
      <c r="Q773" s="5">
        <f>IFERROR(IF(INDEX(Tbl_KPIMaster[Direction],MATCH($G773,Tbl_KPIMaster[KPI],0))="Lower is Better",IF($J773=0,1,IF($I773=0,0,$I773/$J773)),IF($I773=0,1,$J773/$I773)),0)</f>
        <v/>
      </c>
      <c r="R773" s="4">
        <f>IF(OR($I773="",$J773=""),"",$J773-$I773)</f>
        <v/>
      </c>
      <c r="S773" s="4">
        <f>IFERROR(IF(INDEX(Tbl_KPIMaster[Direction],MATCH($G773,Tbl_KPIMaster[KPI],0))="Lower is Better",IF($J773&lt;=$I773,"Green",IF($J773&lt;=$I773+IF($I773=0,$K773,$I773*$K773),"Amber","Red")),IF($J773&gt;=$I773,"Green",IF($J773&gt;=$I773-IF($I773=0,$K773,$I773*$K773),"Amber","Red"))),"")</f>
        <v/>
      </c>
      <c r="T773" s="6" t="inlineStr"/>
    </row>
    <row r="774">
      <c r="A774" s="7" t="n">
        <v>46168</v>
      </c>
      <c r="B774" s="8">
        <f>IF($A774="","",TEXT($A774,"mmm-yyyy"))</f>
        <v/>
      </c>
      <c r="C774" s="8">
        <f>IF($A774="","","W"&amp;WEEKNUM($A774,2))</f>
        <v/>
      </c>
      <c r="D774" s="8">
        <f>IF($A774="","",TEXT($A774,"ddd"))</f>
        <v/>
      </c>
      <c r="E774" s="8" t="inlineStr">
        <is>
          <t>Warehouse</t>
        </is>
      </c>
      <c r="F774" s="8">
        <f>IFERROR(INDEX(Tbl_KPIMaster[Category],MATCH($G774,Tbl_KPIMaster[KPI],0)),"")</f>
        <v/>
      </c>
      <c r="G774" s="8" t="inlineStr">
        <is>
          <t>Inventory Accuracy %</t>
        </is>
      </c>
      <c r="H774" s="8">
        <f>IFERROR(INDEX(Tbl_KPIMaster[Unit],MATCH($G774,Tbl_KPIMaster[KPI],0)),"")</f>
        <v/>
      </c>
      <c r="I774" s="9">
        <f>IFERROR(INDEX(Tbl_KPIMaster[Maximum Target],MATCH($G774,Tbl_KPIMaster[KPI],0)),"")</f>
        <v/>
      </c>
      <c r="J774" s="9" t="n">
        <v>0.8816000000000001</v>
      </c>
      <c r="K774" s="8">
        <f>IFERROR(INDEX(Tbl_KPIMaster[Tolerance],MATCH($G774,Tbl_KPIMaster[KPI],0)),"")</f>
        <v/>
      </c>
      <c r="L774" s="8">
        <f>IFERROR(INDEX(Tbl_KPIMaster[Owner],MATCH($G774,Tbl_KPIMaster[KPI],0)),"")</f>
        <v/>
      </c>
      <c r="M774" s="10" t="inlineStr">
        <is>
          <t>Preventive check done</t>
        </is>
      </c>
      <c r="N774" s="8" t="inlineStr">
        <is>
          <t>Procurement follow-up</t>
        </is>
      </c>
      <c r="O774" s="8" t="inlineStr">
        <is>
          <t>Low</t>
        </is>
      </c>
      <c r="P774" s="8" t="inlineStr">
        <is>
          <t>In Progress</t>
        </is>
      </c>
      <c r="Q774" s="9">
        <f>IFERROR(IF(INDEX(Tbl_KPIMaster[Direction],MATCH($G774,Tbl_KPIMaster[KPI],0))="Lower is Better",IF($J774=0,1,IF($I774=0,0,$I774/$J774)),IF($I774=0,1,$J774/$I774)),0)</f>
        <v/>
      </c>
      <c r="R774" s="8">
        <f>IF(OR($I774="",$J774=""),"",$J774-$I774)</f>
        <v/>
      </c>
      <c r="S774" s="8">
        <f>IFERROR(IF(INDEX(Tbl_KPIMaster[Direction],MATCH($G774,Tbl_KPIMaster[KPI],0))="Lower is Better",IF($J774&lt;=$I774,"Green",IF($J774&lt;=$I774+IF($I774=0,$K774,$I774*$K774),"Amber","Red")),IF($J774&gt;=$I774,"Green",IF($J774&gt;=$I774-IF($I774=0,$K774,$I774*$K774),"Amber","Red"))),"")</f>
        <v/>
      </c>
      <c r="T774" s="10" t="inlineStr"/>
    </row>
    <row r="775">
      <c r="A775" s="3" t="n">
        <v>46168</v>
      </c>
      <c r="B775" s="4">
        <f>IF($A775="","",TEXT($A775,"mmm-yyyy"))</f>
        <v/>
      </c>
      <c r="C775" s="4">
        <f>IF($A775="","","W"&amp;WEEKNUM($A775,2))</f>
        <v/>
      </c>
      <c r="D775" s="4">
        <f>IF($A775="","",TEXT($A775,"ddd"))</f>
        <v/>
      </c>
      <c r="E775" s="4" t="inlineStr">
        <is>
          <t>HR</t>
        </is>
      </c>
      <c r="F775" s="4">
        <f>IFERROR(INDEX(Tbl_KPIMaster[Category],MATCH($G775,Tbl_KPIMaster[KPI],0)),"")</f>
        <v/>
      </c>
      <c r="G775" s="4" t="inlineStr">
        <is>
          <t>Absenteeism %</t>
        </is>
      </c>
      <c r="H775" s="4">
        <f>IFERROR(INDEX(Tbl_KPIMaster[Unit],MATCH($G775,Tbl_KPIMaster[KPI],0)),"")</f>
        <v/>
      </c>
      <c r="I775" s="5">
        <f>IFERROR(INDEX(Tbl_KPIMaster[Maximum Target],MATCH($G775,Tbl_KPIMaster[KPI],0)),"")</f>
        <v/>
      </c>
      <c r="J775" s="5" t="n">
        <v>0.7574</v>
      </c>
      <c r="K775" s="4">
        <f>IFERROR(INDEX(Tbl_KPIMaster[Tolerance],MATCH($G775,Tbl_KPIMaster[KPI],0)),"")</f>
        <v/>
      </c>
      <c r="L775" s="4">
        <f>IFERROR(INDEX(Tbl_KPIMaster[Owner],MATCH($G775,Tbl_KPIMaster[KPI],0)),"")</f>
        <v/>
      </c>
      <c r="M775" s="6" t="inlineStr">
        <is>
          <t>Weather impact</t>
        </is>
      </c>
      <c r="N775" s="4" t="inlineStr"/>
      <c r="O775" s="4" t="inlineStr">
        <is>
          <t>High</t>
        </is>
      </c>
      <c r="P775" s="4" t="inlineStr">
        <is>
          <t>Closed</t>
        </is>
      </c>
      <c r="Q775" s="5">
        <f>IFERROR(IF(INDEX(Tbl_KPIMaster[Direction],MATCH($G775,Tbl_KPIMaster[KPI],0))="Lower is Better",IF($J775=0,1,IF($I775=0,0,$I775/$J775)),IF($I775=0,1,$J775/$I775)),0)</f>
        <v/>
      </c>
      <c r="R775" s="4">
        <f>IF(OR($I775="",$J775=""),"",$J775-$I775)</f>
        <v/>
      </c>
      <c r="S775" s="4">
        <f>IFERROR(IF(INDEX(Tbl_KPIMaster[Direction],MATCH($G775,Tbl_KPIMaster[KPI],0))="Lower is Better",IF($J775&lt;=$I775,"Green",IF($J775&lt;=$I775+IF($I775=0,$K775,$I775*$K775),"Amber","Red")),IF($J775&gt;=$I775,"Green",IF($J775&gt;=$I775-IF($I775=0,$K775,$I775*$K775),"Amber","Red"))),"")</f>
        <v/>
      </c>
      <c r="T775" s="6" t="inlineStr"/>
    </row>
    <row r="776">
      <c r="A776" s="7" t="n">
        <v>46168</v>
      </c>
      <c r="B776" s="8">
        <f>IF($A776="","",TEXT($A776,"mmm-yyyy"))</f>
        <v/>
      </c>
      <c r="C776" s="8">
        <f>IF($A776="","","W"&amp;WEEKNUM($A776,2))</f>
        <v/>
      </c>
      <c r="D776" s="8">
        <f>IF($A776="","",TEXT($A776,"ddd"))</f>
        <v/>
      </c>
      <c r="E776" s="8" t="inlineStr">
        <is>
          <t>HR</t>
        </is>
      </c>
      <c r="F776" s="8">
        <f>IFERROR(INDEX(Tbl_KPIMaster[Category],MATCH($G776,Tbl_KPIMaster[KPI],0)),"")</f>
        <v/>
      </c>
      <c r="G776" s="8" t="inlineStr">
        <is>
          <t>Training Hours</t>
        </is>
      </c>
      <c r="H776" s="8">
        <f>IFERROR(INDEX(Tbl_KPIMaster[Unit],MATCH($G776,Tbl_KPIMaster[KPI],0)),"")</f>
        <v/>
      </c>
      <c r="I776" s="9">
        <f>IFERROR(INDEX(Tbl_KPIMaster[Maximum Target],MATCH($G776,Tbl_KPIMaster[KPI],0)),"")</f>
        <v/>
      </c>
      <c r="J776" s="9" t="n">
        <v>1.7</v>
      </c>
      <c r="K776" s="8">
        <f>IFERROR(INDEX(Tbl_KPIMaster[Tolerance],MATCH($G776,Tbl_KPIMaster[KPI],0)),"")</f>
        <v/>
      </c>
      <c r="L776" s="8">
        <f>IFERROR(INDEX(Tbl_KPIMaster[Owner],MATCH($G776,Tbl_KPIMaster[KPI],0)),"")</f>
        <v/>
      </c>
      <c r="M776" s="10" t="inlineStr">
        <is>
          <t>Process improvement in progress</t>
        </is>
      </c>
      <c r="N776" s="8" t="inlineStr"/>
      <c r="O776" s="8" t="inlineStr">
        <is>
          <t>Low</t>
        </is>
      </c>
      <c r="P776" s="8" t="inlineStr">
        <is>
          <t>Closed</t>
        </is>
      </c>
      <c r="Q776" s="9">
        <f>IFERROR(IF(INDEX(Tbl_KPIMaster[Direction],MATCH($G776,Tbl_KPIMaster[KPI],0))="Lower is Better",IF($J776=0,1,IF($I776=0,0,$I776/$J776)),IF($I776=0,1,$J776/$I776)),0)</f>
        <v/>
      </c>
      <c r="R776" s="8">
        <f>IF(OR($I776="",$J776=""),"",$J776-$I776)</f>
        <v/>
      </c>
      <c r="S776" s="8">
        <f>IFERROR(IF(INDEX(Tbl_KPIMaster[Direction],MATCH($G776,Tbl_KPIMaster[KPI],0))="Lower is Better",IF($J776&lt;=$I776,"Green",IF($J776&lt;=$I776+IF($I776=0,$K776,$I776*$K776),"Amber","Red")),IF($J776&gt;=$I776,"Green",IF($J776&gt;=$I776-IF($I776=0,$K776,$I776*$K776),"Amber","Red"))),"")</f>
        <v/>
      </c>
      <c r="T776" s="10" t="inlineStr"/>
    </row>
    <row r="777">
      <c r="A777" s="3" t="n">
        <v>46168</v>
      </c>
      <c r="B777" s="4">
        <f>IF($A777="","",TEXT($A777,"mmm-yyyy"))</f>
        <v/>
      </c>
      <c r="C777" s="4">
        <f>IF($A777="","","W"&amp;WEEKNUM($A777,2))</f>
        <v/>
      </c>
      <c r="D777" s="4">
        <f>IF($A777="","",TEXT($A777,"ddd"))</f>
        <v/>
      </c>
      <c r="E777" s="4" t="inlineStr">
        <is>
          <t>Engineering</t>
        </is>
      </c>
      <c r="F777" s="4">
        <f>IFERROR(INDEX(Tbl_KPIMaster[Category],MATCH($G777,Tbl_KPIMaster[KPI],0)),"")</f>
        <v/>
      </c>
      <c r="G777" s="4" t="inlineStr">
        <is>
          <t>Project Milestone Adherence %</t>
        </is>
      </c>
      <c r="H777" s="4">
        <f>IFERROR(INDEX(Tbl_KPIMaster[Unit],MATCH($G777,Tbl_KPIMaster[KPI],0)),"")</f>
        <v/>
      </c>
      <c r="I777" s="5">
        <f>IFERROR(INDEX(Tbl_KPIMaster[Maximum Target],MATCH($G777,Tbl_KPIMaster[KPI],0)),"")</f>
        <v/>
      </c>
      <c r="J777" s="5" t="n">
        <v>0.8186</v>
      </c>
      <c r="K777" s="4">
        <f>IFERROR(INDEX(Tbl_KPIMaster[Tolerance],MATCH($G777,Tbl_KPIMaster[KPI],0)),"")</f>
        <v/>
      </c>
      <c r="L777" s="4">
        <f>IFERROR(INDEX(Tbl_KPIMaster[Owner],MATCH($G777,Tbl_KPIMaster[KPI],0)),"")</f>
        <v/>
      </c>
      <c r="M777" s="6" t="inlineStr">
        <is>
          <t>Process improvement in progress</t>
        </is>
      </c>
      <c r="N777" s="4" t="inlineStr">
        <is>
          <t>Engineering support needed</t>
        </is>
      </c>
      <c r="O777" s="4" t="inlineStr">
        <is>
          <t>Low</t>
        </is>
      </c>
      <c r="P777" s="4" t="inlineStr">
        <is>
          <t>Closed</t>
        </is>
      </c>
      <c r="Q777" s="5">
        <f>IFERROR(IF(INDEX(Tbl_KPIMaster[Direction],MATCH($G777,Tbl_KPIMaster[KPI],0))="Lower is Better",IF($J777=0,1,IF($I777=0,0,$I777/$J777)),IF($I777=0,1,$J777/$I777)),0)</f>
        <v/>
      </c>
      <c r="R777" s="4">
        <f>IF(OR($I777="",$J777=""),"",$J777-$I777)</f>
        <v/>
      </c>
      <c r="S777" s="4">
        <f>IFERROR(IF(INDEX(Tbl_KPIMaster[Direction],MATCH($G777,Tbl_KPIMaster[KPI],0))="Lower is Better",IF($J777&lt;=$I777,"Green",IF($J777&lt;=$I777+IF($I777=0,$K777,$I777*$K777),"Amber","Red")),IF($J777&gt;=$I777,"Green",IF($J777&gt;=$I777-IF($I777=0,$K777,$I777*$K777),"Amber","Red"))),"")</f>
        <v/>
      </c>
      <c r="T777" s="6" t="inlineStr"/>
    </row>
    <row r="778">
      <c r="A778" s="7" t="n">
        <v>46168</v>
      </c>
      <c r="B778" s="8">
        <f>IF($A778="","",TEXT($A778,"mmm-yyyy"))</f>
        <v/>
      </c>
      <c r="C778" s="8">
        <f>IF($A778="","","W"&amp;WEEKNUM($A778,2))</f>
        <v/>
      </c>
      <c r="D778" s="8">
        <f>IF($A778="","",TEXT($A778,"ddd"))</f>
        <v/>
      </c>
      <c r="E778" s="8" t="inlineStr">
        <is>
          <t>Engineering</t>
        </is>
      </c>
      <c r="F778" s="8">
        <f>IFERROR(INDEX(Tbl_KPIMaster[Category],MATCH($G778,Tbl_KPIMaster[KPI],0)),"")</f>
        <v/>
      </c>
      <c r="G778" s="8" t="inlineStr">
        <is>
          <t>Breakdown Resolution Time</t>
        </is>
      </c>
      <c r="H778" s="8">
        <f>IFERROR(INDEX(Tbl_KPIMaster[Unit],MATCH($G778,Tbl_KPIMaster[KPI],0)),"")</f>
        <v/>
      </c>
      <c r="I778" s="9">
        <f>IFERROR(INDEX(Tbl_KPIMaster[Maximum Target],MATCH($G778,Tbl_KPIMaster[KPI],0)),"")</f>
        <v/>
      </c>
      <c r="J778" s="9" t="n">
        <v>0</v>
      </c>
      <c r="K778" s="8">
        <f>IFERROR(INDEX(Tbl_KPIMaster[Tolerance],MATCH($G778,Tbl_KPIMaster[KPI],0)),"")</f>
        <v/>
      </c>
      <c r="L778" s="8">
        <f>IFERROR(INDEX(Tbl_KPIMaster[Owner],MATCH($G778,Tbl_KPIMaster[KPI],0)),"")</f>
        <v/>
      </c>
      <c r="M778" s="10" t="inlineStr">
        <is>
          <t>Weather impact</t>
        </is>
      </c>
      <c r="N778" s="8" t="inlineStr">
        <is>
          <t>Management approval pending</t>
        </is>
      </c>
      <c r="O778" s="8" t="inlineStr">
        <is>
          <t>High</t>
        </is>
      </c>
      <c r="P778" s="8" t="inlineStr">
        <is>
          <t>Closed</t>
        </is>
      </c>
      <c r="Q778" s="9">
        <f>IFERROR(IF(INDEX(Tbl_KPIMaster[Direction],MATCH($G778,Tbl_KPIMaster[KPI],0))="Lower is Better",IF($J778=0,1,IF($I778=0,0,$I778/$J778)),IF($I778=0,1,$J778/$I778)),0)</f>
        <v/>
      </c>
      <c r="R778" s="8">
        <f>IF(OR($I778="",$J778=""),"",$J778-$I778)</f>
        <v/>
      </c>
      <c r="S778" s="8">
        <f>IFERROR(IF(INDEX(Tbl_KPIMaster[Direction],MATCH($G778,Tbl_KPIMaster[KPI],0))="Lower is Better",IF($J778&lt;=$I778,"Green",IF($J778&lt;=$I778+IF($I778=0,$K778,$I778*$K778),"Amber","Red")),IF($J778&gt;=$I778,"Green",IF($J778&gt;=$I778-IF($I778=0,$K778,$I778*$K778),"Amber","Red"))),"")</f>
        <v/>
      </c>
      <c r="T778" s="10" t="inlineStr"/>
    </row>
    <row r="779">
      <c r="A779" s="3" t="n">
        <v>46168</v>
      </c>
      <c r="B779" s="4">
        <f>IF($A779="","",TEXT($A779,"mmm-yyyy"))</f>
        <v/>
      </c>
      <c r="C779" s="4">
        <f>IF($A779="","","W"&amp;WEEKNUM($A779,2))</f>
        <v/>
      </c>
      <c r="D779" s="4">
        <f>IF($A779="","",TEXT($A779,"ddd"))</f>
        <v/>
      </c>
      <c r="E779" s="4" t="inlineStr">
        <is>
          <t>Cost</t>
        </is>
      </c>
      <c r="F779" s="4">
        <f>IFERROR(INDEX(Tbl_KPIMaster[Category],MATCH($G779,Tbl_KPIMaster[KPI],0)),"")</f>
        <v/>
      </c>
      <c r="G779" s="4" t="inlineStr">
        <is>
          <t>Cost per Unit</t>
        </is>
      </c>
      <c r="H779" s="4">
        <f>IFERROR(INDEX(Tbl_KPIMaster[Unit],MATCH($G779,Tbl_KPIMaster[KPI],0)),"")</f>
        <v/>
      </c>
      <c r="I779" s="5">
        <f>IFERROR(INDEX(Tbl_KPIMaster[Maximum Target],MATCH($G779,Tbl_KPIMaster[KPI],0)),"")</f>
        <v/>
      </c>
      <c r="J779" s="5" t="n">
        <v>40.8</v>
      </c>
      <c r="K779" s="4">
        <f>IFERROR(INDEX(Tbl_KPIMaster[Tolerance],MATCH($G779,Tbl_KPIMaster[KPI],0)),"")</f>
        <v/>
      </c>
      <c r="L779" s="4">
        <f>IFERROR(INDEX(Tbl_KPIMaster[Owner],MATCH($G779,Tbl_KPIMaster[KPI],0)),"")</f>
        <v/>
      </c>
      <c r="M779" s="6" t="inlineStr">
        <is>
          <t>Vendor delay</t>
        </is>
      </c>
      <c r="N779" s="4" t="inlineStr">
        <is>
          <t>Engineering support needed</t>
        </is>
      </c>
      <c r="O779" s="4" t="inlineStr">
        <is>
          <t>Low</t>
        </is>
      </c>
      <c r="P779" s="4" t="inlineStr">
        <is>
          <t>Closed</t>
        </is>
      </c>
      <c r="Q779" s="5">
        <f>IFERROR(IF(INDEX(Tbl_KPIMaster[Direction],MATCH($G779,Tbl_KPIMaster[KPI],0))="Lower is Better",IF($J779=0,1,IF($I779=0,0,$I779/$J779)),IF($I779=0,1,$J779/$I779)),0)</f>
        <v/>
      </c>
      <c r="R779" s="4">
        <f>IF(OR($I779="",$J779=""),"",$J779-$I779)</f>
        <v/>
      </c>
      <c r="S779" s="4">
        <f>IFERROR(IF(INDEX(Tbl_KPIMaster[Direction],MATCH($G779,Tbl_KPIMaster[KPI],0))="Lower is Better",IF($J779&lt;=$I779,"Green",IF($J779&lt;=$I779+IF($I779=0,$K779,$I779*$K779),"Amber","Red")),IF($J779&gt;=$I779,"Green",IF($J779&gt;=$I779-IF($I779=0,$K779,$I779*$K779),"Amber","Red"))),"")</f>
        <v/>
      </c>
      <c r="T779" s="6" t="inlineStr"/>
    </row>
    <row r="780">
      <c r="A780" s="7" t="n">
        <v>46168</v>
      </c>
      <c r="B780" s="8">
        <f>IF($A780="","",TEXT($A780,"mmm-yyyy"))</f>
        <v/>
      </c>
      <c r="C780" s="8">
        <f>IF($A780="","","W"&amp;WEEKNUM($A780,2))</f>
        <v/>
      </c>
      <c r="D780" s="8">
        <f>IF($A780="","",TEXT($A780,"ddd"))</f>
        <v/>
      </c>
      <c r="E780" s="8" t="inlineStr">
        <is>
          <t>Cost</t>
        </is>
      </c>
      <c r="F780" s="8">
        <f>IFERROR(INDEX(Tbl_KPIMaster[Category],MATCH($G780,Tbl_KPIMaster[KPI],0)),"")</f>
        <v/>
      </c>
      <c r="G780" s="8" t="inlineStr">
        <is>
          <t>Budget Variance %</t>
        </is>
      </c>
      <c r="H780" s="8">
        <f>IFERROR(INDEX(Tbl_KPIMaster[Unit],MATCH($G780,Tbl_KPIMaster[KPI],0)),"")</f>
        <v/>
      </c>
      <c r="I780" s="9">
        <f>IFERROR(INDEX(Tbl_KPIMaster[Maximum Target],MATCH($G780,Tbl_KPIMaster[KPI],0)),"")</f>
        <v/>
      </c>
      <c r="J780" s="9" t="n">
        <v>0.2606</v>
      </c>
      <c r="K780" s="8">
        <f>IFERROR(INDEX(Tbl_KPIMaster[Tolerance],MATCH($G780,Tbl_KPIMaster[KPI],0)),"")</f>
        <v/>
      </c>
      <c r="L780" s="8">
        <f>IFERROR(INDEX(Tbl_KPIMaster[Owner],MATCH($G780,Tbl_KPIMaster[KPI],0)),"")</f>
        <v/>
      </c>
      <c r="M780" s="10" t="inlineStr">
        <is>
          <t>Process improvement in progress</t>
        </is>
      </c>
      <c r="N780" s="8" t="inlineStr">
        <is>
          <t>Engineering support needed</t>
        </is>
      </c>
      <c r="O780" s="8" t="inlineStr">
        <is>
          <t>Medium</t>
        </is>
      </c>
      <c r="P780" s="8" t="inlineStr">
        <is>
          <t>Closed</t>
        </is>
      </c>
      <c r="Q780" s="9">
        <f>IFERROR(IF(INDEX(Tbl_KPIMaster[Direction],MATCH($G780,Tbl_KPIMaster[KPI],0))="Lower is Better",IF($J780=0,1,IF($I780=0,0,$I780/$J780)),IF($I780=0,1,$J780/$I780)),0)</f>
        <v/>
      </c>
      <c r="R780" s="8">
        <f>IF(OR($I780="",$J780=""),"",$J780-$I780)</f>
        <v/>
      </c>
      <c r="S780" s="8">
        <f>IFERROR(IF(INDEX(Tbl_KPIMaster[Direction],MATCH($G780,Tbl_KPIMaster[KPI],0))="Lower is Better",IF($J780&lt;=$I780,"Green",IF($J780&lt;=$I780+IF($I780=0,$K780,$I780*$K780),"Amber","Red")),IF($J780&gt;=$I780,"Green",IF($J780&gt;=$I780-IF($I780=0,$K780,$I780*$K780),"Amber","Red"))),"")</f>
        <v/>
      </c>
      <c r="T780" s="10" t="inlineStr"/>
    </row>
    <row r="781">
      <c r="A781" s="3" t="n">
        <v>46168</v>
      </c>
      <c r="B781" s="4">
        <f>IF($A781="","",TEXT($A781,"mmm-yyyy"))</f>
        <v/>
      </c>
      <c r="C781" s="4">
        <f>IF($A781="","","W"&amp;WEEKNUM($A781,2))</f>
        <v/>
      </c>
      <c r="D781" s="4">
        <f>IF($A781="","",TEXT($A781,"ddd"))</f>
        <v/>
      </c>
      <c r="E781" s="4" t="inlineStr">
        <is>
          <t>Energy</t>
        </is>
      </c>
      <c r="F781" s="4">
        <f>IFERROR(INDEX(Tbl_KPIMaster[Category],MATCH($G781,Tbl_KPIMaster[KPI],0)),"")</f>
        <v/>
      </c>
      <c r="G781" s="4" t="inlineStr">
        <is>
          <t>Energy Intensity (kWh/unit)</t>
        </is>
      </c>
      <c r="H781" s="4">
        <f>IFERROR(INDEX(Tbl_KPIMaster[Unit],MATCH($G781,Tbl_KPIMaster[KPI],0)),"")</f>
        <v/>
      </c>
      <c r="I781" s="5">
        <f>IFERROR(INDEX(Tbl_KPIMaster[Maximum Target],MATCH($G781,Tbl_KPIMaster[KPI],0)),"")</f>
        <v/>
      </c>
      <c r="J781" s="5" t="n">
        <v>5.09</v>
      </c>
      <c r="K781" s="4">
        <f>IFERROR(INDEX(Tbl_KPIMaster[Tolerance],MATCH($G781,Tbl_KPIMaster[KPI],0)),"")</f>
        <v/>
      </c>
      <c r="L781" s="4">
        <f>IFERROR(INDEX(Tbl_KPIMaster[Owner],MATCH($G781,Tbl_KPIMaster[KPI],0)),"")</f>
        <v/>
      </c>
      <c r="M781" s="6" t="inlineStr">
        <is>
          <t>New operator training effect</t>
        </is>
      </c>
      <c r="N781" s="4" t="inlineStr">
        <is>
          <t>Management approval pending</t>
        </is>
      </c>
      <c r="O781" s="4" t="inlineStr">
        <is>
          <t>Medium</t>
        </is>
      </c>
      <c r="P781" s="4" t="inlineStr">
        <is>
          <t>Closed</t>
        </is>
      </c>
      <c r="Q781" s="5">
        <f>IFERROR(IF(INDEX(Tbl_KPIMaster[Direction],MATCH($G781,Tbl_KPIMaster[KPI],0))="Lower is Better",IF($J781=0,1,IF($I781=0,0,$I781/$J781)),IF($I781=0,1,$J781/$I781)),0)</f>
        <v/>
      </c>
      <c r="R781" s="4">
        <f>IF(OR($I781="",$J781=""),"",$J781-$I781)</f>
        <v/>
      </c>
      <c r="S781" s="4">
        <f>IFERROR(IF(INDEX(Tbl_KPIMaster[Direction],MATCH($G781,Tbl_KPIMaster[KPI],0))="Lower is Better",IF($J781&lt;=$I781,"Green",IF($J781&lt;=$I781+IF($I781=0,$K781,$I781*$K781),"Amber","Red")),IF($J781&gt;=$I781,"Green",IF($J781&gt;=$I781-IF($I781=0,$K781,$I781*$K781),"Amber","Red"))),"")</f>
        <v/>
      </c>
      <c r="T781" s="6" t="inlineStr"/>
    </row>
    <row r="782">
      <c r="A782" s="7" t="n">
        <v>46168</v>
      </c>
      <c r="B782" s="8">
        <f>IF($A782="","",TEXT($A782,"mmm-yyyy"))</f>
        <v/>
      </c>
      <c r="C782" s="8">
        <f>IF($A782="","","W"&amp;WEEKNUM($A782,2))</f>
        <v/>
      </c>
      <c r="D782" s="8">
        <f>IF($A782="","",TEXT($A782,"ddd"))</f>
        <v/>
      </c>
      <c r="E782" s="8" t="inlineStr">
        <is>
          <t>Energy</t>
        </is>
      </c>
      <c r="F782" s="8">
        <f>IFERROR(INDEX(Tbl_KPIMaster[Category],MATCH($G782,Tbl_KPIMaster[KPI],0)),"")</f>
        <v/>
      </c>
      <c r="G782" s="8" t="inlineStr">
        <is>
          <t>Renewable Energy Share %</t>
        </is>
      </c>
      <c r="H782" s="8">
        <f>IFERROR(INDEX(Tbl_KPIMaster[Unit],MATCH($G782,Tbl_KPIMaster[KPI],0)),"")</f>
        <v/>
      </c>
      <c r="I782" s="9">
        <f>IFERROR(INDEX(Tbl_KPIMaster[Maximum Target],MATCH($G782,Tbl_KPIMaster[KPI],0)),"")</f>
        <v/>
      </c>
      <c r="J782" s="9" t="n">
        <v>0.2404</v>
      </c>
      <c r="K782" s="8">
        <f>IFERROR(INDEX(Tbl_KPIMaster[Tolerance],MATCH($G782,Tbl_KPIMaster[KPI],0)),"")</f>
        <v/>
      </c>
      <c r="L782" s="8">
        <f>IFERROR(INDEX(Tbl_KPIMaster[Owner],MATCH($G782,Tbl_KPIMaster[KPI],0)),"")</f>
        <v/>
      </c>
      <c r="M782" s="10" t="inlineStr">
        <is>
          <t>New operator training effect</t>
        </is>
      </c>
      <c r="N782" s="8" t="inlineStr">
        <is>
          <t>Engineering support needed</t>
        </is>
      </c>
      <c r="O782" s="8" t="inlineStr">
        <is>
          <t>Medium</t>
        </is>
      </c>
      <c r="P782" s="8" t="inlineStr">
        <is>
          <t>Closed</t>
        </is>
      </c>
      <c r="Q782" s="9">
        <f>IFERROR(IF(INDEX(Tbl_KPIMaster[Direction],MATCH($G782,Tbl_KPIMaster[KPI],0))="Lower is Better",IF($J782=0,1,IF($I782=0,0,$I782/$J782)),IF($I782=0,1,$J782/$I782)),0)</f>
        <v/>
      </c>
      <c r="R782" s="8">
        <f>IF(OR($I782="",$J782=""),"",$J782-$I782)</f>
        <v/>
      </c>
      <c r="S782" s="8">
        <f>IFERROR(IF(INDEX(Tbl_KPIMaster[Direction],MATCH($G782,Tbl_KPIMaster[KPI],0))="Lower is Better",IF($J782&lt;=$I782,"Green",IF($J782&lt;=$I782+IF($I782=0,$K782,$I782*$K782),"Amber","Red")),IF($J782&gt;=$I782,"Green",IF($J782&gt;=$I782-IF($I782=0,$K782,$I782*$K782),"Amber","Red"))),"")</f>
        <v/>
      </c>
      <c r="T782" s="10" t="inlineStr"/>
    </row>
    <row r="783">
      <c r="A783" s="3" t="n">
        <v>46169</v>
      </c>
      <c r="B783" s="4">
        <f>IF($A783="","",TEXT($A783,"mmm-yyyy"))</f>
        <v/>
      </c>
      <c r="C783" s="4">
        <f>IF($A783="","","W"&amp;WEEKNUM($A783,2))</f>
        <v/>
      </c>
      <c r="D783" s="4">
        <f>IF($A783="","",TEXT($A783,"ddd"))</f>
        <v/>
      </c>
      <c r="E783" s="4" t="inlineStr">
        <is>
          <t>Safety</t>
        </is>
      </c>
      <c r="F783" s="4">
        <f>IFERROR(INDEX(Tbl_KPIMaster[Category],MATCH($G783,Tbl_KPIMaster[KPI],0)),"")</f>
        <v/>
      </c>
      <c r="G783" s="4" t="inlineStr">
        <is>
          <t>Safety Incidents (LTI)</t>
        </is>
      </c>
      <c r="H783" s="4">
        <f>IFERROR(INDEX(Tbl_KPIMaster[Unit],MATCH($G783,Tbl_KPIMaster[KPI],0)),"")</f>
        <v/>
      </c>
      <c r="I783" s="5">
        <f>IFERROR(INDEX(Tbl_KPIMaster[Maximum Target],MATCH($G783,Tbl_KPIMaster[KPI],0)),"")</f>
        <v/>
      </c>
      <c r="J783" s="5" t="n">
        <v>0</v>
      </c>
      <c r="K783" s="4">
        <f>IFERROR(INDEX(Tbl_KPIMaster[Tolerance],MATCH($G783,Tbl_KPIMaster[KPI],0)),"")</f>
        <v/>
      </c>
      <c r="L783" s="4">
        <f>IFERROR(INDEX(Tbl_KPIMaster[Owner],MATCH($G783,Tbl_KPIMaster[KPI],0)),"")</f>
        <v/>
      </c>
      <c r="M783" s="6" t="inlineStr">
        <is>
          <t>Within normal range</t>
        </is>
      </c>
      <c r="N783" s="4" t="inlineStr">
        <is>
          <t>Engineering support needed</t>
        </is>
      </c>
      <c r="O783" s="4" t="inlineStr">
        <is>
          <t>Low</t>
        </is>
      </c>
      <c r="P783" s="4" t="inlineStr">
        <is>
          <t>Closed</t>
        </is>
      </c>
      <c r="Q783" s="5">
        <f>IFERROR(IF(INDEX(Tbl_KPIMaster[Direction],MATCH($G783,Tbl_KPIMaster[KPI],0))="Lower is Better",IF($J783=0,1,IF($I783=0,0,$I783/$J783)),IF($I783=0,1,$J783/$I783)),0)</f>
        <v/>
      </c>
      <c r="R783" s="4">
        <f>IF(OR($I783="",$J783=""),"",$J783-$I783)</f>
        <v/>
      </c>
      <c r="S783" s="4">
        <f>IFERROR(IF(INDEX(Tbl_KPIMaster[Direction],MATCH($G783,Tbl_KPIMaster[KPI],0))="Lower is Better",IF($J783&lt;=$I783,"Green",IF($J783&lt;=$I783+IF($I783=0,$K783,$I783*$K783),"Amber","Red")),IF($J783&gt;=$I783,"Green",IF($J783&gt;=$I783-IF($I783=0,$K783,$I783*$K783),"Amber","Red"))),"")</f>
        <v/>
      </c>
      <c r="T783" s="6" t="inlineStr"/>
    </row>
    <row r="784">
      <c r="A784" s="7" t="n">
        <v>46169</v>
      </c>
      <c r="B784" s="8">
        <f>IF($A784="","",TEXT($A784,"mmm-yyyy"))</f>
        <v/>
      </c>
      <c r="C784" s="8">
        <f>IF($A784="","","W"&amp;WEEKNUM($A784,2))</f>
        <v/>
      </c>
      <c r="D784" s="8">
        <f>IF($A784="","",TEXT($A784,"ddd"))</f>
        <v/>
      </c>
      <c r="E784" s="8" t="inlineStr">
        <is>
          <t>Safety</t>
        </is>
      </c>
      <c r="F784" s="8">
        <f>IFERROR(INDEX(Tbl_KPIMaster[Category],MATCH($G784,Tbl_KPIMaster[KPI],0)),"")</f>
        <v/>
      </c>
      <c r="G784" s="8" t="inlineStr">
        <is>
          <t>Near Miss Reports</t>
        </is>
      </c>
      <c r="H784" s="8">
        <f>IFERROR(INDEX(Tbl_KPIMaster[Unit],MATCH($G784,Tbl_KPIMaster[KPI],0)),"")</f>
        <v/>
      </c>
      <c r="I784" s="9">
        <f>IFERROR(INDEX(Tbl_KPIMaster[Maximum Target],MATCH($G784,Tbl_KPIMaster[KPI],0)),"")</f>
        <v/>
      </c>
      <c r="J784" s="9" t="n">
        <v>2</v>
      </c>
      <c r="K784" s="8">
        <f>IFERROR(INDEX(Tbl_KPIMaster[Tolerance],MATCH($G784,Tbl_KPIMaster[KPI],0)),"")</f>
        <v/>
      </c>
      <c r="L784" s="8">
        <f>IFERROR(INDEX(Tbl_KPIMaster[Owner],MATCH($G784,Tbl_KPIMaster[KPI],0)),"")</f>
        <v/>
      </c>
      <c r="M784" s="10" t="inlineStr">
        <is>
          <t>Process improvement in progress</t>
        </is>
      </c>
      <c r="N784" s="8" t="inlineStr">
        <is>
          <t>Procurement follow-up</t>
        </is>
      </c>
      <c r="O784" s="8" t="inlineStr">
        <is>
          <t>Medium</t>
        </is>
      </c>
      <c r="P784" s="8" t="inlineStr">
        <is>
          <t>Open</t>
        </is>
      </c>
      <c r="Q784" s="9">
        <f>IFERROR(IF(INDEX(Tbl_KPIMaster[Direction],MATCH($G784,Tbl_KPIMaster[KPI],0))="Lower is Better",IF($J784=0,1,IF($I784=0,0,$I784/$J784)),IF($I784=0,1,$J784/$I784)),0)</f>
        <v/>
      </c>
      <c r="R784" s="8">
        <f>IF(OR($I784="",$J784=""),"",$J784-$I784)</f>
        <v/>
      </c>
      <c r="S784" s="8">
        <f>IFERROR(IF(INDEX(Tbl_KPIMaster[Direction],MATCH($G784,Tbl_KPIMaster[KPI],0))="Lower is Better",IF($J784&lt;=$I784,"Green",IF($J784&lt;=$I784+IF($I784=0,$K784,$I784*$K784),"Amber","Red")),IF($J784&gt;=$I784,"Green",IF($J784&gt;=$I784-IF($I784=0,$K784,$I784*$K784),"Amber","Red"))),"")</f>
        <v/>
      </c>
      <c r="T784" s="10" t="inlineStr"/>
    </row>
    <row r="785">
      <c r="A785" s="3" t="n">
        <v>46169</v>
      </c>
      <c r="B785" s="4">
        <f>IF($A785="","",TEXT($A785,"mmm-yyyy"))</f>
        <v/>
      </c>
      <c r="C785" s="4">
        <f>IF($A785="","","W"&amp;WEEKNUM($A785,2))</f>
        <v/>
      </c>
      <c r="D785" s="4">
        <f>IF($A785="","",TEXT($A785,"ddd"))</f>
        <v/>
      </c>
      <c r="E785" s="4" t="inlineStr">
        <is>
          <t>Production</t>
        </is>
      </c>
      <c r="F785" s="4">
        <f>IFERROR(INDEX(Tbl_KPIMaster[Category],MATCH($G785,Tbl_KPIMaster[KPI],0)),"")</f>
        <v/>
      </c>
      <c r="G785" s="4" t="inlineStr">
        <is>
          <t>Production Output</t>
        </is>
      </c>
      <c r="H785" s="4">
        <f>IFERROR(INDEX(Tbl_KPIMaster[Unit],MATCH($G785,Tbl_KPIMaster[KPI],0)),"")</f>
        <v/>
      </c>
      <c r="I785" s="5">
        <f>IFERROR(INDEX(Tbl_KPIMaster[Maximum Target],MATCH($G785,Tbl_KPIMaster[KPI],0)),"")</f>
        <v/>
      </c>
      <c r="J785" s="5" t="n">
        <v>971.51</v>
      </c>
      <c r="K785" s="4">
        <f>IFERROR(INDEX(Tbl_KPIMaster[Tolerance],MATCH($G785,Tbl_KPIMaster[KPI],0)),"")</f>
        <v/>
      </c>
      <c r="L785" s="4">
        <f>IFERROR(INDEX(Tbl_KPIMaster[Owner],MATCH($G785,Tbl_KPIMaster[KPI],0)),"")</f>
        <v/>
      </c>
      <c r="M785" s="6" t="inlineStr">
        <is>
          <t>Preventive check done</t>
        </is>
      </c>
      <c r="N785" s="4" t="inlineStr"/>
      <c r="O785" s="4" t="inlineStr">
        <is>
          <t>Low</t>
        </is>
      </c>
      <c r="P785" s="4" t="inlineStr">
        <is>
          <t>Closed</t>
        </is>
      </c>
      <c r="Q785" s="5">
        <f>IFERROR(IF(INDEX(Tbl_KPIMaster[Direction],MATCH($G785,Tbl_KPIMaster[KPI],0))="Lower is Better",IF($J785=0,1,IF($I785=0,0,$I785/$J785)),IF($I785=0,1,$J785/$I785)),0)</f>
        <v/>
      </c>
      <c r="R785" s="4">
        <f>IF(OR($I785="",$J785=""),"",$J785-$I785)</f>
        <v/>
      </c>
      <c r="S785" s="4">
        <f>IFERROR(IF(INDEX(Tbl_KPIMaster[Direction],MATCH($G785,Tbl_KPIMaster[KPI],0))="Lower is Better",IF($J785&lt;=$I785,"Green",IF($J785&lt;=$I785+IF($I785=0,$K785,$I785*$K785),"Amber","Red")),IF($J785&gt;=$I785,"Green",IF($J785&gt;=$I785-IF($I785=0,$K785,$I785*$K785),"Amber","Red"))),"")</f>
        <v/>
      </c>
      <c r="T785" s="6" t="inlineStr"/>
    </row>
    <row r="786">
      <c r="A786" s="7" t="n">
        <v>46169</v>
      </c>
      <c r="B786" s="8">
        <f>IF($A786="","",TEXT($A786,"mmm-yyyy"))</f>
        <v/>
      </c>
      <c r="C786" s="8">
        <f>IF($A786="","","W"&amp;WEEKNUM($A786,2))</f>
        <v/>
      </c>
      <c r="D786" s="8">
        <f>IF($A786="","",TEXT($A786,"ddd"))</f>
        <v/>
      </c>
      <c r="E786" s="8" t="inlineStr">
        <is>
          <t>Production</t>
        </is>
      </c>
      <c r="F786" s="8">
        <f>IFERROR(INDEX(Tbl_KPIMaster[Category],MATCH($G786,Tbl_KPIMaster[KPI],0)),"")</f>
        <v/>
      </c>
      <c r="G786" s="8" t="inlineStr">
        <is>
          <t>OEE %</t>
        </is>
      </c>
      <c r="H786" s="8">
        <f>IFERROR(INDEX(Tbl_KPIMaster[Unit],MATCH($G786,Tbl_KPIMaster[KPI],0)),"")</f>
        <v/>
      </c>
      <c r="I786" s="9">
        <f>IFERROR(INDEX(Tbl_KPIMaster[Maximum Target],MATCH($G786,Tbl_KPIMaster[KPI],0)),"")</f>
        <v/>
      </c>
      <c r="J786" s="9" t="n">
        <v>0.7278</v>
      </c>
      <c r="K786" s="8">
        <f>IFERROR(INDEX(Tbl_KPIMaster[Tolerance],MATCH($G786,Tbl_KPIMaster[KPI],0)),"")</f>
        <v/>
      </c>
      <c r="L786" s="8">
        <f>IFERROR(INDEX(Tbl_KPIMaster[Owner],MATCH($G786,Tbl_KPIMaster[KPI],0)),"")</f>
        <v/>
      </c>
      <c r="M786" s="10" t="inlineStr">
        <is>
          <t>Vendor delay</t>
        </is>
      </c>
      <c r="N786" s="8" t="inlineStr"/>
      <c r="O786" s="8" t="inlineStr">
        <is>
          <t>Low</t>
        </is>
      </c>
      <c r="P786" s="8" t="inlineStr">
        <is>
          <t>Open</t>
        </is>
      </c>
      <c r="Q786" s="9">
        <f>IFERROR(IF(INDEX(Tbl_KPIMaster[Direction],MATCH($G786,Tbl_KPIMaster[KPI],0))="Lower is Better",IF($J786=0,1,IF($I786=0,0,$I786/$J786)),IF($I786=0,1,$J786/$I786)),0)</f>
        <v/>
      </c>
      <c r="R786" s="8">
        <f>IF(OR($I786="",$J786=""),"",$J786-$I786)</f>
        <v/>
      </c>
      <c r="S786" s="8">
        <f>IFERROR(IF(INDEX(Tbl_KPIMaster[Direction],MATCH($G786,Tbl_KPIMaster[KPI],0))="Lower is Better",IF($J786&lt;=$I786,"Green",IF($J786&lt;=$I786+IF($I786=0,$K786,$I786*$K786),"Amber","Red")),IF($J786&gt;=$I786,"Green",IF($J786&gt;=$I786-IF($I786=0,$K786,$I786*$K786),"Amber","Red"))),"")</f>
        <v/>
      </c>
      <c r="T786" s="10" t="inlineStr"/>
    </row>
    <row r="787">
      <c r="A787" s="3" t="n">
        <v>46169</v>
      </c>
      <c r="B787" s="4">
        <f>IF($A787="","",TEXT($A787,"mmm-yyyy"))</f>
        <v/>
      </c>
      <c r="C787" s="4">
        <f>IF($A787="","","W"&amp;WEEKNUM($A787,2))</f>
        <v/>
      </c>
      <c r="D787" s="4">
        <f>IF($A787="","",TEXT($A787,"ddd"))</f>
        <v/>
      </c>
      <c r="E787" s="4" t="inlineStr">
        <is>
          <t>Quality</t>
        </is>
      </c>
      <c r="F787" s="4">
        <f>IFERROR(INDEX(Tbl_KPIMaster[Category],MATCH($G787,Tbl_KPIMaster[KPI],0)),"")</f>
        <v/>
      </c>
      <c r="G787" s="4" t="inlineStr">
        <is>
          <t>Defect Rate %</t>
        </is>
      </c>
      <c r="H787" s="4">
        <f>IFERROR(INDEX(Tbl_KPIMaster[Unit],MATCH($G787,Tbl_KPIMaster[KPI],0)),"")</f>
        <v/>
      </c>
      <c r="I787" s="5">
        <f>IFERROR(INDEX(Tbl_KPIMaster[Maximum Target],MATCH($G787,Tbl_KPIMaster[KPI],0)),"")</f>
        <v/>
      </c>
      <c r="J787" s="5" t="n">
        <v>1.1984</v>
      </c>
      <c r="K787" s="4">
        <f>IFERROR(INDEX(Tbl_KPIMaster[Tolerance],MATCH($G787,Tbl_KPIMaster[KPI],0)),"")</f>
        <v/>
      </c>
      <c r="L787" s="4">
        <f>IFERROR(INDEX(Tbl_KPIMaster[Owner],MATCH($G787,Tbl_KPIMaster[KPI],0)),"")</f>
        <v/>
      </c>
      <c r="M787" s="6" t="inlineStr">
        <is>
          <t>Within normal range</t>
        </is>
      </c>
      <c r="N787" s="4" t="inlineStr">
        <is>
          <t>Management approval pending</t>
        </is>
      </c>
      <c r="O787" s="4" t="inlineStr">
        <is>
          <t>Low</t>
        </is>
      </c>
      <c r="P787" s="4" t="inlineStr">
        <is>
          <t>Closed</t>
        </is>
      </c>
      <c r="Q787" s="5">
        <f>IFERROR(IF(INDEX(Tbl_KPIMaster[Direction],MATCH($G787,Tbl_KPIMaster[KPI],0))="Lower is Better",IF($J787=0,1,IF($I787=0,0,$I787/$J787)),IF($I787=0,1,$J787/$I787)),0)</f>
        <v/>
      </c>
      <c r="R787" s="4">
        <f>IF(OR($I787="",$J787=""),"",$J787-$I787)</f>
        <v/>
      </c>
      <c r="S787" s="4">
        <f>IFERROR(IF(INDEX(Tbl_KPIMaster[Direction],MATCH($G787,Tbl_KPIMaster[KPI],0))="Lower is Better",IF($J787&lt;=$I787,"Green",IF($J787&lt;=$I787+IF($I787=0,$K787,$I787*$K787),"Amber","Red")),IF($J787&gt;=$I787,"Green",IF($J787&gt;=$I787-IF($I787=0,$K787,$I787*$K787),"Amber","Red"))),"")</f>
        <v/>
      </c>
      <c r="T787" s="6" t="inlineStr"/>
    </row>
    <row r="788">
      <c r="A788" s="7" t="n">
        <v>46169</v>
      </c>
      <c r="B788" s="8">
        <f>IF($A788="","",TEXT($A788,"mmm-yyyy"))</f>
        <v/>
      </c>
      <c r="C788" s="8">
        <f>IF($A788="","","W"&amp;WEEKNUM($A788,2))</f>
        <v/>
      </c>
      <c r="D788" s="8">
        <f>IF($A788="","",TEXT($A788,"ddd"))</f>
        <v/>
      </c>
      <c r="E788" s="8" t="inlineStr">
        <is>
          <t>Quality</t>
        </is>
      </c>
      <c r="F788" s="8">
        <f>IFERROR(INDEX(Tbl_KPIMaster[Category],MATCH($G788,Tbl_KPIMaster[KPI],0)),"")</f>
        <v/>
      </c>
      <c r="G788" s="8" t="inlineStr">
        <is>
          <t>Customer Complaints</t>
        </is>
      </c>
      <c r="H788" s="8">
        <f>IFERROR(INDEX(Tbl_KPIMaster[Unit],MATCH($G788,Tbl_KPIMaster[KPI],0)),"")</f>
        <v/>
      </c>
      <c r="I788" s="9">
        <f>IFERROR(INDEX(Tbl_KPIMaster[Maximum Target],MATCH($G788,Tbl_KPIMaster[KPI],0)),"")</f>
        <v/>
      </c>
      <c r="J788" s="9" t="n">
        <v>1</v>
      </c>
      <c r="K788" s="8">
        <f>IFERROR(INDEX(Tbl_KPIMaster[Tolerance],MATCH($G788,Tbl_KPIMaster[KPI],0)),"")</f>
        <v/>
      </c>
      <c r="L788" s="8">
        <f>IFERROR(INDEX(Tbl_KPIMaster[Owner],MATCH($G788,Tbl_KPIMaster[KPI],0)),"")</f>
        <v/>
      </c>
      <c r="M788" s="10" t="inlineStr">
        <is>
          <t>Awaiting spares</t>
        </is>
      </c>
      <c r="N788" s="8" t="inlineStr"/>
      <c r="O788" s="8" t="inlineStr">
        <is>
          <t>Low</t>
        </is>
      </c>
      <c r="P788" s="8" t="inlineStr">
        <is>
          <t>Closed</t>
        </is>
      </c>
      <c r="Q788" s="9">
        <f>IFERROR(IF(INDEX(Tbl_KPIMaster[Direction],MATCH($G788,Tbl_KPIMaster[KPI],0))="Lower is Better",IF($J788=0,1,IF($I788=0,0,$I788/$J788)),IF($I788=0,1,$J788/$I788)),0)</f>
        <v/>
      </c>
      <c r="R788" s="8">
        <f>IF(OR($I788="",$J788=""),"",$J788-$I788)</f>
        <v/>
      </c>
      <c r="S788" s="8">
        <f>IFERROR(IF(INDEX(Tbl_KPIMaster[Direction],MATCH($G788,Tbl_KPIMaster[KPI],0))="Lower is Better",IF($J788&lt;=$I788,"Green",IF($J788&lt;=$I788+IF($I788=0,$K788,$I788*$K788),"Amber","Red")),IF($J788&gt;=$I788,"Green",IF($J788&gt;=$I788-IF($I788=0,$K788,$I788*$K788),"Amber","Red"))),"")</f>
        <v/>
      </c>
      <c r="T788" s="10" t="inlineStr"/>
    </row>
    <row r="789">
      <c r="A789" s="3" t="n">
        <v>46169</v>
      </c>
      <c r="B789" s="4">
        <f>IF($A789="","",TEXT($A789,"mmm-yyyy"))</f>
        <v/>
      </c>
      <c r="C789" s="4">
        <f>IF($A789="","","W"&amp;WEEKNUM($A789,2))</f>
        <v/>
      </c>
      <c r="D789" s="4">
        <f>IF($A789="","",TEXT($A789,"ddd"))</f>
        <v/>
      </c>
      <c r="E789" s="4" t="inlineStr">
        <is>
          <t>Maintenance</t>
        </is>
      </c>
      <c r="F789" s="4">
        <f>IFERROR(INDEX(Tbl_KPIMaster[Category],MATCH($G789,Tbl_KPIMaster[KPI],0)),"")</f>
        <v/>
      </c>
      <c r="G789" s="4" t="inlineStr">
        <is>
          <t>Unplanned Downtime</t>
        </is>
      </c>
      <c r="H789" s="4">
        <f>IFERROR(INDEX(Tbl_KPIMaster[Unit],MATCH($G789,Tbl_KPIMaster[KPI],0)),"")</f>
        <v/>
      </c>
      <c r="I789" s="5">
        <f>IFERROR(INDEX(Tbl_KPIMaster[Maximum Target],MATCH($G789,Tbl_KPIMaster[KPI],0)),"")</f>
        <v/>
      </c>
      <c r="J789" s="5" t="n">
        <v>0</v>
      </c>
      <c r="K789" s="4">
        <f>IFERROR(INDEX(Tbl_KPIMaster[Tolerance],MATCH($G789,Tbl_KPIMaster[KPI],0)),"")</f>
        <v/>
      </c>
      <c r="L789" s="4">
        <f>IFERROR(INDEX(Tbl_KPIMaster[Owner],MATCH($G789,Tbl_KPIMaster[KPI],0)),"")</f>
        <v/>
      </c>
      <c r="M789" s="6" t="inlineStr">
        <is>
          <t>Manpower shortage</t>
        </is>
      </c>
      <c r="N789" s="4" t="inlineStr"/>
      <c r="O789" s="4" t="inlineStr">
        <is>
          <t>Low</t>
        </is>
      </c>
      <c r="P789" s="4" t="inlineStr">
        <is>
          <t>Closed</t>
        </is>
      </c>
      <c r="Q789" s="5">
        <f>IFERROR(IF(INDEX(Tbl_KPIMaster[Direction],MATCH($G789,Tbl_KPIMaster[KPI],0))="Lower is Better",IF($J789=0,1,IF($I789=0,0,$I789/$J789)),IF($I789=0,1,$J789/$I789)),0)</f>
        <v/>
      </c>
      <c r="R789" s="4">
        <f>IF(OR($I789="",$J789=""),"",$J789-$I789)</f>
        <v/>
      </c>
      <c r="S789" s="4">
        <f>IFERROR(IF(INDEX(Tbl_KPIMaster[Direction],MATCH($G789,Tbl_KPIMaster[KPI],0))="Lower is Better",IF($J789&lt;=$I789,"Green",IF($J789&lt;=$I789+IF($I789=0,$K789,$I789*$K789),"Amber","Red")),IF($J789&gt;=$I789,"Green",IF($J789&gt;=$I789-IF($I789=0,$K789,$I789*$K789),"Amber","Red"))),"")</f>
        <v/>
      </c>
      <c r="T789" s="6" t="inlineStr"/>
    </row>
    <row r="790">
      <c r="A790" s="7" t="n">
        <v>46169</v>
      </c>
      <c r="B790" s="8">
        <f>IF($A790="","",TEXT($A790,"mmm-yyyy"))</f>
        <v/>
      </c>
      <c r="C790" s="8">
        <f>IF($A790="","","W"&amp;WEEKNUM($A790,2))</f>
        <v/>
      </c>
      <c r="D790" s="8">
        <f>IF($A790="","",TEXT($A790,"ddd"))</f>
        <v/>
      </c>
      <c r="E790" s="8" t="inlineStr">
        <is>
          <t>Maintenance</t>
        </is>
      </c>
      <c r="F790" s="8">
        <f>IFERROR(INDEX(Tbl_KPIMaster[Category],MATCH($G790,Tbl_KPIMaster[KPI],0)),"")</f>
        <v/>
      </c>
      <c r="G790" s="8" t="inlineStr">
        <is>
          <t>PM Compliance %</t>
        </is>
      </c>
      <c r="H790" s="8">
        <f>IFERROR(INDEX(Tbl_KPIMaster[Unit],MATCH($G790,Tbl_KPIMaster[KPI],0)),"")</f>
        <v/>
      </c>
      <c r="I790" s="9">
        <f>IFERROR(INDEX(Tbl_KPIMaster[Maximum Target],MATCH($G790,Tbl_KPIMaster[KPI],0)),"")</f>
        <v/>
      </c>
      <c r="J790" s="9" t="n">
        <v>0.9002</v>
      </c>
      <c r="K790" s="8">
        <f>IFERROR(INDEX(Tbl_KPIMaster[Tolerance],MATCH($G790,Tbl_KPIMaster[KPI],0)),"")</f>
        <v/>
      </c>
      <c r="L790" s="8">
        <f>IFERROR(INDEX(Tbl_KPIMaster[Owner],MATCH($G790,Tbl_KPIMaster[KPI],0)),"")</f>
        <v/>
      </c>
      <c r="M790" s="10" t="inlineStr">
        <is>
          <t>Line changeover impact</t>
        </is>
      </c>
      <c r="N790" s="8" t="inlineStr">
        <is>
          <t>Management approval pending</t>
        </is>
      </c>
      <c r="O790" s="8" t="inlineStr">
        <is>
          <t>Low</t>
        </is>
      </c>
      <c r="P790" s="8" t="inlineStr">
        <is>
          <t>Closed</t>
        </is>
      </c>
      <c r="Q790" s="9">
        <f>IFERROR(IF(INDEX(Tbl_KPIMaster[Direction],MATCH($G790,Tbl_KPIMaster[KPI],0))="Lower is Better",IF($J790=0,1,IF($I790=0,0,$I790/$J790)),IF($I790=0,1,$J790/$I790)),0)</f>
        <v/>
      </c>
      <c r="R790" s="8">
        <f>IF(OR($I790="",$J790=""),"",$J790-$I790)</f>
        <v/>
      </c>
      <c r="S790" s="8">
        <f>IFERROR(IF(INDEX(Tbl_KPIMaster[Direction],MATCH($G790,Tbl_KPIMaster[KPI],0))="Lower is Better",IF($J790&lt;=$I790,"Green",IF($J790&lt;=$I790+IF($I790=0,$K790,$I790*$K790),"Amber","Red")),IF($J790&gt;=$I790,"Green",IF($J790&gt;=$I790-IF($I790=0,$K790,$I790*$K790),"Amber","Red"))),"")</f>
        <v/>
      </c>
      <c r="T790" s="10" t="inlineStr"/>
    </row>
    <row r="791">
      <c r="A791" s="3" t="n">
        <v>46169</v>
      </c>
      <c r="B791" s="4">
        <f>IF($A791="","",TEXT($A791,"mmm-yyyy"))</f>
        <v/>
      </c>
      <c r="C791" s="4">
        <f>IF($A791="","","W"&amp;WEEKNUM($A791,2))</f>
        <v/>
      </c>
      <c r="D791" s="4">
        <f>IF($A791="","",TEXT($A791,"ddd"))</f>
        <v/>
      </c>
      <c r="E791" s="4" t="inlineStr">
        <is>
          <t>Utilities</t>
        </is>
      </c>
      <c r="F791" s="4">
        <f>IFERROR(INDEX(Tbl_KPIMaster[Category],MATCH($G791,Tbl_KPIMaster[KPI],0)),"")</f>
        <v/>
      </c>
      <c r="G791" s="4" t="inlineStr">
        <is>
          <t>Power Consumption</t>
        </is>
      </c>
      <c r="H791" s="4">
        <f>IFERROR(INDEX(Tbl_KPIMaster[Unit],MATCH($G791,Tbl_KPIMaster[KPI],0)),"")</f>
        <v/>
      </c>
      <c r="I791" s="5">
        <f>IFERROR(INDEX(Tbl_KPIMaster[Maximum Target],MATCH($G791,Tbl_KPIMaster[KPI],0)),"")</f>
        <v/>
      </c>
      <c r="J791" s="5" t="n">
        <v>3805.78</v>
      </c>
      <c r="K791" s="4">
        <f>IFERROR(INDEX(Tbl_KPIMaster[Tolerance],MATCH($G791,Tbl_KPIMaster[KPI],0)),"")</f>
        <v/>
      </c>
      <c r="L791" s="4">
        <f>IFERROR(INDEX(Tbl_KPIMaster[Owner],MATCH($G791,Tbl_KPIMaster[KPI],0)),"")</f>
        <v/>
      </c>
      <c r="M791" s="6" t="inlineStr">
        <is>
          <t>Awaiting spares</t>
        </is>
      </c>
      <c r="N791" s="4" t="inlineStr"/>
      <c r="O791" s="4" t="inlineStr">
        <is>
          <t>Low</t>
        </is>
      </c>
      <c r="P791" s="4" t="inlineStr">
        <is>
          <t>Closed</t>
        </is>
      </c>
      <c r="Q791" s="5">
        <f>IFERROR(IF(INDEX(Tbl_KPIMaster[Direction],MATCH($G791,Tbl_KPIMaster[KPI],0))="Lower is Better",IF($J791=0,1,IF($I791=0,0,$I791/$J791)),IF($I791=0,1,$J791/$I791)),0)</f>
        <v/>
      </c>
      <c r="R791" s="4">
        <f>IF(OR($I791="",$J791=""),"",$J791-$I791)</f>
        <v/>
      </c>
      <c r="S791" s="4">
        <f>IFERROR(IF(INDEX(Tbl_KPIMaster[Direction],MATCH($G791,Tbl_KPIMaster[KPI],0))="Lower is Better",IF($J791&lt;=$I791,"Green",IF($J791&lt;=$I791+IF($I791=0,$K791,$I791*$K791),"Amber","Red")),IF($J791&gt;=$I791,"Green",IF($J791&gt;=$I791-IF($I791=0,$K791,$I791*$K791),"Amber","Red"))),"")</f>
        <v/>
      </c>
      <c r="T791" s="6" t="inlineStr"/>
    </row>
    <row r="792">
      <c r="A792" s="7" t="n">
        <v>46169</v>
      </c>
      <c r="B792" s="8">
        <f>IF($A792="","",TEXT($A792,"mmm-yyyy"))</f>
        <v/>
      </c>
      <c r="C792" s="8">
        <f>IF($A792="","","W"&amp;WEEKNUM($A792,2))</f>
        <v/>
      </c>
      <c r="D792" s="8">
        <f>IF($A792="","",TEXT($A792,"ddd"))</f>
        <v/>
      </c>
      <c r="E792" s="8" t="inlineStr">
        <is>
          <t>Utilities</t>
        </is>
      </c>
      <c r="F792" s="8">
        <f>IFERROR(INDEX(Tbl_KPIMaster[Category],MATCH($G792,Tbl_KPIMaster[KPI],0)),"")</f>
        <v/>
      </c>
      <c r="G792" s="8" t="inlineStr">
        <is>
          <t>Water Consumption</t>
        </is>
      </c>
      <c r="H792" s="8">
        <f>IFERROR(INDEX(Tbl_KPIMaster[Unit],MATCH($G792,Tbl_KPIMaster[KPI],0)),"")</f>
        <v/>
      </c>
      <c r="I792" s="9">
        <f>IFERROR(INDEX(Tbl_KPIMaster[Maximum Target],MATCH($G792,Tbl_KPIMaster[KPI],0)),"")</f>
        <v/>
      </c>
      <c r="J792" s="9" t="n">
        <v>47.07</v>
      </c>
      <c r="K792" s="8">
        <f>IFERROR(INDEX(Tbl_KPIMaster[Tolerance],MATCH($G792,Tbl_KPIMaster[KPI],0)),"")</f>
        <v/>
      </c>
      <c r="L792" s="8">
        <f>IFERROR(INDEX(Tbl_KPIMaster[Owner],MATCH($G792,Tbl_KPIMaster[KPI],0)),"")</f>
        <v/>
      </c>
      <c r="M792" s="10" t="inlineStr">
        <is>
          <t>New operator training effect</t>
        </is>
      </c>
      <c r="N792" s="8" t="inlineStr">
        <is>
          <t>Management approval pending</t>
        </is>
      </c>
      <c r="O792" s="8" t="inlineStr">
        <is>
          <t>High</t>
        </is>
      </c>
      <c r="P792" s="8" t="inlineStr">
        <is>
          <t>Closed</t>
        </is>
      </c>
      <c r="Q792" s="9">
        <f>IFERROR(IF(INDEX(Tbl_KPIMaster[Direction],MATCH($G792,Tbl_KPIMaster[KPI],0))="Lower is Better",IF($J792=0,1,IF($I792=0,0,$I792/$J792)),IF($I792=0,1,$J792/$I792)),0)</f>
        <v/>
      </c>
      <c r="R792" s="8">
        <f>IF(OR($I792="",$J792=""),"",$J792-$I792)</f>
        <v/>
      </c>
      <c r="S792" s="8">
        <f>IFERROR(IF(INDEX(Tbl_KPIMaster[Direction],MATCH($G792,Tbl_KPIMaster[KPI],0))="Lower is Better",IF($J792&lt;=$I792,"Green",IF($J792&lt;=$I792+IF($I792=0,$K792,$I792*$K792),"Amber","Red")),IF($J792&gt;=$I792,"Green",IF($J792&gt;=$I792-IF($I792=0,$K792,$I792*$K792),"Amber","Red"))),"")</f>
        <v/>
      </c>
      <c r="T792" s="10" t="inlineStr"/>
    </row>
    <row r="793">
      <c r="A793" s="3" t="n">
        <v>46169</v>
      </c>
      <c r="B793" s="4">
        <f>IF($A793="","",TEXT($A793,"mmm-yyyy"))</f>
        <v/>
      </c>
      <c r="C793" s="4">
        <f>IF($A793="","","W"&amp;WEEKNUM($A793,2))</f>
        <v/>
      </c>
      <c r="D793" s="4">
        <f>IF($A793="","",TEXT($A793,"ddd"))</f>
        <v/>
      </c>
      <c r="E793" s="4" t="inlineStr">
        <is>
          <t>Warehouse</t>
        </is>
      </c>
      <c r="F793" s="4">
        <f>IFERROR(INDEX(Tbl_KPIMaster[Category],MATCH($G793,Tbl_KPIMaster[KPI],0)),"")</f>
        <v/>
      </c>
      <c r="G793" s="4" t="inlineStr">
        <is>
          <t>On-Time Dispatch %</t>
        </is>
      </c>
      <c r="H793" s="4">
        <f>IFERROR(INDEX(Tbl_KPIMaster[Unit],MATCH($G793,Tbl_KPIMaster[KPI],0)),"")</f>
        <v/>
      </c>
      <c r="I793" s="5">
        <f>IFERROR(INDEX(Tbl_KPIMaster[Maximum Target],MATCH($G793,Tbl_KPIMaster[KPI],0)),"")</f>
        <v/>
      </c>
      <c r="J793" s="5" t="n">
        <v>1.0136</v>
      </c>
      <c r="K793" s="4">
        <f>IFERROR(INDEX(Tbl_KPIMaster[Tolerance],MATCH($G793,Tbl_KPIMaster[KPI],0)),"")</f>
        <v/>
      </c>
      <c r="L793" s="4">
        <f>IFERROR(INDEX(Tbl_KPIMaster[Owner],MATCH($G793,Tbl_KPIMaster[KPI],0)),"")</f>
        <v/>
      </c>
      <c r="M793" s="6" t="inlineStr">
        <is>
          <t>Process improvement in progress</t>
        </is>
      </c>
      <c r="N793" s="4" t="inlineStr"/>
      <c r="O793" s="4" t="inlineStr">
        <is>
          <t>Low</t>
        </is>
      </c>
      <c r="P793" s="4" t="inlineStr">
        <is>
          <t>Closed</t>
        </is>
      </c>
      <c r="Q793" s="5">
        <f>IFERROR(IF(INDEX(Tbl_KPIMaster[Direction],MATCH($G793,Tbl_KPIMaster[KPI],0))="Lower is Better",IF($J793=0,1,IF($I793=0,0,$I793/$J793)),IF($I793=0,1,$J793/$I793)),0)</f>
        <v/>
      </c>
      <c r="R793" s="4">
        <f>IF(OR($I793="",$J793=""),"",$J793-$I793)</f>
        <v/>
      </c>
      <c r="S793" s="4">
        <f>IFERROR(IF(INDEX(Tbl_KPIMaster[Direction],MATCH($G793,Tbl_KPIMaster[KPI],0))="Lower is Better",IF($J793&lt;=$I793,"Green",IF($J793&lt;=$I793+IF($I793=0,$K793,$I793*$K793),"Amber","Red")),IF($J793&gt;=$I793,"Green",IF($J793&gt;=$I793-IF($I793=0,$K793,$I793*$K793),"Amber","Red"))),"")</f>
        <v/>
      </c>
      <c r="T793" s="6" t="inlineStr"/>
    </row>
    <row r="794">
      <c r="A794" s="7" t="n">
        <v>46169</v>
      </c>
      <c r="B794" s="8">
        <f>IF($A794="","",TEXT($A794,"mmm-yyyy"))</f>
        <v/>
      </c>
      <c r="C794" s="8">
        <f>IF($A794="","","W"&amp;WEEKNUM($A794,2))</f>
        <v/>
      </c>
      <c r="D794" s="8">
        <f>IF($A794="","",TEXT($A794,"ddd"))</f>
        <v/>
      </c>
      <c r="E794" s="8" t="inlineStr">
        <is>
          <t>Warehouse</t>
        </is>
      </c>
      <c r="F794" s="8">
        <f>IFERROR(INDEX(Tbl_KPIMaster[Category],MATCH($G794,Tbl_KPIMaster[KPI],0)),"")</f>
        <v/>
      </c>
      <c r="G794" s="8" t="inlineStr">
        <is>
          <t>Inventory Accuracy %</t>
        </is>
      </c>
      <c r="H794" s="8">
        <f>IFERROR(INDEX(Tbl_KPIMaster[Unit],MATCH($G794,Tbl_KPIMaster[KPI],0)),"")</f>
        <v/>
      </c>
      <c r="I794" s="9">
        <f>IFERROR(INDEX(Tbl_KPIMaster[Maximum Target],MATCH($G794,Tbl_KPIMaster[KPI],0)),"")</f>
        <v/>
      </c>
      <c r="J794" s="9" t="n">
        <v>0.9589</v>
      </c>
      <c r="K794" s="8">
        <f>IFERROR(INDEX(Tbl_KPIMaster[Tolerance],MATCH($G794,Tbl_KPIMaster[KPI],0)),"")</f>
        <v/>
      </c>
      <c r="L794" s="8">
        <f>IFERROR(INDEX(Tbl_KPIMaster[Owner],MATCH($G794,Tbl_KPIMaster[KPI],0)),"")</f>
        <v/>
      </c>
      <c r="M794" s="10" t="inlineStr">
        <is>
          <t>Within normal range</t>
        </is>
      </c>
      <c r="N794" s="8" t="inlineStr"/>
      <c r="O794" s="8" t="inlineStr">
        <is>
          <t>Low</t>
        </is>
      </c>
      <c r="P794" s="8" t="inlineStr">
        <is>
          <t>Closed</t>
        </is>
      </c>
      <c r="Q794" s="9">
        <f>IFERROR(IF(INDEX(Tbl_KPIMaster[Direction],MATCH($G794,Tbl_KPIMaster[KPI],0))="Lower is Better",IF($J794=0,1,IF($I794=0,0,$I794/$J794)),IF($I794=0,1,$J794/$I794)),0)</f>
        <v/>
      </c>
      <c r="R794" s="8">
        <f>IF(OR($I794="",$J794=""),"",$J794-$I794)</f>
        <v/>
      </c>
      <c r="S794" s="8">
        <f>IFERROR(IF(INDEX(Tbl_KPIMaster[Direction],MATCH($G794,Tbl_KPIMaster[KPI],0))="Lower is Better",IF($J794&lt;=$I794,"Green",IF($J794&lt;=$I794+IF($I794=0,$K794,$I794*$K794),"Amber","Red")),IF($J794&gt;=$I794,"Green",IF($J794&gt;=$I794-IF($I794=0,$K794,$I794*$K794),"Amber","Red"))),"")</f>
        <v/>
      </c>
      <c r="T794" s="10" t="inlineStr"/>
    </row>
    <row r="795">
      <c r="A795" s="3" t="n">
        <v>46169</v>
      </c>
      <c r="B795" s="4">
        <f>IF($A795="","",TEXT($A795,"mmm-yyyy"))</f>
        <v/>
      </c>
      <c r="C795" s="4">
        <f>IF($A795="","","W"&amp;WEEKNUM($A795,2))</f>
        <v/>
      </c>
      <c r="D795" s="4">
        <f>IF($A795="","",TEXT($A795,"ddd"))</f>
        <v/>
      </c>
      <c r="E795" s="4" t="inlineStr">
        <is>
          <t>HR</t>
        </is>
      </c>
      <c r="F795" s="4">
        <f>IFERROR(INDEX(Tbl_KPIMaster[Category],MATCH($G795,Tbl_KPIMaster[KPI],0)),"")</f>
        <v/>
      </c>
      <c r="G795" s="4" t="inlineStr">
        <is>
          <t>Absenteeism %</t>
        </is>
      </c>
      <c r="H795" s="4">
        <f>IFERROR(INDEX(Tbl_KPIMaster[Unit],MATCH($G795,Tbl_KPIMaster[KPI],0)),"")</f>
        <v/>
      </c>
      <c r="I795" s="5">
        <f>IFERROR(INDEX(Tbl_KPIMaster[Maximum Target],MATCH($G795,Tbl_KPIMaster[KPI],0)),"")</f>
        <v/>
      </c>
      <c r="J795" s="5" t="n">
        <v>0.2255</v>
      </c>
      <c r="K795" s="4">
        <f>IFERROR(INDEX(Tbl_KPIMaster[Tolerance],MATCH($G795,Tbl_KPIMaster[KPI],0)),"")</f>
        <v/>
      </c>
      <c r="L795" s="4">
        <f>IFERROR(INDEX(Tbl_KPIMaster[Owner],MATCH($G795,Tbl_KPIMaster[KPI],0)),"")</f>
        <v/>
      </c>
      <c r="M795" s="6" t="inlineStr">
        <is>
          <t>Equipment breakdown</t>
        </is>
      </c>
      <c r="N795" s="4" t="inlineStr"/>
      <c r="O795" s="4" t="inlineStr">
        <is>
          <t>High</t>
        </is>
      </c>
      <c r="P795" s="4" t="inlineStr">
        <is>
          <t>Closed</t>
        </is>
      </c>
      <c r="Q795" s="5">
        <f>IFERROR(IF(INDEX(Tbl_KPIMaster[Direction],MATCH($G795,Tbl_KPIMaster[KPI],0))="Lower is Better",IF($J795=0,1,IF($I795=0,0,$I795/$J795)),IF($I795=0,1,$J795/$I795)),0)</f>
        <v/>
      </c>
      <c r="R795" s="4">
        <f>IF(OR($I795="",$J795=""),"",$J795-$I795)</f>
        <v/>
      </c>
      <c r="S795" s="4">
        <f>IFERROR(IF(INDEX(Tbl_KPIMaster[Direction],MATCH($G795,Tbl_KPIMaster[KPI],0))="Lower is Better",IF($J795&lt;=$I795,"Green",IF($J795&lt;=$I795+IF($I795=0,$K795,$I795*$K795),"Amber","Red")),IF($J795&gt;=$I795,"Green",IF($J795&gt;=$I795-IF($I795=0,$K795,$I795*$K795),"Amber","Red"))),"")</f>
        <v/>
      </c>
      <c r="T795" s="6" t="inlineStr"/>
    </row>
    <row r="796">
      <c r="A796" s="7" t="n">
        <v>46169</v>
      </c>
      <c r="B796" s="8">
        <f>IF($A796="","",TEXT($A796,"mmm-yyyy"))</f>
        <v/>
      </c>
      <c r="C796" s="8">
        <f>IF($A796="","","W"&amp;WEEKNUM($A796,2))</f>
        <v/>
      </c>
      <c r="D796" s="8">
        <f>IF($A796="","",TEXT($A796,"ddd"))</f>
        <v/>
      </c>
      <c r="E796" s="8" t="inlineStr">
        <is>
          <t>HR</t>
        </is>
      </c>
      <c r="F796" s="8">
        <f>IFERROR(INDEX(Tbl_KPIMaster[Category],MATCH($G796,Tbl_KPIMaster[KPI],0)),"")</f>
        <v/>
      </c>
      <c r="G796" s="8" t="inlineStr">
        <is>
          <t>Training Hours</t>
        </is>
      </c>
      <c r="H796" s="8">
        <f>IFERROR(INDEX(Tbl_KPIMaster[Unit],MATCH($G796,Tbl_KPIMaster[KPI],0)),"")</f>
        <v/>
      </c>
      <c r="I796" s="9">
        <f>IFERROR(INDEX(Tbl_KPIMaster[Maximum Target],MATCH($G796,Tbl_KPIMaster[KPI],0)),"")</f>
        <v/>
      </c>
      <c r="J796" s="9" t="n">
        <v>2.18</v>
      </c>
      <c r="K796" s="8">
        <f>IFERROR(INDEX(Tbl_KPIMaster[Tolerance],MATCH($G796,Tbl_KPIMaster[KPI],0)),"")</f>
        <v/>
      </c>
      <c r="L796" s="8">
        <f>IFERROR(INDEX(Tbl_KPIMaster[Owner],MATCH($G796,Tbl_KPIMaster[KPI],0)),"")</f>
        <v/>
      </c>
      <c r="M796" s="10" t="inlineStr"/>
      <c r="N796" s="8" t="inlineStr"/>
      <c r="O796" s="8" t="inlineStr">
        <is>
          <t>Low</t>
        </is>
      </c>
      <c r="P796" s="8" t="inlineStr">
        <is>
          <t>Closed</t>
        </is>
      </c>
      <c r="Q796" s="9">
        <f>IFERROR(IF(INDEX(Tbl_KPIMaster[Direction],MATCH($G796,Tbl_KPIMaster[KPI],0))="Lower is Better",IF($J796=0,1,IF($I796=0,0,$I796/$J796)),IF($I796=0,1,$J796/$I796)),0)</f>
        <v/>
      </c>
      <c r="R796" s="8">
        <f>IF(OR($I796="",$J796=""),"",$J796-$I796)</f>
        <v/>
      </c>
      <c r="S796" s="8">
        <f>IFERROR(IF(INDEX(Tbl_KPIMaster[Direction],MATCH($G796,Tbl_KPIMaster[KPI],0))="Lower is Better",IF($J796&lt;=$I796,"Green",IF($J796&lt;=$I796+IF($I796=0,$K796,$I796*$K796),"Amber","Red")),IF($J796&gt;=$I796,"Green",IF($J796&gt;=$I796-IF($I796=0,$K796,$I796*$K796),"Amber","Red"))),"")</f>
        <v/>
      </c>
      <c r="T796" s="10" t="inlineStr"/>
    </row>
    <row r="797">
      <c r="A797" s="3" t="n">
        <v>46169</v>
      </c>
      <c r="B797" s="4">
        <f>IF($A797="","",TEXT($A797,"mmm-yyyy"))</f>
        <v/>
      </c>
      <c r="C797" s="4">
        <f>IF($A797="","","W"&amp;WEEKNUM($A797,2))</f>
        <v/>
      </c>
      <c r="D797" s="4">
        <f>IF($A797="","",TEXT($A797,"ddd"))</f>
        <v/>
      </c>
      <c r="E797" s="4" t="inlineStr">
        <is>
          <t>Engineering</t>
        </is>
      </c>
      <c r="F797" s="4">
        <f>IFERROR(INDEX(Tbl_KPIMaster[Category],MATCH($G797,Tbl_KPIMaster[KPI],0)),"")</f>
        <v/>
      </c>
      <c r="G797" s="4" t="inlineStr">
        <is>
          <t>Project Milestone Adherence %</t>
        </is>
      </c>
      <c r="H797" s="4">
        <f>IFERROR(INDEX(Tbl_KPIMaster[Unit],MATCH($G797,Tbl_KPIMaster[KPI],0)),"")</f>
        <v/>
      </c>
      <c r="I797" s="5">
        <f>IFERROR(INDEX(Tbl_KPIMaster[Maximum Target],MATCH($G797,Tbl_KPIMaster[KPI],0)),"")</f>
        <v/>
      </c>
      <c r="J797" s="5" t="n">
        <v>1.1755</v>
      </c>
      <c r="K797" s="4">
        <f>IFERROR(INDEX(Tbl_KPIMaster[Tolerance],MATCH($G797,Tbl_KPIMaster[KPI],0)),"")</f>
        <v/>
      </c>
      <c r="L797" s="4">
        <f>IFERROR(INDEX(Tbl_KPIMaster[Owner],MATCH($G797,Tbl_KPIMaster[KPI],0)),"")</f>
        <v/>
      </c>
      <c r="M797" s="6" t="inlineStr"/>
      <c r="N797" s="4" t="inlineStr"/>
      <c r="O797" s="4" t="inlineStr">
        <is>
          <t>Low</t>
        </is>
      </c>
      <c r="P797" s="4" t="inlineStr">
        <is>
          <t>Closed</t>
        </is>
      </c>
      <c r="Q797" s="5">
        <f>IFERROR(IF(INDEX(Tbl_KPIMaster[Direction],MATCH($G797,Tbl_KPIMaster[KPI],0))="Lower is Better",IF($J797=0,1,IF($I797=0,0,$I797/$J797)),IF($I797=0,1,$J797/$I797)),0)</f>
        <v/>
      </c>
      <c r="R797" s="4">
        <f>IF(OR($I797="",$J797=""),"",$J797-$I797)</f>
        <v/>
      </c>
      <c r="S797" s="4">
        <f>IFERROR(IF(INDEX(Tbl_KPIMaster[Direction],MATCH($G797,Tbl_KPIMaster[KPI],0))="Lower is Better",IF($J797&lt;=$I797,"Green",IF($J797&lt;=$I797+IF($I797=0,$K797,$I797*$K797),"Amber","Red")),IF($J797&gt;=$I797,"Green",IF($J797&gt;=$I797-IF($I797=0,$K797,$I797*$K797),"Amber","Red"))),"")</f>
        <v/>
      </c>
      <c r="T797" s="6" t="inlineStr"/>
    </row>
    <row r="798">
      <c r="A798" s="7" t="n">
        <v>46169</v>
      </c>
      <c r="B798" s="8">
        <f>IF($A798="","",TEXT($A798,"mmm-yyyy"))</f>
        <v/>
      </c>
      <c r="C798" s="8">
        <f>IF($A798="","","W"&amp;WEEKNUM($A798,2))</f>
        <v/>
      </c>
      <c r="D798" s="8">
        <f>IF($A798="","",TEXT($A798,"ddd"))</f>
        <v/>
      </c>
      <c r="E798" s="8" t="inlineStr">
        <is>
          <t>Engineering</t>
        </is>
      </c>
      <c r="F798" s="8">
        <f>IFERROR(INDEX(Tbl_KPIMaster[Category],MATCH($G798,Tbl_KPIMaster[KPI],0)),"")</f>
        <v/>
      </c>
      <c r="G798" s="8" t="inlineStr">
        <is>
          <t>Breakdown Resolution Time</t>
        </is>
      </c>
      <c r="H798" s="8">
        <f>IFERROR(INDEX(Tbl_KPIMaster[Unit],MATCH($G798,Tbl_KPIMaster[KPI],0)),"")</f>
        <v/>
      </c>
      <c r="I798" s="9">
        <f>IFERROR(INDEX(Tbl_KPIMaster[Maximum Target],MATCH($G798,Tbl_KPIMaster[KPI],0)),"")</f>
        <v/>
      </c>
      <c r="J798" s="9" t="n">
        <v>0</v>
      </c>
      <c r="K798" s="8">
        <f>IFERROR(INDEX(Tbl_KPIMaster[Tolerance],MATCH($G798,Tbl_KPIMaster[KPI],0)),"")</f>
        <v/>
      </c>
      <c r="L798" s="8">
        <f>IFERROR(INDEX(Tbl_KPIMaster[Owner],MATCH($G798,Tbl_KPIMaster[KPI],0)),"")</f>
        <v/>
      </c>
      <c r="M798" s="10" t="inlineStr">
        <is>
          <t>Process improvement in progress</t>
        </is>
      </c>
      <c r="N798" s="8" t="inlineStr"/>
      <c r="O798" s="8" t="inlineStr">
        <is>
          <t>Low</t>
        </is>
      </c>
      <c r="P798" s="8" t="inlineStr">
        <is>
          <t>In Progress</t>
        </is>
      </c>
      <c r="Q798" s="9">
        <f>IFERROR(IF(INDEX(Tbl_KPIMaster[Direction],MATCH($G798,Tbl_KPIMaster[KPI],0))="Lower is Better",IF($J798=0,1,IF($I798=0,0,$I798/$J798)),IF($I798=0,1,$J798/$I798)),0)</f>
        <v/>
      </c>
      <c r="R798" s="8">
        <f>IF(OR($I798="",$J798=""),"",$J798-$I798)</f>
        <v/>
      </c>
      <c r="S798" s="8">
        <f>IFERROR(IF(INDEX(Tbl_KPIMaster[Direction],MATCH($G798,Tbl_KPIMaster[KPI],0))="Lower is Better",IF($J798&lt;=$I798,"Green",IF($J798&lt;=$I798+IF($I798=0,$K798,$I798*$K798),"Amber","Red")),IF($J798&gt;=$I798,"Green",IF($J798&gt;=$I798-IF($I798=0,$K798,$I798*$K798),"Amber","Red"))),"")</f>
        <v/>
      </c>
      <c r="T798" s="10" t="inlineStr"/>
    </row>
    <row r="799">
      <c r="A799" s="3" t="n">
        <v>46169</v>
      </c>
      <c r="B799" s="4">
        <f>IF($A799="","",TEXT($A799,"mmm-yyyy"))</f>
        <v/>
      </c>
      <c r="C799" s="4">
        <f>IF($A799="","","W"&amp;WEEKNUM($A799,2))</f>
        <v/>
      </c>
      <c r="D799" s="4">
        <f>IF($A799="","",TEXT($A799,"ddd"))</f>
        <v/>
      </c>
      <c r="E799" s="4" t="inlineStr">
        <is>
          <t>Cost</t>
        </is>
      </c>
      <c r="F799" s="4">
        <f>IFERROR(INDEX(Tbl_KPIMaster[Category],MATCH($G799,Tbl_KPIMaster[KPI],0)),"")</f>
        <v/>
      </c>
      <c r="G799" s="4" t="inlineStr">
        <is>
          <t>Cost per Unit</t>
        </is>
      </c>
      <c r="H799" s="4">
        <f>IFERROR(INDEX(Tbl_KPIMaster[Unit],MATCH($G799,Tbl_KPIMaster[KPI],0)),"")</f>
        <v/>
      </c>
      <c r="I799" s="5">
        <f>IFERROR(INDEX(Tbl_KPIMaster[Maximum Target],MATCH($G799,Tbl_KPIMaster[KPI],0)),"")</f>
        <v/>
      </c>
      <c r="J799" s="5" t="n">
        <v>35.99</v>
      </c>
      <c r="K799" s="4">
        <f>IFERROR(INDEX(Tbl_KPIMaster[Tolerance],MATCH($G799,Tbl_KPIMaster[KPI],0)),"")</f>
        <v/>
      </c>
      <c r="L799" s="4">
        <f>IFERROR(INDEX(Tbl_KPIMaster[Owner],MATCH($G799,Tbl_KPIMaster[KPI],0)),"")</f>
        <v/>
      </c>
      <c r="M799" s="6" t="inlineStr">
        <is>
          <t>Line changeover impact</t>
        </is>
      </c>
      <c r="N799" s="4" t="inlineStr">
        <is>
          <t>Procurement follow-up</t>
        </is>
      </c>
      <c r="O799" s="4" t="inlineStr">
        <is>
          <t>Low</t>
        </is>
      </c>
      <c r="P799" s="4" t="inlineStr">
        <is>
          <t>Closed</t>
        </is>
      </c>
      <c r="Q799" s="5">
        <f>IFERROR(IF(INDEX(Tbl_KPIMaster[Direction],MATCH($G799,Tbl_KPIMaster[KPI],0))="Lower is Better",IF($J799=0,1,IF($I799=0,0,$I799/$J799)),IF($I799=0,1,$J799/$I799)),0)</f>
        <v/>
      </c>
      <c r="R799" s="4">
        <f>IF(OR($I799="",$J799=""),"",$J799-$I799)</f>
        <v/>
      </c>
      <c r="S799" s="4">
        <f>IFERROR(IF(INDEX(Tbl_KPIMaster[Direction],MATCH($G799,Tbl_KPIMaster[KPI],0))="Lower is Better",IF($J799&lt;=$I799,"Green",IF($J799&lt;=$I799+IF($I799=0,$K799,$I799*$K799),"Amber","Red")),IF($J799&gt;=$I799,"Green",IF($J799&gt;=$I799-IF($I799=0,$K799,$I799*$K799),"Amber","Red"))),"")</f>
        <v/>
      </c>
      <c r="T799" s="6" t="inlineStr"/>
    </row>
    <row r="800">
      <c r="A800" s="7" t="n">
        <v>46169</v>
      </c>
      <c r="B800" s="8">
        <f>IF($A800="","",TEXT($A800,"mmm-yyyy"))</f>
        <v/>
      </c>
      <c r="C800" s="8">
        <f>IF($A800="","","W"&amp;WEEKNUM($A800,2))</f>
        <v/>
      </c>
      <c r="D800" s="8">
        <f>IF($A800="","",TEXT($A800,"ddd"))</f>
        <v/>
      </c>
      <c r="E800" s="8" t="inlineStr">
        <is>
          <t>Cost</t>
        </is>
      </c>
      <c r="F800" s="8">
        <f>IFERROR(INDEX(Tbl_KPIMaster[Category],MATCH($G800,Tbl_KPIMaster[KPI],0)),"")</f>
        <v/>
      </c>
      <c r="G800" s="8" t="inlineStr">
        <is>
          <t>Budget Variance %</t>
        </is>
      </c>
      <c r="H800" s="8">
        <f>IFERROR(INDEX(Tbl_KPIMaster[Unit],MATCH($G800,Tbl_KPIMaster[KPI],0)),"")</f>
        <v/>
      </c>
      <c r="I800" s="9">
        <f>IFERROR(INDEX(Tbl_KPIMaster[Maximum Target],MATCH($G800,Tbl_KPIMaster[KPI],0)),"")</f>
        <v/>
      </c>
      <c r="J800" s="9" t="n">
        <v>0</v>
      </c>
      <c r="K800" s="8">
        <f>IFERROR(INDEX(Tbl_KPIMaster[Tolerance],MATCH($G800,Tbl_KPIMaster[KPI],0)),"")</f>
        <v/>
      </c>
      <c r="L800" s="8">
        <f>IFERROR(INDEX(Tbl_KPIMaster[Owner],MATCH($G800,Tbl_KPIMaster[KPI],0)),"")</f>
        <v/>
      </c>
      <c r="M800" s="10" t="inlineStr">
        <is>
          <t>Preventive check done</t>
        </is>
      </c>
      <c r="N800" s="8" t="inlineStr">
        <is>
          <t>Procurement follow-up</t>
        </is>
      </c>
      <c r="O800" s="8" t="inlineStr">
        <is>
          <t>Low</t>
        </is>
      </c>
      <c r="P800" s="8" t="inlineStr">
        <is>
          <t>Closed</t>
        </is>
      </c>
      <c r="Q800" s="9">
        <f>IFERROR(IF(INDEX(Tbl_KPIMaster[Direction],MATCH($G800,Tbl_KPIMaster[KPI],0))="Lower is Better",IF($J800=0,1,IF($I800=0,0,$I800/$J800)),IF($I800=0,1,$J800/$I800)),0)</f>
        <v/>
      </c>
      <c r="R800" s="8">
        <f>IF(OR($I800="",$J800=""),"",$J800-$I800)</f>
        <v/>
      </c>
      <c r="S800" s="8">
        <f>IFERROR(IF(INDEX(Tbl_KPIMaster[Direction],MATCH($G800,Tbl_KPIMaster[KPI],0))="Lower is Better",IF($J800&lt;=$I800,"Green",IF($J800&lt;=$I800+IF($I800=0,$K800,$I800*$K800),"Amber","Red")),IF($J800&gt;=$I800,"Green",IF($J800&gt;=$I800-IF($I800=0,$K800,$I800*$K800),"Amber","Red"))),"")</f>
        <v/>
      </c>
      <c r="T800" s="10" t="inlineStr"/>
    </row>
    <row r="801">
      <c r="A801" s="3" t="n">
        <v>46169</v>
      </c>
      <c r="B801" s="4">
        <f>IF($A801="","",TEXT($A801,"mmm-yyyy"))</f>
        <v/>
      </c>
      <c r="C801" s="4">
        <f>IF($A801="","","W"&amp;WEEKNUM($A801,2))</f>
        <v/>
      </c>
      <c r="D801" s="4">
        <f>IF($A801="","",TEXT($A801,"ddd"))</f>
        <v/>
      </c>
      <c r="E801" s="4" t="inlineStr">
        <is>
          <t>Energy</t>
        </is>
      </c>
      <c r="F801" s="4">
        <f>IFERROR(INDEX(Tbl_KPIMaster[Category],MATCH($G801,Tbl_KPIMaster[KPI],0)),"")</f>
        <v/>
      </c>
      <c r="G801" s="4" t="inlineStr">
        <is>
          <t>Energy Intensity (kWh/unit)</t>
        </is>
      </c>
      <c r="H801" s="4">
        <f>IFERROR(INDEX(Tbl_KPIMaster[Unit],MATCH($G801,Tbl_KPIMaster[KPI],0)),"")</f>
        <v/>
      </c>
      <c r="I801" s="5">
        <f>IFERROR(INDEX(Tbl_KPIMaster[Maximum Target],MATCH($G801,Tbl_KPIMaster[KPI],0)),"")</f>
        <v/>
      </c>
      <c r="J801" s="5" t="n">
        <v>3.45</v>
      </c>
      <c r="K801" s="4">
        <f>IFERROR(INDEX(Tbl_KPIMaster[Tolerance],MATCH($G801,Tbl_KPIMaster[KPI],0)),"")</f>
        <v/>
      </c>
      <c r="L801" s="4">
        <f>IFERROR(INDEX(Tbl_KPIMaster[Owner],MATCH($G801,Tbl_KPIMaster[KPI],0)),"")</f>
        <v/>
      </c>
      <c r="M801" s="6" t="inlineStr">
        <is>
          <t>Line changeover impact</t>
        </is>
      </c>
      <c r="N801" s="4" t="inlineStr">
        <is>
          <t>Management approval pending</t>
        </is>
      </c>
      <c r="O801" s="4" t="inlineStr">
        <is>
          <t>High</t>
        </is>
      </c>
      <c r="P801" s="4" t="inlineStr">
        <is>
          <t>Closed</t>
        </is>
      </c>
      <c r="Q801" s="5">
        <f>IFERROR(IF(INDEX(Tbl_KPIMaster[Direction],MATCH($G801,Tbl_KPIMaster[KPI],0))="Lower is Better",IF($J801=0,1,IF($I801=0,0,$I801/$J801)),IF($I801=0,1,$J801/$I801)),0)</f>
        <v/>
      </c>
      <c r="R801" s="4">
        <f>IF(OR($I801="",$J801=""),"",$J801-$I801)</f>
        <v/>
      </c>
      <c r="S801" s="4">
        <f>IFERROR(IF(INDEX(Tbl_KPIMaster[Direction],MATCH($G801,Tbl_KPIMaster[KPI],0))="Lower is Better",IF($J801&lt;=$I801,"Green",IF($J801&lt;=$I801+IF($I801=0,$K801,$I801*$K801),"Amber","Red")),IF($J801&gt;=$I801,"Green",IF($J801&gt;=$I801-IF($I801=0,$K801,$I801*$K801),"Amber","Red"))),"")</f>
        <v/>
      </c>
      <c r="T801" s="6" t="inlineStr"/>
    </row>
    <row r="802">
      <c r="A802" s="7" t="n">
        <v>46169</v>
      </c>
      <c r="B802" s="8">
        <f>IF($A802="","",TEXT($A802,"mmm-yyyy"))</f>
        <v/>
      </c>
      <c r="C802" s="8">
        <f>IF($A802="","","W"&amp;WEEKNUM($A802,2))</f>
        <v/>
      </c>
      <c r="D802" s="8">
        <f>IF($A802="","",TEXT($A802,"ddd"))</f>
        <v/>
      </c>
      <c r="E802" s="8" t="inlineStr">
        <is>
          <t>Energy</t>
        </is>
      </c>
      <c r="F802" s="8">
        <f>IFERROR(INDEX(Tbl_KPIMaster[Category],MATCH($G802,Tbl_KPIMaster[KPI],0)),"")</f>
        <v/>
      </c>
      <c r="G802" s="8" t="inlineStr">
        <is>
          <t>Renewable Energy Share %</t>
        </is>
      </c>
      <c r="H802" s="8">
        <f>IFERROR(INDEX(Tbl_KPIMaster[Unit],MATCH($G802,Tbl_KPIMaster[KPI],0)),"")</f>
        <v/>
      </c>
      <c r="I802" s="9">
        <f>IFERROR(INDEX(Tbl_KPIMaster[Maximum Target],MATCH($G802,Tbl_KPIMaster[KPI],0)),"")</f>
        <v/>
      </c>
      <c r="J802" s="9" t="n">
        <v>0.2426</v>
      </c>
      <c r="K802" s="8">
        <f>IFERROR(INDEX(Tbl_KPIMaster[Tolerance],MATCH($G802,Tbl_KPIMaster[KPI],0)),"")</f>
        <v/>
      </c>
      <c r="L802" s="8">
        <f>IFERROR(INDEX(Tbl_KPIMaster[Owner],MATCH($G802,Tbl_KPIMaster[KPI],0)),"")</f>
        <v/>
      </c>
      <c r="M802" s="10" t="inlineStr">
        <is>
          <t>Awaiting spares</t>
        </is>
      </c>
      <c r="N802" s="8" t="inlineStr"/>
      <c r="O802" s="8" t="inlineStr">
        <is>
          <t>Low</t>
        </is>
      </c>
      <c r="P802" s="8" t="inlineStr">
        <is>
          <t>In Progress</t>
        </is>
      </c>
      <c r="Q802" s="9">
        <f>IFERROR(IF(INDEX(Tbl_KPIMaster[Direction],MATCH($G802,Tbl_KPIMaster[KPI],0))="Lower is Better",IF($J802=0,1,IF($I802=0,0,$I802/$J802)),IF($I802=0,1,$J802/$I802)),0)</f>
        <v/>
      </c>
      <c r="R802" s="8">
        <f>IF(OR($I802="",$J802=""),"",$J802-$I802)</f>
        <v/>
      </c>
      <c r="S802" s="8">
        <f>IFERROR(IF(INDEX(Tbl_KPIMaster[Direction],MATCH($G802,Tbl_KPIMaster[KPI],0))="Lower is Better",IF($J802&lt;=$I802,"Green",IF($J802&lt;=$I802+IF($I802=0,$K802,$I802*$K802),"Amber","Red")),IF($J802&gt;=$I802,"Green",IF($J802&gt;=$I802-IF($I802=0,$K802,$I802*$K802),"Amber","Red"))),"")</f>
        <v/>
      </c>
      <c r="T802" s="10" t="inlineStr"/>
    </row>
    <row r="803">
      <c r="A803" s="3" t="n">
        <v>46170</v>
      </c>
      <c r="B803" s="4">
        <f>IF($A803="","",TEXT($A803,"mmm-yyyy"))</f>
        <v/>
      </c>
      <c r="C803" s="4">
        <f>IF($A803="","","W"&amp;WEEKNUM($A803,2))</f>
        <v/>
      </c>
      <c r="D803" s="4">
        <f>IF($A803="","",TEXT($A803,"ddd"))</f>
        <v/>
      </c>
      <c r="E803" s="4" t="inlineStr">
        <is>
          <t>Safety</t>
        </is>
      </c>
      <c r="F803" s="4">
        <f>IFERROR(INDEX(Tbl_KPIMaster[Category],MATCH($G803,Tbl_KPIMaster[KPI],0)),"")</f>
        <v/>
      </c>
      <c r="G803" s="4" t="inlineStr">
        <is>
          <t>Safety Incidents (LTI)</t>
        </is>
      </c>
      <c r="H803" s="4">
        <f>IFERROR(INDEX(Tbl_KPIMaster[Unit],MATCH($G803,Tbl_KPIMaster[KPI],0)),"")</f>
        <v/>
      </c>
      <c r="I803" s="5">
        <f>IFERROR(INDEX(Tbl_KPIMaster[Maximum Target],MATCH($G803,Tbl_KPIMaster[KPI],0)),"")</f>
        <v/>
      </c>
      <c r="J803" s="5" t="n">
        <v>1</v>
      </c>
      <c r="K803" s="4">
        <f>IFERROR(INDEX(Tbl_KPIMaster[Tolerance],MATCH($G803,Tbl_KPIMaster[KPI],0)),"")</f>
        <v/>
      </c>
      <c r="L803" s="4">
        <f>IFERROR(INDEX(Tbl_KPIMaster[Owner],MATCH($G803,Tbl_KPIMaster[KPI],0)),"")</f>
        <v/>
      </c>
      <c r="M803" s="6" t="inlineStr">
        <is>
          <t>New operator training effect</t>
        </is>
      </c>
      <c r="N803" s="4" t="inlineStr">
        <is>
          <t>Engineering support needed</t>
        </is>
      </c>
      <c r="O803" s="4" t="inlineStr">
        <is>
          <t>Low</t>
        </is>
      </c>
      <c r="P803" s="4" t="inlineStr">
        <is>
          <t>Open</t>
        </is>
      </c>
      <c r="Q803" s="5">
        <f>IFERROR(IF(INDEX(Tbl_KPIMaster[Direction],MATCH($G803,Tbl_KPIMaster[KPI],0))="Lower is Better",IF($J803=0,1,IF($I803=0,0,$I803/$J803)),IF($I803=0,1,$J803/$I803)),0)</f>
        <v/>
      </c>
      <c r="R803" s="4">
        <f>IF(OR($I803="",$J803=""),"",$J803-$I803)</f>
        <v/>
      </c>
      <c r="S803" s="4">
        <f>IFERROR(IF(INDEX(Tbl_KPIMaster[Direction],MATCH($G803,Tbl_KPIMaster[KPI],0))="Lower is Better",IF($J803&lt;=$I803,"Green",IF($J803&lt;=$I803+IF($I803=0,$K803,$I803*$K803),"Amber","Red")),IF($J803&gt;=$I803,"Green",IF($J803&gt;=$I803-IF($I803=0,$K803,$I803*$K803),"Amber","Red"))),"")</f>
        <v/>
      </c>
      <c r="T803" s="6" t="inlineStr"/>
    </row>
    <row r="804">
      <c r="A804" s="7" t="n">
        <v>46170</v>
      </c>
      <c r="B804" s="8">
        <f>IF($A804="","",TEXT($A804,"mmm-yyyy"))</f>
        <v/>
      </c>
      <c r="C804" s="8">
        <f>IF($A804="","","W"&amp;WEEKNUM($A804,2))</f>
        <v/>
      </c>
      <c r="D804" s="8">
        <f>IF($A804="","",TEXT($A804,"ddd"))</f>
        <v/>
      </c>
      <c r="E804" s="8" t="inlineStr">
        <is>
          <t>Safety</t>
        </is>
      </c>
      <c r="F804" s="8">
        <f>IFERROR(INDEX(Tbl_KPIMaster[Category],MATCH($G804,Tbl_KPIMaster[KPI],0)),"")</f>
        <v/>
      </c>
      <c r="G804" s="8" t="inlineStr">
        <is>
          <t>Near Miss Reports</t>
        </is>
      </c>
      <c r="H804" s="8">
        <f>IFERROR(INDEX(Tbl_KPIMaster[Unit],MATCH($G804,Tbl_KPIMaster[KPI],0)),"")</f>
        <v/>
      </c>
      <c r="I804" s="9">
        <f>IFERROR(INDEX(Tbl_KPIMaster[Maximum Target],MATCH($G804,Tbl_KPIMaster[KPI],0)),"")</f>
        <v/>
      </c>
      <c r="J804" s="9" t="n">
        <v>2</v>
      </c>
      <c r="K804" s="8">
        <f>IFERROR(INDEX(Tbl_KPIMaster[Tolerance],MATCH($G804,Tbl_KPIMaster[KPI],0)),"")</f>
        <v/>
      </c>
      <c r="L804" s="8">
        <f>IFERROR(INDEX(Tbl_KPIMaster[Owner],MATCH($G804,Tbl_KPIMaster[KPI],0)),"")</f>
        <v/>
      </c>
      <c r="M804" s="10" t="inlineStr"/>
      <c r="N804" s="8" t="inlineStr"/>
      <c r="O804" s="8" t="inlineStr">
        <is>
          <t>Medium</t>
        </is>
      </c>
      <c r="P804" s="8" t="inlineStr">
        <is>
          <t>Closed</t>
        </is>
      </c>
      <c r="Q804" s="9">
        <f>IFERROR(IF(INDEX(Tbl_KPIMaster[Direction],MATCH($G804,Tbl_KPIMaster[KPI],0))="Lower is Better",IF($J804=0,1,IF($I804=0,0,$I804/$J804)),IF($I804=0,1,$J804/$I804)),0)</f>
        <v/>
      </c>
      <c r="R804" s="8">
        <f>IF(OR($I804="",$J804=""),"",$J804-$I804)</f>
        <v/>
      </c>
      <c r="S804" s="8">
        <f>IFERROR(IF(INDEX(Tbl_KPIMaster[Direction],MATCH($G804,Tbl_KPIMaster[KPI],0))="Lower is Better",IF($J804&lt;=$I804,"Green",IF($J804&lt;=$I804+IF($I804=0,$K804,$I804*$K804),"Amber","Red")),IF($J804&gt;=$I804,"Green",IF($J804&gt;=$I804-IF($I804=0,$K804,$I804*$K804),"Amber","Red"))),"")</f>
        <v/>
      </c>
      <c r="T804" s="10" t="inlineStr"/>
    </row>
    <row r="805">
      <c r="A805" s="3" t="n">
        <v>46170</v>
      </c>
      <c r="B805" s="4">
        <f>IF($A805="","",TEXT($A805,"mmm-yyyy"))</f>
        <v/>
      </c>
      <c r="C805" s="4">
        <f>IF($A805="","","W"&amp;WEEKNUM($A805,2))</f>
        <v/>
      </c>
      <c r="D805" s="4">
        <f>IF($A805="","",TEXT($A805,"ddd"))</f>
        <v/>
      </c>
      <c r="E805" s="4" t="inlineStr">
        <is>
          <t>Production</t>
        </is>
      </c>
      <c r="F805" s="4">
        <f>IFERROR(INDEX(Tbl_KPIMaster[Category],MATCH($G805,Tbl_KPIMaster[KPI],0)),"")</f>
        <v/>
      </c>
      <c r="G805" s="4" t="inlineStr">
        <is>
          <t>Production Output</t>
        </is>
      </c>
      <c r="H805" s="4">
        <f>IFERROR(INDEX(Tbl_KPIMaster[Unit],MATCH($G805,Tbl_KPIMaster[KPI],0)),"")</f>
        <v/>
      </c>
      <c r="I805" s="5">
        <f>IFERROR(INDEX(Tbl_KPIMaster[Maximum Target],MATCH($G805,Tbl_KPIMaster[KPI],0)),"")</f>
        <v/>
      </c>
      <c r="J805" s="5" t="n">
        <v>1084.87</v>
      </c>
      <c r="K805" s="4">
        <f>IFERROR(INDEX(Tbl_KPIMaster[Tolerance],MATCH($G805,Tbl_KPIMaster[KPI],0)),"")</f>
        <v/>
      </c>
      <c r="L805" s="4">
        <f>IFERROR(INDEX(Tbl_KPIMaster[Owner],MATCH($G805,Tbl_KPIMaster[KPI],0)),"")</f>
        <v/>
      </c>
      <c r="M805" s="6" t="inlineStr"/>
      <c r="N805" s="4" t="inlineStr">
        <is>
          <t>Procurement follow-up</t>
        </is>
      </c>
      <c r="O805" s="4" t="inlineStr">
        <is>
          <t>Low</t>
        </is>
      </c>
      <c r="P805" s="4" t="inlineStr">
        <is>
          <t>Closed</t>
        </is>
      </c>
      <c r="Q805" s="5">
        <f>IFERROR(IF(INDEX(Tbl_KPIMaster[Direction],MATCH($G805,Tbl_KPIMaster[KPI],0))="Lower is Better",IF($J805=0,1,IF($I805=0,0,$I805/$J805)),IF($I805=0,1,$J805/$I805)),0)</f>
        <v/>
      </c>
      <c r="R805" s="4">
        <f>IF(OR($I805="",$J805=""),"",$J805-$I805)</f>
        <v/>
      </c>
      <c r="S805" s="4">
        <f>IFERROR(IF(INDEX(Tbl_KPIMaster[Direction],MATCH($G805,Tbl_KPIMaster[KPI],0))="Lower is Better",IF($J805&lt;=$I805,"Green",IF($J805&lt;=$I805+IF($I805=0,$K805,$I805*$K805),"Amber","Red")),IF($J805&gt;=$I805,"Green",IF($J805&gt;=$I805-IF($I805=0,$K805,$I805*$K805),"Amber","Red"))),"")</f>
        <v/>
      </c>
      <c r="T805" s="6" t="inlineStr"/>
    </row>
    <row r="806">
      <c r="A806" s="7" t="n">
        <v>46170</v>
      </c>
      <c r="B806" s="8">
        <f>IF($A806="","",TEXT($A806,"mmm-yyyy"))</f>
        <v/>
      </c>
      <c r="C806" s="8">
        <f>IF($A806="","","W"&amp;WEEKNUM($A806,2))</f>
        <v/>
      </c>
      <c r="D806" s="8">
        <f>IF($A806="","",TEXT($A806,"ddd"))</f>
        <v/>
      </c>
      <c r="E806" s="8" t="inlineStr">
        <is>
          <t>Production</t>
        </is>
      </c>
      <c r="F806" s="8">
        <f>IFERROR(INDEX(Tbl_KPIMaster[Category],MATCH($G806,Tbl_KPIMaster[KPI],0)),"")</f>
        <v/>
      </c>
      <c r="G806" s="8" t="inlineStr">
        <is>
          <t>OEE %</t>
        </is>
      </c>
      <c r="H806" s="8">
        <f>IFERROR(INDEX(Tbl_KPIMaster[Unit],MATCH($G806,Tbl_KPIMaster[KPI],0)),"")</f>
        <v/>
      </c>
      <c r="I806" s="9">
        <f>IFERROR(INDEX(Tbl_KPIMaster[Maximum Target],MATCH($G806,Tbl_KPIMaster[KPI],0)),"")</f>
        <v/>
      </c>
      <c r="J806" s="9" t="n">
        <v>0.7402</v>
      </c>
      <c r="K806" s="8">
        <f>IFERROR(INDEX(Tbl_KPIMaster[Tolerance],MATCH($G806,Tbl_KPIMaster[KPI],0)),"")</f>
        <v/>
      </c>
      <c r="L806" s="8">
        <f>IFERROR(INDEX(Tbl_KPIMaster[Owner],MATCH($G806,Tbl_KPIMaster[KPI],0)),"")</f>
        <v/>
      </c>
      <c r="M806" s="10" t="inlineStr">
        <is>
          <t>Preventive check done</t>
        </is>
      </c>
      <c r="N806" s="8" t="inlineStr">
        <is>
          <t>Procurement follow-up</t>
        </is>
      </c>
      <c r="O806" s="8" t="inlineStr">
        <is>
          <t>Medium</t>
        </is>
      </c>
      <c r="P806" s="8" t="inlineStr">
        <is>
          <t>Open</t>
        </is>
      </c>
      <c r="Q806" s="9">
        <f>IFERROR(IF(INDEX(Tbl_KPIMaster[Direction],MATCH($G806,Tbl_KPIMaster[KPI],0))="Lower is Better",IF($J806=0,1,IF($I806=0,0,$I806/$J806)),IF($I806=0,1,$J806/$I806)),0)</f>
        <v/>
      </c>
      <c r="R806" s="8">
        <f>IF(OR($I806="",$J806=""),"",$J806-$I806)</f>
        <v/>
      </c>
      <c r="S806" s="8">
        <f>IFERROR(IF(INDEX(Tbl_KPIMaster[Direction],MATCH($G806,Tbl_KPIMaster[KPI],0))="Lower is Better",IF($J806&lt;=$I806,"Green",IF($J806&lt;=$I806+IF($I806=0,$K806,$I806*$K806),"Amber","Red")),IF($J806&gt;=$I806,"Green",IF($J806&gt;=$I806-IF($I806=0,$K806,$I806*$K806),"Amber","Red"))),"")</f>
        <v/>
      </c>
      <c r="T806" s="10" t="inlineStr"/>
    </row>
    <row r="807">
      <c r="A807" s="3" t="n">
        <v>46170</v>
      </c>
      <c r="B807" s="4">
        <f>IF($A807="","",TEXT($A807,"mmm-yyyy"))</f>
        <v/>
      </c>
      <c r="C807" s="4">
        <f>IF($A807="","","W"&amp;WEEKNUM($A807,2))</f>
        <v/>
      </c>
      <c r="D807" s="4">
        <f>IF($A807="","",TEXT($A807,"ddd"))</f>
        <v/>
      </c>
      <c r="E807" s="4" t="inlineStr">
        <is>
          <t>Quality</t>
        </is>
      </c>
      <c r="F807" s="4">
        <f>IFERROR(INDEX(Tbl_KPIMaster[Category],MATCH($G807,Tbl_KPIMaster[KPI],0)),"")</f>
        <v/>
      </c>
      <c r="G807" s="4" t="inlineStr">
        <is>
          <t>Defect Rate %</t>
        </is>
      </c>
      <c r="H807" s="4">
        <f>IFERROR(INDEX(Tbl_KPIMaster[Unit],MATCH($G807,Tbl_KPIMaster[KPI],0)),"")</f>
        <v/>
      </c>
      <c r="I807" s="5">
        <f>IFERROR(INDEX(Tbl_KPIMaster[Maximum Target],MATCH($G807,Tbl_KPIMaster[KPI],0)),"")</f>
        <v/>
      </c>
      <c r="J807" s="5" t="n">
        <v>1.7178</v>
      </c>
      <c r="K807" s="4">
        <f>IFERROR(INDEX(Tbl_KPIMaster[Tolerance],MATCH($G807,Tbl_KPIMaster[KPI],0)),"")</f>
        <v/>
      </c>
      <c r="L807" s="4">
        <f>IFERROR(INDEX(Tbl_KPIMaster[Owner],MATCH($G807,Tbl_KPIMaster[KPI],0)),"")</f>
        <v/>
      </c>
      <c r="M807" s="6" t="inlineStr">
        <is>
          <t>Weather impact</t>
        </is>
      </c>
      <c r="N807" s="4" t="inlineStr"/>
      <c r="O807" s="4" t="inlineStr">
        <is>
          <t>High</t>
        </is>
      </c>
      <c r="P807" s="4" t="inlineStr">
        <is>
          <t>Open</t>
        </is>
      </c>
      <c r="Q807" s="5">
        <f>IFERROR(IF(INDEX(Tbl_KPIMaster[Direction],MATCH($G807,Tbl_KPIMaster[KPI],0))="Lower is Better",IF($J807=0,1,IF($I807=0,0,$I807/$J807)),IF($I807=0,1,$J807/$I807)),0)</f>
        <v/>
      </c>
      <c r="R807" s="4">
        <f>IF(OR($I807="",$J807=""),"",$J807-$I807)</f>
        <v/>
      </c>
      <c r="S807" s="4">
        <f>IFERROR(IF(INDEX(Tbl_KPIMaster[Direction],MATCH($G807,Tbl_KPIMaster[KPI],0))="Lower is Better",IF($J807&lt;=$I807,"Green",IF($J807&lt;=$I807+IF($I807=0,$K807,$I807*$K807),"Amber","Red")),IF($J807&gt;=$I807,"Green",IF($J807&gt;=$I807-IF($I807=0,$K807,$I807*$K807),"Amber","Red"))),"")</f>
        <v/>
      </c>
      <c r="T807" s="6" t="inlineStr"/>
    </row>
    <row r="808">
      <c r="A808" s="7" t="n">
        <v>46170</v>
      </c>
      <c r="B808" s="8">
        <f>IF($A808="","",TEXT($A808,"mmm-yyyy"))</f>
        <v/>
      </c>
      <c r="C808" s="8">
        <f>IF($A808="","","W"&amp;WEEKNUM($A808,2))</f>
        <v/>
      </c>
      <c r="D808" s="8">
        <f>IF($A808="","",TEXT($A808,"ddd"))</f>
        <v/>
      </c>
      <c r="E808" s="8" t="inlineStr">
        <is>
          <t>Quality</t>
        </is>
      </c>
      <c r="F808" s="8">
        <f>IFERROR(INDEX(Tbl_KPIMaster[Category],MATCH($G808,Tbl_KPIMaster[KPI],0)),"")</f>
        <v/>
      </c>
      <c r="G808" s="8" t="inlineStr">
        <is>
          <t>Customer Complaints</t>
        </is>
      </c>
      <c r="H808" s="8">
        <f>IFERROR(INDEX(Tbl_KPIMaster[Unit],MATCH($G808,Tbl_KPIMaster[KPI],0)),"")</f>
        <v/>
      </c>
      <c r="I808" s="9">
        <f>IFERROR(INDEX(Tbl_KPIMaster[Maximum Target],MATCH($G808,Tbl_KPIMaster[KPI],0)),"")</f>
        <v/>
      </c>
      <c r="J808" s="9" t="n">
        <v>0</v>
      </c>
      <c r="K808" s="8">
        <f>IFERROR(INDEX(Tbl_KPIMaster[Tolerance],MATCH($G808,Tbl_KPIMaster[KPI],0)),"")</f>
        <v/>
      </c>
      <c r="L808" s="8">
        <f>IFERROR(INDEX(Tbl_KPIMaster[Owner],MATCH($G808,Tbl_KPIMaster[KPI],0)),"")</f>
        <v/>
      </c>
      <c r="M808" s="10" t="inlineStr">
        <is>
          <t>Weather impact</t>
        </is>
      </c>
      <c r="N808" s="8" t="inlineStr"/>
      <c r="O808" s="8" t="inlineStr">
        <is>
          <t>Medium</t>
        </is>
      </c>
      <c r="P808" s="8" t="inlineStr">
        <is>
          <t>Closed</t>
        </is>
      </c>
      <c r="Q808" s="9">
        <f>IFERROR(IF(INDEX(Tbl_KPIMaster[Direction],MATCH($G808,Tbl_KPIMaster[KPI],0))="Lower is Better",IF($J808=0,1,IF($I808=0,0,$I808/$J808)),IF($I808=0,1,$J808/$I808)),0)</f>
        <v/>
      </c>
      <c r="R808" s="8">
        <f>IF(OR($I808="",$J808=""),"",$J808-$I808)</f>
        <v/>
      </c>
      <c r="S808" s="8">
        <f>IFERROR(IF(INDEX(Tbl_KPIMaster[Direction],MATCH($G808,Tbl_KPIMaster[KPI],0))="Lower is Better",IF($J808&lt;=$I808,"Green",IF($J808&lt;=$I808+IF($I808=0,$K808,$I808*$K808),"Amber","Red")),IF($J808&gt;=$I808,"Green",IF($J808&gt;=$I808-IF($I808=0,$K808,$I808*$K808),"Amber","Red"))),"")</f>
        <v/>
      </c>
      <c r="T808" s="10" t="inlineStr"/>
    </row>
    <row r="809">
      <c r="A809" s="3" t="n">
        <v>46170</v>
      </c>
      <c r="B809" s="4">
        <f>IF($A809="","",TEXT($A809,"mmm-yyyy"))</f>
        <v/>
      </c>
      <c r="C809" s="4">
        <f>IF($A809="","","W"&amp;WEEKNUM($A809,2))</f>
        <v/>
      </c>
      <c r="D809" s="4">
        <f>IF($A809="","",TEXT($A809,"ddd"))</f>
        <v/>
      </c>
      <c r="E809" s="4" t="inlineStr">
        <is>
          <t>Maintenance</t>
        </is>
      </c>
      <c r="F809" s="4">
        <f>IFERROR(INDEX(Tbl_KPIMaster[Category],MATCH($G809,Tbl_KPIMaster[KPI],0)),"")</f>
        <v/>
      </c>
      <c r="G809" s="4" t="inlineStr">
        <is>
          <t>Unplanned Downtime</t>
        </is>
      </c>
      <c r="H809" s="4">
        <f>IFERROR(INDEX(Tbl_KPIMaster[Unit],MATCH($G809,Tbl_KPIMaster[KPI],0)),"")</f>
        <v/>
      </c>
      <c r="I809" s="5">
        <f>IFERROR(INDEX(Tbl_KPIMaster[Maximum Target],MATCH($G809,Tbl_KPIMaster[KPI],0)),"")</f>
        <v/>
      </c>
      <c r="J809" s="5" t="n">
        <v>0.06</v>
      </c>
      <c r="K809" s="4">
        <f>IFERROR(INDEX(Tbl_KPIMaster[Tolerance],MATCH($G809,Tbl_KPIMaster[KPI],0)),"")</f>
        <v/>
      </c>
      <c r="L809" s="4">
        <f>IFERROR(INDEX(Tbl_KPIMaster[Owner],MATCH($G809,Tbl_KPIMaster[KPI],0)),"")</f>
        <v/>
      </c>
      <c r="M809" s="6" t="inlineStr">
        <is>
          <t>New operator training effect</t>
        </is>
      </c>
      <c r="N809" s="4" t="inlineStr"/>
      <c r="O809" s="4" t="inlineStr">
        <is>
          <t>High</t>
        </is>
      </c>
      <c r="P809" s="4" t="inlineStr">
        <is>
          <t>Closed</t>
        </is>
      </c>
      <c r="Q809" s="5">
        <f>IFERROR(IF(INDEX(Tbl_KPIMaster[Direction],MATCH($G809,Tbl_KPIMaster[KPI],0))="Lower is Better",IF($J809=0,1,IF($I809=0,0,$I809/$J809)),IF($I809=0,1,$J809/$I809)),0)</f>
        <v/>
      </c>
      <c r="R809" s="4">
        <f>IF(OR($I809="",$J809=""),"",$J809-$I809)</f>
        <v/>
      </c>
      <c r="S809" s="4">
        <f>IFERROR(IF(INDEX(Tbl_KPIMaster[Direction],MATCH($G809,Tbl_KPIMaster[KPI],0))="Lower is Better",IF($J809&lt;=$I809,"Green",IF($J809&lt;=$I809+IF($I809=0,$K809,$I809*$K809),"Amber","Red")),IF($J809&gt;=$I809,"Green",IF($J809&gt;=$I809-IF($I809=0,$K809,$I809*$K809),"Amber","Red"))),"")</f>
        <v/>
      </c>
      <c r="T809" s="6" t="inlineStr"/>
    </row>
    <row r="810">
      <c r="A810" s="7" t="n">
        <v>46170</v>
      </c>
      <c r="B810" s="8">
        <f>IF($A810="","",TEXT($A810,"mmm-yyyy"))</f>
        <v/>
      </c>
      <c r="C810" s="8">
        <f>IF($A810="","","W"&amp;WEEKNUM($A810,2))</f>
        <v/>
      </c>
      <c r="D810" s="8">
        <f>IF($A810="","",TEXT($A810,"ddd"))</f>
        <v/>
      </c>
      <c r="E810" s="8" t="inlineStr">
        <is>
          <t>Maintenance</t>
        </is>
      </c>
      <c r="F810" s="8">
        <f>IFERROR(INDEX(Tbl_KPIMaster[Category],MATCH($G810,Tbl_KPIMaster[KPI],0)),"")</f>
        <v/>
      </c>
      <c r="G810" s="8" t="inlineStr">
        <is>
          <t>PM Compliance %</t>
        </is>
      </c>
      <c r="H810" s="8">
        <f>IFERROR(INDEX(Tbl_KPIMaster[Unit],MATCH($G810,Tbl_KPIMaster[KPI],0)),"")</f>
        <v/>
      </c>
      <c r="I810" s="9">
        <f>IFERROR(INDEX(Tbl_KPIMaster[Maximum Target],MATCH($G810,Tbl_KPIMaster[KPI],0)),"")</f>
        <v/>
      </c>
      <c r="J810" s="9" t="n">
        <v>0.8761</v>
      </c>
      <c r="K810" s="8">
        <f>IFERROR(INDEX(Tbl_KPIMaster[Tolerance],MATCH($G810,Tbl_KPIMaster[KPI],0)),"")</f>
        <v/>
      </c>
      <c r="L810" s="8">
        <f>IFERROR(INDEX(Tbl_KPIMaster[Owner],MATCH($G810,Tbl_KPIMaster[KPI],0)),"")</f>
        <v/>
      </c>
      <c r="M810" s="10" t="inlineStr">
        <is>
          <t>Equipment breakdown</t>
        </is>
      </c>
      <c r="N810" s="8" t="inlineStr">
        <is>
          <t>Engineering support needed</t>
        </is>
      </c>
      <c r="O810" s="8" t="inlineStr">
        <is>
          <t>High</t>
        </is>
      </c>
      <c r="P810" s="8" t="inlineStr">
        <is>
          <t>Open</t>
        </is>
      </c>
      <c r="Q810" s="9">
        <f>IFERROR(IF(INDEX(Tbl_KPIMaster[Direction],MATCH($G810,Tbl_KPIMaster[KPI],0))="Lower is Better",IF($J810=0,1,IF($I810=0,0,$I810/$J810)),IF($I810=0,1,$J810/$I810)),0)</f>
        <v/>
      </c>
      <c r="R810" s="8">
        <f>IF(OR($I810="",$J810=""),"",$J810-$I810)</f>
        <v/>
      </c>
      <c r="S810" s="8">
        <f>IFERROR(IF(INDEX(Tbl_KPIMaster[Direction],MATCH($G810,Tbl_KPIMaster[KPI],0))="Lower is Better",IF($J810&lt;=$I810,"Green",IF($J810&lt;=$I810+IF($I810=0,$K810,$I810*$K810),"Amber","Red")),IF($J810&gt;=$I810,"Green",IF($J810&gt;=$I810-IF($I810=0,$K810,$I810*$K810),"Amber","Red"))),"")</f>
        <v/>
      </c>
      <c r="T810" s="10" t="inlineStr"/>
    </row>
    <row r="811">
      <c r="A811" s="3" t="n">
        <v>46170</v>
      </c>
      <c r="B811" s="4">
        <f>IF($A811="","",TEXT($A811,"mmm-yyyy"))</f>
        <v/>
      </c>
      <c r="C811" s="4">
        <f>IF($A811="","","W"&amp;WEEKNUM($A811,2))</f>
        <v/>
      </c>
      <c r="D811" s="4">
        <f>IF($A811="","",TEXT($A811,"ddd"))</f>
        <v/>
      </c>
      <c r="E811" s="4" t="inlineStr">
        <is>
          <t>Utilities</t>
        </is>
      </c>
      <c r="F811" s="4">
        <f>IFERROR(INDEX(Tbl_KPIMaster[Category],MATCH($G811,Tbl_KPIMaster[KPI],0)),"")</f>
        <v/>
      </c>
      <c r="G811" s="4" t="inlineStr">
        <is>
          <t>Power Consumption</t>
        </is>
      </c>
      <c r="H811" s="4">
        <f>IFERROR(INDEX(Tbl_KPIMaster[Unit],MATCH($G811,Tbl_KPIMaster[KPI],0)),"")</f>
        <v/>
      </c>
      <c r="I811" s="5">
        <f>IFERROR(INDEX(Tbl_KPIMaster[Maximum Target],MATCH($G811,Tbl_KPIMaster[KPI],0)),"")</f>
        <v/>
      </c>
      <c r="J811" s="5" t="n">
        <v>3723.12</v>
      </c>
      <c r="K811" s="4">
        <f>IFERROR(INDEX(Tbl_KPIMaster[Tolerance],MATCH($G811,Tbl_KPIMaster[KPI],0)),"")</f>
        <v/>
      </c>
      <c r="L811" s="4">
        <f>IFERROR(INDEX(Tbl_KPIMaster[Owner],MATCH($G811,Tbl_KPIMaster[KPI],0)),"")</f>
        <v/>
      </c>
      <c r="M811" s="6" t="inlineStr">
        <is>
          <t>Within normal range</t>
        </is>
      </c>
      <c r="N811" s="4" t="inlineStr">
        <is>
          <t>Procurement follow-up</t>
        </is>
      </c>
      <c r="O811" s="4" t="inlineStr">
        <is>
          <t>Low</t>
        </is>
      </c>
      <c r="P811" s="4" t="inlineStr">
        <is>
          <t>Closed</t>
        </is>
      </c>
      <c r="Q811" s="5">
        <f>IFERROR(IF(INDEX(Tbl_KPIMaster[Direction],MATCH($G811,Tbl_KPIMaster[KPI],0))="Lower is Better",IF($J811=0,1,IF($I811=0,0,$I811/$J811)),IF($I811=0,1,$J811/$I811)),0)</f>
        <v/>
      </c>
      <c r="R811" s="4">
        <f>IF(OR($I811="",$J811=""),"",$J811-$I811)</f>
        <v/>
      </c>
      <c r="S811" s="4">
        <f>IFERROR(IF(INDEX(Tbl_KPIMaster[Direction],MATCH($G811,Tbl_KPIMaster[KPI],0))="Lower is Better",IF($J811&lt;=$I811,"Green",IF($J811&lt;=$I811+IF($I811=0,$K811,$I811*$K811),"Amber","Red")),IF($J811&gt;=$I811,"Green",IF($J811&gt;=$I811-IF($I811=0,$K811,$I811*$K811),"Amber","Red"))),"")</f>
        <v/>
      </c>
      <c r="T811" s="6" t="inlineStr"/>
    </row>
    <row r="812">
      <c r="A812" s="7" t="n">
        <v>46170</v>
      </c>
      <c r="B812" s="8">
        <f>IF($A812="","",TEXT($A812,"mmm-yyyy"))</f>
        <v/>
      </c>
      <c r="C812" s="8">
        <f>IF($A812="","","W"&amp;WEEKNUM($A812,2))</f>
        <v/>
      </c>
      <c r="D812" s="8">
        <f>IF($A812="","",TEXT($A812,"ddd"))</f>
        <v/>
      </c>
      <c r="E812" s="8" t="inlineStr">
        <is>
          <t>Utilities</t>
        </is>
      </c>
      <c r="F812" s="8">
        <f>IFERROR(INDEX(Tbl_KPIMaster[Category],MATCH($G812,Tbl_KPIMaster[KPI],0)),"")</f>
        <v/>
      </c>
      <c r="G812" s="8" t="inlineStr">
        <is>
          <t>Water Consumption</t>
        </is>
      </c>
      <c r="H812" s="8">
        <f>IFERROR(INDEX(Tbl_KPIMaster[Unit],MATCH($G812,Tbl_KPIMaster[KPI],0)),"")</f>
        <v/>
      </c>
      <c r="I812" s="9">
        <f>IFERROR(INDEX(Tbl_KPIMaster[Maximum Target],MATCH($G812,Tbl_KPIMaster[KPI],0)),"")</f>
        <v/>
      </c>
      <c r="J812" s="9" t="n">
        <v>46.44</v>
      </c>
      <c r="K812" s="8">
        <f>IFERROR(INDEX(Tbl_KPIMaster[Tolerance],MATCH($G812,Tbl_KPIMaster[KPI],0)),"")</f>
        <v/>
      </c>
      <c r="L812" s="8">
        <f>IFERROR(INDEX(Tbl_KPIMaster[Owner],MATCH($G812,Tbl_KPIMaster[KPI],0)),"")</f>
        <v/>
      </c>
      <c r="M812" s="10" t="inlineStr">
        <is>
          <t>Manpower shortage</t>
        </is>
      </c>
      <c r="N812" s="8" t="inlineStr"/>
      <c r="O812" s="8" t="inlineStr">
        <is>
          <t>Medium</t>
        </is>
      </c>
      <c r="P812" s="8" t="inlineStr">
        <is>
          <t>Open</t>
        </is>
      </c>
      <c r="Q812" s="9">
        <f>IFERROR(IF(INDEX(Tbl_KPIMaster[Direction],MATCH($G812,Tbl_KPIMaster[KPI],0))="Lower is Better",IF($J812=0,1,IF($I812=0,0,$I812/$J812)),IF($I812=0,1,$J812/$I812)),0)</f>
        <v/>
      </c>
      <c r="R812" s="8">
        <f>IF(OR($I812="",$J812=""),"",$J812-$I812)</f>
        <v/>
      </c>
      <c r="S812" s="8">
        <f>IFERROR(IF(INDEX(Tbl_KPIMaster[Direction],MATCH($G812,Tbl_KPIMaster[KPI],0))="Lower is Better",IF($J812&lt;=$I812,"Green",IF($J812&lt;=$I812+IF($I812=0,$K812,$I812*$K812),"Amber","Red")),IF($J812&gt;=$I812,"Green",IF($J812&gt;=$I812-IF($I812=0,$K812,$I812*$K812),"Amber","Red"))),"")</f>
        <v/>
      </c>
      <c r="T812" s="10" t="inlineStr"/>
    </row>
    <row r="813">
      <c r="A813" s="3" t="n">
        <v>46170</v>
      </c>
      <c r="B813" s="4">
        <f>IF($A813="","",TEXT($A813,"mmm-yyyy"))</f>
        <v/>
      </c>
      <c r="C813" s="4">
        <f>IF($A813="","","W"&amp;WEEKNUM($A813,2))</f>
        <v/>
      </c>
      <c r="D813" s="4">
        <f>IF($A813="","",TEXT($A813,"ddd"))</f>
        <v/>
      </c>
      <c r="E813" s="4" t="inlineStr">
        <is>
          <t>Warehouse</t>
        </is>
      </c>
      <c r="F813" s="4">
        <f>IFERROR(INDEX(Tbl_KPIMaster[Category],MATCH($G813,Tbl_KPIMaster[KPI],0)),"")</f>
        <v/>
      </c>
      <c r="G813" s="4" t="inlineStr">
        <is>
          <t>On-Time Dispatch %</t>
        </is>
      </c>
      <c r="H813" s="4">
        <f>IFERROR(INDEX(Tbl_KPIMaster[Unit],MATCH($G813,Tbl_KPIMaster[KPI],0)),"")</f>
        <v/>
      </c>
      <c r="I813" s="5">
        <f>IFERROR(INDEX(Tbl_KPIMaster[Maximum Target],MATCH($G813,Tbl_KPIMaster[KPI],0)),"")</f>
        <v/>
      </c>
      <c r="J813" s="5" t="n">
        <v>1.0402</v>
      </c>
      <c r="K813" s="4">
        <f>IFERROR(INDEX(Tbl_KPIMaster[Tolerance],MATCH($G813,Tbl_KPIMaster[KPI],0)),"")</f>
        <v/>
      </c>
      <c r="L813" s="4">
        <f>IFERROR(INDEX(Tbl_KPIMaster[Owner],MATCH($G813,Tbl_KPIMaster[KPI],0)),"")</f>
        <v/>
      </c>
      <c r="M813" s="6" t="inlineStr">
        <is>
          <t>Process improvement in progress</t>
        </is>
      </c>
      <c r="N813" s="4" t="inlineStr">
        <is>
          <t>Engineering support needed</t>
        </is>
      </c>
      <c r="O813" s="4" t="inlineStr">
        <is>
          <t>Low</t>
        </is>
      </c>
      <c r="P813" s="4" t="inlineStr">
        <is>
          <t>In Progress</t>
        </is>
      </c>
      <c r="Q813" s="5">
        <f>IFERROR(IF(INDEX(Tbl_KPIMaster[Direction],MATCH($G813,Tbl_KPIMaster[KPI],0))="Lower is Better",IF($J813=0,1,IF($I813=0,0,$I813/$J813)),IF($I813=0,1,$J813/$I813)),0)</f>
        <v/>
      </c>
      <c r="R813" s="4">
        <f>IF(OR($I813="",$J813=""),"",$J813-$I813)</f>
        <v/>
      </c>
      <c r="S813" s="4">
        <f>IFERROR(IF(INDEX(Tbl_KPIMaster[Direction],MATCH($G813,Tbl_KPIMaster[KPI],0))="Lower is Better",IF($J813&lt;=$I813,"Green",IF($J813&lt;=$I813+IF($I813=0,$K813,$I813*$K813),"Amber","Red")),IF($J813&gt;=$I813,"Green",IF($J813&gt;=$I813-IF($I813=0,$K813,$I813*$K813),"Amber","Red"))),"")</f>
        <v/>
      </c>
      <c r="T813" s="6" t="inlineStr"/>
    </row>
    <row r="814">
      <c r="A814" s="7" t="n">
        <v>46170</v>
      </c>
      <c r="B814" s="8">
        <f>IF($A814="","",TEXT($A814,"mmm-yyyy"))</f>
        <v/>
      </c>
      <c r="C814" s="8">
        <f>IF($A814="","","W"&amp;WEEKNUM($A814,2))</f>
        <v/>
      </c>
      <c r="D814" s="8">
        <f>IF($A814="","",TEXT($A814,"ddd"))</f>
        <v/>
      </c>
      <c r="E814" s="8" t="inlineStr">
        <is>
          <t>Warehouse</t>
        </is>
      </c>
      <c r="F814" s="8">
        <f>IFERROR(INDEX(Tbl_KPIMaster[Category],MATCH($G814,Tbl_KPIMaster[KPI],0)),"")</f>
        <v/>
      </c>
      <c r="G814" s="8" t="inlineStr">
        <is>
          <t>Inventory Accuracy %</t>
        </is>
      </c>
      <c r="H814" s="8">
        <f>IFERROR(INDEX(Tbl_KPIMaster[Unit],MATCH($G814,Tbl_KPIMaster[KPI],0)),"")</f>
        <v/>
      </c>
      <c r="I814" s="9">
        <f>IFERROR(INDEX(Tbl_KPIMaster[Maximum Target],MATCH($G814,Tbl_KPIMaster[KPI],0)),"")</f>
        <v/>
      </c>
      <c r="J814" s="9" t="n">
        <v>0.8117</v>
      </c>
      <c r="K814" s="8">
        <f>IFERROR(INDEX(Tbl_KPIMaster[Tolerance],MATCH($G814,Tbl_KPIMaster[KPI],0)),"")</f>
        <v/>
      </c>
      <c r="L814" s="8">
        <f>IFERROR(INDEX(Tbl_KPIMaster[Owner],MATCH($G814,Tbl_KPIMaster[KPI],0)),"")</f>
        <v/>
      </c>
      <c r="M814" s="10" t="inlineStr">
        <is>
          <t>Line changeover impact</t>
        </is>
      </c>
      <c r="N814" s="8" t="inlineStr">
        <is>
          <t>Management approval pending</t>
        </is>
      </c>
      <c r="O814" s="8" t="inlineStr">
        <is>
          <t>Low</t>
        </is>
      </c>
      <c r="P814" s="8" t="inlineStr">
        <is>
          <t>Closed</t>
        </is>
      </c>
      <c r="Q814" s="9">
        <f>IFERROR(IF(INDEX(Tbl_KPIMaster[Direction],MATCH($G814,Tbl_KPIMaster[KPI],0))="Lower is Better",IF($J814=0,1,IF($I814=0,0,$I814/$J814)),IF($I814=0,1,$J814/$I814)),0)</f>
        <v/>
      </c>
      <c r="R814" s="8">
        <f>IF(OR($I814="",$J814=""),"",$J814-$I814)</f>
        <v/>
      </c>
      <c r="S814" s="8">
        <f>IFERROR(IF(INDEX(Tbl_KPIMaster[Direction],MATCH($G814,Tbl_KPIMaster[KPI],0))="Lower is Better",IF($J814&lt;=$I814,"Green",IF($J814&lt;=$I814+IF($I814=0,$K814,$I814*$K814),"Amber","Red")),IF($J814&gt;=$I814,"Green",IF($J814&gt;=$I814-IF($I814=0,$K814,$I814*$K814),"Amber","Red"))),"")</f>
        <v/>
      </c>
      <c r="T814" s="10" t="inlineStr"/>
    </row>
    <row r="815">
      <c r="A815" s="3" t="n">
        <v>46170</v>
      </c>
      <c r="B815" s="4">
        <f>IF($A815="","",TEXT($A815,"mmm-yyyy"))</f>
        <v/>
      </c>
      <c r="C815" s="4">
        <f>IF($A815="","","W"&amp;WEEKNUM($A815,2))</f>
        <v/>
      </c>
      <c r="D815" s="4">
        <f>IF($A815="","",TEXT($A815,"ddd"))</f>
        <v/>
      </c>
      <c r="E815" s="4" t="inlineStr">
        <is>
          <t>HR</t>
        </is>
      </c>
      <c r="F815" s="4">
        <f>IFERROR(INDEX(Tbl_KPIMaster[Category],MATCH($G815,Tbl_KPIMaster[KPI],0)),"")</f>
        <v/>
      </c>
      <c r="G815" s="4" t="inlineStr">
        <is>
          <t>Absenteeism %</t>
        </is>
      </c>
      <c r="H815" s="4">
        <f>IFERROR(INDEX(Tbl_KPIMaster[Unit],MATCH($G815,Tbl_KPIMaster[KPI],0)),"")</f>
        <v/>
      </c>
      <c r="I815" s="5">
        <f>IFERROR(INDEX(Tbl_KPIMaster[Maximum Target],MATCH($G815,Tbl_KPIMaster[KPI],0)),"")</f>
        <v/>
      </c>
      <c r="J815" s="5" t="n">
        <v>1.2511</v>
      </c>
      <c r="K815" s="4">
        <f>IFERROR(INDEX(Tbl_KPIMaster[Tolerance],MATCH($G815,Tbl_KPIMaster[KPI],0)),"")</f>
        <v/>
      </c>
      <c r="L815" s="4">
        <f>IFERROR(INDEX(Tbl_KPIMaster[Owner],MATCH($G815,Tbl_KPIMaster[KPI],0)),"")</f>
        <v/>
      </c>
      <c r="M815" s="6" t="inlineStr">
        <is>
          <t>Preventive check done</t>
        </is>
      </c>
      <c r="N815" s="4" t="inlineStr">
        <is>
          <t>Management approval pending</t>
        </is>
      </c>
      <c r="O815" s="4" t="inlineStr">
        <is>
          <t>Low</t>
        </is>
      </c>
      <c r="P815" s="4" t="inlineStr">
        <is>
          <t>Open</t>
        </is>
      </c>
      <c r="Q815" s="5">
        <f>IFERROR(IF(INDEX(Tbl_KPIMaster[Direction],MATCH($G815,Tbl_KPIMaster[KPI],0))="Lower is Better",IF($J815=0,1,IF($I815=0,0,$I815/$J815)),IF($I815=0,1,$J815/$I815)),0)</f>
        <v/>
      </c>
      <c r="R815" s="4">
        <f>IF(OR($I815="",$J815=""),"",$J815-$I815)</f>
        <v/>
      </c>
      <c r="S815" s="4">
        <f>IFERROR(IF(INDEX(Tbl_KPIMaster[Direction],MATCH($G815,Tbl_KPIMaster[KPI],0))="Lower is Better",IF($J815&lt;=$I815,"Green",IF($J815&lt;=$I815+IF($I815=0,$K815,$I815*$K815),"Amber","Red")),IF($J815&gt;=$I815,"Green",IF($J815&gt;=$I815-IF($I815=0,$K815,$I815*$K815),"Amber","Red"))),"")</f>
        <v/>
      </c>
      <c r="T815" s="6" t="inlineStr"/>
    </row>
    <row r="816">
      <c r="A816" s="7" t="n">
        <v>46170</v>
      </c>
      <c r="B816" s="8">
        <f>IF($A816="","",TEXT($A816,"mmm-yyyy"))</f>
        <v/>
      </c>
      <c r="C816" s="8">
        <f>IF($A816="","","W"&amp;WEEKNUM($A816,2))</f>
        <v/>
      </c>
      <c r="D816" s="8">
        <f>IF($A816="","",TEXT($A816,"ddd"))</f>
        <v/>
      </c>
      <c r="E816" s="8" t="inlineStr">
        <is>
          <t>HR</t>
        </is>
      </c>
      <c r="F816" s="8">
        <f>IFERROR(INDEX(Tbl_KPIMaster[Category],MATCH($G816,Tbl_KPIMaster[KPI],0)),"")</f>
        <v/>
      </c>
      <c r="G816" s="8" t="inlineStr">
        <is>
          <t>Training Hours</t>
        </is>
      </c>
      <c r="H816" s="8">
        <f>IFERROR(INDEX(Tbl_KPIMaster[Unit],MATCH($G816,Tbl_KPIMaster[KPI],0)),"")</f>
        <v/>
      </c>
      <c r="I816" s="9">
        <f>IFERROR(INDEX(Tbl_KPIMaster[Maximum Target],MATCH($G816,Tbl_KPIMaster[KPI],0)),"")</f>
        <v/>
      </c>
      <c r="J816" s="9" t="n">
        <v>2.09</v>
      </c>
      <c r="K816" s="8">
        <f>IFERROR(INDEX(Tbl_KPIMaster[Tolerance],MATCH($G816,Tbl_KPIMaster[KPI],0)),"")</f>
        <v/>
      </c>
      <c r="L816" s="8">
        <f>IFERROR(INDEX(Tbl_KPIMaster[Owner],MATCH($G816,Tbl_KPIMaster[KPI],0)),"")</f>
        <v/>
      </c>
      <c r="M816" s="10" t="inlineStr">
        <is>
          <t>Manpower shortage</t>
        </is>
      </c>
      <c r="N816" s="8" t="inlineStr">
        <is>
          <t>Engineering support needed</t>
        </is>
      </c>
      <c r="O816" s="8" t="inlineStr">
        <is>
          <t>Low</t>
        </is>
      </c>
      <c r="P816" s="8" t="inlineStr">
        <is>
          <t>Closed</t>
        </is>
      </c>
      <c r="Q816" s="9">
        <f>IFERROR(IF(INDEX(Tbl_KPIMaster[Direction],MATCH($G816,Tbl_KPIMaster[KPI],0))="Lower is Better",IF($J816=0,1,IF($I816=0,0,$I816/$J816)),IF($I816=0,1,$J816/$I816)),0)</f>
        <v/>
      </c>
      <c r="R816" s="8">
        <f>IF(OR($I816="",$J816=""),"",$J816-$I816)</f>
        <v/>
      </c>
      <c r="S816" s="8">
        <f>IFERROR(IF(INDEX(Tbl_KPIMaster[Direction],MATCH($G816,Tbl_KPIMaster[KPI],0))="Lower is Better",IF($J816&lt;=$I816,"Green",IF($J816&lt;=$I816+IF($I816=0,$K816,$I816*$K816),"Amber","Red")),IF($J816&gt;=$I816,"Green",IF($J816&gt;=$I816-IF($I816=0,$K816,$I816*$K816),"Amber","Red"))),"")</f>
        <v/>
      </c>
      <c r="T816" s="10" t="inlineStr"/>
    </row>
    <row r="817">
      <c r="A817" s="3" t="n">
        <v>46170</v>
      </c>
      <c r="B817" s="4">
        <f>IF($A817="","",TEXT($A817,"mmm-yyyy"))</f>
        <v/>
      </c>
      <c r="C817" s="4">
        <f>IF($A817="","","W"&amp;WEEKNUM($A817,2))</f>
        <v/>
      </c>
      <c r="D817" s="4">
        <f>IF($A817="","",TEXT($A817,"ddd"))</f>
        <v/>
      </c>
      <c r="E817" s="4" t="inlineStr">
        <is>
          <t>Engineering</t>
        </is>
      </c>
      <c r="F817" s="4">
        <f>IFERROR(INDEX(Tbl_KPIMaster[Category],MATCH($G817,Tbl_KPIMaster[KPI],0)),"")</f>
        <v/>
      </c>
      <c r="G817" s="4" t="inlineStr">
        <is>
          <t>Project Milestone Adherence %</t>
        </is>
      </c>
      <c r="H817" s="4">
        <f>IFERROR(INDEX(Tbl_KPIMaster[Unit],MATCH($G817,Tbl_KPIMaster[KPI],0)),"")</f>
        <v/>
      </c>
      <c r="I817" s="5">
        <f>IFERROR(INDEX(Tbl_KPIMaster[Maximum Target],MATCH($G817,Tbl_KPIMaster[KPI],0)),"")</f>
        <v/>
      </c>
      <c r="J817" s="5" t="n">
        <v>0.8726</v>
      </c>
      <c r="K817" s="4">
        <f>IFERROR(INDEX(Tbl_KPIMaster[Tolerance],MATCH($G817,Tbl_KPIMaster[KPI],0)),"")</f>
        <v/>
      </c>
      <c r="L817" s="4">
        <f>IFERROR(INDEX(Tbl_KPIMaster[Owner],MATCH($G817,Tbl_KPIMaster[KPI],0)),"")</f>
        <v/>
      </c>
      <c r="M817" s="6" t="inlineStr">
        <is>
          <t>Within normal range</t>
        </is>
      </c>
      <c r="N817" s="4" t="inlineStr"/>
      <c r="O817" s="4" t="inlineStr">
        <is>
          <t>Medium</t>
        </is>
      </c>
      <c r="P817" s="4" t="inlineStr">
        <is>
          <t>Closed</t>
        </is>
      </c>
      <c r="Q817" s="5">
        <f>IFERROR(IF(INDEX(Tbl_KPIMaster[Direction],MATCH($G817,Tbl_KPIMaster[KPI],0))="Lower is Better",IF($J817=0,1,IF($I817=0,0,$I817/$J817)),IF($I817=0,1,$J817/$I817)),0)</f>
        <v/>
      </c>
      <c r="R817" s="4">
        <f>IF(OR($I817="",$J817=""),"",$J817-$I817)</f>
        <v/>
      </c>
      <c r="S817" s="4">
        <f>IFERROR(IF(INDEX(Tbl_KPIMaster[Direction],MATCH($G817,Tbl_KPIMaster[KPI],0))="Lower is Better",IF($J817&lt;=$I817,"Green",IF($J817&lt;=$I817+IF($I817=0,$K817,$I817*$K817),"Amber","Red")),IF($J817&gt;=$I817,"Green",IF($J817&gt;=$I817-IF($I817=0,$K817,$I817*$K817),"Amber","Red"))),"")</f>
        <v/>
      </c>
      <c r="T817" s="6" t="inlineStr"/>
    </row>
    <row r="818">
      <c r="A818" s="7" t="n">
        <v>46170</v>
      </c>
      <c r="B818" s="8">
        <f>IF($A818="","",TEXT($A818,"mmm-yyyy"))</f>
        <v/>
      </c>
      <c r="C818" s="8">
        <f>IF($A818="","","W"&amp;WEEKNUM($A818,2))</f>
        <v/>
      </c>
      <c r="D818" s="8">
        <f>IF($A818="","",TEXT($A818,"ddd"))</f>
        <v/>
      </c>
      <c r="E818" s="8" t="inlineStr">
        <is>
          <t>Engineering</t>
        </is>
      </c>
      <c r="F818" s="8">
        <f>IFERROR(INDEX(Tbl_KPIMaster[Category],MATCH($G818,Tbl_KPIMaster[KPI],0)),"")</f>
        <v/>
      </c>
      <c r="G818" s="8" t="inlineStr">
        <is>
          <t>Breakdown Resolution Time</t>
        </is>
      </c>
      <c r="H818" s="8">
        <f>IFERROR(INDEX(Tbl_KPIMaster[Unit],MATCH($G818,Tbl_KPIMaster[KPI],0)),"")</f>
        <v/>
      </c>
      <c r="I818" s="9">
        <f>IFERROR(INDEX(Tbl_KPIMaster[Maximum Target],MATCH($G818,Tbl_KPIMaster[KPI],0)),"")</f>
        <v/>
      </c>
      <c r="J818" s="9" t="n">
        <v>0</v>
      </c>
      <c r="K818" s="8">
        <f>IFERROR(INDEX(Tbl_KPIMaster[Tolerance],MATCH($G818,Tbl_KPIMaster[KPI],0)),"")</f>
        <v/>
      </c>
      <c r="L818" s="8">
        <f>IFERROR(INDEX(Tbl_KPIMaster[Owner],MATCH($G818,Tbl_KPIMaster[KPI],0)),"")</f>
        <v/>
      </c>
      <c r="M818" s="10" t="inlineStr">
        <is>
          <t>New operator training effect</t>
        </is>
      </c>
      <c r="N818" s="8" t="inlineStr">
        <is>
          <t>Procurement follow-up</t>
        </is>
      </c>
      <c r="O818" s="8" t="inlineStr">
        <is>
          <t>High</t>
        </is>
      </c>
      <c r="P818" s="8" t="inlineStr">
        <is>
          <t>Closed</t>
        </is>
      </c>
      <c r="Q818" s="9">
        <f>IFERROR(IF(INDEX(Tbl_KPIMaster[Direction],MATCH($G818,Tbl_KPIMaster[KPI],0))="Lower is Better",IF($J818=0,1,IF($I818=0,0,$I818/$J818)),IF($I818=0,1,$J818/$I818)),0)</f>
        <v/>
      </c>
      <c r="R818" s="8">
        <f>IF(OR($I818="",$J818=""),"",$J818-$I818)</f>
        <v/>
      </c>
      <c r="S818" s="8">
        <f>IFERROR(IF(INDEX(Tbl_KPIMaster[Direction],MATCH($G818,Tbl_KPIMaster[KPI],0))="Lower is Better",IF($J818&lt;=$I818,"Green",IF($J818&lt;=$I818+IF($I818=0,$K818,$I818*$K818),"Amber","Red")),IF($J818&gt;=$I818,"Green",IF($J818&gt;=$I818-IF($I818=0,$K818,$I818*$K818),"Amber","Red"))),"")</f>
        <v/>
      </c>
      <c r="T818" s="10" t="inlineStr"/>
    </row>
    <row r="819">
      <c r="A819" s="3" t="n">
        <v>46170</v>
      </c>
      <c r="B819" s="4">
        <f>IF($A819="","",TEXT($A819,"mmm-yyyy"))</f>
        <v/>
      </c>
      <c r="C819" s="4">
        <f>IF($A819="","","W"&amp;WEEKNUM($A819,2))</f>
        <v/>
      </c>
      <c r="D819" s="4">
        <f>IF($A819="","",TEXT($A819,"ddd"))</f>
        <v/>
      </c>
      <c r="E819" s="4" t="inlineStr">
        <is>
          <t>Cost</t>
        </is>
      </c>
      <c r="F819" s="4">
        <f>IFERROR(INDEX(Tbl_KPIMaster[Category],MATCH($G819,Tbl_KPIMaster[KPI],0)),"")</f>
        <v/>
      </c>
      <c r="G819" s="4" t="inlineStr">
        <is>
          <t>Cost per Unit</t>
        </is>
      </c>
      <c r="H819" s="4">
        <f>IFERROR(INDEX(Tbl_KPIMaster[Unit],MATCH($G819,Tbl_KPIMaster[KPI],0)),"")</f>
        <v/>
      </c>
      <c r="I819" s="5">
        <f>IFERROR(INDEX(Tbl_KPIMaster[Maximum Target],MATCH($G819,Tbl_KPIMaster[KPI],0)),"")</f>
        <v/>
      </c>
      <c r="J819" s="5" t="n">
        <v>48.38</v>
      </c>
      <c r="K819" s="4">
        <f>IFERROR(INDEX(Tbl_KPIMaster[Tolerance],MATCH($G819,Tbl_KPIMaster[KPI],0)),"")</f>
        <v/>
      </c>
      <c r="L819" s="4">
        <f>IFERROR(INDEX(Tbl_KPIMaster[Owner],MATCH($G819,Tbl_KPIMaster[KPI],0)),"")</f>
        <v/>
      </c>
      <c r="M819" s="6" t="inlineStr">
        <is>
          <t>Within normal range</t>
        </is>
      </c>
      <c r="N819" s="4" t="inlineStr"/>
      <c r="O819" s="4" t="inlineStr">
        <is>
          <t>Low</t>
        </is>
      </c>
      <c r="P819" s="4" t="inlineStr">
        <is>
          <t>Closed</t>
        </is>
      </c>
      <c r="Q819" s="5">
        <f>IFERROR(IF(INDEX(Tbl_KPIMaster[Direction],MATCH($G819,Tbl_KPIMaster[KPI],0))="Lower is Better",IF($J819=0,1,IF($I819=0,0,$I819/$J819)),IF($I819=0,1,$J819/$I819)),0)</f>
        <v/>
      </c>
      <c r="R819" s="4">
        <f>IF(OR($I819="",$J819=""),"",$J819-$I819)</f>
        <v/>
      </c>
      <c r="S819" s="4">
        <f>IFERROR(IF(INDEX(Tbl_KPIMaster[Direction],MATCH($G819,Tbl_KPIMaster[KPI],0))="Lower is Better",IF($J819&lt;=$I819,"Green",IF($J819&lt;=$I819+IF($I819=0,$K819,$I819*$K819),"Amber","Red")),IF($J819&gt;=$I819,"Green",IF($J819&gt;=$I819-IF($I819=0,$K819,$I819*$K819),"Amber","Red"))),"")</f>
        <v/>
      </c>
      <c r="T819" s="6" t="inlineStr"/>
    </row>
    <row r="820">
      <c r="A820" s="7" t="n">
        <v>46170</v>
      </c>
      <c r="B820" s="8">
        <f>IF($A820="","",TEXT($A820,"mmm-yyyy"))</f>
        <v/>
      </c>
      <c r="C820" s="8">
        <f>IF($A820="","","W"&amp;WEEKNUM($A820,2))</f>
        <v/>
      </c>
      <c r="D820" s="8">
        <f>IF($A820="","",TEXT($A820,"ddd"))</f>
        <v/>
      </c>
      <c r="E820" s="8" t="inlineStr">
        <is>
          <t>Cost</t>
        </is>
      </c>
      <c r="F820" s="8">
        <f>IFERROR(INDEX(Tbl_KPIMaster[Category],MATCH($G820,Tbl_KPIMaster[KPI],0)),"")</f>
        <v/>
      </c>
      <c r="G820" s="8" t="inlineStr">
        <is>
          <t>Budget Variance %</t>
        </is>
      </c>
      <c r="H820" s="8">
        <f>IFERROR(INDEX(Tbl_KPIMaster[Unit],MATCH($G820,Tbl_KPIMaster[KPI],0)),"")</f>
        <v/>
      </c>
      <c r="I820" s="9">
        <f>IFERROR(INDEX(Tbl_KPIMaster[Maximum Target],MATCH($G820,Tbl_KPIMaster[KPI],0)),"")</f>
        <v/>
      </c>
      <c r="J820" s="9" t="n">
        <v>0</v>
      </c>
      <c r="K820" s="8">
        <f>IFERROR(INDEX(Tbl_KPIMaster[Tolerance],MATCH($G820,Tbl_KPIMaster[KPI],0)),"")</f>
        <v/>
      </c>
      <c r="L820" s="8">
        <f>IFERROR(INDEX(Tbl_KPIMaster[Owner],MATCH($G820,Tbl_KPIMaster[KPI],0)),"")</f>
        <v/>
      </c>
      <c r="M820" s="10" t="inlineStr">
        <is>
          <t>Preventive check done</t>
        </is>
      </c>
      <c r="N820" s="8" t="inlineStr"/>
      <c r="O820" s="8" t="inlineStr">
        <is>
          <t>Medium</t>
        </is>
      </c>
      <c r="P820" s="8" t="inlineStr">
        <is>
          <t>Closed</t>
        </is>
      </c>
      <c r="Q820" s="9">
        <f>IFERROR(IF(INDEX(Tbl_KPIMaster[Direction],MATCH($G820,Tbl_KPIMaster[KPI],0))="Lower is Better",IF($J820=0,1,IF($I820=0,0,$I820/$J820)),IF($I820=0,1,$J820/$I820)),0)</f>
        <v/>
      </c>
      <c r="R820" s="8">
        <f>IF(OR($I820="",$J820=""),"",$J820-$I820)</f>
        <v/>
      </c>
      <c r="S820" s="8">
        <f>IFERROR(IF(INDEX(Tbl_KPIMaster[Direction],MATCH($G820,Tbl_KPIMaster[KPI],0))="Lower is Better",IF($J820&lt;=$I820,"Green",IF($J820&lt;=$I820+IF($I820=0,$K820,$I820*$K820),"Amber","Red")),IF($J820&gt;=$I820,"Green",IF($J820&gt;=$I820-IF($I820=0,$K820,$I820*$K820),"Amber","Red"))),"")</f>
        <v/>
      </c>
      <c r="T820" s="10" t="inlineStr"/>
    </row>
    <row r="821">
      <c r="A821" s="3" t="n">
        <v>46170</v>
      </c>
      <c r="B821" s="4">
        <f>IF($A821="","",TEXT($A821,"mmm-yyyy"))</f>
        <v/>
      </c>
      <c r="C821" s="4">
        <f>IF($A821="","","W"&amp;WEEKNUM($A821,2))</f>
        <v/>
      </c>
      <c r="D821" s="4">
        <f>IF($A821="","",TEXT($A821,"ddd"))</f>
        <v/>
      </c>
      <c r="E821" s="4" t="inlineStr">
        <is>
          <t>Energy</t>
        </is>
      </c>
      <c r="F821" s="4">
        <f>IFERROR(INDEX(Tbl_KPIMaster[Category],MATCH($G821,Tbl_KPIMaster[KPI],0)),"")</f>
        <v/>
      </c>
      <c r="G821" s="4" t="inlineStr">
        <is>
          <t>Energy Intensity (kWh/unit)</t>
        </is>
      </c>
      <c r="H821" s="4">
        <f>IFERROR(INDEX(Tbl_KPIMaster[Unit],MATCH($G821,Tbl_KPIMaster[KPI],0)),"")</f>
        <v/>
      </c>
      <c r="I821" s="5">
        <f>IFERROR(INDEX(Tbl_KPIMaster[Maximum Target],MATCH($G821,Tbl_KPIMaster[KPI],0)),"")</f>
        <v/>
      </c>
      <c r="J821" s="5" t="n">
        <v>3.61</v>
      </c>
      <c r="K821" s="4">
        <f>IFERROR(INDEX(Tbl_KPIMaster[Tolerance],MATCH($G821,Tbl_KPIMaster[KPI],0)),"")</f>
        <v/>
      </c>
      <c r="L821" s="4">
        <f>IFERROR(INDEX(Tbl_KPIMaster[Owner],MATCH($G821,Tbl_KPIMaster[KPI],0)),"")</f>
        <v/>
      </c>
      <c r="M821" s="6" t="inlineStr">
        <is>
          <t>Within normal range</t>
        </is>
      </c>
      <c r="N821" s="4" t="inlineStr">
        <is>
          <t>Management approval pending</t>
        </is>
      </c>
      <c r="O821" s="4" t="inlineStr">
        <is>
          <t>Low</t>
        </is>
      </c>
      <c r="P821" s="4" t="inlineStr">
        <is>
          <t>Closed</t>
        </is>
      </c>
      <c r="Q821" s="5">
        <f>IFERROR(IF(INDEX(Tbl_KPIMaster[Direction],MATCH($G821,Tbl_KPIMaster[KPI],0))="Lower is Better",IF($J821=0,1,IF($I821=0,0,$I821/$J821)),IF($I821=0,1,$J821/$I821)),0)</f>
        <v/>
      </c>
      <c r="R821" s="4">
        <f>IF(OR($I821="",$J821=""),"",$J821-$I821)</f>
        <v/>
      </c>
      <c r="S821" s="4">
        <f>IFERROR(IF(INDEX(Tbl_KPIMaster[Direction],MATCH($G821,Tbl_KPIMaster[KPI],0))="Lower is Better",IF($J821&lt;=$I821,"Green",IF($J821&lt;=$I821+IF($I821=0,$K821,$I821*$K821),"Amber","Red")),IF($J821&gt;=$I821,"Green",IF($J821&gt;=$I821-IF($I821=0,$K821,$I821*$K821),"Amber","Red"))),"")</f>
        <v/>
      </c>
      <c r="T821" s="6" t="inlineStr"/>
    </row>
    <row r="822">
      <c r="A822" s="7" t="n">
        <v>46170</v>
      </c>
      <c r="B822" s="8">
        <f>IF($A822="","",TEXT($A822,"mmm-yyyy"))</f>
        <v/>
      </c>
      <c r="C822" s="8">
        <f>IF($A822="","","W"&amp;WEEKNUM($A822,2))</f>
        <v/>
      </c>
      <c r="D822" s="8">
        <f>IF($A822="","",TEXT($A822,"ddd"))</f>
        <v/>
      </c>
      <c r="E822" s="8" t="inlineStr">
        <is>
          <t>Energy</t>
        </is>
      </c>
      <c r="F822" s="8">
        <f>IFERROR(INDEX(Tbl_KPIMaster[Category],MATCH($G822,Tbl_KPIMaster[KPI],0)),"")</f>
        <v/>
      </c>
      <c r="G822" s="8" t="inlineStr">
        <is>
          <t>Renewable Energy Share %</t>
        </is>
      </c>
      <c r="H822" s="8">
        <f>IFERROR(INDEX(Tbl_KPIMaster[Unit],MATCH($G822,Tbl_KPIMaster[KPI],0)),"")</f>
        <v/>
      </c>
      <c r="I822" s="9">
        <f>IFERROR(INDEX(Tbl_KPIMaster[Maximum Target],MATCH($G822,Tbl_KPIMaster[KPI],0)),"")</f>
        <v/>
      </c>
      <c r="J822" s="9" t="n">
        <v>0.2401</v>
      </c>
      <c r="K822" s="8">
        <f>IFERROR(INDEX(Tbl_KPIMaster[Tolerance],MATCH($G822,Tbl_KPIMaster[KPI],0)),"")</f>
        <v/>
      </c>
      <c r="L822" s="8">
        <f>IFERROR(INDEX(Tbl_KPIMaster[Owner],MATCH($G822,Tbl_KPIMaster[KPI],0)),"")</f>
        <v/>
      </c>
      <c r="M822" s="10" t="inlineStr">
        <is>
          <t>Line changeover impact</t>
        </is>
      </c>
      <c r="N822" s="8" t="inlineStr"/>
      <c r="O822" s="8" t="inlineStr">
        <is>
          <t>Medium</t>
        </is>
      </c>
      <c r="P822" s="8" t="inlineStr">
        <is>
          <t>In Progress</t>
        </is>
      </c>
      <c r="Q822" s="9">
        <f>IFERROR(IF(INDEX(Tbl_KPIMaster[Direction],MATCH($G822,Tbl_KPIMaster[KPI],0))="Lower is Better",IF($J822=0,1,IF($I822=0,0,$I822/$J822)),IF($I822=0,1,$J822/$I822)),0)</f>
        <v/>
      </c>
      <c r="R822" s="8">
        <f>IF(OR($I822="",$J822=""),"",$J822-$I822)</f>
        <v/>
      </c>
      <c r="S822" s="8">
        <f>IFERROR(IF(INDEX(Tbl_KPIMaster[Direction],MATCH($G822,Tbl_KPIMaster[KPI],0))="Lower is Better",IF($J822&lt;=$I822,"Green",IF($J822&lt;=$I822+IF($I822=0,$K822,$I822*$K822),"Amber","Red")),IF($J822&gt;=$I822,"Green",IF($J822&gt;=$I822-IF($I822=0,$K822,$I822*$K822),"Amber","Red"))),"")</f>
        <v/>
      </c>
      <c r="T822" s="10" t="inlineStr"/>
    </row>
    <row r="823">
      <c r="A823" s="3" t="n">
        <v>46171</v>
      </c>
      <c r="B823" s="4">
        <f>IF($A823="","",TEXT($A823,"mmm-yyyy"))</f>
        <v/>
      </c>
      <c r="C823" s="4">
        <f>IF($A823="","","W"&amp;WEEKNUM($A823,2))</f>
        <v/>
      </c>
      <c r="D823" s="4">
        <f>IF($A823="","",TEXT($A823,"ddd"))</f>
        <v/>
      </c>
      <c r="E823" s="4" t="inlineStr">
        <is>
          <t>Safety</t>
        </is>
      </c>
      <c r="F823" s="4">
        <f>IFERROR(INDEX(Tbl_KPIMaster[Category],MATCH($G823,Tbl_KPIMaster[KPI],0)),"")</f>
        <v/>
      </c>
      <c r="G823" s="4" t="inlineStr">
        <is>
          <t>Safety Incidents (LTI)</t>
        </is>
      </c>
      <c r="H823" s="4">
        <f>IFERROR(INDEX(Tbl_KPIMaster[Unit],MATCH($G823,Tbl_KPIMaster[KPI],0)),"")</f>
        <v/>
      </c>
      <c r="I823" s="5">
        <f>IFERROR(INDEX(Tbl_KPIMaster[Maximum Target],MATCH($G823,Tbl_KPIMaster[KPI],0)),"")</f>
        <v/>
      </c>
      <c r="J823" s="5" t="n">
        <v>0</v>
      </c>
      <c r="K823" s="4">
        <f>IFERROR(INDEX(Tbl_KPIMaster[Tolerance],MATCH($G823,Tbl_KPIMaster[KPI],0)),"")</f>
        <v/>
      </c>
      <c r="L823" s="4">
        <f>IFERROR(INDEX(Tbl_KPIMaster[Owner],MATCH($G823,Tbl_KPIMaster[KPI],0)),"")</f>
        <v/>
      </c>
      <c r="M823" s="6" t="inlineStr">
        <is>
          <t>Process improvement in progress</t>
        </is>
      </c>
      <c r="N823" s="4" t="inlineStr"/>
      <c r="O823" s="4" t="inlineStr">
        <is>
          <t>Medium</t>
        </is>
      </c>
      <c r="P823" s="4" t="inlineStr">
        <is>
          <t>In Progress</t>
        </is>
      </c>
      <c r="Q823" s="5">
        <f>IFERROR(IF(INDEX(Tbl_KPIMaster[Direction],MATCH($G823,Tbl_KPIMaster[KPI],0))="Lower is Better",IF($J823=0,1,IF($I823=0,0,$I823/$J823)),IF($I823=0,1,$J823/$I823)),0)</f>
        <v/>
      </c>
      <c r="R823" s="4">
        <f>IF(OR($I823="",$J823=""),"",$J823-$I823)</f>
        <v/>
      </c>
      <c r="S823" s="4">
        <f>IFERROR(IF(INDEX(Tbl_KPIMaster[Direction],MATCH($G823,Tbl_KPIMaster[KPI],0))="Lower is Better",IF($J823&lt;=$I823,"Green",IF($J823&lt;=$I823+IF($I823=0,$K823,$I823*$K823),"Amber","Red")),IF($J823&gt;=$I823,"Green",IF($J823&gt;=$I823-IF($I823=0,$K823,$I823*$K823),"Amber","Red"))),"")</f>
        <v/>
      </c>
      <c r="T823" s="6" t="inlineStr"/>
    </row>
    <row r="824">
      <c r="A824" s="7" t="n">
        <v>46171</v>
      </c>
      <c r="B824" s="8">
        <f>IF($A824="","",TEXT($A824,"mmm-yyyy"))</f>
        <v/>
      </c>
      <c r="C824" s="8">
        <f>IF($A824="","","W"&amp;WEEKNUM($A824,2))</f>
        <v/>
      </c>
      <c r="D824" s="8">
        <f>IF($A824="","",TEXT($A824,"ddd"))</f>
        <v/>
      </c>
      <c r="E824" s="8" t="inlineStr">
        <is>
          <t>Safety</t>
        </is>
      </c>
      <c r="F824" s="8">
        <f>IFERROR(INDEX(Tbl_KPIMaster[Category],MATCH($G824,Tbl_KPIMaster[KPI],0)),"")</f>
        <v/>
      </c>
      <c r="G824" s="8" t="inlineStr">
        <is>
          <t>Near Miss Reports</t>
        </is>
      </c>
      <c r="H824" s="8">
        <f>IFERROR(INDEX(Tbl_KPIMaster[Unit],MATCH($G824,Tbl_KPIMaster[KPI],0)),"")</f>
        <v/>
      </c>
      <c r="I824" s="9">
        <f>IFERROR(INDEX(Tbl_KPIMaster[Maximum Target],MATCH($G824,Tbl_KPIMaster[KPI],0)),"")</f>
        <v/>
      </c>
      <c r="J824" s="9" t="n">
        <v>2</v>
      </c>
      <c r="K824" s="8">
        <f>IFERROR(INDEX(Tbl_KPIMaster[Tolerance],MATCH($G824,Tbl_KPIMaster[KPI],0)),"")</f>
        <v/>
      </c>
      <c r="L824" s="8">
        <f>IFERROR(INDEX(Tbl_KPIMaster[Owner],MATCH($G824,Tbl_KPIMaster[KPI],0)),"")</f>
        <v/>
      </c>
      <c r="M824" s="10" t="inlineStr">
        <is>
          <t>Process improvement in progress</t>
        </is>
      </c>
      <c r="N824" s="8" t="inlineStr">
        <is>
          <t>Management approval pending</t>
        </is>
      </c>
      <c r="O824" s="8" t="inlineStr">
        <is>
          <t>High</t>
        </is>
      </c>
      <c r="P824" s="8" t="inlineStr">
        <is>
          <t>Closed</t>
        </is>
      </c>
      <c r="Q824" s="9">
        <f>IFERROR(IF(INDEX(Tbl_KPIMaster[Direction],MATCH($G824,Tbl_KPIMaster[KPI],0))="Lower is Better",IF($J824=0,1,IF($I824=0,0,$I824/$J824)),IF($I824=0,1,$J824/$I824)),0)</f>
        <v/>
      </c>
      <c r="R824" s="8">
        <f>IF(OR($I824="",$J824=""),"",$J824-$I824)</f>
        <v/>
      </c>
      <c r="S824" s="8">
        <f>IFERROR(IF(INDEX(Tbl_KPIMaster[Direction],MATCH($G824,Tbl_KPIMaster[KPI],0))="Lower is Better",IF($J824&lt;=$I824,"Green",IF($J824&lt;=$I824+IF($I824=0,$K824,$I824*$K824),"Amber","Red")),IF($J824&gt;=$I824,"Green",IF($J824&gt;=$I824-IF($I824=0,$K824,$I824*$K824),"Amber","Red"))),"")</f>
        <v/>
      </c>
      <c r="T824" s="10" t="inlineStr"/>
    </row>
    <row r="825">
      <c r="A825" s="3" t="n">
        <v>46171</v>
      </c>
      <c r="B825" s="4">
        <f>IF($A825="","",TEXT($A825,"mmm-yyyy"))</f>
        <v/>
      </c>
      <c r="C825" s="4">
        <f>IF($A825="","","W"&amp;WEEKNUM($A825,2))</f>
        <v/>
      </c>
      <c r="D825" s="4">
        <f>IF($A825="","",TEXT($A825,"ddd"))</f>
        <v/>
      </c>
      <c r="E825" s="4" t="inlineStr">
        <is>
          <t>Production</t>
        </is>
      </c>
      <c r="F825" s="4">
        <f>IFERROR(INDEX(Tbl_KPIMaster[Category],MATCH($G825,Tbl_KPIMaster[KPI],0)),"")</f>
        <v/>
      </c>
      <c r="G825" s="4" t="inlineStr">
        <is>
          <t>Production Output</t>
        </is>
      </c>
      <c r="H825" s="4">
        <f>IFERROR(INDEX(Tbl_KPIMaster[Unit],MATCH($G825,Tbl_KPIMaster[KPI],0)),"")</f>
        <v/>
      </c>
      <c r="I825" s="5">
        <f>IFERROR(INDEX(Tbl_KPIMaster[Maximum Target],MATCH($G825,Tbl_KPIMaster[KPI],0)),"")</f>
        <v/>
      </c>
      <c r="J825" s="5" t="n">
        <v>932.14</v>
      </c>
      <c r="K825" s="4">
        <f>IFERROR(INDEX(Tbl_KPIMaster[Tolerance],MATCH($G825,Tbl_KPIMaster[KPI],0)),"")</f>
        <v/>
      </c>
      <c r="L825" s="4">
        <f>IFERROR(INDEX(Tbl_KPIMaster[Owner],MATCH($G825,Tbl_KPIMaster[KPI],0)),"")</f>
        <v/>
      </c>
      <c r="M825" s="6" t="inlineStr">
        <is>
          <t>Equipment breakdown</t>
        </is>
      </c>
      <c r="N825" s="4" t="inlineStr">
        <is>
          <t>Management approval pending</t>
        </is>
      </c>
      <c r="O825" s="4" t="inlineStr">
        <is>
          <t>Medium</t>
        </is>
      </c>
      <c r="P825" s="4" t="inlineStr">
        <is>
          <t>Closed</t>
        </is>
      </c>
      <c r="Q825" s="5">
        <f>IFERROR(IF(INDEX(Tbl_KPIMaster[Direction],MATCH($G825,Tbl_KPIMaster[KPI],0))="Lower is Better",IF($J825=0,1,IF($I825=0,0,$I825/$J825)),IF($I825=0,1,$J825/$I825)),0)</f>
        <v/>
      </c>
      <c r="R825" s="4">
        <f>IF(OR($I825="",$J825=""),"",$J825-$I825)</f>
        <v/>
      </c>
      <c r="S825" s="4">
        <f>IFERROR(IF(INDEX(Tbl_KPIMaster[Direction],MATCH($G825,Tbl_KPIMaster[KPI],0))="Lower is Better",IF($J825&lt;=$I825,"Green",IF($J825&lt;=$I825+IF($I825=0,$K825,$I825*$K825),"Amber","Red")),IF($J825&gt;=$I825,"Green",IF($J825&gt;=$I825-IF($I825=0,$K825,$I825*$K825),"Amber","Red"))),"")</f>
        <v/>
      </c>
      <c r="T825" s="6" t="inlineStr"/>
    </row>
    <row r="826">
      <c r="A826" s="7" t="n">
        <v>46171</v>
      </c>
      <c r="B826" s="8">
        <f>IF($A826="","",TEXT($A826,"mmm-yyyy"))</f>
        <v/>
      </c>
      <c r="C826" s="8">
        <f>IF($A826="","","W"&amp;WEEKNUM($A826,2))</f>
        <v/>
      </c>
      <c r="D826" s="8">
        <f>IF($A826="","",TEXT($A826,"ddd"))</f>
        <v/>
      </c>
      <c r="E826" s="8" t="inlineStr">
        <is>
          <t>Production</t>
        </is>
      </c>
      <c r="F826" s="8">
        <f>IFERROR(INDEX(Tbl_KPIMaster[Category],MATCH($G826,Tbl_KPIMaster[KPI],0)),"")</f>
        <v/>
      </c>
      <c r="G826" s="8" t="inlineStr">
        <is>
          <t>OEE %</t>
        </is>
      </c>
      <c r="H826" s="8">
        <f>IFERROR(INDEX(Tbl_KPIMaster[Unit],MATCH($G826,Tbl_KPIMaster[KPI],0)),"")</f>
        <v/>
      </c>
      <c r="I826" s="9">
        <f>IFERROR(INDEX(Tbl_KPIMaster[Maximum Target],MATCH($G826,Tbl_KPIMaster[KPI],0)),"")</f>
        <v/>
      </c>
      <c r="J826" s="9" t="n">
        <v>0.7989000000000001</v>
      </c>
      <c r="K826" s="8">
        <f>IFERROR(INDEX(Tbl_KPIMaster[Tolerance],MATCH($G826,Tbl_KPIMaster[KPI],0)),"")</f>
        <v/>
      </c>
      <c r="L826" s="8">
        <f>IFERROR(INDEX(Tbl_KPIMaster[Owner],MATCH($G826,Tbl_KPIMaster[KPI],0)),"")</f>
        <v/>
      </c>
      <c r="M826" s="10" t="inlineStr"/>
      <c r="N826" s="8" t="inlineStr">
        <is>
          <t>Procurement follow-up</t>
        </is>
      </c>
      <c r="O826" s="8" t="inlineStr">
        <is>
          <t>High</t>
        </is>
      </c>
      <c r="P826" s="8" t="inlineStr">
        <is>
          <t>In Progress</t>
        </is>
      </c>
      <c r="Q826" s="9">
        <f>IFERROR(IF(INDEX(Tbl_KPIMaster[Direction],MATCH($G826,Tbl_KPIMaster[KPI],0))="Lower is Better",IF($J826=0,1,IF($I826=0,0,$I826/$J826)),IF($I826=0,1,$J826/$I826)),0)</f>
        <v/>
      </c>
      <c r="R826" s="8">
        <f>IF(OR($I826="",$J826=""),"",$J826-$I826)</f>
        <v/>
      </c>
      <c r="S826" s="8">
        <f>IFERROR(IF(INDEX(Tbl_KPIMaster[Direction],MATCH($G826,Tbl_KPIMaster[KPI],0))="Lower is Better",IF($J826&lt;=$I826,"Green",IF($J826&lt;=$I826+IF($I826=0,$K826,$I826*$K826),"Amber","Red")),IF($J826&gt;=$I826,"Green",IF($J826&gt;=$I826-IF($I826=0,$K826,$I826*$K826),"Amber","Red"))),"")</f>
        <v/>
      </c>
      <c r="T826" s="10" t="inlineStr"/>
    </row>
    <row r="827">
      <c r="A827" s="3" t="n">
        <v>46171</v>
      </c>
      <c r="B827" s="4">
        <f>IF($A827="","",TEXT($A827,"mmm-yyyy"))</f>
        <v/>
      </c>
      <c r="C827" s="4">
        <f>IF($A827="","","W"&amp;WEEKNUM($A827,2))</f>
        <v/>
      </c>
      <c r="D827" s="4">
        <f>IF($A827="","",TEXT($A827,"ddd"))</f>
        <v/>
      </c>
      <c r="E827" s="4" t="inlineStr">
        <is>
          <t>Quality</t>
        </is>
      </c>
      <c r="F827" s="4">
        <f>IFERROR(INDEX(Tbl_KPIMaster[Category],MATCH($G827,Tbl_KPIMaster[KPI],0)),"")</f>
        <v/>
      </c>
      <c r="G827" s="4" t="inlineStr">
        <is>
          <t>Defect Rate %</t>
        </is>
      </c>
      <c r="H827" s="4">
        <f>IFERROR(INDEX(Tbl_KPIMaster[Unit],MATCH($G827,Tbl_KPIMaster[KPI],0)),"")</f>
        <v/>
      </c>
      <c r="I827" s="5">
        <f>IFERROR(INDEX(Tbl_KPIMaster[Maximum Target],MATCH($G827,Tbl_KPIMaster[KPI],0)),"")</f>
        <v/>
      </c>
      <c r="J827" s="5" t="n">
        <v>0</v>
      </c>
      <c r="K827" s="4">
        <f>IFERROR(INDEX(Tbl_KPIMaster[Tolerance],MATCH($G827,Tbl_KPIMaster[KPI],0)),"")</f>
        <v/>
      </c>
      <c r="L827" s="4">
        <f>IFERROR(INDEX(Tbl_KPIMaster[Owner],MATCH($G827,Tbl_KPIMaster[KPI],0)),"")</f>
        <v/>
      </c>
      <c r="M827" s="6" t="inlineStr">
        <is>
          <t>Preventive check done</t>
        </is>
      </c>
      <c r="N827" s="4" t="inlineStr">
        <is>
          <t>Engineering support needed</t>
        </is>
      </c>
      <c r="O827" s="4" t="inlineStr">
        <is>
          <t>High</t>
        </is>
      </c>
      <c r="P827" s="4" t="inlineStr">
        <is>
          <t>Closed</t>
        </is>
      </c>
      <c r="Q827" s="5">
        <f>IFERROR(IF(INDEX(Tbl_KPIMaster[Direction],MATCH($G827,Tbl_KPIMaster[KPI],0))="Lower is Better",IF($J827=0,1,IF($I827=0,0,$I827/$J827)),IF($I827=0,1,$J827/$I827)),0)</f>
        <v/>
      </c>
      <c r="R827" s="4">
        <f>IF(OR($I827="",$J827=""),"",$J827-$I827)</f>
        <v/>
      </c>
      <c r="S827" s="4">
        <f>IFERROR(IF(INDEX(Tbl_KPIMaster[Direction],MATCH($G827,Tbl_KPIMaster[KPI],0))="Lower is Better",IF($J827&lt;=$I827,"Green",IF($J827&lt;=$I827+IF($I827=0,$K827,$I827*$K827),"Amber","Red")),IF($J827&gt;=$I827,"Green",IF($J827&gt;=$I827-IF($I827=0,$K827,$I827*$K827),"Amber","Red"))),"")</f>
        <v/>
      </c>
      <c r="T827" s="6" t="inlineStr"/>
    </row>
    <row r="828">
      <c r="A828" s="7" t="n">
        <v>46171</v>
      </c>
      <c r="B828" s="8">
        <f>IF($A828="","",TEXT($A828,"mmm-yyyy"))</f>
        <v/>
      </c>
      <c r="C828" s="8">
        <f>IF($A828="","","W"&amp;WEEKNUM($A828,2))</f>
        <v/>
      </c>
      <c r="D828" s="8">
        <f>IF($A828="","",TEXT($A828,"ddd"))</f>
        <v/>
      </c>
      <c r="E828" s="8" t="inlineStr">
        <is>
          <t>Quality</t>
        </is>
      </c>
      <c r="F828" s="8">
        <f>IFERROR(INDEX(Tbl_KPIMaster[Category],MATCH($G828,Tbl_KPIMaster[KPI],0)),"")</f>
        <v/>
      </c>
      <c r="G828" s="8" t="inlineStr">
        <is>
          <t>Customer Complaints</t>
        </is>
      </c>
      <c r="H828" s="8">
        <f>IFERROR(INDEX(Tbl_KPIMaster[Unit],MATCH($G828,Tbl_KPIMaster[KPI],0)),"")</f>
        <v/>
      </c>
      <c r="I828" s="9">
        <f>IFERROR(INDEX(Tbl_KPIMaster[Maximum Target],MATCH($G828,Tbl_KPIMaster[KPI],0)),"")</f>
        <v/>
      </c>
      <c r="J828" s="9" t="n">
        <v>1</v>
      </c>
      <c r="K828" s="8">
        <f>IFERROR(INDEX(Tbl_KPIMaster[Tolerance],MATCH($G828,Tbl_KPIMaster[KPI],0)),"")</f>
        <v/>
      </c>
      <c r="L828" s="8">
        <f>IFERROR(INDEX(Tbl_KPIMaster[Owner],MATCH($G828,Tbl_KPIMaster[KPI],0)),"")</f>
        <v/>
      </c>
      <c r="M828" s="10" t="inlineStr">
        <is>
          <t>Line changeover impact</t>
        </is>
      </c>
      <c r="N828" s="8" t="inlineStr"/>
      <c r="O828" s="8" t="inlineStr">
        <is>
          <t>Low</t>
        </is>
      </c>
      <c r="P828" s="8" t="inlineStr">
        <is>
          <t>Closed</t>
        </is>
      </c>
      <c r="Q828" s="9">
        <f>IFERROR(IF(INDEX(Tbl_KPIMaster[Direction],MATCH($G828,Tbl_KPIMaster[KPI],0))="Lower is Better",IF($J828=0,1,IF($I828=0,0,$I828/$J828)),IF($I828=0,1,$J828/$I828)),0)</f>
        <v/>
      </c>
      <c r="R828" s="8">
        <f>IF(OR($I828="",$J828=""),"",$J828-$I828)</f>
        <v/>
      </c>
      <c r="S828" s="8">
        <f>IFERROR(IF(INDEX(Tbl_KPIMaster[Direction],MATCH($G828,Tbl_KPIMaster[KPI],0))="Lower is Better",IF($J828&lt;=$I828,"Green",IF($J828&lt;=$I828+IF($I828=0,$K828,$I828*$K828),"Amber","Red")),IF($J828&gt;=$I828,"Green",IF($J828&gt;=$I828-IF($I828=0,$K828,$I828*$K828),"Amber","Red"))),"")</f>
        <v/>
      </c>
      <c r="T828" s="10" t="inlineStr"/>
    </row>
    <row r="829">
      <c r="A829" s="3" t="n">
        <v>46171</v>
      </c>
      <c r="B829" s="4">
        <f>IF($A829="","",TEXT($A829,"mmm-yyyy"))</f>
        <v/>
      </c>
      <c r="C829" s="4">
        <f>IF($A829="","","W"&amp;WEEKNUM($A829,2))</f>
        <v/>
      </c>
      <c r="D829" s="4">
        <f>IF($A829="","",TEXT($A829,"ddd"))</f>
        <v/>
      </c>
      <c r="E829" s="4" t="inlineStr">
        <is>
          <t>Maintenance</t>
        </is>
      </c>
      <c r="F829" s="4">
        <f>IFERROR(INDEX(Tbl_KPIMaster[Category],MATCH($G829,Tbl_KPIMaster[KPI],0)),"")</f>
        <v/>
      </c>
      <c r="G829" s="4" t="inlineStr">
        <is>
          <t>Unplanned Downtime</t>
        </is>
      </c>
      <c r="H829" s="4">
        <f>IFERROR(INDEX(Tbl_KPIMaster[Unit],MATCH($G829,Tbl_KPIMaster[KPI],0)),"")</f>
        <v/>
      </c>
      <c r="I829" s="5">
        <f>IFERROR(INDEX(Tbl_KPIMaster[Maximum Target],MATCH($G829,Tbl_KPIMaster[KPI],0)),"")</f>
        <v/>
      </c>
      <c r="J829" s="5" t="n">
        <v>0</v>
      </c>
      <c r="K829" s="4">
        <f>IFERROR(INDEX(Tbl_KPIMaster[Tolerance],MATCH($G829,Tbl_KPIMaster[KPI],0)),"")</f>
        <v/>
      </c>
      <c r="L829" s="4">
        <f>IFERROR(INDEX(Tbl_KPIMaster[Owner],MATCH($G829,Tbl_KPIMaster[KPI],0)),"")</f>
        <v/>
      </c>
      <c r="M829" s="6" t="inlineStr">
        <is>
          <t>Process improvement in progress</t>
        </is>
      </c>
      <c r="N829" s="4" t="inlineStr">
        <is>
          <t>Management approval pending</t>
        </is>
      </c>
      <c r="O829" s="4" t="inlineStr">
        <is>
          <t>Medium</t>
        </is>
      </c>
      <c r="P829" s="4" t="inlineStr">
        <is>
          <t>In Progress</t>
        </is>
      </c>
      <c r="Q829" s="5">
        <f>IFERROR(IF(INDEX(Tbl_KPIMaster[Direction],MATCH($G829,Tbl_KPIMaster[KPI],0))="Lower is Better",IF($J829=0,1,IF($I829=0,0,$I829/$J829)),IF($I829=0,1,$J829/$I829)),0)</f>
        <v/>
      </c>
      <c r="R829" s="4">
        <f>IF(OR($I829="",$J829=""),"",$J829-$I829)</f>
        <v/>
      </c>
      <c r="S829" s="4">
        <f>IFERROR(IF(INDEX(Tbl_KPIMaster[Direction],MATCH($G829,Tbl_KPIMaster[KPI],0))="Lower is Better",IF($J829&lt;=$I829,"Green",IF($J829&lt;=$I829+IF($I829=0,$K829,$I829*$K829),"Amber","Red")),IF($J829&gt;=$I829,"Green",IF($J829&gt;=$I829-IF($I829=0,$K829,$I829*$K829),"Amber","Red"))),"")</f>
        <v/>
      </c>
      <c r="T829" s="6" t="inlineStr"/>
    </row>
    <row r="830">
      <c r="A830" s="7" t="n">
        <v>46171</v>
      </c>
      <c r="B830" s="8">
        <f>IF($A830="","",TEXT($A830,"mmm-yyyy"))</f>
        <v/>
      </c>
      <c r="C830" s="8">
        <f>IF($A830="","","W"&amp;WEEKNUM($A830,2))</f>
        <v/>
      </c>
      <c r="D830" s="8">
        <f>IF($A830="","",TEXT($A830,"ddd"))</f>
        <v/>
      </c>
      <c r="E830" s="8" t="inlineStr">
        <is>
          <t>Maintenance</t>
        </is>
      </c>
      <c r="F830" s="8">
        <f>IFERROR(INDEX(Tbl_KPIMaster[Category],MATCH($G830,Tbl_KPIMaster[KPI],0)),"")</f>
        <v/>
      </c>
      <c r="G830" s="8" t="inlineStr">
        <is>
          <t>PM Compliance %</t>
        </is>
      </c>
      <c r="H830" s="8">
        <f>IFERROR(INDEX(Tbl_KPIMaster[Unit],MATCH($G830,Tbl_KPIMaster[KPI],0)),"")</f>
        <v/>
      </c>
      <c r="I830" s="9">
        <f>IFERROR(INDEX(Tbl_KPIMaster[Maximum Target],MATCH($G830,Tbl_KPIMaster[KPI],0)),"")</f>
        <v/>
      </c>
      <c r="J830" s="9" t="n">
        <v>1.0016</v>
      </c>
      <c r="K830" s="8">
        <f>IFERROR(INDEX(Tbl_KPIMaster[Tolerance],MATCH($G830,Tbl_KPIMaster[KPI],0)),"")</f>
        <v/>
      </c>
      <c r="L830" s="8">
        <f>IFERROR(INDEX(Tbl_KPIMaster[Owner],MATCH($G830,Tbl_KPIMaster[KPI],0)),"")</f>
        <v/>
      </c>
      <c r="M830" s="10" t="inlineStr">
        <is>
          <t>Manpower shortage</t>
        </is>
      </c>
      <c r="N830" s="8" t="inlineStr"/>
      <c r="O830" s="8" t="inlineStr">
        <is>
          <t>Low</t>
        </is>
      </c>
      <c r="P830" s="8" t="inlineStr">
        <is>
          <t>Closed</t>
        </is>
      </c>
      <c r="Q830" s="9">
        <f>IFERROR(IF(INDEX(Tbl_KPIMaster[Direction],MATCH($G830,Tbl_KPIMaster[KPI],0))="Lower is Better",IF($J830=0,1,IF($I830=0,0,$I830/$J830)),IF($I830=0,1,$J830/$I830)),0)</f>
        <v/>
      </c>
      <c r="R830" s="8">
        <f>IF(OR($I830="",$J830=""),"",$J830-$I830)</f>
        <v/>
      </c>
      <c r="S830" s="8">
        <f>IFERROR(IF(INDEX(Tbl_KPIMaster[Direction],MATCH($G830,Tbl_KPIMaster[KPI],0))="Lower is Better",IF($J830&lt;=$I830,"Green",IF($J830&lt;=$I830+IF($I830=0,$K830,$I830*$K830),"Amber","Red")),IF($J830&gt;=$I830,"Green",IF($J830&gt;=$I830-IF($I830=0,$K830,$I830*$K830),"Amber","Red"))),"")</f>
        <v/>
      </c>
      <c r="T830" s="10" t="inlineStr"/>
    </row>
    <row r="831">
      <c r="A831" s="3" t="n">
        <v>46171</v>
      </c>
      <c r="B831" s="4">
        <f>IF($A831="","",TEXT($A831,"mmm-yyyy"))</f>
        <v/>
      </c>
      <c r="C831" s="4">
        <f>IF($A831="","","W"&amp;WEEKNUM($A831,2))</f>
        <v/>
      </c>
      <c r="D831" s="4">
        <f>IF($A831="","",TEXT($A831,"ddd"))</f>
        <v/>
      </c>
      <c r="E831" s="4" t="inlineStr">
        <is>
          <t>Utilities</t>
        </is>
      </c>
      <c r="F831" s="4">
        <f>IFERROR(INDEX(Tbl_KPIMaster[Category],MATCH($G831,Tbl_KPIMaster[KPI],0)),"")</f>
        <v/>
      </c>
      <c r="G831" s="4" t="inlineStr">
        <is>
          <t>Power Consumption</t>
        </is>
      </c>
      <c r="H831" s="4">
        <f>IFERROR(INDEX(Tbl_KPIMaster[Unit],MATCH($G831,Tbl_KPIMaster[KPI],0)),"")</f>
        <v/>
      </c>
      <c r="I831" s="5">
        <f>IFERROR(INDEX(Tbl_KPIMaster[Maximum Target],MATCH($G831,Tbl_KPIMaster[KPI],0)),"")</f>
        <v/>
      </c>
      <c r="J831" s="5" t="n">
        <v>5144.68</v>
      </c>
      <c r="K831" s="4">
        <f>IFERROR(INDEX(Tbl_KPIMaster[Tolerance],MATCH($G831,Tbl_KPIMaster[KPI],0)),"")</f>
        <v/>
      </c>
      <c r="L831" s="4">
        <f>IFERROR(INDEX(Tbl_KPIMaster[Owner],MATCH($G831,Tbl_KPIMaster[KPI],0)),"")</f>
        <v/>
      </c>
      <c r="M831" s="6" t="inlineStr">
        <is>
          <t>Preventive check done</t>
        </is>
      </c>
      <c r="N831" s="4" t="inlineStr">
        <is>
          <t>Engineering support needed</t>
        </is>
      </c>
      <c r="O831" s="4" t="inlineStr">
        <is>
          <t>Low</t>
        </is>
      </c>
      <c r="P831" s="4" t="inlineStr">
        <is>
          <t>In Progress</t>
        </is>
      </c>
      <c r="Q831" s="5">
        <f>IFERROR(IF(INDEX(Tbl_KPIMaster[Direction],MATCH($G831,Tbl_KPIMaster[KPI],0))="Lower is Better",IF($J831=0,1,IF($I831=0,0,$I831/$J831)),IF($I831=0,1,$J831/$I831)),0)</f>
        <v/>
      </c>
      <c r="R831" s="4">
        <f>IF(OR($I831="",$J831=""),"",$J831-$I831)</f>
        <v/>
      </c>
      <c r="S831" s="4">
        <f>IFERROR(IF(INDEX(Tbl_KPIMaster[Direction],MATCH($G831,Tbl_KPIMaster[KPI],0))="Lower is Better",IF($J831&lt;=$I831,"Green",IF($J831&lt;=$I831+IF($I831=0,$K831,$I831*$K831),"Amber","Red")),IF($J831&gt;=$I831,"Green",IF($J831&gt;=$I831-IF($I831=0,$K831,$I831*$K831),"Amber","Red"))),"")</f>
        <v/>
      </c>
      <c r="T831" s="6" t="inlineStr"/>
    </row>
    <row r="832">
      <c r="A832" s="7" t="n">
        <v>46171</v>
      </c>
      <c r="B832" s="8">
        <f>IF($A832="","",TEXT($A832,"mmm-yyyy"))</f>
        <v/>
      </c>
      <c r="C832" s="8">
        <f>IF($A832="","","W"&amp;WEEKNUM($A832,2))</f>
        <v/>
      </c>
      <c r="D832" s="8">
        <f>IF($A832="","",TEXT($A832,"ddd"))</f>
        <v/>
      </c>
      <c r="E832" s="8" t="inlineStr">
        <is>
          <t>Utilities</t>
        </is>
      </c>
      <c r="F832" s="8">
        <f>IFERROR(INDEX(Tbl_KPIMaster[Category],MATCH($G832,Tbl_KPIMaster[KPI],0)),"")</f>
        <v/>
      </c>
      <c r="G832" s="8" t="inlineStr">
        <is>
          <t>Water Consumption</t>
        </is>
      </c>
      <c r="H832" s="8">
        <f>IFERROR(INDEX(Tbl_KPIMaster[Unit],MATCH($G832,Tbl_KPIMaster[KPI],0)),"")</f>
        <v/>
      </c>
      <c r="I832" s="9">
        <f>IFERROR(INDEX(Tbl_KPIMaster[Maximum Target],MATCH($G832,Tbl_KPIMaster[KPI],0)),"")</f>
        <v/>
      </c>
      <c r="J832" s="9" t="n">
        <v>52.1</v>
      </c>
      <c r="K832" s="8">
        <f>IFERROR(INDEX(Tbl_KPIMaster[Tolerance],MATCH($G832,Tbl_KPIMaster[KPI],0)),"")</f>
        <v/>
      </c>
      <c r="L832" s="8">
        <f>IFERROR(INDEX(Tbl_KPIMaster[Owner],MATCH($G832,Tbl_KPIMaster[KPI],0)),"")</f>
        <v/>
      </c>
      <c r="M832" s="10" t="inlineStr">
        <is>
          <t>Within normal range</t>
        </is>
      </c>
      <c r="N832" s="8" t="inlineStr">
        <is>
          <t>Engineering support needed</t>
        </is>
      </c>
      <c r="O832" s="8" t="inlineStr">
        <is>
          <t>Medium</t>
        </is>
      </c>
      <c r="P832" s="8" t="inlineStr">
        <is>
          <t>Open</t>
        </is>
      </c>
      <c r="Q832" s="9">
        <f>IFERROR(IF(INDEX(Tbl_KPIMaster[Direction],MATCH($G832,Tbl_KPIMaster[KPI],0))="Lower is Better",IF($J832=0,1,IF($I832=0,0,$I832/$J832)),IF($I832=0,1,$J832/$I832)),0)</f>
        <v/>
      </c>
      <c r="R832" s="8">
        <f>IF(OR($I832="",$J832=""),"",$J832-$I832)</f>
        <v/>
      </c>
      <c r="S832" s="8">
        <f>IFERROR(IF(INDEX(Tbl_KPIMaster[Direction],MATCH($G832,Tbl_KPIMaster[KPI],0))="Lower is Better",IF($J832&lt;=$I832,"Green",IF($J832&lt;=$I832+IF($I832=0,$K832,$I832*$K832),"Amber","Red")),IF($J832&gt;=$I832,"Green",IF($J832&gt;=$I832-IF($I832=0,$K832,$I832*$K832),"Amber","Red"))),"")</f>
        <v/>
      </c>
      <c r="T832" s="10" t="inlineStr"/>
    </row>
    <row r="833">
      <c r="A833" s="3" t="n">
        <v>46171</v>
      </c>
      <c r="B833" s="4">
        <f>IF($A833="","",TEXT($A833,"mmm-yyyy"))</f>
        <v/>
      </c>
      <c r="C833" s="4">
        <f>IF($A833="","","W"&amp;WEEKNUM($A833,2))</f>
        <v/>
      </c>
      <c r="D833" s="4">
        <f>IF($A833="","",TEXT($A833,"ddd"))</f>
        <v/>
      </c>
      <c r="E833" s="4" t="inlineStr">
        <is>
          <t>Warehouse</t>
        </is>
      </c>
      <c r="F833" s="4">
        <f>IFERROR(INDEX(Tbl_KPIMaster[Category],MATCH($G833,Tbl_KPIMaster[KPI],0)),"")</f>
        <v/>
      </c>
      <c r="G833" s="4" t="inlineStr">
        <is>
          <t>On-Time Dispatch %</t>
        </is>
      </c>
      <c r="H833" s="4">
        <f>IFERROR(INDEX(Tbl_KPIMaster[Unit],MATCH($G833,Tbl_KPIMaster[KPI],0)),"")</f>
        <v/>
      </c>
      <c r="I833" s="5">
        <f>IFERROR(INDEX(Tbl_KPIMaster[Maximum Target],MATCH($G833,Tbl_KPIMaster[KPI],0)),"")</f>
        <v/>
      </c>
      <c r="J833" s="5" t="n">
        <v>1.0038</v>
      </c>
      <c r="K833" s="4">
        <f>IFERROR(INDEX(Tbl_KPIMaster[Tolerance],MATCH($G833,Tbl_KPIMaster[KPI],0)),"")</f>
        <v/>
      </c>
      <c r="L833" s="4">
        <f>IFERROR(INDEX(Tbl_KPIMaster[Owner],MATCH($G833,Tbl_KPIMaster[KPI],0)),"")</f>
        <v/>
      </c>
      <c r="M833" s="6" t="inlineStr">
        <is>
          <t>Line changeover impact</t>
        </is>
      </c>
      <c r="N833" s="4" t="inlineStr"/>
      <c r="O833" s="4" t="inlineStr">
        <is>
          <t>Medium</t>
        </is>
      </c>
      <c r="P833" s="4" t="inlineStr">
        <is>
          <t>Closed</t>
        </is>
      </c>
      <c r="Q833" s="5">
        <f>IFERROR(IF(INDEX(Tbl_KPIMaster[Direction],MATCH($G833,Tbl_KPIMaster[KPI],0))="Lower is Better",IF($J833=0,1,IF($I833=0,0,$I833/$J833)),IF($I833=0,1,$J833/$I833)),0)</f>
        <v/>
      </c>
      <c r="R833" s="4">
        <f>IF(OR($I833="",$J833=""),"",$J833-$I833)</f>
        <v/>
      </c>
      <c r="S833" s="4">
        <f>IFERROR(IF(INDEX(Tbl_KPIMaster[Direction],MATCH($G833,Tbl_KPIMaster[KPI],0))="Lower is Better",IF($J833&lt;=$I833,"Green",IF($J833&lt;=$I833+IF($I833=0,$K833,$I833*$K833),"Amber","Red")),IF($J833&gt;=$I833,"Green",IF($J833&gt;=$I833-IF($I833=0,$K833,$I833*$K833),"Amber","Red"))),"")</f>
        <v/>
      </c>
      <c r="T833" s="6" t="inlineStr"/>
    </row>
    <row r="834">
      <c r="A834" s="7" t="n">
        <v>46171</v>
      </c>
      <c r="B834" s="8">
        <f>IF($A834="","",TEXT($A834,"mmm-yyyy"))</f>
        <v/>
      </c>
      <c r="C834" s="8">
        <f>IF($A834="","","W"&amp;WEEKNUM($A834,2))</f>
        <v/>
      </c>
      <c r="D834" s="8">
        <f>IF($A834="","",TEXT($A834,"ddd"))</f>
        <v/>
      </c>
      <c r="E834" s="8" t="inlineStr">
        <is>
          <t>Warehouse</t>
        </is>
      </c>
      <c r="F834" s="8">
        <f>IFERROR(INDEX(Tbl_KPIMaster[Category],MATCH($G834,Tbl_KPIMaster[KPI],0)),"")</f>
        <v/>
      </c>
      <c r="G834" s="8" t="inlineStr">
        <is>
          <t>Inventory Accuracy %</t>
        </is>
      </c>
      <c r="H834" s="8">
        <f>IFERROR(INDEX(Tbl_KPIMaster[Unit],MATCH($G834,Tbl_KPIMaster[KPI],0)),"")</f>
        <v/>
      </c>
      <c r="I834" s="9">
        <f>IFERROR(INDEX(Tbl_KPIMaster[Maximum Target],MATCH($G834,Tbl_KPIMaster[KPI],0)),"")</f>
        <v/>
      </c>
      <c r="J834" s="9" t="n">
        <v>0.8729</v>
      </c>
      <c r="K834" s="8">
        <f>IFERROR(INDEX(Tbl_KPIMaster[Tolerance],MATCH($G834,Tbl_KPIMaster[KPI],0)),"")</f>
        <v/>
      </c>
      <c r="L834" s="8">
        <f>IFERROR(INDEX(Tbl_KPIMaster[Owner],MATCH($G834,Tbl_KPIMaster[KPI],0)),"")</f>
        <v/>
      </c>
      <c r="M834" s="10" t="inlineStr">
        <is>
          <t>Manpower shortage</t>
        </is>
      </c>
      <c r="N834" s="8" t="inlineStr"/>
      <c r="O834" s="8" t="inlineStr">
        <is>
          <t>High</t>
        </is>
      </c>
      <c r="P834" s="8" t="inlineStr">
        <is>
          <t>In Progress</t>
        </is>
      </c>
      <c r="Q834" s="9">
        <f>IFERROR(IF(INDEX(Tbl_KPIMaster[Direction],MATCH($G834,Tbl_KPIMaster[KPI],0))="Lower is Better",IF($J834=0,1,IF($I834=0,0,$I834/$J834)),IF($I834=0,1,$J834/$I834)),0)</f>
        <v/>
      </c>
      <c r="R834" s="8">
        <f>IF(OR($I834="",$J834=""),"",$J834-$I834)</f>
        <v/>
      </c>
      <c r="S834" s="8">
        <f>IFERROR(IF(INDEX(Tbl_KPIMaster[Direction],MATCH($G834,Tbl_KPIMaster[KPI],0))="Lower is Better",IF($J834&lt;=$I834,"Green",IF($J834&lt;=$I834+IF($I834=0,$K834,$I834*$K834),"Amber","Red")),IF($J834&gt;=$I834,"Green",IF($J834&gt;=$I834-IF($I834=0,$K834,$I834*$K834),"Amber","Red"))),"")</f>
        <v/>
      </c>
      <c r="T834" s="10" t="inlineStr"/>
    </row>
    <row r="835">
      <c r="A835" s="3" t="n">
        <v>46171</v>
      </c>
      <c r="B835" s="4">
        <f>IF($A835="","",TEXT($A835,"mmm-yyyy"))</f>
        <v/>
      </c>
      <c r="C835" s="4">
        <f>IF($A835="","","W"&amp;WEEKNUM($A835,2))</f>
        <v/>
      </c>
      <c r="D835" s="4">
        <f>IF($A835="","",TEXT($A835,"ddd"))</f>
        <v/>
      </c>
      <c r="E835" s="4" t="inlineStr">
        <is>
          <t>HR</t>
        </is>
      </c>
      <c r="F835" s="4">
        <f>IFERROR(INDEX(Tbl_KPIMaster[Category],MATCH($G835,Tbl_KPIMaster[KPI],0)),"")</f>
        <v/>
      </c>
      <c r="G835" s="4" t="inlineStr">
        <is>
          <t>Absenteeism %</t>
        </is>
      </c>
      <c r="H835" s="4">
        <f>IFERROR(INDEX(Tbl_KPIMaster[Unit],MATCH($G835,Tbl_KPIMaster[KPI],0)),"")</f>
        <v/>
      </c>
      <c r="I835" s="5">
        <f>IFERROR(INDEX(Tbl_KPIMaster[Maximum Target],MATCH($G835,Tbl_KPIMaster[KPI],0)),"")</f>
        <v/>
      </c>
      <c r="J835" s="5" t="n">
        <v>0.5385</v>
      </c>
      <c r="K835" s="4">
        <f>IFERROR(INDEX(Tbl_KPIMaster[Tolerance],MATCH($G835,Tbl_KPIMaster[KPI],0)),"")</f>
        <v/>
      </c>
      <c r="L835" s="4">
        <f>IFERROR(INDEX(Tbl_KPIMaster[Owner],MATCH($G835,Tbl_KPIMaster[KPI],0)),"")</f>
        <v/>
      </c>
      <c r="M835" s="6" t="inlineStr">
        <is>
          <t>Awaiting spares</t>
        </is>
      </c>
      <c r="N835" s="4" t="inlineStr">
        <is>
          <t>Engineering support needed</t>
        </is>
      </c>
      <c r="O835" s="4" t="inlineStr">
        <is>
          <t>Medium</t>
        </is>
      </c>
      <c r="P835" s="4" t="inlineStr">
        <is>
          <t>In Progress</t>
        </is>
      </c>
      <c r="Q835" s="5">
        <f>IFERROR(IF(INDEX(Tbl_KPIMaster[Direction],MATCH($G835,Tbl_KPIMaster[KPI],0))="Lower is Better",IF($J835=0,1,IF($I835=0,0,$I835/$J835)),IF($I835=0,1,$J835/$I835)),0)</f>
        <v/>
      </c>
      <c r="R835" s="4">
        <f>IF(OR($I835="",$J835=""),"",$J835-$I835)</f>
        <v/>
      </c>
      <c r="S835" s="4">
        <f>IFERROR(IF(INDEX(Tbl_KPIMaster[Direction],MATCH($G835,Tbl_KPIMaster[KPI],0))="Lower is Better",IF($J835&lt;=$I835,"Green",IF($J835&lt;=$I835+IF($I835=0,$K835,$I835*$K835),"Amber","Red")),IF($J835&gt;=$I835,"Green",IF($J835&gt;=$I835-IF($I835=0,$K835,$I835*$K835),"Amber","Red"))),"")</f>
        <v/>
      </c>
      <c r="T835" s="6" t="inlineStr"/>
    </row>
    <row r="836">
      <c r="A836" s="7" t="n">
        <v>46171</v>
      </c>
      <c r="B836" s="8">
        <f>IF($A836="","",TEXT($A836,"mmm-yyyy"))</f>
        <v/>
      </c>
      <c r="C836" s="8">
        <f>IF($A836="","","W"&amp;WEEKNUM($A836,2))</f>
        <v/>
      </c>
      <c r="D836" s="8">
        <f>IF($A836="","",TEXT($A836,"ddd"))</f>
        <v/>
      </c>
      <c r="E836" s="8" t="inlineStr">
        <is>
          <t>HR</t>
        </is>
      </c>
      <c r="F836" s="8">
        <f>IFERROR(INDEX(Tbl_KPIMaster[Category],MATCH($G836,Tbl_KPIMaster[KPI],0)),"")</f>
        <v/>
      </c>
      <c r="G836" s="8" t="inlineStr">
        <is>
          <t>Training Hours</t>
        </is>
      </c>
      <c r="H836" s="8">
        <f>IFERROR(INDEX(Tbl_KPIMaster[Unit],MATCH($G836,Tbl_KPIMaster[KPI],0)),"")</f>
        <v/>
      </c>
      <c r="I836" s="9">
        <f>IFERROR(INDEX(Tbl_KPIMaster[Maximum Target],MATCH($G836,Tbl_KPIMaster[KPI],0)),"")</f>
        <v/>
      </c>
      <c r="J836" s="9" t="n">
        <v>1.76</v>
      </c>
      <c r="K836" s="8">
        <f>IFERROR(INDEX(Tbl_KPIMaster[Tolerance],MATCH($G836,Tbl_KPIMaster[KPI],0)),"")</f>
        <v/>
      </c>
      <c r="L836" s="8">
        <f>IFERROR(INDEX(Tbl_KPIMaster[Owner],MATCH($G836,Tbl_KPIMaster[KPI],0)),"")</f>
        <v/>
      </c>
      <c r="M836" s="10" t="inlineStr">
        <is>
          <t>Within normal range</t>
        </is>
      </c>
      <c r="N836" s="8" t="inlineStr">
        <is>
          <t>Management approval pending</t>
        </is>
      </c>
      <c r="O836" s="8" t="inlineStr">
        <is>
          <t>High</t>
        </is>
      </c>
      <c r="P836" s="8" t="inlineStr">
        <is>
          <t>Open</t>
        </is>
      </c>
      <c r="Q836" s="9">
        <f>IFERROR(IF(INDEX(Tbl_KPIMaster[Direction],MATCH($G836,Tbl_KPIMaster[KPI],0))="Lower is Better",IF($J836=0,1,IF($I836=0,0,$I836/$J836)),IF($I836=0,1,$J836/$I836)),0)</f>
        <v/>
      </c>
      <c r="R836" s="8">
        <f>IF(OR($I836="",$J836=""),"",$J836-$I836)</f>
        <v/>
      </c>
      <c r="S836" s="8">
        <f>IFERROR(IF(INDEX(Tbl_KPIMaster[Direction],MATCH($G836,Tbl_KPIMaster[KPI],0))="Lower is Better",IF($J836&lt;=$I836,"Green",IF($J836&lt;=$I836+IF($I836=0,$K836,$I836*$K836),"Amber","Red")),IF($J836&gt;=$I836,"Green",IF($J836&gt;=$I836-IF($I836=0,$K836,$I836*$K836),"Amber","Red"))),"")</f>
        <v/>
      </c>
      <c r="T836" s="10" t="inlineStr"/>
    </row>
    <row r="837">
      <c r="A837" s="3" t="n">
        <v>46171</v>
      </c>
      <c r="B837" s="4">
        <f>IF($A837="","",TEXT($A837,"mmm-yyyy"))</f>
        <v/>
      </c>
      <c r="C837" s="4">
        <f>IF($A837="","","W"&amp;WEEKNUM($A837,2))</f>
        <v/>
      </c>
      <c r="D837" s="4">
        <f>IF($A837="","",TEXT($A837,"ddd"))</f>
        <v/>
      </c>
      <c r="E837" s="4" t="inlineStr">
        <is>
          <t>Engineering</t>
        </is>
      </c>
      <c r="F837" s="4">
        <f>IFERROR(INDEX(Tbl_KPIMaster[Category],MATCH($G837,Tbl_KPIMaster[KPI],0)),"")</f>
        <v/>
      </c>
      <c r="G837" s="4" t="inlineStr">
        <is>
          <t>Project Milestone Adherence %</t>
        </is>
      </c>
      <c r="H837" s="4">
        <f>IFERROR(INDEX(Tbl_KPIMaster[Unit],MATCH($G837,Tbl_KPIMaster[KPI],0)),"")</f>
        <v/>
      </c>
      <c r="I837" s="5">
        <f>IFERROR(INDEX(Tbl_KPIMaster[Maximum Target],MATCH($G837,Tbl_KPIMaster[KPI],0)),"")</f>
        <v/>
      </c>
      <c r="J837" s="5" t="n">
        <v>1.0194</v>
      </c>
      <c r="K837" s="4">
        <f>IFERROR(INDEX(Tbl_KPIMaster[Tolerance],MATCH($G837,Tbl_KPIMaster[KPI],0)),"")</f>
        <v/>
      </c>
      <c r="L837" s="4">
        <f>IFERROR(INDEX(Tbl_KPIMaster[Owner],MATCH($G837,Tbl_KPIMaster[KPI],0)),"")</f>
        <v/>
      </c>
      <c r="M837" s="6" t="inlineStr"/>
      <c r="N837" s="4" t="inlineStr"/>
      <c r="O837" s="4" t="inlineStr">
        <is>
          <t>Medium</t>
        </is>
      </c>
      <c r="P837" s="4" t="inlineStr">
        <is>
          <t>Open</t>
        </is>
      </c>
      <c r="Q837" s="5">
        <f>IFERROR(IF(INDEX(Tbl_KPIMaster[Direction],MATCH($G837,Tbl_KPIMaster[KPI],0))="Lower is Better",IF($J837=0,1,IF($I837=0,0,$I837/$J837)),IF($I837=0,1,$J837/$I837)),0)</f>
        <v/>
      </c>
      <c r="R837" s="4">
        <f>IF(OR($I837="",$J837=""),"",$J837-$I837)</f>
        <v/>
      </c>
      <c r="S837" s="4">
        <f>IFERROR(IF(INDEX(Tbl_KPIMaster[Direction],MATCH($G837,Tbl_KPIMaster[KPI],0))="Lower is Better",IF($J837&lt;=$I837,"Green",IF($J837&lt;=$I837+IF($I837=0,$K837,$I837*$K837),"Amber","Red")),IF($J837&gt;=$I837,"Green",IF($J837&gt;=$I837-IF($I837=0,$K837,$I837*$K837),"Amber","Red"))),"")</f>
        <v/>
      </c>
      <c r="T837" s="6" t="inlineStr"/>
    </row>
    <row r="838">
      <c r="A838" s="7" t="n">
        <v>46171</v>
      </c>
      <c r="B838" s="8">
        <f>IF($A838="","",TEXT($A838,"mmm-yyyy"))</f>
        <v/>
      </c>
      <c r="C838" s="8">
        <f>IF($A838="","","W"&amp;WEEKNUM($A838,2))</f>
        <v/>
      </c>
      <c r="D838" s="8">
        <f>IF($A838="","",TEXT($A838,"ddd"))</f>
        <v/>
      </c>
      <c r="E838" s="8" t="inlineStr">
        <is>
          <t>Engineering</t>
        </is>
      </c>
      <c r="F838" s="8">
        <f>IFERROR(INDEX(Tbl_KPIMaster[Category],MATCH($G838,Tbl_KPIMaster[KPI],0)),"")</f>
        <v/>
      </c>
      <c r="G838" s="8" t="inlineStr">
        <is>
          <t>Breakdown Resolution Time</t>
        </is>
      </c>
      <c r="H838" s="8">
        <f>IFERROR(INDEX(Tbl_KPIMaster[Unit],MATCH($G838,Tbl_KPIMaster[KPI],0)),"")</f>
        <v/>
      </c>
      <c r="I838" s="9">
        <f>IFERROR(INDEX(Tbl_KPIMaster[Maximum Target],MATCH($G838,Tbl_KPIMaster[KPI],0)),"")</f>
        <v/>
      </c>
      <c r="J838" s="9" t="n">
        <v>0</v>
      </c>
      <c r="K838" s="8">
        <f>IFERROR(INDEX(Tbl_KPIMaster[Tolerance],MATCH($G838,Tbl_KPIMaster[KPI],0)),"")</f>
        <v/>
      </c>
      <c r="L838" s="8">
        <f>IFERROR(INDEX(Tbl_KPIMaster[Owner],MATCH($G838,Tbl_KPIMaster[KPI],0)),"")</f>
        <v/>
      </c>
      <c r="M838" s="10" t="inlineStr">
        <is>
          <t>Manpower shortage</t>
        </is>
      </c>
      <c r="N838" s="8" t="inlineStr"/>
      <c r="O838" s="8" t="inlineStr">
        <is>
          <t>Medium</t>
        </is>
      </c>
      <c r="P838" s="8" t="inlineStr">
        <is>
          <t>Closed</t>
        </is>
      </c>
      <c r="Q838" s="9">
        <f>IFERROR(IF(INDEX(Tbl_KPIMaster[Direction],MATCH($G838,Tbl_KPIMaster[KPI],0))="Lower is Better",IF($J838=0,1,IF($I838=0,0,$I838/$J838)),IF($I838=0,1,$J838/$I838)),0)</f>
        <v/>
      </c>
      <c r="R838" s="8">
        <f>IF(OR($I838="",$J838=""),"",$J838-$I838)</f>
        <v/>
      </c>
      <c r="S838" s="8">
        <f>IFERROR(IF(INDEX(Tbl_KPIMaster[Direction],MATCH($G838,Tbl_KPIMaster[KPI],0))="Lower is Better",IF($J838&lt;=$I838,"Green",IF($J838&lt;=$I838+IF($I838=0,$K838,$I838*$K838),"Amber","Red")),IF($J838&gt;=$I838,"Green",IF($J838&gt;=$I838-IF($I838=0,$K838,$I838*$K838),"Amber","Red"))),"")</f>
        <v/>
      </c>
      <c r="T838" s="10" t="inlineStr"/>
    </row>
    <row r="839">
      <c r="A839" s="3" t="n">
        <v>46171</v>
      </c>
      <c r="B839" s="4">
        <f>IF($A839="","",TEXT($A839,"mmm-yyyy"))</f>
        <v/>
      </c>
      <c r="C839" s="4">
        <f>IF($A839="","","W"&amp;WEEKNUM($A839,2))</f>
        <v/>
      </c>
      <c r="D839" s="4">
        <f>IF($A839="","",TEXT($A839,"ddd"))</f>
        <v/>
      </c>
      <c r="E839" s="4" t="inlineStr">
        <is>
          <t>Cost</t>
        </is>
      </c>
      <c r="F839" s="4">
        <f>IFERROR(INDEX(Tbl_KPIMaster[Category],MATCH($G839,Tbl_KPIMaster[KPI],0)),"")</f>
        <v/>
      </c>
      <c r="G839" s="4" t="inlineStr">
        <is>
          <t>Cost per Unit</t>
        </is>
      </c>
      <c r="H839" s="4">
        <f>IFERROR(INDEX(Tbl_KPIMaster[Unit],MATCH($G839,Tbl_KPIMaster[KPI],0)),"")</f>
        <v/>
      </c>
      <c r="I839" s="5">
        <f>IFERROR(INDEX(Tbl_KPIMaster[Maximum Target],MATCH($G839,Tbl_KPIMaster[KPI],0)),"")</f>
        <v/>
      </c>
      <c r="J839" s="5" t="n">
        <v>40.4</v>
      </c>
      <c r="K839" s="4">
        <f>IFERROR(INDEX(Tbl_KPIMaster[Tolerance],MATCH($G839,Tbl_KPIMaster[KPI],0)),"")</f>
        <v/>
      </c>
      <c r="L839" s="4">
        <f>IFERROR(INDEX(Tbl_KPIMaster[Owner],MATCH($G839,Tbl_KPIMaster[KPI],0)),"")</f>
        <v/>
      </c>
      <c r="M839" s="6" t="inlineStr">
        <is>
          <t>Awaiting spares</t>
        </is>
      </c>
      <c r="N839" s="4" t="inlineStr">
        <is>
          <t>Management approval pending</t>
        </is>
      </c>
      <c r="O839" s="4" t="inlineStr">
        <is>
          <t>Low</t>
        </is>
      </c>
      <c r="P839" s="4" t="inlineStr">
        <is>
          <t>In Progress</t>
        </is>
      </c>
      <c r="Q839" s="5">
        <f>IFERROR(IF(INDEX(Tbl_KPIMaster[Direction],MATCH($G839,Tbl_KPIMaster[KPI],0))="Lower is Better",IF($J839=0,1,IF($I839=0,0,$I839/$J839)),IF($I839=0,1,$J839/$I839)),0)</f>
        <v/>
      </c>
      <c r="R839" s="4">
        <f>IF(OR($I839="",$J839=""),"",$J839-$I839)</f>
        <v/>
      </c>
      <c r="S839" s="4">
        <f>IFERROR(IF(INDEX(Tbl_KPIMaster[Direction],MATCH($G839,Tbl_KPIMaster[KPI],0))="Lower is Better",IF($J839&lt;=$I839,"Green",IF($J839&lt;=$I839+IF($I839=0,$K839,$I839*$K839),"Amber","Red")),IF($J839&gt;=$I839,"Green",IF($J839&gt;=$I839-IF($I839=0,$K839,$I839*$K839),"Amber","Red"))),"")</f>
        <v/>
      </c>
      <c r="T839" s="6" t="inlineStr"/>
    </row>
    <row r="840">
      <c r="A840" s="7" t="n">
        <v>46171</v>
      </c>
      <c r="B840" s="8">
        <f>IF($A840="","",TEXT($A840,"mmm-yyyy"))</f>
        <v/>
      </c>
      <c r="C840" s="8">
        <f>IF($A840="","","W"&amp;WEEKNUM($A840,2))</f>
        <v/>
      </c>
      <c r="D840" s="8">
        <f>IF($A840="","",TEXT($A840,"ddd"))</f>
        <v/>
      </c>
      <c r="E840" s="8" t="inlineStr">
        <is>
          <t>Cost</t>
        </is>
      </c>
      <c r="F840" s="8">
        <f>IFERROR(INDEX(Tbl_KPIMaster[Category],MATCH($G840,Tbl_KPIMaster[KPI],0)),"")</f>
        <v/>
      </c>
      <c r="G840" s="8" t="inlineStr">
        <is>
          <t>Budget Variance %</t>
        </is>
      </c>
      <c r="H840" s="8">
        <f>IFERROR(INDEX(Tbl_KPIMaster[Unit],MATCH($G840,Tbl_KPIMaster[KPI],0)),"")</f>
        <v/>
      </c>
      <c r="I840" s="9">
        <f>IFERROR(INDEX(Tbl_KPIMaster[Maximum Target],MATCH($G840,Tbl_KPIMaster[KPI],0)),"")</f>
        <v/>
      </c>
      <c r="J840" s="9" t="n">
        <v>0</v>
      </c>
      <c r="K840" s="8">
        <f>IFERROR(INDEX(Tbl_KPIMaster[Tolerance],MATCH($G840,Tbl_KPIMaster[KPI],0)),"")</f>
        <v/>
      </c>
      <c r="L840" s="8">
        <f>IFERROR(INDEX(Tbl_KPIMaster[Owner],MATCH($G840,Tbl_KPIMaster[KPI],0)),"")</f>
        <v/>
      </c>
      <c r="M840" s="10" t="inlineStr">
        <is>
          <t>New operator training effect</t>
        </is>
      </c>
      <c r="N840" s="8" t="inlineStr">
        <is>
          <t>Engineering support needed</t>
        </is>
      </c>
      <c r="O840" s="8" t="inlineStr">
        <is>
          <t>Low</t>
        </is>
      </c>
      <c r="P840" s="8" t="inlineStr">
        <is>
          <t>In Progress</t>
        </is>
      </c>
      <c r="Q840" s="9">
        <f>IFERROR(IF(INDEX(Tbl_KPIMaster[Direction],MATCH($G840,Tbl_KPIMaster[KPI],0))="Lower is Better",IF($J840=0,1,IF($I840=0,0,$I840/$J840)),IF($I840=0,1,$J840/$I840)),0)</f>
        <v/>
      </c>
      <c r="R840" s="8">
        <f>IF(OR($I840="",$J840=""),"",$J840-$I840)</f>
        <v/>
      </c>
      <c r="S840" s="8">
        <f>IFERROR(IF(INDEX(Tbl_KPIMaster[Direction],MATCH($G840,Tbl_KPIMaster[KPI],0))="Lower is Better",IF($J840&lt;=$I840,"Green",IF($J840&lt;=$I840+IF($I840=0,$K840,$I840*$K840),"Amber","Red")),IF($J840&gt;=$I840,"Green",IF($J840&gt;=$I840-IF($I840=0,$K840,$I840*$K840),"Amber","Red"))),"")</f>
        <v/>
      </c>
      <c r="T840" s="10" t="inlineStr"/>
    </row>
    <row r="841">
      <c r="A841" s="3" t="n">
        <v>46171</v>
      </c>
      <c r="B841" s="4">
        <f>IF($A841="","",TEXT($A841,"mmm-yyyy"))</f>
        <v/>
      </c>
      <c r="C841" s="4">
        <f>IF($A841="","","W"&amp;WEEKNUM($A841,2))</f>
        <v/>
      </c>
      <c r="D841" s="4">
        <f>IF($A841="","",TEXT($A841,"ddd"))</f>
        <v/>
      </c>
      <c r="E841" s="4" t="inlineStr">
        <is>
          <t>Energy</t>
        </is>
      </c>
      <c r="F841" s="4">
        <f>IFERROR(INDEX(Tbl_KPIMaster[Category],MATCH($G841,Tbl_KPIMaster[KPI],0)),"")</f>
        <v/>
      </c>
      <c r="G841" s="4" t="inlineStr">
        <is>
          <t>Energy Intensity (kWh/unit)</t>
        </is>
      </c>
      <c r="H841" s="4">
        <f>IFERROR(INDEX(Tbl_KPIMaster[Unit],MATCH($G841,Tbl_KPIMaster[KPI],0)),"")</f>
        <v/>
      </c>
      <c r="I841" s="5">
        <f>IFERROR(INDEX(Tbl_KPIMaster[Maximum Target],MATCH($G841,Tbl_KPIMaster[KPI],0)),"")</f>
        <v/>
      </c>
      <c r="J841" s="5" t="n">
        <v>4.21</v>
      </c>
      <c r="K841" s="4">
        <f>IFERROR(INDEX(Tbl_KPIMaster[Tolerance],MATCH($G841,Tbl_KPIMaster[KPI],0)),"")</f>
        <v/>
      </c>
      <c r="L841" s="4">
        <f>IFERROR(INDEX(Tbl_KPIMaster[Owner],MATCH($G841,Tbl_KPIMaster[KPI],0)),"")</f>
        <v/>
      </c>
      <c r="M841" s="6" t="inlineStr">
        <is>
          <t>Preventive check done</t>
        </is>
      </c>
      <c r="N841" s="4" t="inlineStr"/>
      <c r="O841" s="4" t="inlineStr">
        <is>
          <t>Low</t>
        </is>
      </c>
      <c r="P841" s="4" t="inlineStr">
        <is>
          <t>In Progress</t>
        </is>
      </c>
      <c r="Q841" s="5">
        <f>IFERROR(IF(INDEX(Tbl_KPIMaster[Direction],MATCH($G841,Tbl_KPIMaster[KPI],0))="Lower is Better",IF($J841=0,1,IF($I841=0,0,$I841/$J841)),IF($I841=0,1,$J841/$I841)),0)</f>
        <v/>
      </c>
      <c r="R841" s="4">
        <f>IF(OR($I841="",$J841=""),"",$J841-$I841)</f>
        <v/>
      </c>
      <c r="S841" s="4">
        <f>IFERROR(IF(INDEX(Tbl_KPIMaster[Direction],MATCH($G841,Tbl_KPIMaster[KPI],0))="Lower is Better",IF($J841&lt;=$I841,"Green",IF($J841&lt;=$I841+IF($I841=0,$K841,$I841*$K841),"Amber","Red")),IF($J841&gt;=$I841,"Green",IF($J841&gt;=$I841-IF($I841=0,$K841,$I841*$K841),"Amber","Red"))),"")</f>
        <v/>
      </c>
      <c r="T841" s="6" t="inlineStr"/>
    </row>
    <row r="842">
      <c r="A842" s="7" t="n">
        <v>46171</v>
      </c>
      <c r="B842" s="8">
        <f>IF($A842="","",TEXT($A842,"mmm-yyyy"))</f>
        <v/>
      </c>
      <c r="C842" s="8">
        <f>IF($A842="","","W"&amp;WEEKNUM($A842,2))</f>
        <v/>
      </c>
      <c r="D842" s="8">
        <f>IF($A842="","",TEXT($A842,"ddd"))</f>
        <v/>
      </c>
      <c r="E842" s="8" t="inlineStr">
        <is>
          <t>Energy</t>
        </is>
      </c>
      <c r="F842" s="8">
        <f>IFERROR(INDEX(Tbl_KPIMaster[Category],MATCH($G842,Tbl_KPIMaster[KPI],0)),"")</f>
        <v/>
      </c>
      <c r="G842" s="8" t="inlineStr">
        <is>
          <t>Renewable Energy Share %</t>
        </is>
      </c>
      <c r="H842" s="8">
        <f>IFERROR(INDEX(Tbl_KPIMaster[Unit],MATCH($G842,Tbl_KPIMaster[KPI],0)),"")</f>
        <v/>
      </c>
      <c r="I842" s="9">
        <f>IFERROR(INDEX(Tbl_KPIMaster[Maximum Target],MATCH($G842,Tbl_KPIMaster[KPI],0)),"")</f>
        <v/>
      </c>
      <c r="J842" s="9" t="n">
        <v>0.2142</v>
      </c>
      <c r="K842" s="8">
        <f>IFERROR(INDEX(Tbl_KPIMaster[Tolerance],MATCH($G842,Tbl_KPIMaster[KPI],0)),"")</f>
        <v/>
      </c>
      <c r="L842" s="8">
        <f>IFERROR(INDEX(Tbl_KPIMaster[Owner],MATCH($G842,Tbl_KPIMaster[KPI],0)),"")</f>
        <v/>
      </c>
      <c r="M842" s="10" t="inlineStr">
        <is>
          <t>Manpower shortage</t>
        </is>
      </c>
      <c r="N842" s="8" t="inlineStr"/>
      <c r="O842" s="8" t="inlineStr">
        <is>
          <t>Low</t>
        </is>
      </c>
      <c r="P842" s="8" t="inlineStr">
        <is>
          <t>In Progress</t>
        </is>
      </c>
      <c r="Q842" s="9">
        <f>IFERROR(IF(INDEX(Tbl_KPIMaster[Direction],MATCH($G842,Tbl_KPIMaster[KPI],0))="Lower is Better",IF($J842=0,1,IF($I842=0,0,$I842/$J842)),IF($I842=0,1,$J842/$I842)),0)</f>
        <v/>
      </c>
      <c r="R842" s="8">
        <f>IF(OR($I842="",$J842=""),"",$J842-$I842)</f>
        <v/>
      </c>
      <c r="S842" s="8">
        <f>IFERROR(IF(INDEX(Tbl_KPIMaster[Direction],MATCH($G842,Tbl_KPIMaster[KPI],0))="Lower is Better",IF($J842&lt;=$I842,"Green",IF($J842&lt;=$I842+IF($I842=0,$K842,$I842*$K842),"Amber","Red")),IF($J842&gt;=$I842,"Green",IF($J842&gt;=$I842-IF($I842=0,$K842,$I842*$K842),"Amber","Red"))),"")</f>
        <v/>
      </c>
      <c r="T842" s="10" t="inlineStr"/>
    </row>
    <row r="843">
      <c r="A843" s="3" t="n">
        <v>46172</v>
      </c>
      <c r="B843" s="4">
        <f>IF($A843="","",TEXT($A843,"mmm-yyyy"))</f>
        <v/>
      </c>
      <c r="C843" s="4">
        <f>IF($A843="","","W"&amp;WEEKNUM($A843,2))</f>
        <v/>
      </c>
      <c r="D843" s="4">
        <f>IF($A843="","",TEXT($A843,"ddd"))</f>
        <v/>
      </c>
      <c r="E843" s="4" t="inlineStr">
        <is>
          <t>Safety</t>
        </is>
      </c>
      <c r="F843" s="4">
        <f>IFERROR(INDEX(Tbl_KPIMaster[Category],MATCH($G843,Tbl_KPIMaster[KPI],0)),"")</f>
        <v/>
      </c>
      <c r="G843" s="4" t="inlineStr">
        <is>
          <t>Safety Incidents (LTI)</t>
        </is>
      </c>
      <c r="H843" s="4">
        <f>IFERROR(INDEX(Tbl_KPIMaster[Unit],MATCH($G843,Tbl_KPIMaster[KPI],0)),"")</f>
        <v/>
      </c>
      <c r="I843" s="5">
        <f>IFERROR(INDEX(Tbl_KPIMaster[Maximum Target],MATCH($G843,Tbl_KPIMaster[KPI],0)),"")</f>
        <v/>
      </c>
      <c r="J843" s="5" t="n">
        <v>0</v>
      </c>
      <c r="K843" s="4">
        <f>IFERROR(INDEX(Tbl_KPIMaster[Tolerance],MATCH($G843,Tbl_KPIMaster[KPI],0)),"")</f>
        <v/>
      </c>
      <c r="L843" s="4">
        <f>IFERROR(INDEX(Tbl_KPIMaster[Owner],MATCH($G843,Tbl_KPIMaster[KPI],0)),"")</f>
        <v/>
      </c>
      <c r="M843" s="6" t="inlineStr">
        <is>
          <t>New operator training effect</t>
        </is>
      </c>
      <c r="N843" s="4" t="inlineStr">
        <is>
          <t>Management approval pending</t>
        </is>
      </c>
      <c r="O843" s="4" t="inlineStr">
        <is>
          <t>Low</t>
        </is>
      </c>
      <c r="P843" s="4" t="inlineStr">
        <is>
          <t>In Progress</t>
        </is>
      </c>
      <c r="Q843" s="5">
        <f>IFERROR(IF(INDEX(Tbl_KPIMaster[Direction],MATCH($G843,Tbl_KPIMaster[KPI],0))="Lower is Better",IF($J843=0,1,IF($I843=0,0,$I843/$J843)),IF($I843=0,1,$J843/$I843)),0)</f>
        <v/>
      </c>
      <c r="R843" s="4">
        <f>IF(OR($I843="",$J843=""),"",$J843-$I843)</f>
        <v/>
      </c>
      <c r="S843" s="4">
        <f>IFERROR(IF(INDEX(Tbl_KPIMaster[Direction],MATCH($G843,Tbl_KPIMaster[KPI],0))="Lower is Better",IF($J843&lt;=$I843,"Green",IF($J843&lt;=$I843+IF($I843=0,$K843,$I843*$K843),"Amber","Red")),IF($J843&gt;=$I843,"Green",IF($J843&gt;=$I843-IF($I843=0,$K843,$I843*$K843),"Amber","Red"))),"")</f>
        <v/>
      </c>
      <c r="T843" s="6" t="inlineStr"/>
    </row>
    <row r="844">
      <c r="A844" s="7" t="n">
        <v>46172</v>
      </c>
      <c r="B844" s="8">
        <f>IF($A844="","",TEXT($A844,"mmm-yyyy"))</f>
        <v/>
      </c>
      <c r="C844" s="8">
        <f>IF($A844="","","W"&amp;WEEKNUM($A844,2))</f>
        <v/>
      </c>
      <c r="D844" s="8">
        <f>IF($A844="","",TEXT($A844,"ddd"))</f>
        <v/>
      </c>
      <c r="E844" s="8" t="inlineStr">
        <is>
          <t>Safety</t>
        </is>
      </c>
      <c r="F844" s="8">
        <f>IFERROR(INDEX(Tbl_KPIMaster[Category],MATCH($G844,Tbl_KPIMaster[KPI],0)),"")</f>
        <v/>
      </c>
      <c r="G844" s="8" t="inlineStr">
        <is>
          <t>Near Miss Reports</t>
        </is>
      </c>
      <c r="H844" s="8">
        <f>IFERROR(INDEX(Tbl_KPIMaster[Unit],MATCH($G844,Tbl_KPIMaster[KPI],0)),"")</f>
        <v/>
      </c>
      <c r="I844" s="9">
        <f>IFERROR(INDEX(Tbl_KPIMaster[Maximum Target],MATCH($G844,Tbl_KPIMaster[KPI],0)),"")</f>
        <v/>
      </c>
      <c r="J844" s="9" t="n">
        <v>2</v>
      </c>
      <c r="K844" s="8">
        <f>IFERROR(INDEX(Tbl_KPIMaster[Tolerance],MATCH($G844,Tbl_KPIMaster[KPI],0)),"")</f>
        <v/>
      </c>
      <c r="L844" s="8">
        <f>IFERROR(INDEX(Tbl_KPIMaster[Owner],MATCH($G844,Tbl_KPIMaster[KPI],0)),"")</f>
        <v/>
      </c>
      <c r="M844" s="10" t="inlineStr"/>
      <c r="N844" s="8" t="inlineStr">
        <is>
          <t>Engineering support needed</t>
        </is>
      </c>
      <c r="O844" s="8" t="inlineStr">
        <is>
          <t>Medium</t>
        </is>
      </c>
      <c r="P844" s="8" t="inlineStr">
        <is>
          <t>Closed</t>
        </is>
      </c>
      <c r="Q844" s="9">
        <f>IFERROR(IF(INDEX(Tbl_KPIMaster[Direction],MATCH($G844,Tbl_KPIMaster[KPI],0))="Lower is Better",IF($J844=0,1,IF($I844=0,0,$I844/$J844)),IF($I844=0,1,$J844/$I844)),0)</f>
        <v/>
      </c>
      <c r="R844" s="8">
        <f>IF(OR($I844="",$J844=""),"",$J844-$I844)</f>
        <v/>
      </c>
      <c r="S844" s="8">
        <f>IFERROR(IF(INDEX(Tbl_KPIMaster[Direction],MATCH($G844,Tbl_KPIMaster[KPI],0))="Lower is Better",IF($J844&lt;=$I844,"Green",IF($J844&lt;=$I844+IF($I844=0,$K844,$I844*$K844),"Amber","Red")),IF($J844&gt;=$I844,"Green",IF($J844&gt;=$I844-IF($I844=0,$K844,$I844*$K844),"Amber","Red"))),"")</f>
        <v/>
      </c>
      <c r="T844" s="10" t="inlineStr"/>
    </row>
    <row r="845">
      <c r="A845" s="3" t="n">
        <v>46172</v>
      </c>
      <c r="B845" s="4">
        <f>IF($A845="","",TEXT($A845,"mmm-yyyy"))</f>
        <v/>
      </c>
      <c r="C845" s="4">
        <f>IF($A845="","","W"&amp;WEEKNUM($A845,2))</f>
        <v/>
      </c>
      <c r="D845" s="4">
        <f>IF($A845="","",TEXT($A845,"ddd"))</f>
        <v/>
      </c>
      <c r="E845" s="4" t="inlineStr">
        <is>
          <t>Production</t>
        </is>
      </c>
      <c r="F845" s="4">
        <f>IFERROR(INDEX(Tbl_KPIMaster[Category],MATCH($G845,Tbl_KPIMaster[KPI],0)),"")</f>
        <v/>
      </c>
      <c r="G845" s="4" t="inlineStr">
        <is>
          <t>Production Output</t>
        </is>
      </c>
      <c r="H845" s="4">
        <f>IFERROR(INDEX(Tbl_KPIMaster[Unit],MATCH($G845,Tbl_KPIMaster[KPI],0)),"")</f>
        <v/>
      </c>
      <c r="I845" s="5">
        <f>IFERROR(INDEX(Tbl_KPIMaster[Maximum Target],MATCH($G845,Tbl_KPIMaster[KPI],0)),"")</f>
        <v/>
      </c>
      <c r="J845" s="5" t="n">
        <v>1239.37</v>
      </c>
      <c r="K845" s="4">
        <f>IFERROR(INDEX(Tbl_KPIMaster[Tolerance],MATCH($G845,Tbl_KPIMaster[KPI],0)),"")</f>
        <v/>
      </c>
      <c r="L845" s="4">
        <f>IFERROR(INDEX(Tbl_KPIMaster[Owner],MATCH($G845,Tbl_KPIMaster[KPI],0)),"")</f>
        <v/>
      </c>
      <c r="M845" s="6" t="inlineStr">
        <is>
          <t>Line changeover impact</t>
        </is>
      </c>
      <c r="N845" s="4" t="inlineStr">
        <is>
          <t>Engineering support needed</t>
        </is>
      </c>
      <c r="O845" s="4" t="inlineStr">
        <is>
          <t>Low</t>
        </is>
      </c>
      <c r="P845" s="4" t="inlineStr">
        <is>
          <t>Closed</t>
        </is>
      </c>
      <c r="Q845" s="5">
        <f>IFERROR(IF(INDEX(Tbl_KPIMaster[Direction],MATCH($G845,Tbl_KPIMaster[KPI],0))="Lower is Better",IF($J845=0,1,IF($I845=0,0,$I845/$J845)),IF($I845=0,1,$J845/$I845)),0)</f>
        <v/>
      </c>
      <c r="R845" s="4">
        <f>IF(OR($I845="",$J845=""),"",$J845-$I845)</f>
        <v/>
      </c>
      <c r="S845" s="4">
        <f>IFERROR(IF(INDEX(Tbl_KPIMaster[Direction],MATCH($G845,Tbl_KPIMaster[KPI],0))="Lower is Better",IF($J845&lt;=$I845,"Green",IF($J845&lt;=$I845+IF($I845=0,$K845,$I845*$K845),"Amber","Red")),IF($J845&gt;=$I845,"Green",IF($J845&gt;=$I845-IF($I845=0,$K845,$I845*$K845),"Amber","Red"))),"")</f>
        <v/>
      </c>
      <c r="T845" s="6" t="inlineStr"/>
    </row>
    <row r="846">
      <c r="A846" s="7" t="n">
        <v>46172</v>
      </c>
      <c r="B846" s="8">
        <f>IF($A846="","",TEXT($A846,"mmm-yyyy"))</f>
        <v/>
      </c>
      <c r="C846" s="8">
        <f>IF($A846="","","W"&amp;WEEKNUM($A846,2))</f>
        <v/>
      </c>
      <c r="D846" s="8">
        <f>IF($A846="","",TEXT($A846,"ddd"))</f>
        <v/>
      </c>
      <c r="E846" s="8" t="inlineStr">
        <is>
          <t>Production</t>
        </is>
      </c>
      <c r="F846" s="8">
        <f>IFERROR(INDEX(Tbl_KPIMaster[Category],MATCH($G846,Tbl_KPIMaster[KPI],0)),"")</f>
        <v/>
      </c>
      <c r="G846" s="8" t="inlineStr">
        <is>
          <t>OEE %</t>
        </is>
      </c>
      <c r="H846" s="8">
        <f>IFERROR(INDEX(Tbl_KPIMaster[Unit],MATCH($G846,Tbl_KPIMaster[KPI],0)),"")</f>
        <v/>
      </c>
      <c r="I846" s="9">
        <f>IFERROR(INDEX(Tbl_KPIMaster[Maximum Target],MATCH($G846,Tbl_KPIMaster[KPI],0)),"")</f>
        <v/>
      </c>
      <c r="J846" s="9" t="n">
        <v>1.0382</v>
      </c>
      <c r="K846" s="8">
        <f>IFERROR(INDEX(Tbl_KPIMaster[Tolerance],MATCH($G846,Tbl_KPIMaster[KPI],0)),"")</f>
        <v/>
      </c>
      <c r="L846" s="8">
        <f>IFERROR(INDEX(Tbl_KPIMaster[Owner],MATCH($G846,Tbl_KPIMaster[KPI],0)),"")</f>
        <v/>
      </c>
      <c r="M846" s="10" t="inlineStr">
        <is>
          <t>Awaiting spares</t>
        </is>
      </c>
      <c r="N846" s="8" t="inlineStr">
        <is>
          <t>Management approval pending</t>
        </is>
      </c>
      <c r="O846" s="8" t="inlineStr">
        <is>
          <t>Low</t>
        </is>
      </c>
      <c r="P846" s="8" t="inlineStr">
        <is>
          <t>In Progress</t>
        </is>
      </c>
      <c r="Q846" s="9">
        <f>IFERROR(IF(INDEX(Tbl_KPIMaster[Direction],MATCH($G846,Tbl_KPIMaster[KPI],0))="Lower is Better",IF($J846=0,1,IF($I846=0,0,$I846/$J846)),IF($I846=0,1,$J846/$I846)),0)</f>
        <v/>
      </c>
      <c r="R846" s="8">
        <f>IF(OR($I846="",$J846=""),"",$J846-$I846)</f>
        <v/>
      </c>
      <c r="S846" s="8">
        <f>IFERROR(IF(INDEX(Tbl_KPIMaster[Direction],MATCH($G846,Tbl_KPIMaster[KPI],0))="Lower is Better",IF($J846&lt;=$I846,"Green",IF($J846&lt;=$I846+IF($I846=0,$K846,$I846*$K846),"Amber","Red")),IF($J846&gt;=$I846,"Green",IF($J846&gt;=$I846-IF($I846=0,$K846,$I846*$K846),"Amber","Red"))),"")</f>
        <v/>
      </c>
      <c r="T846" s="10" t="inlineStr"/>
    </row>
    <row r="847">
      <c r="A847" s="3" t="n">
        <v>46172</v>
      </c>
      <c r="B847" s="4">
        <f>IF($A847="","",TEXT($A847,"mmm-yyyy"))</f>
        <v/>
      </c>
      <c r="C847" s="4">
        <f>IF($A847="","","W"&amp;WEEKNUM($A847,2))</f>
        <v/>
      </c>
      <c r="D847" s="4">
        <f>IF($A847="","",TEXT($A847,"ddd"))</f>
        <v/>
      </c>
      <c r="E847" s="4" t="inlineStr">
        <is>
          <t>Quality</t>
        </is>
      </c>
      <c r="F847" s="4">
        <f>IFERROR(INDEX(Tbl_KPIMaster[Category],MATCH($G847,Tbl_KPIMaster[KPI],0)),"")</f>
        <v/>
      </c>
      <c r="G847" s="4" t="inlineStr">
        <is>
          <t>Defect Rate %</t>
        </is>
      </c>
      <c r="H847" s="4">
        <f>IFERROR(INDEX(Tbl_KPIMaster[Unit],MATCH($G847,Tbl_KPIMaster[KPI],0)),"")</f>
        <v/>
      </c>
      <c r="I847" s="5">
        <f>IFERROR(INDEX(Tbl_KPIMaster[Maximum Target],MATCH($G847,Tbl_KPIMaster[KPI],0)),"")</f>
        <v/>
      </c>
      <c r="J847" s="5" t="n">
        <v>0</v>
      </c>
      <c r="K847" s="4">
        <f>IFERROR(INDEX(Tbl_KPIMaster[Tolerance],MATCH($G847,Tbl_KPIMaster[KPI],0)),"")</f>
        <v/>
      </c>
      <c r="L847" s="4">
        <f>IFERROR(INDEX(Tbl_KPIMaster[Owner],MATCH($G847,Tbl_KPIMaster[KPI],0)),"")</f>
        <v/>
      </c>
      <c r="M847" s="6" t="inlineStr">
        <is>
          <t>Line changeover impact</t>
        </is>
      </c>
      <c r="N847" s="4" t="inlineStr"/>
      <c r="O847" s="4" t="inlineStr">
        <is>
          <t>Medium</t>
        </is>
      </c>
      <c r="P847" s="4" t="inlineStr">
        <is>
          <t>Closed</t>
        </is>
      </c>
      <c r="Q847" s="5">
        <f>IFERROR(IF(INDEX(Tbl_KPIMaster[Direction],MATCH($G847,Tbl_KPIMaster[KPI],0))="Lower is Better",IF($J847=0,1,IF($I847=0,0,$I847/$J847)),IF($I847=0,1,$J847/$I847)),0)</f>
        <v/>
      </c>
      <c r="R847" s="4">
        <f>IF(OR($I847="",$J847=""),"",$J847-$I847)</f>
        <v/>
      </c>
      <c r="S847" s="4">
        <f>IFERROR(IF(INDEX(Tbl_KPIMaster[Direction],MATCH($G847,Tbl_KPIMaster[KPI],0))="Lower is Better",IF($J847&lt;=$I847,"Green",IF($J847&lt;=$I847+IF($I847=0,$K847,$I847*$K847),"Amber","Red")),IF($J847&gt;=$I847,"Green",IF($J847&gt;=$I847-IF($I847=0,$K847,$I847*$K847),"Amber","Red"))),"")</f>
        <v/>
      </c>
      <c r="T847" s="6" t="inlineStr"/>
    </row>
    <row r="848">
      <c r="A848" s="7" t="n">
        <v>46172</v>
      </c>
      <c r="B848" s="8">
        <f>IF($A848="","",TEXT($A848,"mmm-yyyy"))</f>
        <v/>
      </c>
      <c r="C848" s="8">
        <f>IF($A848="","","W"&amp;WEEKNUM($A848,2))</f>
        <v/>
      </c>
      <c r="D848" s="8">
        <f>IF($A848="","",TEXT($A848,"ddd"))</f>
        <v/>
      </c>
      <c r="E848" s="8" t="inlineStr">
        <is>
          <t>Quality</t>
        </is>
      </c>
      <c r="F848" s="8">
        <f>IFERROR(INDEX(Tbl_KPIMaster[Category],MATCH($G848,Tbl_KPIMaster[KPI],0)),"")</f>
        <v/>
      </c>
      <c r="G848" s="8" t="inlineStr">
        <is>
          <t>Customer Complaints</t>
        </is>
      </c>
      <c r="H848" s="8">
        <f>IFERROR(INDEX(Tbl_KPIMaster[Unit],MATCH($G848,Tbl_KPIMaster[KPI],0)),"")</f>
        <v/>
      </c>
      <c r="I848" s="9">
        <f>IFERROR(INDEX(Tbl_KPIMaster[Maximum Target],MATCH($G848,Tbl_KPIMaster[KPI],0)),"")</f>
        <v/>
      </c>
      <c r="J848" s="9" t="n">
        <v>2</v>
      </c>
      <c r="K848" s="8">
        <f>IFERROR(INDEX(Tbl_KPIMaster[Tolerance],MATCH($G848,Tbl_KPIMaster[KPI],0)),"")</f>
        <v/>
      </c>
      <c r="L848" s="8">
        <f>IFERROR(INDEX(Tbl_KPIMaster[Owner],MATCH($G848,Tbl_KPIMaster[KPI],0)),"")</f>
        <v/>
      </c>
      <c r="M848" s="10" t="inlineStr">
        <is>
          <t>Awaiting spares</t>
        </is>
      </c>
      <c r="N848" s="8" t="inlineStr">
        <is>
          <t>Engineering support needed</t>
        </is>
      </c>
      <c r="O848" s="8" t="inlineStr">
        <is>
          <t>Medium</t>
        </is>
      </c>
      <c r="P848" s="8" t="inlineStr">
        <is>
          <t>In Progress</t>
        </is>
      </c>
      <c r="Q848" s="9">
        <f>IFERROR(IF(INDEX(Tbl_KPIMaster[Direction],MATCH($G848,Tbl_KPIMaster[KPI],0))="Lower is Better",IF($J848=0,1,IF($I848=0,0,$I848/$J848)),IF($I848=0,1,$J848/$I848)),0)</f>
        <v/>
      </c>
      <c r="R848" s="8">
        <f>IF(OR($I848="",$J848=""),"",$J848-$I848)</f>
        <v/>
      </c>
      <c r="S848" s="8">
        <f>IFERROR(IF(INDEX(Tbl_KPIMaster[Direction],MATCH($G848,Tbl_KPIMaster[KPI],0))="Lower is Better",IF($J848&lt;=$I848,"Green",IF($J848&lt;=$I848+IF($I848=0,$K848,$I848*$K848),"Amber","Red")),IF($J848&gt;=$I848,"Green",IF($J848&gt;=$I848-IF($I848=0,$K848,$I848*$K848),"Amber","Red"))),"")</f>
        <v/>
      </c>
      <c r="T848" s="10" t="inlineStr"/>
    </row>
    <row r="849">
      <c r="A849" s="3" t="n">
        <v>46172</v>
      </c>
      <c r="B849" s="4">
        <f>IF($A849="","",TEXT($A849,"mmm-yyyy"))</f>
        <v/>
      </c>
      <c r="C849" s="4">
        <f>IF($A849="","","W"&amp;WEEKNUM($A849,2))</f>
        <v/>
      </c>
      <c r="D849" s="4">
        <f>IF($A849="","",TEXT($A849,"ddd"))</f>
        <v/>
      </c>
      <c r="E849" s="4" t="inlineStr">
        <is>
          <t>Maintenance</t>
        </is>
      </c>
      <c r="F849" s="4">
        <f>IFERROR(INDEX(Tbl_KPIMaster[Category],MATCH($G849,Tbl_KPIMaster[KPI],0)),"")</f>
        <v/>
      </c>
      <c r="G849" s="4" t="inlineStr">
        <is>
          <t>Unplanned Downtime</t>
        </is>
      </c>
      <c r="H849" s="4">
        <f>IFERROR(INDEX(Tbl_KPIMaster[Unit],MATCH($G849,Tbl_KPIMaster[KPI],0)),"")</f>
        <v/>
      </c>
      <c r="I849" s="5">
        <f>IFERROR(INDEX(Tbl_KPIMaster[Maximum Target],MATCH($G849,Tbl_KPIMaster[KPI],0)),"")</f>
        <v/>
      </c>
      <c r="J849" s="5" t="n">
        <v>0</v>
      </c>
      <c r="K849" s="4">
        <f>IFERROR(INDEX(Tbl_KPIMaster[Tolerance],MATCH($G849,Tbl_KPIMaster[KPI],0)),"")</f>
        <v/>
      </c>
      <c r="L849" s="4">
        <f>IFERROR(INDEX(Tbl_KPIMaster[Owner],MATCH($G849,Tbl_KPIMaster[KPI],0)),"")</f>
        <v/>
      </c>
      <c r="M849" s="6" t="inlineStr">
        <is>
          <t>Awaiting spares</t>
        </is>
      </c>
      <c r="N849" s="4" t="inlineStr">
        <is>
          <t>Engineering support needed</t>
        </is>
      </c>
      <c r="O849" s="4" t="inlineStr">
        <is>
          <t>Medium</t>
        </is>
      </c>
      <c r="P849" s="4" t="inlineStr">
        <is>
          <t>Open</t>
        </is>
      </c>
      <c r="Q849" s="5">
        <f>IFERROR(IF(INDEX(Tbl_KPIMaster[Direction],MATCH($G849,Tbl_KPIMaster[KPI],0))="Lower is Better",IF($J849=0,1,IF($I849=0,0,$I849/$J849)),IF($I849=0,1,$J849/$I849)),0)</f>
        <v/>
      </c>
      <c r="R849" s="4">
        <f>IF(OR($I849="",$J849=""),"",$J849-$I849)</f>
        <v/>
      </c>
      <c r="S849" s="4">
        <f>IFERROR(IF(INDEX(Tbl_KPIMaster[Direction],MATCH($G849,Tbl_KPIMaster[KPI],0))="Lower is Better",IF($J849&lt;=$I849,"Green",IF($J849&lt;=$I849+IF($I849=0,$K849,$I849*$K849),"Amber","Red")),IF($J849&gt;=$I849,"Green",IF($J849&gt;=$I849-IF($I849=0,$K849,$I849*$K849),"Amber","Red"))),"")</f>
        <v/>
      </c>
      <c r="T849" s="6" t="inlineStr"/>
    </row>
    <row r="850">
      <c r="A850" s="7" t="n">
        <v>46172</v>
      </c>
      <c r="B850" s="8">
        <f>IF($A850="","",TEXT($A850,"mmm-yyyy"))</f>
        <v/>
      </c>
      <c r="C850" s="8">
        <f>IF($A850="","","W"&amp;WEEKNUM($A850,2))</f>
        <v/>
      </c>
      <c r="D850" s="8">
        <f>IF($A850="","",TEXT($A850,"ddd"))</f>
        <v/>
      </c>
      <c r="E850" s="8" t="inlineStr">
        <is>
          <t>Maintenance</t>
        </is>
      </c>
      <c r="F850" s="8">
        <f>IFERROR(INDEX(Tbl_KPIMaster[Category],MATCH($G850,Tbl_KPIMaster[KPI],0)),"")</f>
        <v/>
      </c>
      <c r="G850" s="8" t="inlineStr">
        <is>
          <t>PM Compliance %</t>
        </is>
      </c>
      <c r="H850" s="8">
        <f>IFERROR(INDEX(Tbl_KPIMaster[Unit],MATCH($G850,Tbl_KPIMaster[KPI],0)),"")</f>
        <v/>
      </c>
      <c r="I850" s="9">
        <f>IFERROR(INDEX(Tbl_KPIMaster[Maximum Target],MATCH($G850,Tbl_KPIMaster[KPI],0)),"")</f>
        <v/>
      </c>
      <c r="J850" s="9" t="n">
        <v>0.9919</v>
      </c>
      <c r="K850" s="8">
        <f>IFERROR(INDEX(Tbl_KPIMaster[Tolerance],MATCH($G850,Tbl_KPIMaster[KPI],0)),"")</f>
        <v/>
      </c>
      <c r="L850" s="8">
        <f>IFERROR(INDEX(Tbl_KPIMaster[Owner],MATCH($G850,Tbl_KPIMaster[KPI],0)),"")</f>
        <v/>
      </c>
      <c r="M850" s="10" t="inlineStr"/>
      <c r="N850" s="8" t="inlineStr">
        <is>
          <t>Management approval pending</t>
        </is>
      </c>
      <c r="O850" s="8" t="inlineStr">
        <is>
          <t>Low</t>
        </is>
      </c>
      <c r="P850" s="8" t="inlineStr">
        <is>
          <t>Closed</t>
        </is>
      </c>
      <c r="Q850" s="9">
        <f>IFERROR(IF(INDEX(Tbl_KPIMaster[Direction],MATCH($G850,Tbl_KPIMaster[KPI],0))="Lower is Better",IF($J850=0,1,IF($I850=0,0,$I850/$J850)),IF($I850=0,1,$J850/$I850)),0)</f>
        <v/>
      </c>
      <c r="R850" s="8">
        <f>IF(OR($I850="",$J850=""),"",$J850-$I850)</f>
        <v/>
      </c>
      <c r="S850" s="8">
        <f>IFERROR(IF(INDEX(Tbl_KPIMaster[Direction],MATCH($G850,Tbl_KPIMaster[KPI],0))="Lower is Better",IF($J850&lt;=$I850,"Green",IF($J850&lt;=$I850+IF($I850=0,$K850,$I850*$K850),"Amber","Red")),IF($J850&gt;=$I850,"Green",IF($J850&gt;=$I850-IF($I850=0,$K850,$I850*$K850),"Amber","Red"))),"")</f>
        <v/>
      </c>
      <c r="T850" s="10" t="inlineStr"/>
    </row>
    <row r="851">
      <c r="A851" s="3" t="n">
        <v>46172</v>
      </c>
      <c r="B851" s="4">
        <f>IF($A851="","",TEXT($A851,"mmm-yyyy"))</f>
        <v/>
      </c>
      <c r="C851" s="4">
        <f>IF($A851="","","W"&amp;WEEKNUM($A851,2))</f>
        <v/>
      </c>
      <c r="D851" s="4">
        <f>IF($A851="","",TEXT($A851,"ddd"))</f>
        <v/>
      </c>
      <c r="E851" s="4" t="inlineStr">
        <is>
          <t>Utilities</t>
        </is>
      </c>
      <c r="F851" s="4">
        <f>IFERROR(INDEX(Tbl_KPIMaster[Category],MATCH($G851,Tbl_KPIMaster[KPI],0)),"")</f>
        <v/>
      </c>
      <c r="G851" s="4" t="inlineStr">
        <is>
          <t>Power Consumption</t>
        </is>
      </c>
      <c r="H851" s="4">
        <f>IFERROR(INDEX(Tbl_KPIMaster[Unit],MATCH($G851,Tbl_KPIMaster[KPI],0)),"")</f>
        <v/>
      </c>
      <c r="I851" s="5">
        <f>IFERROR(INDEX(Tbl_KPIMaster[Maximum Target],MATCH($G851,Tbl_KPIMaster[KPI],0)),"")</f>
        <v/>
      </c>
      <c r="J851" s="5" t="n">
        <v>3728.92</v>
      </c>
      <c r="K851" s="4">
        <f>IFERROR(INDEX(Tbl_KPIMaster[Tolerance],MATCH($G851,Tbl_KPIMaster[KPI],0)),"")</f>
        <v/>
      </c>
      <c r="L851" s="4">
        <f>IFERROR(INDEX(Tbl_KPIMaster[Owner],MATCH($G851,Tbl_KPIMaster[KPI],0)),"")</f>
        <v/>
      </c>
      <c r="M851" s="6" t="inlineStr"/>
      <c r="N851" s="4" t="inlineStr"/>
      <c r="O851" s="4" t="inlineStr">
        <is>
          <t>Low</t>
        </is>
      </c>
      <c r="P851" s="4" t="inlineStr">
        <is>
          <t>Closed</t>
        </is>
      </c>
      <c r="Q851" s="5">
        <f>IFERROR(IF(INDEX(Tbl_KPIMaster[Direction],MATCH($G851,Tbl_KPIMaster[KPI],0))="Lower is Better",IF($J851=0,1,IF($I851=0,0,$I851/$J851)),IF($I851=0,1,$J851/$I851)),0)</f>
        <v/>
      </c>
      <c r="R851" s="4">
        <f>IF(OR($I851="",$J851=""),"",$J851-$I851)</f>
        <v/>
      </c>
      <c r="S851" s="4">
        <f>IFERROR(IF(INDEX(Tbl_KPIMaster[Direction],MATCH($G851,Tbl_KPIMaster[KPI],0))="Lower is Better",IF($J851&lt;=$I851,"Green",IF($J851&lt;=$I851+IF($I851=0,$K851,$I851*$K851),"Amber","Red")),IF($J851&gt;=$I851,"Green",IF($J851&gt;=$I851-IF($I851=0,$K851,$I851*$K851),"Amber","Red"))),"")</f>
        <v/>
      </c>
      <c r="T851" s="6" t="inlineStr"/>
    </row>
    <row r="852">
      <c r="A852" s="7" t="n">
        <v>46172</v>
      </c>
      <c r="B852" s="8">
        <f>IF($A852="","",TEXT($A852,"mmm-yyyy"))</f>
        <v/>
      </c>
      <c r="C852" s="8">
        <f>IF($A852="","","W"&amp;WEEKNUM($A852,2))</f>
        <v/>
      </c>
      <c r="D852" s="8">
        <f>IF($A852="","",TEXT($A852,"ddd"))</f>
        <v/>
      </c>
      <c r="E852" s="8" t="inlineStr">
        <is>
          <t>Utilities</t>
        </is>
      </c>
      <c r="F852" s="8">
        <f>IFERROR(INDEX(Tbl_KPIMaster[Category],MATCH($G852,Tbl_KPIMaster[KPI],0)),"")</f>
        <v/>
      </c>
      <c r="G852" s="8" t="inlineStr">
        <is>
          <t>Water Consumption</t>
        </is>
      </c>
      <c r="H852" s="8">
        <f>IFERROR(INDEX(Tbl_KPIMaster[Unit],MATCH($G852,Tbl_KPIMaster[KPI],0)),"")</f>
        <v/>
      </c>
      <c r="I852" s="9">
        <f>IFERROR(INDEX(Tbl_KPIMaster[Maximum Target],MATCH($G852,Tbl_KPIMaster[KPI],0)),"")</f>
        <v/>
      </c>
      <c r="J852" s="9" t="n">
        <v>55.89</v>
      </c>
      <c r="K852" s="8">
        <f>IFERROR(INDEX(Tbl_KPIMaster[Tolerance],MATCH($G852,Tbl_KPIMaster[KPI],0)),"")</f>
        <v/>
      </c>
      <c r="L852" s="8">
        <f>IFERROR(INDEX(Tbl_KPIMaster[Owner],MATCH($G852,Tbl_KPIMaster[KPI],0)),"")</f>
        <v/>
      </c>
      <c r="M852" s="10" t="inlineStr">
        <is>
          <t>Preventive check done</t>
        </is>
      </c>
      <c r="N852" s="8" t="inlineStr"/>
      <c r="O852" s="8" t="inlineStr">
        <is>
          <t>Medium</t>
        </is>
      </c>
      <c r="P852" s="8" t="inlineStr">
        <is>
          <t>Closed</t>
        </is>
      </c>
      <c r="Q852" s="9">
        <f>IFERROR(IF(INDEX(Tbl_KPIMaster[Direction],MATCH($G852,Tbl_KPIMaster[KPI],0))="Lower is Better",IF($J852=0,1,IF($I852=0,0,$I852/$J852)),IF($I852=0,1,$J852/$I852)),0)</f>
        <v/>
      </c>
      <c r="R852" s="8">
        <f>IF(OR($I852="",$J852=""),"",$J852-$I852)</f>
        <v/>
      </c>
      <c r="S852" s="8">
        <f>IFERROR(IF(INDEX(Tbl_KPIMaster[Direction],MATCH($G852,Tbl_KPIMaster[KPI],0))="Lower is Better",IF($J852&lt;=$I852,"Green",IF($J852&lt;=$I852+IF($I852=0,$K852,$I852*$K852),"Amber","Red")),IF($J852&gt;=$I852,"Green",IF($J852&gt;=$I852-IF($I852=0,$K852,$I852*$K852),"Amber","Red"))),"")</f>
        <v/>
      </c>
      <c r="T852" s="10" t="inlineStr"/>
    </row>
    <row r="853">
      <c r="A853" s="3" t="n">
        <v>46172</v>
      </c>
      <c r="B853" s="4">
        <f>IF($A853="","",TEXT($A853,"mmm-yyyy"))</f>
        <v/>
      </c>
      <c r="C853" s="4">
        <f>IF($A853="","","W"&amp;WEEKNUM($A853,2))</f>
        <v/>
      </c>
      <c r="D853" s="4">
        <f>IF($A853="","",TEXT($A853,"ddd"))</f>
        <v/>
      </c>
      <c r="E853" s="4" t="inlineStr">
        <is>
          <t>Warehouse</t>
        </is>
      </c>
      <c r="F853" s="4">
        <f>IFERROR(INDEX(Tbl_KPIMaster[Category],MATCH($G853,Tbl_KPIMaster[KPI],0)),"")</f>
        <v/>
      </c>
      <c r="G853" s="4" t="inlineStr">
        <is>
          <t>On-Time Dispatch %</t>
        </is>
      </c>
      <c r="H853" s="4">
        <f>IFERROR(INDEX(Tbl_KPIMaster[Unit],MATCH($G853,Tbl_KPIMaster[KPI],0)),"")</f>
        <v/>
      </c>
      <c r="I853" s="5">
        <f>IFERROR(INDEX(Tbl_KPIMaster[Maximum Target],MATCH($G853,Tbl_KPIMaster[KPI],0)),"")</f>
        <v/>
      </c>
      <c r="J853" s="5" t="n">
        <v>0.8756</v>
      </c>
      <c r="K853" s="4">
        <f>IFERROR(INDEX(Tbl_KPIMaster[Tolerance],MATCH($G853,Tbl_KPIMaster[KPI],0)),"")</f>
        <v/>
      </c>
      <c r="L853" s="4">
        <f>IFERROR(INDEX(Tbl_KPIMaster[Owner],MATCH($G853,Tbl_KPIMaster[KPI],0)),"")</f>
        <v/>
      </c>
      <c r="M853" s="6" t="inlineStr">
        <is>
          <t>Manpower shortage</t>
        </is>
      </c>
      <c r="N853" s="4" t="inlineStr">
        <is>
          <t>Procurement follow-up</t>
        </is>
      </c>
      <c r="O853" s="4" t="inlineStr">
        <is>
          <t>Medium</t>
        </is>
      </c>
      <c r="P853" s="4" t="inlineStr">
        <is>
          <t>Open</t>
        </is>
      </c>
      <c r="Q853" s="5">
        <f>IFERROR(IF(INDEX(Tbl_KPIMaster[Direction],MATCH($G853,Tbl_KPIMaster[KPI],0))="Lower is Better",IF($J853=0,1,IF($I853=0,0,$I853/$J853)),IF($I853=0,1,$J853/$I853)),0)</f>
        <v/>
      </c>
      <c r="R853" s="4">
        <f>IF(OR($I853="",$J853=""),"",$J853-$I853)</f>
        <v/>
      </c>
      <c r="S853" s="4">
        <f>IFERROR(IF(INDEX(Tbl_KPIMaster[Direction],MATCH($G853,Tbl_KPIMaster[KPI],0))="Lower is Better",IF($J853&lt;=$I853,"Green",IF($J853&lt;=$I853+IF($I853=0,$K853,$I853*$K853),"Amber","Red")),IF($J853&gt;=$I853,"Green",IF($J853&gt;=$I853-IF($I853=0,$K853,$I853*$K853),"Amber","Red"))),"")</f>
        <v/>
      </c>
      <c r="T853" s="6" t="inlineStr"/>
    </row>
    <row r="854">
      <c r="A854" s="7" t="n">
        <v>46172</v>
      </c>
      <c r="B854" s="8">
        <f>IF($A854="","",TEXT($A854,"mmm-yyyy"))</f>
        <v/>
      </c>
      <c r="C854" s="8">
        <f>IF($A854="","","W"&amp;WEEKNUM($A854,2))</f>
        <v/>
      </c>
      <c r="D854" s="8">
        <f>IF($A854="","",TEXT($A854,"ddd"))</f>
        <v/>
      </c>
      <c r="E854" s="8" t="inlineStr">
        <is>
          <t>Warehouse</t>
        </is>
      </c>
      <c r="F854" s="8">
        <f>IFERROR(INDEX(Tbl_KPIMaster[Category],MATCH($G854,Tbl_KPIMaster[KPI],0)),"")</f>
        <v/>
      </c>
      <c r="G854" s="8" t="inlineStr">
        <is>
          <t>Inventory Accuracy %</t>
        </is>
      </c>
      <c r="H854" s="8">
        <f>IFERROR(INDEX(Tbl_KPIMaster[Unit],MATCH($G854,Tbl_KPIMaster[KPI],0)),"")</f>
        <v/>
      </c>
      <c r="I854" s="9">
        <f>IFERROR(INDEX(Tbl_KPIMaster[Maximum Target],MATCH($G854,Tbl_KPIMaster[KPI],0)),"")</f>
        <v/>
      </c>
      <c r="J854" s="9" t="n">
        <v>0.9698</v>
      </c>
      <c r="K854" s="8">
        <f>IFERROR(INDEX(Tbl_KPIMaster[Tolerance],MATCH($G854,Tbl_KPIMaster[KPI],0)),"")</f>
        <v/>
      </c>
      <c r="L854" s="8">
        <f>IFERROR(INDEX(Tbl_KPIMaster[Owner],MATCH($G854,Tbl_KPIMaster[KPI],0)),"")</f>
        <v/>
      </c>
      <c r="M854" s="10" t="inlineStr"/>
      <c r="N854" s="8" t="inlineStr"/>
      <c r="O854" s="8" t="inlineStr">
        <is>
          <t>High</t>
        </is>
      </c>
      <c r="P854" s="8" t="inlineStr">
        <is>
          <t>Open</t>
        </is>
      </c>
      <c r="Q854" s="9">
        <f>IFERROR(IF(INDEX(Tbl_KPIMaster[Direction],MATCH($G854,Tbl_KPIMaster[KPI],0))="Lower is Better",IF($J854=0,1,IF($I854=0,0,$I854/$J854)),IF($I854=0,1,$J854/$I854)),0)</f>
        <v/>
      </c>
      <c r="R854" s="8">
        <f>IF(OR($I854="",$J854=""),"",$J854-$I854)</f>
        <v/>
      </c>
      <c r="S854" s="8">
        <f>IFERROR(IF(INDEX(Tbl_KPIMaster[Direction],MATCH($G854,Tbl_KPIMaster[KPI],0))="Lower is Better",IF($J854&lt;=$I854,"Green",IF($J854&lt;=$I854+IF($I854=0,$K854,$I854*$K854),"Amber","Red")),IF($J854&gt;=$I854,"Green",IF($J854&gt;=$I854-IF($I854=0,$K854,$I854*$K854),"Amber","Red"))),"")</f>
        <v/>
      </c>
      <c r="T854" s="10" t="inlineStr"/>
    </row>
    <row r="855">
      <c r="A855" s="3" t="n">
        <v>46172</v>
      </c>
      <c r="B855" s="4">
        <f>IF($A855="","",TEXT($A855,"mmm-yyyy"))</f>
        <v/>
      </c>
      <c r="C855" s="4">
        <f>IF($A855="","","W"&amp;WEEKNUM($A855,2))</f>
        <v/>
      </c>
      <c r="D855" s="4">
        <f>IF($A855="","",TEXT($A855,"ddd"))</f>
        <v/>
      </c>
      <c r="E855" s="4" t="inlineStr">
        <is>
          <t>HR</t>
        </is>
      </c>
      <c r="F855" s="4">
        <f>IFERROR(INDEX(Tbl_KPIMaster[Category],MATCH($G855,Tbl_KPIMaster[KPI],0)),"")</f>
        <v/>
      </c>
      <c r="G855" s="4" t="inlineStr">
        <is>
          <t>Absenteeism %</t>
        </is>
      </c>
      <c r="H855" s="4">
        <f>IFERROR(INDEX(Tbl_KPIMaster[Unit],MATCH($G855,Tbl_KPIMaster[KPI],0)),"")</f>
        <v/>
      </c>
      <c r="I855" s="5">
        <f>IFERROR(INDEX(Tbl_KPIMaster[Maximum Target],MATCH($G855,Tbl_KPIMaster[KPI],0)),"")</f>
        <v/>
      </c>
      <c r="J855" s="5" t="n">
        <v>0.8185</v>
      </c>
      <c r="K855" s="4">
        <f>IFERROR(INDEX(Tbl_KPIMaster[Tolerance],MATCH($G855,Tbl_KPIMaster[KPI],0)),"")</f>
        <v/>
      </c>
      <c r="L855" s="4">
        <f>IFERROR(INDEX(Tbl_KPIMaster[Owner],MATCH($G855,Tbl_KPIMaster[KPI],0)),"")</f>
        <v/>
      </c>
      <c r="M855" s="6" t="inlineStr">
        <is>
          <t>Awaiting spares</t>
        </is>
      </c>
      <c r="N855" s="4" t="inlineStr">
        <is>
          <t>Engineering support needed</t>
        </is>
      </c>
      <c r="O855" s="4" t="inlineStr">
        <is>
          <t>Low</t>
        </is>
      </c>
      <c r="P855" s="4" t="inlineStr">
        <is>
          <t>Open</t>
        </is>
      </c>
      <c r="Q855" s="5">
        <f>IFERROR(IF(INDEX(Tbl_KPIMaster[Direction],MATCH($G855,Tbl_KPIMaster[KPI],0))="Lower is Better",IF($J855=0,1,IF($I855=0,0,$I855/$J855)),IF($I855=0,1,$J855/$I855)),0)</f>
        <v/>
      </c>
      <c r="R855" s="4">
        <f>IF(OR($I855="",$J855=""),"",$J855-$I855)</f>
        <v/>
      </c>
      <c r="S855" s="4">
        <f>IFERROR(IF(INDEX(Tbl_KPIMaster[Direction],MATCH($G855,Tbl_KPIMaster[KPI],0))="Lower is Better",IF($J855&lt;=$I855,"Green",IF($J855&lt;=$I855+IF($I855=0,$K855,$I855*$K855),"Amber","Red")),IF($J855&gt;=$I855,"Green",IF($J855&gt;=$I855-IF($I855=0,$K855,$I855*$K855),"Amber","Red"))),"")</f>
        <v/>
      </c>
      <c r="T855" s="6" t="inlineStr"/>
    </row>
    <row r="856">
      <c r="A856" s="7" t="n">
        <v>46172</v>
      </c>
      <c r="B856" s="8">
        <f>IF($A856="","",TEXT($A856,"mmm-yyyy"))</f>
        <v/>
      </c>
      <c r="C856" s="8">
        <f>IF($A856="","","W"&amp;WEEKNUM($A856,2))</f>
        <v/>
      </c>
      <c r="D856" s="8">
        <f>IF($A856="","",TEXT($A856,"ddd"))</f>
        <v/>
      </c>
      <c r="E856" s="8" t="inlineStr">
        <is>
          <t>HR</t>
        </is>
      </c>
      <c r="F856" s="8">
        <f>IFERROR(INDEX(Tbl_KPIMaster[Category],MATCH($G856,Tbl_KPIMaster[KPI],0)),"")</f>
        <v/>
      </c>
      <c r="G856" s="8" t="inlineStr">
        <is>
          <t>Training Hours</t>
        </is>
      </c>
      <c r="H856" s="8">
        <f>IFERROR(INDEX(Tbl_KPIMaster[Unit],MATCH($G856,Tbl_KPIMaster[KPI],0)),"")</f>
        <v/>
      </c>
      <c r="I856" s="9">
        <f>IFERROR(INDEX(Tbl_KPIMaster[Maximum Target],MATCH($G856,Tbl_KPIMaster[KPI],0)),"")</f>
        <v/>
      </c>
      <c r="J856" s="9" t="n">
        <v>1.98</v>
      </c>
      <c r="K856" s="8">
        <f>IFERROR(INDEX(Tbl_KPIMaster[Tolerance],MATCH($G856,Tbl_KPIMaster[KPI],0)),"")</f>
        <v/>
      </c>
      <c r="L856" s="8">
        <f>IFERROR(INDEX(Tbl_KPIMaster[Owner],MATCH($G856,Tbl_KPIMaster[KPI],0)),"")</f>
        <v/>
      </c>
      <c r="M856" s="10" t="inlineStr">
        <is>
          <t>Preventive check done</t>
        </is>
      </c>
      <c r="N856" s="8" t="inlineStr"/>
      <c r="O856" s="8" t="inlineStr">
        <is>
          <t>Medium</t>
        </is>
      </c>
      <c r="P856" s="8" t="inlineStr">
        <is>
          <t>In Progress</t>
        </is>
      </c>
      <c r="Q856" s="9">
        <f>IFERROR(IF(INDEX(Tbl_KPIMaster[Direction],MATCH($G856,Tbl_KPIMaster[KPI],0))="Lower is Better",IF($J856=0,1,IF($I856=0,0,$I856/$J856)),IF($I856=0,1,$J856/$I856)),0)</f>
        <v/>
      </c>
      <c r="R856" s="8">
        <f>IF(OR($I856="",$J856=""),"",$J856-$I856)</f>
        <v/>
      </c>
      <c r="S856" s="8">
        <f>IFERROR(IF(INDEX(Tbl_KPIMaster[Direction],MATCH($G856,Tbl_KPIMaster[KPI],0))="Lower is Better",IF($J856&lt;=$I856,"Green",IF($J856&lt;=$I856+IF($I856=0,$K856,$I856*$K856),"Amber","Red")),IF($J856&gt;=$I856,"Green",IF($J856&gt;=$I856-IF($I856=0,$K856,$I856*$K856),"Amber","Red"))),"")</f>
        <v/>
      </c>
      <c r="T856" s="10" t="inlineStr"/>
    </row>
    <row r="857">
      <c r="A857" s="3" t="n">
        <v>46172</v>
      </c>
      <c r="B857" s="4">
        <f>IF($A857="","",TEXT($A857,"mmm-yyyy"))</f>
        <v/>
      </c>
      <c r="C857" s="4">
        <f>IF($A857="","","W"&amp;WEEKNUM($A857,2))</f>
        <v/>
      </c>
      <c r="D857" s="4">
        <f>IF($A857="","",TEXT($A857,"ddd"))</f>
        <v/>
      </c>
      <c r="E857" s="4" t="inlineStr">
        <is>
          <t>Engineering</t>
        </is>
      </c>
      <c r="F857" s="4">
        <f>IFERROR(INDEX(Tbl_KPIMaster[Category],MATCH($G857,Tbl_KPIMaster[KPI],0)),"")</f>
        <v/>
      </c>
      <c r="G857" s="4" t="inlineStr">
        <is>
          <t>Project Milestone Adherence %</t>
        </is>
      </c>
      <c r="H857" s="4">
        <f>IFERROR(INDEX(Tbl_KPIMaster[Unit],MATCH($G857,Tbl_KPIMaster[KPI],0)),"")</f>
        <v/>
      </c>
      <c r="I857" s="5">
        <f>IFERROR(INDEX(Tbl_KPIMaster[Maximum Target],MATCH($G857,Tbl_KPIMaster[KPI],0)),"")</f>
        <v/>
      </c>
      <c r="J857" s="5" t="n">
        <v>1.0164</v>
      </c>
      <c r="K857" s="4">
        <f>IFERROR(INDEX(Tbl_KPIMaster[Tolerance],MATCH($G857,Tbl_KPIMaster[KPI],0)),"")</f>
        <v/>
      </c>
      <c r="L857" s="4">
        <f>IFERROR(INDEX(Tbl_KPIMaster[Owner],MATCH($G857,Tbl_KPIMaster[KPI],0)),"")</f>
        <v/>
      </c>
      <c r="M857" s="6" t="inlineStr">
        <is>
          <t>Preventive check done</t>
        </is>
      </c>
      <c r="N857" s="4" t="inlineStr"/>
      <c r="O857" s="4" t="inlineStr">
        <is>
          <t>Low</t>
        </is>
      </c>
      <c r="P857" s="4" t="inlineStr">
        <is>
          <t>Closed</t>
        </is>
      </c>
      <c r="Q857" s="5">
        <f>IFERROR(IF(INDEX(Tbl_KPIMaster[Direction],MATCH($G857,Tbl_KPIMaster[KPI],0))="Lower is Better",IF($J857=0,1,IF($I857=0,0,$I857/$J857)),IF($I857=0,1,$J857/$I857)),0)</f>
        <v/>
      </c>
      <c r="R857" s="4">
        <f>IF(OR($I857="",$J857=""),"",$J857-$I857)</f>
        <v/>
      </c>
      <c r="S857" s="4">
        <f>IFERROR(IF(INDEX(Tbl_KPIMaster[Direction],MATCH($G857,Tbl_KPIMaster[KPI],0))="Lower is Better",IF($J857&lt;=$I857,"Green",IF($J857&lt;=$I857+IF($I857=0,$K857,$I857*$K857),"Amber","Red")),IF($J857&gt;=$I857,"Green",IF($J857&gt;=$I857-IF($I857=0,$K857,$I857*$K857),"Amber","Red"))),"")</f>
        <v/>
      </c>
      <c r="T857" s="6" t="inlineStr"/>
    </row>
    <row r="858">
      <c r="A858" s="7" t="n">
        <v>46172</v>
      </c>
      <c r="B858" s="8">
        <f>IF($A858="","",TEXT($A858,"mmm-yyyy"))</f>
        <v/>
      </c>
      <c r="C858" s="8">
        <f>IF($A858="","","W"&amp;WEEKNUM($A858,2))</f>
        <v/>
      </c>
      <c r="D858" s="8">
        <f>IF($A858="","",TEXT($A858,"ddd"))</f>
        <v/>
      </c>
      <c r="E858" s="8" t="inlineStr">
        <is>
          <t>Engineering</t>
        </is>
      </c>
      <c r="F858" s="8">
        <f>IFERROR(INDEX(Tbl_KPIMaster[Category],MATCH($G858,Tbl_KPIMaster[KPI],0)),"")</f>
        <v/>
      </c>
      <c r="G858" s="8" t="inlineStr">
        <is>
          <t>Breakdown Resolution Time</t>
        </is>
      </c>
      <c r="H858" s="8">
        <f>IFERROR(INDEX(Tbl_KPIMaster[Unit],MATCH($G858,Tbl_KPIMaster[KPI],0)),"")</f>
        <v/>
      </c>
      <c r="I858" s="9">
        <f>IFERROR(INDEX(Tbl_KPIMaster[Maximum Target],MATCH($G858,Tbl_KPIMaster[KPI],0)),"")</f>
        <v/>
      </c>
      <c r="J858" s="9" t="n">
        <v>0</v>
      </c>
      <c r="K858" s="8">
        <f>IFERROR(INDEX(Tbl_KPIMaster[Tolerance],MATCH($G858,Tbl_KPIMaster[KPI],0)),"")</f>
        <v/>
      </c>
      <c r="L858" s="8">
        <f>IFERROR(INDEX(Tbl_KPIMaster[Owner],MATCH($G858,Tbl_KPIMaster[KPI],0)),"")</f>
        <v/>
      </c>
      <c r="M858" s="10" t="inlineStr">
        <is>
          <t>Process improvement in progress</t>
        </is>
      </c>
      <c r="N858" s="8" t="inlineStr">
        <is>
          <t>Engineering support needed</t>
        </is>
      </c>
      <c r="O858" s="8" t="inlineStr">
        <is>
          <t>High</t>
        </is>
      </c>
      <c r="P858" s="8" t="inlineStr">
        <is>
          <t>In Progress</t>
        </is>
      </c>
      <c r="Q858" s="9">
        <f>IFERROR(IF(INDEX(Tbl_KPIMaster[Direction],MATCH($G858,Tbl_KPIMaster[KPI],0))="Lower is Better",IF($J858=0,1,IF($I858=0,0,$I858/$J858)),IF($I858=0,1,$J858/$I858)),0)</f>
        <v/>
      </c>
      <c r="R858" s="8">
        <f>IF(OR($I858="",$J858=""),"",$J858-$I858)</f>
        <v/>
      </c>
      <c r="S858" s="8">
        <f>IFERROR(IF(INDEX(Tbl_KPIMaster[Direction],MATCH($G858,Tbl_KPIMaster[KPI],0))="Lower is Better",IF($J858&lt;=$I858,"Green",IF($J858&lt;=$I858+IF($I858=0,$K858,$I858*$K858),"Amber","Red")),IF($J858&gt;=$I858,"Green",IF($J858&gt;=$I858-IF($I858=0,$K858,$I858*$K858),"Amber","Red"))),"")</f>
        <v/>
      </c>
      <c r="T858" s="10" t="inlineStr"/>
    </row>
    <row r="859">
      <c r="A859" s="3" t="n">
        <v>46172</v>
      </c>
      <c r="B859" s="4">
        <f>IF($A859="","",TEXT($A859,"mmm-yyyy"))</f>
        <v/>
      </c>
      <c r="C859" s="4">
        <f>IF($A859="","","W"&amp;WEEKNUM($A859,2))</f>
        <v/>
      </c>
      <c r="D859" s="4">
        <f>IF($A859="","",TEXT($A859,"ddd"))</f>
        <v/>
      </c>
      <c r="E859" s="4" t="inlineStr">
        <is>
          <t>Cost</t>
        </is>
      </c>
      <c r="F859" s="4">
        <f>IFERROR(INDEX(Tbl_KPIMaster[Category],MATCH($G859,Tbl_KPIMaster[KPI],0)),"")</f>
        <v/>
      </c>
      <c r="G859" s="4" t="inlineStr">
        <is>
          <t>Cost per Unit</t>
        </is>
      </c>
      <c r="H859" s="4">
        <f>IFERROR(INDEX(Tbl_KPIMaster[Unit],MATCH($G859,Tbl_KPIMaster[KPI],0)),"")</f>
        <v/>
      </c>
      <c r="I859" s="5">
        <f>IFERROR(INDEX(Tbl_KPIMaster[Maximum Target],MATCH($G859,Tbl_KPIMaster[KPI],0)),"")</f>
        <v/>
      </c>
      <c r="J859" s="5" t="n">
        <v>41.85</v>
      </c>
      <c r="K859" s="4">
        <f>IFERROR(INDEX(Tbl_KPIMaster[Tolerance],MATCH($G859,Tbl_KPIMaster[KPI],0)),"")</f>
        <v/>
      </c>
      <c r="L859" s="4">
        <f>IFERROR(INDEX(Tbl_KPIMaster[Owner],MATCH($G859,Tbl_KPIMaster[KPI],0)),"")</f>
        <v/>
      </c>
      <c r="M859" s="6" t="inlineStr">
        <is>
          <t>Manpower shortage</t>
        </is>
      </c>
      <c r="N859" s="4" t="inlineStr"/>
      <c r="O859" s="4" t="inlineStr">
        <is>
          <t>High</t>
        </is>
      </c>
      <c r="P859" s="4" t="inlineStr">
        <is>
          <t>In Progress</t>
        </is>
      </c>
      <c r="Q859" s="5">
        <f>IFERROR(IF(INDEX(Tbl_KPIMaster[Direction],MATCH($G859,Tbl_KPIMaster[KPI],0))="Lower is Better",IF($J859=0,1,IF($I859=0,0,$I859/$J859)),IF($I859=0,1,$J859/$I859)),0)</f>
        <v/>
      </c>
      <c r="R859" s="4">
        <f>IF(OR($I859="",$J859=""),"",$J859-$I859)</f>
        <v/>
      </c>
      <c r="S859" s="4">
        <f>IFERROR(IF(INDEX(Tbl_KPIMaster[Direction],MATCH($G859,Tbl_KPIMaster[KPI],0))="Lower is Better",IF($J859&lt;=$I859,"Green",IF($J859&lt;=$I859+IF($I859=0,$K859,$I859*$K859),"Amber","Red")),IF($J859&gt;=$I859,"Green",IF($J859&gt;=$I859-IF($I859=0,$K859,$I859*$K859),"Amber","Red"))),"")</f>
        <v/>
      </c>
      <c r="T859" s="6" t="inlineStr"/>
    </row>
    <row r="860">
      <c r="A860" s="7" t="n">
        <v>46172</v>
      </c>
      <c r="B860" s="8">
        <f>IF($A860="","",TEXT($A860,"mmm-yyyy"))</f>
        <v/>
      </c>
      <c r="C860" s="8">
        <f>IF($A860="","","W"&amp;WEEKNUM($A860,2))</f>
        <v/>
      </c>
      <c r="D860" s="8">
        <f>IF($A860="","",TEXT($A860,"ddd"))</f>
        <v/>
      </c>
      <c r="E860" s="8" t="inlineStr">
        <is>
          <t>Cost</t>
        </is>
      </c>
      <c r="F860" s="8">
        <f>IFERROR(INDEX(Tbl_KPIMaster[Category],MATCH($G860,Tbl_KPIMaster[KPI],0)),"")</f>
        <v/>
      </c>
      <c r="G860" s="8" t="inlineStr">
        <is>
          <t>Budget Variance %</t>
        </is>
      </c>
      <c r="H860" s="8">
        <f>IFERROR(INDEX(Tbl_KPIMaster[Unit],MATCH($G860,Tbl_KPIMaster[KPI],0)),"")</f>
        <v/>
      </c>
      <c r="I860" s="9">
        <f>IFERROR(INDEX(Tbl_KPIMaster[Maximum Target],MATCH($G860,Tbl_KPIMaster[KPI],0)),"")</f>
        <v/>
      </c>
      <c r="J860" s="9" t="n">
        <v>0</v>
      </c>
      <c r="K860" s="8">
        <f>IFERROR(INDEX(Tbl_KPIMaster[Tolerance],MATCH($G860,Tbl_KPIMaster[KPI],0)),"")</f>
        <v/>
      </c>
      <c r="L860" s="8">
        <f>IFERROR(INDEX(Tbl_KPIMaster[Owner],MATCH($G860,Tbl_KPIMaster[KPI],0)),"")</f>
        <v/>
      </c>
      <c r="M860" s="10" t="inlineStr"/>
      <c r="N860" s="8" t="inlineStr">
        <is>
          <t>Procurement follow-up</t>
        </is>
      </c>
      <c r="O860" s="8" t="inlineStr">
        <is>
          <t>Medium</t>
        </is>
      </c>
      <c r="P860" s="8" t="inlineStr">
        <is>
          <t>In Progress</t>
        </is>
      </c>
      <c r="Q860" s="9">
        <f>IFERROR(IF(INDEX(Tbl_KPIMaster[Direction],MATCH($G860,Tbl_KPIMaster[KPI],0))="Lower is Better",IF($J860=0,1,IF($I860=0,0,$I860/$J860)),IF($I860=0,1,$J860/$I860)),0)</f>
        <v/>
      </c>
      <c r="R860" s="8">
        <f>IF(OR($I860="",$J860=""),"",$J860-$I860)</f>
        <v/>
      </c>
      <c r="S860" s="8">
        <f>IFERROR(IF(INDEX(Tbl_KPIMaster[Direction],MATCH($G860,Tbl_KPIMaster[KPI],0))="Lower is Better",IF($J860&lt;=$I860,"Green",IF($J860&lt;=$I860+IF($I860=0,$K860,$I860*$K860),"Amber","Red")),IF($J860&gt;=$I860,"Green",IF($J860&gt;=$I860-IF($I860=0,$K860,$I860*$K860),"Amber","Red"))),"")</f>
        <v/>
      </c>
      <c r="T860" s="10" t="inlineStr"/>
    </row>
    <row r="861">
      <c r="A861" s="3" t="n">
        <v>46172</v>
      </c>
      <c r="B861" s="4">
        <f>IF($A861="","",TEXT($A861,"mmm-yyyy"))</f>
        <v/>
      </c>
      <c r="C861" s="4">
        <f>IF($A861="","","W"&amp;WEEKNUM($A861,2))</f>
        <v/>
      </c>
      <c r="D861" s="4">
        <f>IF($A861="","",TEXT($A861,"ddd"))</f>
        <v/>
      </c>
      <c r="E861" s="4" t="inlineStr">
        <is>
          <t>Energy</t>
        </is>
      </c>
      <c r="F861" s="4">
        <f>IFERROR(INDEX(Tbl_KPIMaster[Category],MATCH($G861,Tbl_KPIMaster[KPI],0)),"")</f>
        <v/>
      </c>
      <c r="G861" s="4" t="inlineStr">
        <is>
          <t>Energy Intensity (kWh/unit)</t>
        </is>
      </c>
      <c r="H861" s="4">
        <f>IFERROR(INDEX(Tbl_KPIMaster[Unit],MATCH($G861,Tbl_KPIMaster[KPI],0)),"")</f>
        <v/>
      </c>
      <c r="I861" s="5">
        <f>IFERROR(INDEX(Tbl_KPIMaster[Maximum Target],MATCH($G861,Tbl_KPIMaster[KPI],0)),"")</f>
        <v/>
      </c>
      <c r="J861" s="5" t="n">
        <v>3.26</v>
      </c>
      <c r="K861" s="4">
        <f>IFERROR(INDEX(Tbl_KPIMaster[Tolerance],MATCH($G861,Tbl_KPIMaster[KPI],0)),"")</f>
        <v/>
      </c>
      <c r="L861" s="4">
        <f>IFERROR(INDEX(Tbl_KPIMaster[Owner],MATCH($G861,Tbl_KPIMaster[KPI],0)),"")</f>
        <v/>
      </c>
      <c r="M861" s="6" t="inlineStr">
        <is>
          <t>New operator training effect</t>
        </is>
      </c>
      <c r="N861" s="4" t="inlineStr"/>
      <c r="O861" s="4" t="inlineStr">
        <is>
          <t>Low</t>
        </is>
      </c>
      <c r="P861" s="4" t="inlineStr">
        <is>
          <t>In Progress</t>
        </is>
      </c>
      <c r="Q861" s="5">
        <f>IFERROR(IF(INDEX(Tbl_KPIMaster[Direction],MATCH($G861,Tbl_KPIMaster[KPI],0))="Lower is Better",IF($J861=0,1,IF($I861=0,0,$I861/$J861)),IF($I861=0,1,$J861/$I861)),0)</f>
        <v/>
      </c>
      <c r="R861" s="4">
        <f>IF(OR($I861="",$J861=""),"",$J861-$I861)</f>
        <v/>
      </c>
      <c r="S861" s="4">
        <f>IFERROR(IF(INDEX(Tbl_KPIMaster[Direction],MATCH($G861,Tbl_KPIMaster[KPI],0))="Lower is Better",IF($J861&lt;=$I861,"Green",IF($J861&lt;=$I861+IF($I861=0,$K861,$I861*$K861),"Amber","Red")),IF($J861&gt;=$I861,"Green",IF($J861&gt;=$I861-IF($I861=0,$K861,$I861*$K861),"Amber","Red"))),"")</f>
        <v/>
      </c>
      <c r="T861" s="6" t="inlineStr"/>
    </row>
    <row r="862">
      <c r="A862" s="7" t="n">
        <v>46172</v>
      </c>
      <c r="B862" s="8">
        <f>IF($A862="","",TEXT($A862,"mmm-yyyy"))</f>
        <v/>
      </c>
      <c r="C862" s="8">
        <f>IF($A862="","","W"&amp;WEEKNUM($A862,2))</f>
        <v/>
      </c>
      <c r="D862" s="8">
        <f>IF($A862="","",TEXT($A862,"ddd"))</f>
        <v/>
      </c>
      <c r="E862" s="8" t="inlineStr">
        <is>
          <t>Energy</t>
        </is>
      </c>
      <c r="F862" s="8">
        <f>IFERROR(INDEX(Tbl_KPIMaster[Category],MATCH($G862,Tbl_KPIMaster[KPI],0)),"")</f>
        <v/>
      </c>
      <c r="G862" s="8" t="inlineStr">
        <is>
          <t>Renewable Energy Share %</t>
        </is>
      </c>
      <c r="H862" s="8">
        <f>IFERROR(INDEX(Tbl_KPIMaster[Unit],MATCH($G862,Tbl_KPIMaster[KPI],0)),"")</f>
        <v/>
      </c>
      <c r="I862" s="9">
        <f>IFERROR(INDEX(Tbl_KPIMaster[Maximum Target],MATCH($G862,Tbl_KPIMaster[KPI],0)),"")</f>
        <v/>
      </c>
      <c r="J862" s="9" t="n">
        <v>0.2231</v>
      </c>
      <c r="K862" s="8">
        <f>IFERROR(INDEX(Tbl_KPIMaster[Tolerance],MATCH($G862,Tbl_KPIMaster[KPI],0)),"")</f>
        <v/>
      </c>
      <c r="L862" s="8">
        <f>IFERROR(INDEX(Tbl_KPIMaster[Owner],MATCH($G862,Tbl_KPIMaster[KPI],0)),"")</f>
        <v/>
      </c>
      <c r="M862" s="10" t="inlineStr">
        <is>
          <t>Within normal range</t>
        </is>
      </c>
      <c r="N862" s="8" t="inlineStr">
        <is>
          <t>Engineering support needed</t>
        </is>
      </c>
      <c r="O862" s="8" t="inlineStr">
        <is>
          <t>Medium</t>
        </is>
      </c>
      <c r="P862" s="8" t="inlineStr">
        <is>
          <t>Open</t>
        </is>
      </c>
      <c r="Q862" s="9">
        <f>IFERROR(IF(INDEX(Tbl_KPIMaster[Direction],MATCH($G862,Tbl_KPIMaster[KPI],0))="Lower is Better",IF($J862=0,1,IF($I862=0,0,$I862/$J862)),IF($I862=0,1,$J862/$I862)),0)</f>
        <v/>
      </c>
      <c r="R862" s="8">
        <f>IF(OR($I862="",$J862=""),"",$J862-$I862)</f>
        <v/>
      </c>
      <c r="S862" s="8">
        <f>IFERROR(IF(INDEX(Tbl_KPIMaster[Direction],MATCH($G862,Tbl_KPIMaster[KPI],0))="Lower is Better",IF($J862&lt;=$I862,"Green",IF($J862&lt;=$I862+IF($I862=0,$K862,$I862*$K862),"Amber","Red")),IF($J862&gt;=$I862,"Green",IF($J862&gt;=$I862-IF($I862=0,$K862,$I862*$K862),"Amber","Red"))),"")</f>
        <v/>
      </c>
      <c r="T862" s="10" t="inlineStr"/>
    </row>
    <row r="863">
      <c r="A863" s="3" t="n">
        <v>46173</v>
      </c>
      <c r="B863" s="4">
        <f>IF($A863="","",TEXT($A863,"mmm-yyyy"))</f>
        <v/>
      </c>
      <c r="C863" s="4">
        <f>IF($A863="","","W"&amp;WEEKNUM($A863,2))</f>
        <v/>
      </c>
      <c r="D863" s="4">
        <f>IF($A863="","",TEXT($A863,"ddd"))</f>
        <v/>
      </c>
      <c r="E863" s="4" t="inlineStr">
        <is>
          <t>Safety</t>
        </is>
      </c>
      <c r="F863" s="4">
        <f>IFERROR(INDEX(Tbl_KPIMaster[Category],MATCH($G863,Tbl_KPIMaster[KPI],0)),"")</f>
        <v/>
      </c>
      <c r="G863" s="4" t="inlineStr">
        <is>
          <t>Safety Incidents (LTI)</t>
        </is>
      </c>
      <c r="H863" s="4">
        <f>IFERROR(INDEX(Tbl_KPIMaster[Unit],MATCH($G863,Tbl_KPIMaster[KPI],0)),"")</f>
        <v/>
      </c>
      <c r="I863" s="5">
        <f>IFERROR(INDEX(Tbl_KPIMaster[Maximum Target],MATCH($G863,Tbl_KPIMaster[KPI],0)),"")</f>
        <v/>
      </c>
      <c r="J863" s="5" t="n">
        <v>1</v>
      </c>
      <c r="K863" s="4">
        <f>IFERROR(INDEX(Tbl_KPIMaster[Tolerance],MATCH($G863,Tbl_KPIMaster[KPI],0)),"")</f>
        <v/>
      </c>
      <c r="L863" s="4">
        <f>IFERROR(INDEX(Tbl_KPIMaster[Owner],MATCH($G863,Tbl_KPIMaster[KPI],0)),"")</f>
        <v/>
      </c>
      <c r="M863" s="6" t="inlineStr">
        <is>
          <t>Vendor delay</t>
        </is>
      </c>
      <c r="N863" s="4" t="inlineStr"/>
      <c r="O863" s="4" t="inlineStr">
        <is>
          <t>High</t>
        </is>
      </c>
      <c r="P863" s="4" t="inlineStr">
        <is>
          <t>Closed</t>
        </is>
      </c>
      <c r="Q863" s="5">
        <f>IFERROR(IF(INDEX(Tbl_KPIMaster[Direction],MATCH($G863,Tbl_KPIMaster[KPI],0))="Lower is Better",IF($J863=0,1,IF($I863=0,0,$I863/$J863)),IF($I863=0,1,$J863/$I863)),0)</f>
        <v/>
      </c>
      <c r="R863" s="4">
        <f>IF(OR($I863="",$J863=""),"",$J863-$I863)</f>
        <v/>
      </c>
      <c r="S863" s="4">
        <f>IFERROR(IF(INDEX(Tbl_KPIMaster[Direction],MATCH($G863,Tbl_KPIMaster[KPI],0))="Lower is Better",IF($J863&lt;=$I863,"Green",IF($J863&lt;=$I863+IF($I863=0,$K863,$I863*$K863),"Amber","Red")),IF($J863&gt;=$I863,"Green",IF($J863&gt;=$I863-IF($I863=0,$K863,$I863*$K863),"Amber","Red"))),"")</f>
        <v/>
      </c>
      <c r="T863" s="6" t="inlineStr"/>
    </row>
    <row r="864">
      <c r="A864" s="7" t="n">
        <v>46173</v>
      </c>
      <c r="B864" s="8">
        <f>IF($A864="","",TEXT($A864,"mmm-yyyy"))</f>
        <v/>
      </c>
      <c r="C864" s="8">
        <f>IF($A864="","","W"&amp;WEEKNUM($A864,2))</f>
        <v/>
      </c>
      <c r="D864" s="8">
        <f>IF($A864="","",TEXT($A864,"ddd"))</f>
        <v/>
      </c>
      <c r="E864" s="8" t="inlineStr">
        <is>
          <t>Safety</t>
        </is>
      </c>
      <c r="F864" s="8">
        <f>IFERROR(INDEX(Tbl_KPIMaster[Category],MATCH($G864,Tbl_KPIMaster[KPI],0)),"")</f>
        <v/>
      </c>
      <c r="G864" s="8" t="inlineStr">
        <is>
          <t>Near Miss Reports</t>
        </is>
      </c>
      <c r="H864" s="8">
        <f>IFERROR(INDEX(Tbl_KPIMaster[Unit],MATCH($G864,Tbl_KPIMaster[KPI],0)),"")</f>
        <v/>
      </c>
      <c r="I864" s="9">
        <f>IFERROR(INDEX(Tbl_KPIMaster[Maximum Target],MATCH($G864,Tbl_KPIMaster[KPI],0)),"")</f>
        <v/>
      </c>
      <c r="J864" s="9" t="n">
        <v>2</v>
      </c>
      <c r="K864" s="8">
        <f>IFERROR(INDEX(Tbl_KPIMaster[Tolerance],MATCH($G864,Tbl_KPIMaster[KPI],0)),"")</f>
        <v/>
      </c>
      <c r="L864" s="8">
        <f>IFERROR(INDEX(Tbl_KPIMaster[Owner],MATCH($G864,Tbl_KPIMaster[KPI],0)),"")</f>
        <v/>
      </c>
      <c r="M864" s="10" t="inlineStr">
        <is>
          <t>Equipment breakdown</t>
        </is>
      </c>
      <c r="N864" s="8" t="inlineStr"/>
      <c r="O864" s="8" t="inlineStr">
        <is>
          <t>Low</t>
        </is>
      </c>
      <c r="P864" s="8" t="inlineStr">
        <is>
          <t>Closed</t>
        </is>
      </c>
      <c r="Q864" s="9">
        <f>IFERROR(IF(INDEX(Tbl_KPIMaster[Direction],MATCH($G864,Tbl_KPIMaster[KPI],0))="Lower is Better",IF($J864=0,1,IF($I864=0,0,$I864/$J864)),IF($I864=0,1,$J864/$I864)),0)</f>
        <v/>
      </c>
      <c r="R864" s="8">
        <f>IF(OR($I864="",$J864=""),"",$J864-$I864)</f>
        <v/>
      </c>
      <c r="S864" s="8">
        <f>IFERROR(IF(INDEX(Tbl_KPIMaster[Direction],MATCH($G864,Tbl_KPIMaster[KPI],0))="Lower is Better",IF($J864&lt;=$I864,"Green",IF($J864&lt;=$I864+IF($I864=0,$K864,$I864*$K864),"Amber","Red")),IF($J864&gt;=$I864,"Green",IF($J864&gt;=$I864-IF($I864=0,$K864,$I864*$K864),"Amber","Red"))),"")</f>
        <v/>
      </c>
      <c r="T864" s="10" t="inlineStr"/>
    </row>
    <row r="865">
      <c r="A865" s="3" t="n">
        <v>46173</v>
      </c>
      <c r="B865" s="4">
        <f>IF($A865="","",TEXT($A865,"mmm-yyyy"))</f>
        <v/>
      </c>
      <c r="C865" s="4">
        <f>IF($A865="","","W"&amp;WEEKNUM($A865,2))</f>
        <v/>
      </c>
      <c r="D865" s="4">
        <f>IF($A865="","",TEXT($A865,"ddd"))</f>
        <v/>
      </c>
      <c r="E865" s="4" t="inlineStr">
        <is>
          <t>Production</t>
        </is>
      </c>
      <c r="F865" s="4">
        <f>IFERROR(INDEX(Tbl_KPIMaster[Category],MATCH($G865,Tbl_KPIMaster[KPI],0)),"")</f>
        <v/>
      </c>
      <c r="G865" s="4" t="inlineStr">
        <is>
          <t>Production Output</t>
        </is>
      </c>
      <c r="H865" s="4">
        <f>IFERROR(INDEX(Tbl_KPIMaster[Unit],MATCH($G865,Tbl_KPIMaster[KPI],0)),"")</f>
        <v/>
      </c>
      <c r="I865" s="5">
        <f>IFERROR(INDEX(Tbl_KPIMaster[Maximum Target],MATCH($G865,Tbl_KPIMaster[KPI],0)),"")</f>
        <v/>
      </c>
      <c r="J865" s="5" t="n">
        <v>1025.78</v>
      </c>
      <c r="K865" s="4">
        <f>IFERROR(INDEX(Tbl_KPIMaster[Tolerance],MATCH($G865,Tbl_KPIMaster[KPI],0)),"")</f>
        <v/>
      </c>
      <c r="L865" s="4">
        <f>IFERROR(INDEX(Tbl_KPIMaster[Owner],MATCH($G865,Tbl_KPIMaster[KPI],0)),"")</f>
        <v/>
      </c>
      <c r="M865" s="6" t="inlineStr">
        <is>
          <t>New operator training effect</t>
        </is>
      </c>
      <c r="N865" s="4" t="inlineStr">
        <is>
          <t>Management approval pending</t>
        </is>
      </c>
      <c r="O865" s="4" t="inlineStr">
        <is>
          <t>Low</t>
        </is>
      </c>
      <c r="P865" s="4" t="inlineStr">
        <is>
          <t>Closed</t>
        </is>
      </c>
      <c r="Q865" s="5">
        <f>IFERROR(IF(INDEX(Tbl_KPIMaster[Direction],MATCH($G865,Tbl_KPIMaster[KPI],0))="Lower is Better",IF($J865=0,1,IF($I865=0,0,$I865/$J865)),IF($I865=0,1,$J865/$I865)),0)</f>
        <v/>
      </c>
      <c r="R865" s="4">
        <f>IF(OR($I865="",$J865=""),"",$J865-$I865)</f>
        <v/>
      </c>
      <c r="S865" s="4">
        <f>IFERROR(IF(INDEX(Tbl_KPIMaster[Direction],MATCH($G865,Tbl_KPIMaster[KPI],0))="Lower is Better",IF($J865&lt;=$I865,"Green",IF($J865&lt;=$I865+IF($I865=0,$K865,$I865*$K865),"Amber","Red")),IF($J865&gt;=$I865,"Green",IF($J865&gt;=$I865-IF($I865=0,$K865,$I865*$K865),"Amber","Red"))),"")</f>
        <v/>
      </c>
      <c r="T865" s="6" t="inlineStr"/>
    </row>
    <row r="866">
      <c r="A866" s="7" t="n">
        <v>46173</v>
      </c>
      <c r="B866" s="8">
        <f>IF($A866="","",TEXT($A866,"mmm-yyyy"))</f>
        <v/>
      </c>
      <c r="C866" s="8">
        <f>IF($A866="","","W"&amp;WEEKNUM($A866,2))</f>
        <v/>
      </c>
      <c r="D866" s="8">
        <f>IF($A866="","",TEXT($A866,"ddd"))</f>
        <v/>
      </c>
      <c r="E866" s="8" t="inlineStr">
        <is>
          <t>Production</t>
        </is>
      </c>
      <c r="F866" s="8">
        <f>IFERROR(INDEX(Tbl_KPIMaster[Category],MATCH($G866,Tbl_KPIMaster[KPI],0)),"")</f>
        <v/>
      </c>
      <c r="G866" s="8" t="inlineStr">
        <is>
          <t>OEE %</t>
        </is>
      </c>
      <c r="H866" s="8">
        <f>IFERROR(INDEX(Tbl_KPIMaster[Unit],MATCH($G866,Tbl_KPIMaster[KPI],0)),"")</f>
        <v/>
      </c>
      <c r="I866" s="9">
        <f>IFERROR(INDEX(Tbl_KPIMaster[Maximum Target],MATCH($G866,Tbl_KPIMaster[KPI],0)),"")</f>
        <v/>
      </c>
      <c r="J866" s="9" t="n">
        <v>0.7179</v>
      </c>
      <c r="K866" s="8">
        <f>IFERROR(INDEX(Tbl_KPIMaster[Tolerance],MATCH($G866,Tbl_KPIMaster[KPI],0)),"")</f>
        <v/>
      </c>
      <c r="L866" s="8">
        <f>IFERROR(INDEX(Tbl_KPIMaster[Owner],MATCH($G866,Tbl_KPIMaster[KPI],0)),"")</f>
        <v/>
      </c>
      <c r="M866" s="10" t="inlineStr">
        <is>
          <t>Manpower shortage</t>
        </is>
      </c>
      <c r="N866" s="8" t="inlineStr"/>
      <c r="O866" s="8" t="inlineStr">
        <is>
          <t>High</t>
        </is>
      </c>
      <c r="P866" s="8" t="inlineStr">
        <is>
          <t>In Progress</t>
        </is>
      </c>
      <c r="Q866" s="9">
        <f>IFERROR(IF(INDEX(Tbl_KPIMaster[Direction],MATCH($G866,Tbl_KPIMaster[KPI],0))="Lower is Better",IF($J866=0,1,IF($I866=0,0,$I866/$J866)),IF($I866=0,1,$J866/$I866)),0)</f>
        <v/>
      </c>
      <c r="R866" s="8">
        <f>IF(OR($I866="",$J866=""),"",$J866-$I866)</f>
        <v/>
      </c>
      <c r="S866" s="8">
        <f>IFERROR(IF(INDEX(Tbl_KPIMaster[Direction],MATCH($G866,Tbl_KPIMaster[KPI],0))="Lower is Better",IF($J866&lt;=$I866,"Green",IF($J866&lt;=$I866+IF($I866=0,$K866,$I866*$K866),"Amber","Red")),IF($J866&gt;=$I866,"Green",IF($J866&gt;=$I866-IF($I866=0,$K866,$I866*$K866),"Amber","Red"))),"")</f>
        <v/>
      </c>
      <c r="T866" s="10" t="inlineStr"/>
    </row>
    <row r="867">
      <c r="A867" s="3" t="n">
        <v>46173</v>
      </c>
      <c r="B867" s="4">
        <f>IF($A867="","",TEXT($A867,"mmm-yyyy"))</f>
        <v/>
      </c>
      <c r="C867" s="4">
        <f>IF($A867="","","W"&amp;WEEKNUM($A867,2))</f>
        <v/>
      </c>
      <c r="D867" s="4">
        <f>IF($A867="","",TEXT($A867,"ddd"))</f>
        <v/>
      </c>
      <c r="E867" s="4" t="inlineStr">
        <is>
          <t>Quality</t>
        </is>
      </c>
      <c r="F867" s="4">
        <f>IFERROR(INDEX(Tbl_KPIMaster[Category],MATCH($G867,Tbl_KPIMaster[KPI],0)),"")</f>
        <v/>
      </c>
      <c r="G867" s="4" t="inlineStr">
        <is>
          <t>Defect Rate %</t>
        </is>
      </c>
      <c r="H867" s="4">
        <f>IFERROR(INDEX(Tbl_KPIMaster[Unit],MATCH($G867,Tbl_KPIMaster[KPI],0)),"")</f>
        <v/>
      </c>
      <c r="I867" s="5">
        <f>IFERROR(INDEX(Tbl_KPIMaster[Maximum Target],MATCH($G867,Tbl_KPIMaster[KPI],0)),"")</f>
        <v/>
      </c>
      <c r="J867" s="5" t="n">
        <v>0.3372</v>
      </c>
      <c r="K867" s="4">
        <f>IFERROR(INDEX(Tbl_KPIMaster[Tolerance],MATCH($G867,Tbl_KPIMaster[KPI],0)),"")</f>
        <v/>
      </c>
      <c r="L867" s="4">
        <f>IFERROR(INDEX(Tbl_KPIMaster[Owner],MATCH($G867,Tbl_KPIMaster[KPI],0)),"")</f>
        <v/>
      </c>
      <c r="M867" s="6" t="inlineStr">
        <is>
          <t>Preventive check done</t>
        </is>
      </c>
      <c r="N867" s="4" t="inlineStr"/>
      <c r="O867" s="4" t="inlineStr">
        <is>
          <t>Medium</t>
        </is>
      </c>
      <c r="P867" s="4" t="inlineStr">
        <is>
          <t>Closed</t>
        </is>
      </c>
      <c r="Q867" s="5">
        <f>IFERROR(IF(INDEX(Tbl_KPIMaster[Direction],MATCH($G867,Tbl_KPIMaster[KPI],0))="Lower is Better",IF($J867=0,1,IF($I867=0,0,$I867/$J867)),IF($I867=0,1,$J867/$I867)),0)</f>
        <v/>
      </c>
      <c r="R867" s="4">
        <f>IF(OR($I867="",$J867=""),"",$J867-$I867)</f>
        <v/>
      </c>
      <c r="S867" s="4">
        <f>IFERROR(IF(INDEX(Tbl_KPIMaster[Direction],MATCH($G867,Tbl_KPIMaster[KPI],0))="Lower is Better",IF($J867&lt;=$I867,"Green",IF($J867&lt;=$I867+IF($I867=0,$K867,$I867*$K867),"Amber","Red")),IF($J867&gt;=$I867,"Green",IF($J867&gt;=$I867-IF($I867=0,$K867,$I867*$K867),"Amber","Red"))),"")</f>
        <v/>
      </c>
      <c r="T867" s="6" t="inlineStr"/>
    </row>
    <row r="868">
      <c r="A868" s="7" t="n">
        <v>46173</v>
      </c>
      <c r="B868" s="8">
        <f>IF($A868="","",TEXT($A868,"mmm-yyyy"))</f>
        <v/>
      </c>
      <c r="C868" s="8">
        <f>IF($A868="","","W"&amp;WEEKNUM($A868,2))</f>
        <v/>
      </c>
      <c r="D868" s="8">
        <f>IF($A868="","",TEXT($A868,"ddd"))</f>
        <v/>
      </c>
      <c r="E868" s="8" t="inlineStr">
        <is>
          <t>Quality</t>
        </is>
      </c>
      <c r="F868" s="8">
        <f>IFERROR(INDEX(Tbl_KPIMaster[Category],MATCH($G868,Tbl_KPIMaster[KPI],0)),"")</f>
        <v/>
      </c>
      <c r="G868" s="8" t="inlineStr">
        <is>
          <t>Customer Complaints</t>
        </is>
      </c>
      <c r="H868" s="8">
        <f>IFERROR(INDEX(Tbl_KPIMaster[Unit],MATCH($G868,Tbl_KPIMaster[KPI],0)),"")</f>
        <v/>
      </c>
      <c r="I868" s="9">
        <f>IFERROR(INDEX(Tbl_KPIMaster[Maximum Target],MATCH($G868,Tbl_KPIMaster[KPI],0)),"")</f>
        <v/>
      </c>
      <c r="J868" s="9" t="n">
        <v>1</v>
      </c>
      <c r="K868" s="8">
        <f>IFERROR(INDEX(Tbl_KPIMaster[Tolerance],MATCH($G868,Tbl_KPIMaster[KPI],0)),"")</f>
        <v/>
      </c>
      <c r="L868" s="8">
        <f>IFERROR(INDEX(Tbl_KPIMaster[Owner],MATCH($G868,Tbl_KPIMaster[KPI],0)),"")</f>
        <v/>
      </c>
      <c r="M868" s="10" t="inlineStr">
        <is>
          <t>Process improvement in progress</t>
        </is>
      </c>
      <c r="N868" s="8" t="inlineStr"/>
      <c r="O868" s="8" t="inlineStr">
        <is>
          <t>Medium</t>
        </is>
      </c>
      <c r="P868" s="8" t="inlineStr">
        <is>
          <t>In Progress</t>
        </is>
      </c>
      <c r="Q868" s="9">
        <f>IFERROR(IF(INDEX(Tbl_KPIMaster[Direction],MATCH($G868,Tbl_KPIMaster[KPI],0))="Lower is Better",IF($J868=0,1,IF($I868=0,0,$I868/$J868)),IF($I868=0,1,$J868/$I868)),0)</f>
        <v/>
      </c>
      <c r="R868" s="8">
        <f>IF(OR($I868="",$J868=""),"",$J868-$I868)</f>
        <v/>
      </c>
      <c r="S868" s="8">
        <f>IFERROR(IF(INDEX(Tbl_KPIMaster[Direction],MATCH($G868,Tbl_KPIMaster[KPI],0))="Lower is Better",IF($J868&lt;=$I868,"Green",IF($J868&lt;=$I868+IF($I868=0,$K868,$I868*$K868),"Amber","Red")),IF($J868&gt;=$I868,"Green",IF($J868&gt;=$I868-IF($I868=0,$K868,$I868*$K868),"Amber","Red"))),"")</f>
        <v/>
      </c>
      <c r="T868" s="10" t="inlineStr"/>
    </row>
    <row r="869">
      <c r="A869" s="3" t="n">
        <v>46173</v>
      </c>
      <c r="B869" s="4">
        <f>IF($A869="","",TEXT($A869,"mmm-yyyy"))</f>
        <v/>
      </c>
      <c r="C869" s="4">
        <f>IF($A869="","","W"&amp;WEEKNUM($A869,2))</f>
        <v/>
      </c>
      <c r="D869" s="4">
        <f>IF($A869="","",TEXT($A869,"ddd"))</f>
        <v/>
      </c>
      <c r="E869" s="4" t="inlineStr">
        <is>
          <t>Maintenance</t>
        </is>
      </c>
      <c r="F869" s="4">
        <f>IFERROR(INDEX(Tbl_KPIMaster[Category],MATCH($G869,Tbl_KPIMaster[KPI],0)),"")</f>
        <v/>
      </c>
      <c r="G869" s="4" t="inlineStr">
        <is>
          <t>Unplanned Downtime</t>
        </is>
      </c>
      <c r="H869" s="4">
        <f>IFERROR(INDEX(Tbl_KPIMaster[Unit],MATCH($G869,Tbl_KPIMaster[KPI],0)),"")</f>
        <v/>
      </c>
      <c r="I869" s="5">
        <f>IFERROR(INDEX(Tbl_KPIMaster[Maximum Target],MATCH($G869,Tbl_KPIMaster[KPI],0)),"")</f>
        <v/>
      </c>
      <c r="J869" s="5" t="n">
        <v>0.45</v>
      </c>
      <c r="K869" s="4">
        <f>IFERROR(INDEX(Tbl_KPIMaster[Tolerance],MATCH($G869,Tbl_KPIMaster[KPI],0)),"")</f>
        <v/>
      </c>
      <c r="L869" s="4">
        <f>IFERROR(INDEX(Tbl_KPIMaster[Owner],MATCH($G869,Tbl_KPIMaster[KPI],0)),"")</f>
        <v/>
      </c>
      <c r="M869" s="6" t="inlineStr">
        <is>
          <t>Preventive check done</t>
        </is>
      </c>
      <c r="N869" s="4" t="inlineStr">
        <is>
          <t>Management approval pending</t>
        </is>
      </c>
      <c r="O869" s="4" t="inlineStr">
        <is>
          <t>Medium</t>
        </is>
      </c>
      <c r="P869" s="4" t="inlineStr">
        <is>
          <t>Closed</t>
        </is>
      </c>
      <c r="Q869" s="5">
        <f>IFERROR(IF(INDEX(Tbl_KPIMaster[Direction],MATCH($G869,Tbl_KPIMaster[KPI],0))="Lower is Better",IF($J869=0,1,IF($I869=0,0,$I869/$J869)),IF($I869=0,1,$J869/$I869)),0)</f>
        <v/>
      </c>
      <c r="R869" s="4">
        <f>IF(OR($I869="",$J869=""),"",$J869-$I869)</f>
        <v/>
      </c>
      <c r="S869" s="4">
        <f>IFERROR(IF(INDEX(Tbl_KPIMaster[Direction],MATCH($G869,Tbl_KPIMaster[KPI],0))="Lower is Better",IF($J869&lt;=$I869,"Green",IF($J869&lt;=$I869+IF($I869=0,$K869,$I869*$K869),"Amber","Red")),IF($J869&gt;=$I869,"Green",IF($J869&gt;=$I869-IF($I869=0,$K869,$I869*$K869),"Amber","Red"))),"")</f>
        <v/>
      </c>
      <c r="T869" s="6" t="inlineStr"/>
    </row>
    <row r="870">
      <c r="A870" s="7" t="n">
        <v>46173</v>
      </c>
      <c r="B870" s="8">
        <f>IF($A870="","",TEXT($A870,"mmm-yyyy"))</f>
        <v/>
      </c>
      <c r="C870" s="8">
        <f>IF($A870="","","W"&amp;WEEKNUM($A870,2))</f>
        <v/>
      </c>
      <c r="D870" s="8">
        <f>IF($A870="","",TEXT($A870,"ddd"))</f>
        <v/>
      </c>
      <c r="E870" s="8" t="inlineStr">
        <is>
          <t>Maintenance</t>
        </is>
      </c>
      <c r="F870" s="8">
        <f>IFERROR(INDEX(Tbl_KPIMaster[Category],MATCH($G870,Tbl_KPIMaster[KPI],0)),"")</f>
        <v/>
      </c>
      <c r="G870" s="8" t="inlineStr">
        <is>
          <t>PM Compliance %</t>
        </is>
      </c>
      <c r="H870" s="8">
        <f>IFERROR(INDEX(Tbl_KPIMaster[Unit],MATCH($G870,Tbl_KPIMaster[KPI],0)),"")</f>
        <v/>
      </c>
      <c r="I870" s="9">
        <f>IFERROR(INDEX(Tbl_KPIMaster[Maximum Target],MATCH($G870,Tbl_KPIMaster[KPI],0)),"")</f>
        <v/>
      </c>
      <c r="J870" s="9" t="n">
        <v>0.8548</v>
      </c>
      <c r="K870" s="8">
        <f>IFERROR(INDEX(Tbl_KPIMaster[Tolerance],MATCH($G870,Tbl_KPIMaster[KPI],0)),"")</f>
        <v/>
      </c>
      <c r="L870" s="8">
        <f>IFERROR(INDEX(Tbl_KPIMaster[Owner],MATCH($G870,Tbl_KPIMaster[KPI],0)),"")</f>
        <v/>
      </c>
      <c r="M870" s="10" t="inlineStr">
        <is>
          <t>Process improvement in progress</t>
        </is>
      </c>
      <c r="N870" s="8" t="inlineStr"/>
      <c r="O870" s="8" t="inlineStr">
        <is>
          <t>Low</t>
        </is>
      </c>
      <c r="P870" s="8" t="inlineStr">
        <is>
          <t>In Progress</t>
        </is>
      </c>
      <c r="Q870" s="9">
        <f>IFERROR(IF(INDEX(Tbl_KPIMaster[Direction],MATCH($G870,Tbl_KPIMaster[KPI],0))="Lower is Better",IF($J870=0,1,IF($I870=0,0,$I870/$J870)),IF($I870=0,1,$J870/$I870)),0)</f>
        <v/>
      </c>
      <c r="R870" s="8">
        <f>IF(OR($I870="",$J870=""),"",$J870-$I870)</f>
        <v/>
      </c>
      <c r="S870" s="8">
        <f>IFERROR(IF(INDEX(Tbl_KPIMaster[Direction],MATCH($G870,Tbl_KPIMaster[KPI],0))="Lower is Better",IF($J870&lt;=$I870,"Green",IF($J870&lt;=$I870+IF($I870=0,$K870,$I870*$K870),"Amber","Red")),IF($J870&gt;=$I870,"Green",IF($J870&gt;=$I870-IF($I870=0,$K870,$I870*$K870),"Amber","Red"))),"")</f>
        <v/>
      </c>
      <c r="T870" s="10" t="inlineStr"/>
    </row>
    <row r="871">
      <c r="A871" s="3" t="n">
        <v>46173</v>
      </c>
      <c r="B871" s="4">
        <f>IF($A871="","",TEXT($A871,"mmm-yyyy"))</f>
        <v/>
      </c>
      <c r="C871" s="4">
        <f>IF($A871="","","W"&amp;WEEKNUM($A871,2))</f>
        <v/>
      </c>
      <c r="D871" s="4">
        <f>IF($A871="","",TEXT($A871,"ddd"))</f>
        <v/>
      </c>
      <c r="E871" s="4" t="inlineStr">
        <is>
          <t>Utilities</t>
        </is>
      </c>
      <c r="F871" s="4">
        <f>IFERROR(INDEX(Tbl_KPIMaster[Category],MATCH($G871,Tbl_KPIMaster[KPI],0)),"")</f>
        <v/>
      </c>
      <c r="G871" s="4" t="inlineStr">
        <is>
          <t>Power Consumption</t>
        </is>
      </c>
      <c r="H871" s="4">
        <f>IFERROR(INDEX(Tbl_KPIMaster[Unit],MATCH($G871,Tbl_KPIMaster[KPI],0)),"")</f>
        <v/>
      </c>
      <c r="I871" s="5">
        <f>IFERROR(INDEX(Tbl_KPIMaster[Maximum Target],MATCH($G871,Tbl_KPIMaster[KPI],0)),"")</f>
        <v/>
      </c>
      <c r="J871" s="5" t="n">
        <v>4072.36</v>
      </c>
      <c r="K871" s="4">
        <f>IFERROR(INDEX(Tbl_KPIMaster[Tolerance],MATCH($G871,Tbl_KPIMaster[KPI],0)),"")</f>
        <v/>
      </c>
      <c r="L871" s="4">
        <f>IFERROR(INDEX(Tbl_KPIMaster[Owner],MATCH($G871,Tbl_KPIMaster[KPI],0)),"")</f>
        <v/>
      </c>
      <c r="M871" s="6" t="inlineStr">
        <is>
          <t>Manpower shortage</t>
        </is>
      </c>
      <c r="N871" s="4" t="inlineStr">
        <is>
          <t>Procurement follow-up</t>
        </is>
      </c>
      <c r="O871" s="4" t="inlineStr">
        <is>
          <t>Low</t>
        </is>
      </c>
      <c r="P871" s="4" t="inlineStr">
        <is>
          <t>Closed</t>
        </is>
      </c>
      <c r="Q871" s="5">
        <f>IFERROR(IF(INDEX(Tbl_KPIMaster[Direction],MATCH($G871,Tbl_KPIMaster[KPI],0))="Lower is Better",IF($J871=0,1,IF($I871=0,0,$I871/$J871)),IF($I871=0,1,$J871/$I871)),0)</f>
        <v/>
      </c>
      <c r="R871" s="4">
        <f>IF(OR($I871="",$J871=""),"",$J871-$I871)</f>
        <v/>
      </c>
      <c r="S871" s="4">
        <f>IFERROR(IF(INDEX(Tbl_KPIMaster[Direction],MATCH($G871,Tbl_KPIMaster[KPI],0))="Lower is Better",IF($J871&lt;=$I871,"Green",IF($J871&lt;=$I871+IF($I871=0,$K871,$I871*$K871),"Amber","Red")),IF($J871&gt;=$I871,"Green",IF($J871&gt;=$I871-IF($I871=0,$K871,$I871*$K871),"Amber","Red"))),"")</f>
        <v/>
      </c>
      <c r="T871" s="6" t="inlineStr"/>
    </row>
    <row r="872">
      <c r="A872" s="7" t="n">
        <v>46173</v>
      </c>
      <c r="B872" s="8">
        <f>IF($A872="","",TEXT($A872,"mmm-yyyy"))</f>
        <v/>
      </c>
      <c r="C872" s="8">
        <f>IF($A872="","","W"&amp;WEEKNUM($A872,2))</f>
        <v/>
      </c>
      <c r="D872" s="8">
        <f>IF($A872="","",TEXT($A872,"ddd"))</f>
        <v/>
      </c>
      <c r="E872" s="8" t="inlineStr">
        <is>
          <t>Utilities</t>
        </is>
      </c>
      <c r="F872" s="8">
        <f>IFERROR(INDEX(Tbl_KPIMaster[Category],MATCH($G872,Tbl_KPIMaster[KPI],0)),"")</f>
        <v/>
      </c>
      <c r="G872" s="8" t="inlineStr">
        <is>
          <t>Water Consumption</t>
        </is>
      </c>
      <c r="H872" s="8">
        <f>IFERROR(INDEX(Tbl_KPIMaster[Unit],MATCH($G872,Tbl_KPIMaster[KPI],0)),"")</f>
        <v/>
      </c>
      <c r="I872" s="9">
        <f>IFERROR(INDEX(Tbl_KPIMaster[Maximum Target],MATCH($G872,Tbl_KPIMaster[KPI],0)),"")</f>
        <v/>
      </c>
      <c r="J872" s="9" t="n">
        <v>50.75</v>
      </c>
      <c r="K872" s="8">
        <f>IFERROR(INDEX(Tbl_KPIMaster[Tolerance],MATCH($G872,Tbl_KPIMaster[KPI],0)),"")</f>
        <v/>
      </c>
      <c r="L872" s="8">
        <f>IFERROR(INDEX(Tbl_KPIMaster[Owner],MATCH($G872,Tbl_KPIMaster[KPI],0)),"")</f>
        <v/>
      </c>
      <c r="M872" s="10" t="inlineStr">
        <is>
          <t>Equipment breakdown</t>
        </is>
      </c>
      <c r="N872" s="8" t="inlineStr">
        <is>
          <t>Management approval pending</t>
        </is>
      </c>
      <c r="O872" s="8" t="inlineStr">
        <is>
          <t>Medium</t>
        </is>
      </c>
      <c r="P872" s="8" t="inlineStr">
        <is>
          <t>Closed</t>
        </is>
      </c>
      <c r="Q872" s="9">
        <f>IFERROR(IF(INDEX(Tbl_KPIMaster[Direction],MATCH($G872,Tbl_KPIMaster[KPI],0))="Lower is Better",IF($J872=0,1,IF($I872=0,0,$I872/$J872)),IF($I872=0,1,$J872/$I872)),0)</f>
        <v/>
      </c>
      <c r="R872" s="8">
        <f>IF(OR($I872="",$J872=""),"",$J872-$I872)</f>
        <v/>
      </c>
      <c r="S872" s="8">
        <f>IFERROR(IF(INDEX(Tbl_KPIMaster[Direction],MATCH($G872,Tbl_KPIMaster[KPI],0))="Lower is Better",IF($J872&lt;=$I872,"Green",IF($J872&lt;=$I872+IF($I872=0,$K872,$I872*$K872),"Amber","Red")),IF($J872&gt;=$I872,"Green",IF($J872&gt;=$I872-IF($I872=0,$K872,$I872*$K872),"Amber","Red"))),"")</f>
        <v/>
      </c>
      <c r="T872" s="10" t="inlineStr"/>
    </row>
    <row r="873">
      <c r="A873" s="3" t="n">
        <v>46173</v>
      </c>
      <c r="B873" s="4">
        <f>IF($A873="","",TEXT($A873,"mmm-yyyy"))</f>
        <v/>
      </c>
      <c r="C873" s="4">
        <f>IF($A873="","","W"&amp;WEEKNUM($A873,2))</f>
        <v/>
      </c>
      <c r="D873" s="4">
        <f>IF($A873="","",TEXT($A873,"ddd"))</f>
        <v/>
      </c>
      <c r="E873" s="4" t="inlineStr">
        <is>
          <t>Warehouse</t>
        </is>
      </c>
      <c r="F873" s="4">
        <f>IFERROR(INDEX(Tbl_KPIMaster[Category],MATCH($G873,Tbl_KPIMaster[KPI],0)),"")</f>
        <v/>
      </c>
      <c r="G873" s="4" t="inlineStr">
        <is>
          <t>On-Time Dispatch %</t>
        </is>
      </c>
      <c r="H873" s="4">
        <f>IFERROR(INDEX(Tbl_KPIMaster[Unit],MATCH($G873,Tbl_KPIMaster[KPI],0)),"")</f>
        <v/>
      </c>
      <c r="I873" s="5">
        <f>IFERROR(INDEX(Tbl_KPIMaster[Maximum Target],MATCH($G873,Tbl_KPIMaster[KPI],0)),"")</f>
        <v/>
      </c>
      <c r="J873" s="5" t="n">
        <v>0.9359</v>
      </c>
      <c r="K873" s="4">
        <f>IFERROR(INDEX(Tbl_KPIMaster[Tolerance],MATCH($G873,Tbl_KPIMaster[KPI],0)),"")</f>
        <v/>
      </c>
      <c r="L873" s="4">
        <f>IFERROR(INDEX(Tbl_KPIMaster[Owner],MATCH($G873,Tbl_KPIMaster[KPI],0)),"")</f>
        <v/>
      </c>
      <c r="M873" s="6" t="inlineStr">
        <is>
          <t>New operator training effect</t>
        </is>
      </c>
      <c r="N873" s="4" t="inlineStr"/>
      <c r="O873" s="4" t="inlineStr">
        <is>
          <t>High</t>
        </is>
      </c>
      <c r="P873" s="4" t="inlineStr">
        <is>
          <t>In Progress</t>
        </is>
      </c>
      <c r="Q873" s="5">
        <f>IFERROR(IF(INDEX(Tbl_KPIMaster[Direction],MATCH($G873,Tbl_KPIMaster[KPI],0))="Lower is Better",IF($J873=0,1,IF($I873=0,0,$I873/$J873)),IF($I873=0,1,$J873/$I873)),0)</f>
        <v/>
      </c>
      <c r="R873" s="4">
        <f>IF(OR($I873="",$J873=""),"",$J873-$I873)</f>
        <v/>
      </c>
      <c r="S873" s="4">
        <f>IFERROR(IF(INDEX(Tbl_KPIMaster[Direction],MATCH($G873,Tbl_KPIMaster[KPI],0))="Lower is Better",IF($J873&lt;=$I873,"Green",IF($J873&lt;=$I873+IF($I873=0,$K873,$I873*$K873),"Amber","Red")),IF($J873&gt;=$I873,"Green",IF($J873&gt;=$I873-IF($I873=0,$K873,$I873*$K873),"Amber","Red"))),"")</f>
        <v/>
      </c>
      <c r="T873" s="6" t="inlineStr"/>
    </row>
    <row r="874">
      <c r="A874" s="7" t="n">
        <v>46173</v>
      </c>
      <c r="B874" s="8">
        <f>IF($A874="","",TEXT($A874,"mmm-yyyy"))</f>
        <v/>
      </c>
      <c r="C874" s="8">
        <f>IF($A874="","","W"&amp;WEEKNUM($A874,2))</f>
        <v/>
      </c>
      <c r="D874" s="8">
        <f>IF($A874="","",TEXT($A874,"ddd"))</f>
        <v/>
      </c>
      <c r="E874" s="8" t="inlineStr">
        <is>
          <t>Warehouse</t>
        </is>
      </c>
      <c r="F874" s="8">
        <f>IFERROR(INDEX(Tbl_KPIMaster[Category],MATCH($G874,Tbl_KPIMaster[KPI],0)),"")</f>
        <v/>
      </c>
      <c r="G874" s="8" t="inlineStr">
        <is>
          <t>Inventory Accuracy %</t>
        </is>
      </c>
      <c r="H874" s="8">
        <f>IFERROR(INDEX(Tbl_KPIMaster[Unit],MATCH($G874,Tbl_KPIMaster[KPI],0)),"")</f>
        <v/>
      </c>
      <c r="I874" s="9">
        <f>IFERROR(INDEX(Tbl_KPIMaster[Maximum Target],MATCH($G874,Tbl_KPIMaster[KPI],0)),"")</f>
        <v/>
      </c>
      <c r="J874" s="9" t="n">
        <v>0.8675</v>
      </c>
      <c r="K874" s="8">
        <f>IFERROR(INDEX(Tbl_KPIMaster[Tolerance],MATCH($G874,Tbl_KPIMaster[KPI],0)),"")</f>
        <v/>
      </c>
      <c r="L874" s="8">
        <f>IFERROR(INDEX(Tbl_KPIMaster[Owner],MATCH($G874,Tbl_KPIMaster[KPI],0)),"")</f>
        <v/>
      </c>
      <c r="M874" s="10" t="inlineStr">
        <is>
          <t>Process improvement in progress</t>
        </is>
      </c>
      <c r="N874" s="8" t="inlineStr">
        <is>
          <t>Management approval pending</t>
        </is>
      </c>
      <c r="O874" s="8" t="inlineStr">
        <is>
          <t>Low</t>
        </is>
      </c>
      <c r="P874" s="8" t="inlineStr">
        <is>
          <t>Closed</t>
        </is>
      </c>
      <c r="Q874" s="9">
        <f>IFERROR(IF(INDEX(Tbl_KPIMaster[Direction],MATCH($G874,Tbl_KPIMaster[KPI],0))="Lower is Better",IF($J874=0,1,IF($I874=0,0,$I874/$J874)),IF($I874=0,1,$J874/$I874)),0)</f>
        <v/>
      </c>
      <c r="R874" s="8">
        <f>IF(OR($I874="",$J874=""),"",$J874-$I874)</f>
        <v/>
      </c>
      <c r="S874" s="8">
        <f>IFERROR(IF(INDEX(Tbl_KPIMaster[Direction],MATCH($G874,Tbl_KPIMaster[KPI],0))="Lower is Better",IF($J874&lt;=$I874,"Green",IF($J874&lt;=$I874+IF($I874=0,$K874,$I874*$K874),"Amber","Red")),IF($J874&gt;=$I874,"Green",IF($J874&gt;=$I874-IF($I874=0,$K874,$I874*$K874),"Amber","Red"))),"")</f>
        <v/>
      </c>
      <c r="T874" s="10" t="inlineStr"/>
    </row>
    <row r="875">
      <c r="A875" s="3" t="n">
        <v>46173</v>
      </c>
      <c r="B875" s="4">
        <f>IF($A875="","",TEXT($A875,"mmm-yyyy"))</f>
        <v/>
      </c>
      <c r="C875" s="4">
        <f>IF($A875="","","W"&amp;WEEKNUM($A875,2))</f>
        <v/>
      </c>
      <c r="D875" s="4">
        <f>IF($A875="","",TEXT($A875,"ddd"))</f>
        <v/>
      </c>
      <c r="E875" s="4" t="inlineStr">
        <is>
          <t>HR</t>
        </is>
      </c>
      <c r="F875" s="4">
        <f>IFERROR(INDEX(Tbl_KPIMaster[Category],MATCH($G875,Tbl_KPIMaster[KPI],0)),"")</f>
        <v/>
      </c>
      <c r="G875" s="4" t="inlineStr">
        <is>
          <t>Absenteeism %</t>
        </is>
      </c>
      <c r="H875" s="4">
        <f>IFERROR(INDEX(Tbl_KPIMaster[Unit],MATCH($G875,Tbl_KPIMaster[KPI],0)),"")</f>
        <v/>
      </c>
      <c r="I875" s="5">
        <f>IFERROR(INDEX(Tbl_KPIMaster[Maximum Target],MATCH($G875,Tbl_KPIMaster[KPI],0)),"")</f>
        <v/>
      </c>
      <c r="J875" s="5" t="n">
        <v>0.5689</v>
      </c>
      <c r="K875" s="4">
        <f>IFERROR(INDEX(Tbl_KPIMaster[Tolerance],MATCH($G875,Tbl_KPIMaster[KPI],0)),"")</f>
        <v/>
      </c>
      <c r="L875" s="4">
        <f>IFERROR(INDEX(Tbl_KPIMaster[Owner],MATCH($G875,Tbl_KPIMaster[KPI],0)),"")</f>
        <v/>
      </c>
      <c r="M875" s="6" t="inlineStr">
        <is>
          <t>Process improvement in progress</t>
        </is>
      </c>
      <c r="N875" s="4" t="inlineStr">
        <is>
          <t>Management approval pending</t>
        </is>
      </c>
      <c r="O875" s="4" t="inlineStr">
        <is>
          <t>Medium</t>
        </is>
      </c>
      <c r="P875" s="4" t="inlineStr">
        <is>
          <t>Closed</t>
        </is>
      </c>
      <c r="Q875" s="5">
        <f>IFERROR(IF(INDEX(Tbl_KPIMaster[Direction],MATCH($G875,Tbl_KPIMaster[KPI],0))="Lower is Better",IF($J875=0,1,IF($I875=0,0,$I875/$J875)),IF($I875=0,1,$J875/$I875)),0)</f>
        <v/>
      </c>
      <c r="R875" s="4">
        <f>IF(OR($I875="",$J875=""),"",$J875-$I875)</f>
        <v/>
      </c>
      <c r="S875" s="4">
        <f>IFERROR(IF(INDEX(Tbl_KPIMaster[Direction],MATCH($G875,Tbl_KPIMaster[KPI],0))="Lower is Better",IF($J875&lt;=$I875,"Green",IF($J875&lt;=$I875+IF($I875=0,$K875,$I875*$K875),"Amber","Red")),IF($J875&gt;=$I875,"Green",IF($J875&gt;=$I875-IF($I875=0,$K875,$I875*$K875),"Amber","Red"))),"")</f>
        <v/>
      </c>
      <c r="T875" s="6" t="inlineStr"/>
    </row>
    <row r="876">
      <c r="A876" s="7" t="n">
        <v>46173</v>
      </c>
      <c r="B876" s="8">
        <f>IF($A876="","",TEXT($A876,"mmm-yyyy"))</f>
        <v/>
      </c>
      <c r="C876" s="8">
        <f>IF($A876="","","W"&amp;WEEKNUM($A876,2))</f>
        <v/>
      </c>
      <c r="D876" s="8">
        <f>IF($A876="","",TEXT($A876,"ddd"))</f>
        <v/>
      </c>
      <c r="E876" s="8" t="inlineStr">
        <is>
          <t>HR</t>
        </is>
      </c>
      <c r="F876" s="8">
        <f>IFERROR(INDEX(Tbl_KPIMaster[Category],MATCH($G876,Tbl_KPIMaster[KPI],0)),"")</f>
        <v/>
      </c>
      <c r="G876" s="8" t="inlineStr">
        <is>
          <t>Training Hours</t>
        </is>
      </c>
      <c r="H876" s="8">
        <f>IFERROR(INDEX(Tbl_KPIMaster[Unit],MATCH($G876,Tbl_KPIMaster[KPI],0)),"")</f>
        <v/>
      </c>
      <c r="I876" s="9">
        <f>IFERROR(INDEX(Tbl_KPIMaster[Maximum Target],MATCH($G876,Tbl_KPIMaster[KPI],0)),"")</f>
        <v/>
      </c>
      <c r="J876" s="9" t="n">
        <v>1.72</v>
      </c>
      <c r="K876" s="8">
        <f>IFERROR(INDEX(Tbl_KPIMaster[Tolerance],MATCH($G876,Tbl_KPIMaster[KPI],0)),"")</f>
        <v/>
      </c>
      <c r="L876" s="8">
        <f>IFERROR(INDEX(Tbl_KPIMaster[Owner],MATCH($G876,Tbl_KPIMaster[KPI],0)),"")</f>
        <v/>
      </c>
      <c r="M876" s="10" t="inlineStr">
        <is>
          <t>Weather impact</t>
        </is>
      </c>
      <c r="N876" s="8" t="inlineStr"/>
      <c r="O876" s="8" t="inlineStr">
        <is>
          <t>Low</t>
        </is>
      </c>
      <c r="P876" s="8" t="inlineStr">
        <is>
          <t>In Progress</t>
        </is>
      </c>
      <c r="Q876" s="9">
        <f>IFERROR(IF(INDEX(Tbl_KPIMaster[Direction],MATCH($G876,Tbl_KPIMaster[KPI],0))="Lower is Better",IF($J876=0,1,IF($I876=0,0,$I876/$J876)),IF($I876=0,1,$J876/$I876)),0)</f>
        <v/>
      </c>
      <c r="R876" s="8">
        <f>IF(OR($I876="",$J876=""),"",$J876-$I876)</f>
        <v/>
      </c>
      <c r="S876" s="8">
        <f>IFERROR(IF(INDEX(Tbl_KPIMaster[Direction],MATCH($G876,Tbl_KPIMaster[KPI],0))="Lower is Better",IF($J876&lt;=$I876,"Green",IF($J876&lt;=$I876+IF($I876=0,$K876,$I876*$K876),"Amber","Red")),IF($J876&gt;=$I876,"Green",IF($J876&gt;=$I876-IF($I876=0,$K876,$I876*$K876),"Amber","Red"))),"")</f>
        <v/>
      </c>
      <c r="T876" s="10" t="inlineStr"/>
    </row>
    <row r="877">
      <c r="A877" s="3" t="n">
        <v>46173</v>
      </c>
      <c r="B877" s="4">
        <f>IF($A877="","",TEXT($A877,"mmm-yyyy"))</f>
        <v/>
      </c>
      <c r="C877" s="4">
        <f>IF($A877="","","W"&amp;WEEKNUM($A877,2))</f>
        <v/>
      </c>
      <c r="D877" s="4">
        <f>IF($A877="","",TEXT($A877,"ddd"))</f>
        <v/>
      </c>
      <c r="E877" s="4" t="inlineStr">
        <is>
          <t>Engineering</t>
        </is>
      </c>
      <c r="F877" s="4">
        <f>IFERROR(INDEX(Tbl_KPIMaster[Category],MATCH($G877,Tbl_KPIMaster[KPI],0)),"")</f>
        <v/>
      </c>
      <c r="G877" s="4" t="inlineStr">
        <is>
          <t>Project Milestone Adherence %</t>
        </is>
      </c>
      <c r="H877" s="4">
        <f>IFERROR(INDEX(Tbl_KPIMaster[Unit],MATCH($G877,Tbl_KPIMaster[KPI],0)),"")</f>
        <v/>
      </c>
      <c r="I877" s="5">
        <f>IFERROR(INDEX(Tbl_KPIMaster[Maximum Target],MATCH($G877,Tbl_KPIMaster[KPI],0)),"")</f>
        <v/>
      </c>
      <c r="J877" s="5" t="n">
        <v>0.9768</v>
      </c>
      <c r="K877" s="4">
        <f>IFERROR(INDEX(Tbl_KPIMaster[Tolerance],MATCH($G877,Tbl_KPIMaster[KPI],0)),"")</f>
        <v/>
      </c>
      <c r="L877" s="4">
        <f>IFERROR(INDEX(Tbl_KPIMaster[Owner],MATCH($G877,Tbl_KPIMaster[KPI],0)),"")</f>
        <v/>
      </c>
      <c r="M877" s="6" t="inlineStr">
        <is>
          <t>New operator training effect</t>
        </is>
      </c>
      <c r="N877" s="4" t="inlineStr"/>
      <c r="O877" s="4" t="inlineStr">
        <is>
          <t>High</t>
        </is>
      </c>
      <c r="P877" s="4" t="inlineStr">
        <is>
          <t>In Progress</t>
        </is>
      </c>
      <c r="Q877" s="5">
        <f>IFERROR(IF(INDEX(Tbl_KPIMaster[Direction],MATCH($G877,Tbl_KPIMaster[KPI],0))="Lower is Better",IF($J877=0,1,IF($I877=0,0,$I877/$J877)),IF($I877=0,1,$J877/$I877)),0)</f>
        <v/>
      </c>
      <c r="R877" s="4">
        <f>IF(OR($I877="",$J877=""),"",$J877-$I877)</f>
        <v/>
      </c>
      <c r="S877" s="4">
        <f>IFERROR(IF(INDEX(Tbl_KPIMaster[Direction],MATCH($G877,Tbl_KPIMaster[KPI],0))="Lower is Better",IF($J877&lt;=$I877,"Green",IF($J877&lt;=$I877+IF($I877=0,$K877,$I877*$K877),"Amber","Red")),IF($J877&gt;=$I877,"Green",IF($J877&gt;=$I877-IF($I877=0,$K877,$I877*$K877),"Amber","Red"))),"")</f>
        <v/>
      </c>
      <c r="T877" s="6" t="inlineStr"/>
    </row>
    <row r="878">
      <c r="A878" s="7" t="n">
        <v>46173</v>
      </c>
      <c r="B878" s="8">
        <f>IF($A878="","",TEXT($A878,"mmm-yyyy"))</f>
        <v/>
      </c>
      <c r="C878" s="8">
        <f>IF($A878="","","W"&amp;WEEKNUM($A878,2))</f>
        <v/>
      </c>
      <c r="D878" s="8">
        <f>IF($A878="","",TEXT($A878,"ddd"))</f>
        <v/>
      </c>
      <c r="E878" s="8" t="inlineStr">
        <is>
          <t>Engineering</t>
        </is>
      </c>
      <c r="F878" s="8">
        <f>IFERROR(INDEX(Tbl_KPIMaster[Category],MATCH($G878,Tbl_KPIMaster[KPI],0)),"")</f>
        <v/>
      </c>
      <c r="G878" s="8" t="inlineStr">
        <is>
          <t>Breakdown Resolution Time</t>
        </is>
      </c>
      <c r="H878" s="8">
        <f>IFERROR(INDEX(Tbl_KPIMaster[Unit],MATCH($G878,Tbl_KPIMaster[KPI],0)),"")</f>
        <v/>
      </c>
      <c r="I878" s="9">
        <f>IFERROR(INDEX(Tbl_KPIMaster[Maximum Target],MATCH($G878,Tbl_KPIMaster[KPI],0)),"")</f>
        <v/>
      </c>
      <c r="J878" s="9" t="n">
        <v>0.43</v>
      </c>
      <c r="K878" s="8">
        <f>IFERROR(INDEX(Tbl_KPIMaster[Tolerance],MATCH($G878,Tbl_KPIMaster[KPI],0)),"")</f>
        <v/>
      </c>
      <c r="L878" s="8">
        <f>IFERROR(INDEX(Tbl_KPIMaster[Owner],MATCH($G878,Tbl_KPIMaster[KPI],0)),"")</f>
        <v/>
      </c>
      <c r="M878" s="10" t="inlineStr">
        <is>
          <t>Equipment breakdown</t>
        </is>
      </c>
      <c r="N878" s="8" t="inlineStr">
        <is>
          <t>Management approval pending</t>
        </is>
      </c>
      <c r="O878" s="8" t="inlineStr">
        <is>
          <t>Medium</t>
        </is>
      </c>
      <c r="P878" s="8" t="inlineStr">
        <is>
          <t>Closed</t>
        </is>
      </c>
      <c r="Q878" s="9">
        <f>IFERROR(IF(INDEX(Tbl_KPIMaster[Direction],MATCH($G878,Tbl_KPIMaster[KPI],0))="Lower is Better",IF($J878=0,1,IF($I878=0,0,$I878/$J878)),IF($I878=0,1,$J878/$I878)),0)</f>
        <v/>
      </c>
      <c r="R878" s="8">
        <f>IF(OR($I878="",$J878=""),"",$J878-$I878)</f>
        <v/>
      </c>
      <c r="S878" s="8">
        <f>IFERROR(IF(INDEX(Tbl_KPIMaster[Direction],MATCH($G878,Tbl_KPIMaster[KPI],0))="Lower is Better",IF($J878&lt;=$I878,"Green",IF($J878&lt;=$I878+IF($I878=0,$K878,$I878*$K878),"Amber","Red")),IF($J878&gt;=$I878,"Green",IF($J878&gt;=$I878-IF($I878=0,$K878,$I878*$K878),"Amber","Red"))),"")</f>
        <v/>
      </c>
      <c r="T878" s="10" t="inlineStr"/>
    </row>
    <row r="879">
      <c r="A879" s="3" t="n">
        <v>46173</v>
      </c>
      <c r="B879" s="4">
        <f>IF($A879="","",TEXT($A879,"mmm-yyyy"))</f>
        <v/>
      </c>
      <c r="C879" s="4">
        <f>IF($A879="","","W"&amp;WEEKNUM($A879,2))</f>
        <v/>
      </c>
      <c r="D879" s="4">
        <f>IF($A879="","",TEXT($A879,"ddd"))</f>
        <v/>
      </c>
      <c r="E879" s="4" t="inlineStr">
        <is>
          <t>Cost</t>
        </is>
      </c>
      <c r="F879" s="4">
        <f>IFERROR(INDEX(Tbl_KPIMaster[Category],MATCH($G879,Tbl_KPIMaster[KPI],0)),"")</f>
        <v/>
      </c>
      <c r="G879" s="4" t="inlineStr">
        <is>
          <t>Cost per Unit</t>
        </is>
      </c>
      <c r="H879" s="4">
        <f>IFERROR(INDEX(Tbl_KPIMaster[Unit],MATCH($G879,Tbl_KPIMaster[KPI],0)),"")</f>
        <v/>
      </c>
      <c r="I879" s="5">
        <f>IFERROR(INDEX(Tbl_KPIMaster[Maximum Target],MATCH($G879,Tbl_KPIMaster[KPI],0)),"")</f>
        <v/>
      </c>
      <c r="J879" s="5" t="n">
        <v>38.85</v>
      </c>
      <c r="K879" s="4">
        <f>IFERROR(INDEX(Tbl_KPIMaster[Tolerance],MATCH($G879,Tbl_KPIMaster[KPI],0)),"")</f>
        <v/>
      </c>
      <c r="L879" s="4">
        <f>IFERROR(INDEX(Tbl_KPIMaster[Owner],MATCH($G879,Tbl_KPIMaster[KPI],0)),"")</f>
        <v/>
      </c>
      <c r="M879" s="6" t="inlineStr">
        <is>
          <t>Preventive check done</t>
        </is>
      </c>
      <c r="N879" s="4" t="inlineStr">
        <is>
          <t>Procurement follow-up</t>
        </is>
      </c>
      <c r="O879" s="4" t="inlineStr">
        <is>
          <t>Medium</t>
        </is>
      </c>
      <c r="P879" s="4" t="inlineStr">
        <is>
          <t>Closed</t>
        </is>
      </c>
      <c r="Q879" s="5">
        <f>IFERROR(IF(INDEX(Tbl_KPIMaster[Direction],MATCH($G879,Tbl_KPIMaster[KPI],0))="Lower is Better",IF($J879=0,1,IF($I879=0,0,$I879/$J879)),IF($I879=0,1,$J879/$I879)),0)</f>
        <v/>
      </c>
      <c r="R879" s="4">
        <f>IF(OR($I879="",$J879=""),"",$J879-$I879)</f>
        <v/>
      </c>
      <c r="S879" s="4">
        <f>IFERROR(IF(INDEX(Tbl_KPIMaster[Direction],MATCH($G879,Tbl_KPIMaster[KPI],0))="Lower is Better",IF($J879&lt;=$I879,"Green",IF($J879&lt;=$I879+IF($I879=0,$K879,$I879*$K879),"Amber","Red")),IF($J879&gt;=$I879,"Green",IF($J879&gt;=$I879-IF($I879=0,$K879,$I879*$K879),"Amber","Red"))),"")</f>
        <v/>
      </c>
      <c r="T879" s="6" t="inlineStr"/>
    </row>
    <row r="880">
      <c r="A880" s="7" t="n">
        <v>46173</v>
      </c>
      <c r="B880" s="8">
        <f>IF($A880="","",TEXT($A880,"mmm-yyyy"))</f>
        <v/>
      </c>
      <c r="C880" s="8">
        <f>IF($A880="","","W"&amp;WEEKNUM($A880,2))</f>
        <v/>
      </c>
      <c r="D880" s="8">
        <f>IF($A880="","",TEXT($A880,"ddd"))</f>
        <v/>
      </c>
      <c r="E880" s="8" t="inlineStr">
        <is>
          <t>Cost</t>
        </is>
      </c>
      <c r="F880" s="8">
        <f>IFERROR(INDEX(Tbl_KPIMaster[Category],MATCH($G880,Tbl_KPIMaster[KPI],0)),"")</f>
        <v/>
      </c>
      <c r="G880" s="8" t="inlineStr">
        <is>
          <t>Budget Variance %</t>
        </is>
      </c>
      <c r="H880" s="8">
        <f>IFERROR(INDEX(Tbl_KPIMaster[Unit],MATCH($G880,Tbl_KPIMaster[KPI],0)),"")</f>
        <v/>
      </c>
      <c r="I880" s="9">
        <f>IFERROR(INDEX(Tbl_KPIMaster[Maximum Target],MATCH($G880,Tbl_KPIMaster[KPI],0)),"")</f>
        <v/>
      </c>
      <c r="J880" s="9" t="n">
        <v>0.2839</v>
      </c>
      <c r="K880" s="8">
        <f>IFERROR(INDEX(Tbl_KPIMaster[Tolerance],MATCH($G880,Tbl_KPIMaster[KPI],0)),"")</f>
        <v/>
      </c>
      <c r="L880" s="8">
        <f>IFERROR(INDEX(Tbl_KPIMaster[Owner],MATCH($G880,Tbl_KPIMaster[KPI],0)),"")</f>
        <v/>
      </c>
      <c r="M880" s="10" t="inlineStr">
        <is>
          <t>Process improvement in progress</t>
        </is>
      </c>
      <c r="N880" s="8" t="inlineStr">
        <is>
          <t>Management approval pending</t>
        </is>
      </c>
      <c r="O880" s="8" t="inlineStr">
        <is>
          <t>Low</t>
        </is>
      </c>
      <c r="P880" s="8" t="inlineStr">
        <is>
          <t>In Progress</t>
        </is>
      </c>
      <c r="Q880" s="9">
        <f>IFERROR(IF(INDEX(Tbl_KPIMaster[Direction],MATCH($G880,Tbl_KPIMaster[KPI],0))="Lower is Better",IF($J880=0,1,IF($I880=0,0,$I880/$J880)),IF($I880=0,1,$J880/$I880)),0)</f>
        <v/>
      </c>
      <c r="R880" s="8">
        <f>IF(OR($I880="",$J880=""),"",$J880-$I880)</f>
        <v/>
      </c>
      <c r="S880" s="8">
        <f>IFERROR(IF(INDEX(Tbl_KPIMaster[Direction],MATCH($G880,Tbl_KPIMaster[KPI],0))="Lower is Better",IF($J880&lt;=$I880,"Green",IF($J880&lt;=$I880+IF($I880=0,$K880,$I880*$K880),"Amber","Red")),IF($J880&gt;=$I880,"Green",IF($J880&gt;=$I880-IF($I880=0,$K880,$I880*$K880),"Amber","Red"))),"")</f>
        <v/>
      </c>
      <c r="T880" s="10" t="inlineStr"/>
    </row>
    <row r="881">
      <c r="A881" s="3" t="n">
        <v>46173</v>
      </c>
      <c r="B881" s="4">
        <f>IF($A881="","",TEXT($A881,"mmm-yyyy"))</f>
        <v/>
      </c>
      <c r="C881" s="4">
        <f>IF($A881="","","W"&amp;WEEKNUM($A881,2))</f>
        <v/>
      </c>
      <c r="D881" s="4">
        <f>IF($A881="","",TEXT($A881,"ddd"))</f>
        <v/>
      </c>
      <c r="E881" s="4" t="inlineStr">
        <is>
          <t>Energy</t>
        </is>
      </c>
      <c r="F881" s="4">
        <f>IFERROR(INDEX(Tbl_KPIMaster[Category],MATCH($G881,Tbl_KPIMaster[KPI],0)),"")</f>
        <v/>
      </c>
      <c r="G881" s="4" t="inlineStr">
        <is>
          <t>Energy Intensity (kWh/unit)</t>
        </is>
      </c>
      <c r="H881" s="4">
        <f>IFERROR(INDEX(Tbl_KPIMaster[Unit],MATCH($G881,Tbl_KPIMaster[KPI],0)),"")</f>
        <v/>
      </c>
      <c r="I881" s="5">
        <f>IFERROR(INDEX(Tbl_KPIMaster[Maximum Target],MATCH($G881,Tbl_KPIMaster[KPI],0)),"")</f>
        <v/>
      </c>
      <c r="J881" s="5" t="n">
        <v>3.5</v>
      </c>
      <c r="K881" s="4">
        <f>IFERROR(INDEX(Tbl_KPIMaster[Tolerance],MATCH($G881,Tbl_KPIMaster[KPI],0)),"")</f>
        <v/>
      </c>
      <c r="L881" s="4">
        <f>IFERROR(INDEX(Tbl_KPIMaster[Owner],MATCH($G881,Tbl_KPIMaster[KPI],0)),"")</f>
        <v/>
      </c>
      <c r="M881" s="6" t="inlineStr">
        <is>
          <t>Weather impact</t>
        </is>
      </c>
      <c r="N881" s="4" t="inlineStr"/>
      <c r="O881" s="4" t="inlineStr">
        <is>
          <t>Medium</t>
        </is>
      </c>
      <c r="P881" s="4" t="inlineStr">
        <is>
          <t>Closed</t>
        </is>
      </c>
      <c r="Q881" s="5">
        <f>IFERROR(IF(INDEX(Tbl_KPIMaster[Direction],MATCH($G881,Tbl_KPIMaster[KPI],0))="Lower is Better",IF($J881=0,1,IF($I881=0,0,$I881/$J881)),IF($I881=0,1,$J881/$I881)),0)</f>
        <v/>
      </c>
      <c r="R881" s="4">
        <f>IF(OR($I881="",$J881=""),"",$J881-$I881)</f>
        <v/>
      </c>
      <c r="S881" s="4">
        <f>IFERROR(IF(INDEX(Tbl_KPIMaster[Direction],MATCH($G881,Tbl_KPIMaster[KPI],0))="Lower is Better",IF($J881&lt;=$I881,"Green",IF($J881&lt;=$I881+IF($I881=0,$K881,$I881*$K881),"Amber","Red")),IF($J881&gt;=$I881,"Green",IF($J881&gt;=$I881-IF($I881=0,$K881,$I881*$K881),"Amber","Red"))),"")</f>
        <v/>
      </c>
      <c r="T881" s="6" t="inlineStr"/>
    </row>
    <row r="882">
      <c r="A882" s="7" t="n">
        <v>46173</v>
      </c>
      <c r="B882" s="8">
        <f>IF($A882="","",TEXT($A882,"mmm-yyyy"))</f>
        <v/>
      </c>
      <c r="C882" s="8">
        <f>IF($A882="","","W"&amp;WEEKNUM($A882,2))</f>
        <v/>
      </c>
      <c r="D882" s="8">
        <f>IF($A882="","",TEXT($A882,"ddd"))</f>
        <v/>
      </c>
      <c r="E882" s="8" t="inlineStr">
        <is>
          <t>Energy</t>
        </is>
      </c>
      <c r="F882" s="8">
        <f>IFERROR(INDEX(Tbl_KPIMaster[Category],MATCH($G882,Tbl_KPIMaster[KPI],0)),"")</f>
        <v/>
      </c>
      <c r="G882" s="8" t="inlineStr">
        <is>
          <t>Renewable Energy Share %</t>
        </is>
      </c>
      <c r="H882" s="8">
        <f>IFERROR(INDEX(Tbl_KPIMaster[Unit],MATCH($G882,Tbl_KPIMaster[KPI],0)),"")</f>
        <v/>
      </c>
      <c r="I882" s="9">
        <f>IFERROR(INDEX(Tbl_KPIMaster[Maximum Target],MATCH($G882,Tbl_KPIMaster[KPI],0)),"")</f>
        <v/>
      </c>
      <c r="J882" s="9" t="n">
        <v>0.2909</v>
      </c>
      <c r="K882" s="8">
        <f>IFERROR(INDEX(Tbl_KPIMaster[Tolerance],MATCH($G882,Tbl_KPIMaster[KPI],0)),"")</f>
        <v/>
      </c>
      <c r="L882" s="8">
        <f>IFERROR(INDEX(Tbl_KPIMaster[Owner],MATCH($G882,Tbl_KPIMaster[KPI],0)),"")</f>
        <v/>
      </c>
      <c r="M882" s="10" t="inlineStr">
        <is>
          <t>Weather impact</t>
        </is>
      </c>
      <c r="N882" s="8" t="inlineStr">
        <is>
          <t>Engineering support needed</t>
        </is>
      </c>
      <c r="O882" s="8" t="inlineStr">
        <is>
          <t>High</t>
        </is>
      </c>
      <c r="P882" s="8" t="inlineStr">
        <is>
          <t>In Progress</t>
        </is>
      </c>
      <c r="Q882" s="9">
        <f>IFERROR(IF(INDEX(Tbl_KPIMaster[Direction],MATCH($G882,Tbl_KPIMaster[KPI],0))="Lower is Better",IF($J882=0,1,IF($I882=0,0,$I882/$J882)),IF($I882=0,1,$J882/$I882)),0)</f>
        <v/>
      </c>
      <c r="R882" s="8">
        <f>IF(OR($I882="",$J882=""),"",$J882-$I882)</f>
        <v/>
      </c>
      <c r="S882" s="8">
        <f>IFERROR(IF(INDEX(Tbl_KPIMaster[Direction],MATCH($G882,Tbl_KPIMaster[KPI],0))="Lower is Better",IF($J882&lt;=$I882,"Green",IF($J882&lt;=$I882+IF($I882=0,$K882,$I882*$K882),"Amber","Red")),IF($J882&gt;=$I882,"Green",IF($J882&gt;=$I882-IF($I882=0,$K882,$I882*$K882),"Amber","Red"))),"")</f>
        <v/>
      </c>
      <c r="T882" s="10" t="inlineStr"/>
    </row>
    <row r="883">
      <c r="A883" s="3" t="n">
        <v>46174</v>
      </c>
      <c r="B883" s="4">
        <f>IF($A883="","",TEXT($A883,"mmm-yyyy"))</f>
        <v/>
      </c>
      <c r="C883" s="4">
        <f>IF($A883="","","W"&amp;WEEKNUM($A883,2))</f>
        <v/>
      </c>
      <c r="D883" s="4">
        <f>IF($A883="","",TEXT($A883,"ddd"))</f>
        <v/>
      </c>
      <c r="E883" s="4" t="inlineStr">
        <is>
          <t>Safety</t>
        </is>
      </c>
      <c r="F883" s="4">
        <f>IFERROR(INDEX(Tbl_KPIMaster[Category],MATCH($G883,Tbl_KPIMaster[KPI],0)),"")</f>
        <v/>
      </c>
      <c r="G883" s="4" t="inlineStr">
        <is>
          <t>Safety Incidents (LTI)</t>
        </is>
      </c>
      <c r="H883" s="4">
        <f>IFERROR(INDEX(Tbl_KPIMaster[Unit],MATCH($G883,Tbl_KPIMaster[KPI],0)),"")</f>
        <v/>
      </c>
      <c r="I883" s="5">
        <f>IFERROR(INDEX(Tbl_KPIMaster[Maximum Target],MATCH($G883,Tbl_KPIMaster[KPI],0)),"")</f>
        <v/>
      </c>
      <c r="J883" s="5" t="n">
        <v>0</v>
      </c>
      <c r="K883" s="4">
        <f>IFERROR(INDEX(Tbl_KPIMaster[Tolerance],MATCH($G883,Tbl_KPIMaster[KPI],0)),"")</f>
        <v/>
      </c>
      <c r="L883" s="4">
        <f>IFERROR(INDEX(Tbl_KPIMaster[Owner],MATCH($G883,Tbl_KPIMaster[KPI],0)),"")</f>
        <v/>
      </c>
      <c r="M883" s="6" t="inlineStr">
        <is>
          <t>Vendor delay</t>
        </is>
      </c>
      <c r="N883" s="4" t="inlineStr"/>
      <c r="O883" s="4" t="inlineStr">
        <is>
          <t>Low</t>
        </is>
      </c>
      <c r="P883" s="4" t="inlineStr">
        <is>
          <t>Closed</t>
        </is>
      </c>
      <c r="Q883" s="5">
        <f>IFERROR(IF(INDEX(Tbl_KPIMaster[Direction],MATCH($G883,Tbl_KPIMaster[KPI],0))="Lower is Better",IF($J883=0,1,IF($I883=0,0,$I883/$J883)),IF($I883=0,1,$J883/$I883)),0)</f>
        <v/>
      </c>
      <c r="R883" s="4">
        <f>IF(OR($I883="",$J883=""),"",$J883-$I883)</f>
        <v/>
      </c>
      <c r="S883" s="4">
        <f>IFERROR(IF(INDEX(Tbl_KPIMaster[Direction],MATCH($G883,Tbl_KPIMaster[KPI],0))="Lower is Better",IF($J883&lt;=$I883,"Green",IF($J883&lt;=$I883+IF($I883=0,$K883,$I883*$K883),"Amber","Red")),IF($J883&gt;=$I883,"Green",IF($J883&gt;=$I883-IF($I883=0,$K883,$I883*$K883),"Amber","Red"))),"")</f>
        <v/>
      </c>
      <c r="T883" s="6" t="inlineStr"/>
    </row>
    <row r="884">
      <c r="A884" s="7" t="n">
        <v>46174</v>
      </c>
      <c r="B884" s="8">
        <f>IF($A884="","",TEXT($A884,"mmm-yyyy"))</f>
        <v/>
      </c>
      <c r="C884" s="8">
        <f>IF($A884="","","W"&amp;WEEKNUM($A884,2))</f>
        <v/>
      </c>
      <c r="D884" s="8">
        <f>IF($A884="","",TEXT($A884,"ddd"))</f>
        <v/>
      </c>
      <c r="E884" s="8" t="inlineStr">
        <is>
          <t>Safety</t>
        </is>
      </c>
      <c r="F884" s="8">
        <f>IFERROR(INDEX(Tbl_KPIMaster[Category],MATCH($G884,Tbl_KPIMaster[KPI],0)),"")</f>
        <v/>
      </c>
      <c r="G884" s="8" t="inlineStr">
        <is>
          <t>Near Miss Reports</t>
        </is>
      </c>
      <c r="H884" s="8">
        <f>IFERROR(INDEX(Tbl_KPIMaster[Unit],MATCH($G884,Tbl_KPIMaster[KPI],0)),"")</f>
        <v/>
      </c>
      <c r="I884" s="9">
        <f>IFERROR(INDEX(Tbl_KPIMaster[Maximum Target],MATCH($G884,Tbl_KPIMaster[KPI],0)),"")</f>
        <v/>
      </c>
      <c r="J884" s="9" t="n">
        <v>2</v>
      </c>
      <c r="K884" s="8">
        <f>IFERROR(INDEX(Tbl_KPIMaster[Tolerance],MATCH($G884,Tbl_KPIMaster[KPI],0)),"")</f>
        <v/>
      </c>
      <c r="L884" s="8">
        <f>IFERROR(INDEX(Tbl_KPIMaster[Owner],MATCH($G884,Tbl_KPIMaster[KPI],0)),"")</f>
        <v/>
      </c>
      <c r="M884" s="10" t="inlineStr">
        <is>
          <t>Vendor delay</t>
        </is>
      </c>
      <c r="N884" s="8" t="inlineStr"/>
      <c r="O884" s="8" t="inlineStr">
        <is>
          <t>Low</t>
        </is>
      </c>
      <c r="P884" s="8" t="inlineStr">
        <is>
          <t>Closed</t>
        </is>
      </c>
      <c r="Q884" s="9">
        <f>IFERROR(IF(INDEX(Tbl_KPIMaster[Direction],MATCH($G884,Tbl_KPIMaster[KPI],0))="Lower is Better",IF($J884=0,1,IF($I884=0,0,$I884/$J884)),IF($I884=0,1,$J884/$I884)),0)</f>
        <v/>
      </c>
      <c r="R884" s="8">
        <f>IF(OR($I884="",$J884=""),"",$J884-$I884)</f>
        <v/>
      </c>
      <c r="S884" s="8">
        <f>IFERROR(IF(INDEX(Tbl_KPIMaster[Direction],MATCH($G884,Tbl_KPIMaster[KPI],0))="Lower is Better",IF($J884&lt;=$I884,"Green",IF($J884&lt;=$I884+IF($I884=0,$K884,$I884*$K884),"Amber","Red")),IF($J884&gt;=$I884,"Green",IF($J884&gt;=$I884-IF($I884=0,$K884,$I884*$K884),"Amber","Red"))),"")</f>
        <v/>
      </c>
      <c r="T884" s="10" t="inlineStr"/>
    </row>
    <row r="885">
      <c r="A885" s="3" t="n">
        <v>46174</v>
      </c>
      <c r="B885" s="4">
        <f>IF($A885="","",TEXT($A885,"mmm-yyyy"))</f>
        <v/>
      </c>
      <c r="C885" s="4">
        <f>IF($A885="","","W"&amp;WEEKNUM($A885,2))</f>
        <v/>
      </c>
      <c r="D885" s="4">
        <f>IF($A885="","",TEXT($A885,"ddd"))</f>
        <v/>
      </c>
      <c r="E885" s="4" t="inlineStr">
        <is>
          <t>Production</t>
        </is>
      </c>
      <c r="F885" s="4">
        <f>IFERROR(INDEX(Tbl_KPIMaster[Category],MATCH($G885,Tbl_KPIMaster[KPI],0)),"")</f>
        <v/>
      </c>
      <c r="G885" s="4" t="inlineStr">
        <is>
          <t>Production Output</t>
        </is>
      </c>
      <c r="H885" s="4">
        <f>IFERROR(INDEX(Tbl_KPIMaster[Unit],MATCH($G885,Tbl_KPIMaster[KPI],0)),"")</f>
        <v/>
      </c>
      <c r="I885" s="5">
        <f>IFERROR(INDEX(Tbl_KPIMaster[Maximum Target],MATCH($G885,Tbl_KPIMaster[KPI],0)),"")</f>
        <v/>
      </c>
      <c r="J885" s="5" t="n">
        <v>919.99</v>
      </c>
      <c r="K885" s="4">
        <f>IFERROR(INDEX(Tbl_KPIMaster[Tolerance],MATCH($G885,Tbl_KPIMaster[KPI],0)),"")</f>
        <v/>
      </c>
      <c r="L885" s="4">
        <f>IFERROR(INDEX(Tbl_KPIMaster[Owner],MATCH($G885,Tbl_KPIMaster[KPI],0)),"")</f>
        <v/>
      </c>
      <c r="M885" s="6" t="inlineStr">
        <is>
          <t>Vendor delay</t>
        </is>
      </c>
      <c r="N885" s="4" t="inlineStr">
        <is>
          <t>Engineering support needed</t>
        </is>
      </c>
      <c r="O885" s="4" t="inlineStr">
        <is>
          <t>High</t>
        </is>
      </c>
      <c r="P885" s="4" t="inlineStr">
        <is>
          <t>In Progress</t>
        </is>
      </c>
      <c r="Q885" s="5">
        <f>IFERROR(IF(INDEX(Tbl_KPIMaster[Direction],MATCH($G885,Tbl_KPIMaster[KPI],0))="Lower is Better",IF($J885=0,1,IF($I885=0,0,$I885/$J885)),IF($I885=0,1,$J885/$I885)),0)</f>
        <v/>
      </c>
      <c r="R885" s="4">
        <f>IF(OR($I885="",$J885=""),"",$J885-$I885)</f>
        <v/>
      </c>
      <c r="S885" s="4">
        <f>IFERROR(IF(INDEX(Tbl_KPIMaster[Direction],MATCH($G885,Tbl_KPIMaster[KPI],0))="Lower is Better",IF($J885&lt;=$I885,"Green",IF($J885&lt;=$I885+IF($I885=0,$K885,$I885*$K885),"Amber","Red")),IF($J885&gt;=$I885,"Green",IF($J885&gt;=$I885-IF($I885=0,$K885,$I885*$K885),"Amber","Red"))),"")</f>
        <v/>
      </c>
      <c r="T885" s="6" t="inlineStr"/>
    </row>
    <row r="886">
      <c r="A886" s="7" t="n">
        <v>46174</v>
      </c>
      <c r="B886" s="8">
        <f>IF($A886="","",TEXT($A886,"mmm-yyyy"))</f>
        <v/>
      </c>
      <c r="C886" s="8">
        <f>IF($A886="","","W"&amp;WEEKNUM($A886,2))</f>
        <v/>
      </c>
      <c r="D886" s="8">
        <f>IF($A886="","",TEXT($A886,"ddd"))</f>
        <v/>
      </c>
      <c r="E886" s="8" t="inlineStr">
        <is>
          <t>Production</t>
        </is>
      </c>
      <c r="F886" s="8">
        <f>IFERROR(INDEX(Tbl_KPIMaster[Category],MATCH($G886,Tbl_KPIMaster[KPI],0)),"")</f>
        <v/>
      </c>
      <c r="G886" s="8" t="inlineStr">
        <is>
          <t>OEE %</t>
        </is>
      </c>
      <c r="H886" s="8">
        <f>IFERROR(INDEX(Tbl_KPIMaster[Unit],MATCH($G886,Tbl_KPIMaster[KPI],0)),"")</f>
        <v/>
      </c>
      <c r="I886" s="9">
        <f>IFERROR(INDEX(Tbl_KPIMaster[Maximum Target],MATCH($G886,Tbl_KPIMaster[KPI],0)),"")</f>
        <v/>
      </c>
      <c r="J886" s="9" t="n">
        <v>0.824</v>
      </c>
      <c r="K886" s="8">
        <f>IFERROR(INDEX(Tbl_KPIMaster[Tolerance],MATCH($G886,Tbl_KPIMaster[KPI],0)),"")</f>
        <v/>
      </c>
      <c r="L886" s="8">
        <f>IFERROR(INDEX(Tbl_KPIMaster[Owner],MATCH($G886,Tbl_KPIMaster[KPI],0)),"")</f>
        <v/>
      </c>
      <c r="M886" s="10" t="inlineStr">
        <is>
          <t>Awaiting spares</t>
        </is>
      </c>
      <c r="N886" s="8" t="inlineStr">
        <is>
          <t>Engineering support needed</t>
        </is>
      </c>
      <c r="O886" s="8" t="inlineStr">
        <is>
          <t>Low</t>
        </is>
      </c>
      <c r="P886" s="8" t="inlineStr">
        <is>
          <t>In Progress</t>
        </is>
      </c>
      <c r="Q886" s="9">
        <f>IFERROR(IF(INDEX(Tbl_KPIMaster[Direction],MATCH($G886,Tbl_KPIMaster[KPI],0))="Lower is Better",IF($J886=0,1,IF($I886=0,0,$I886/$J886)),IF($I886=0,1,$J886/$I886)),0)</f>
        <v/>
      </c>
      <c r="R886" s="8">
        <f>IF(OR($I886="",$J886=""),"",$J886-$I886)</f>
        <v/>
      </c>
      <c r="S886" s="8">
        <f>IFERROR(IF(INDEX(Tbl_KPIMaster[Direction],MATCH($G886,Tbl_KPIMaster[KPI],0))="Lower is Better",IF($J886&lt;=$I886,"Green",IF($J886&lt;=$I886+IF($I886=0,$K886,$I886*$K886),"Amber","Red")),IF($J886&gt;=$I886,"Green",IF($J886&gt;=$I886-IF($I886=0,$K886,$I886*$K886),"Amber","Red"))),"")</f>
        <v/>
      </c>
      <c r="T886" s="10" t="inlineStr"/>
    </row>
    <row r="887">
      <c r="A887" s="3" t="n">
        <v>46174</v>
      </c>
      <c r="B887" s="4">
        <f>IF($A887="","",TEXT($A887,"mmm-yyyy"))</f>
        <v/>
      </c>
      <c r="C887" s="4">
        <f>IF($A887="","","W"&amp;WEEKNUM($A887,2))</f>
        <v/>
      </c>
      <c r="D887" s="4">
        <f>IF($A887="","",TEXT($A887,"ddd"))</f>
        <v/>
      </c>
      <c r="E887" s="4" t="inlineStr">
        <is>
          <t>Quality</t>
        </is>
      </c>
      <c r="F887" s="4">
        <f>IFERROR(INDEX(Tbl_KPIMaster[Category],MATCH($G887,Tbl_KPIMaster[KPI],0)),"")</f>
        <v/>
      </c>
      <c r="G887" s="4" t="inlineStr">
        <is>
          <t>Defect Rate %</t>
        </is>
      </c>
      <c r="H887" s="4">
        <f>IFERROR(INDEX(Tbl_KPIMaster[Unit],MATCH($G887,Tbl_KPIMaster[KPI],0)),"")</f>
        <v/>
      </c>
      <c r="I887" s="5">
        <f>IFERROR(INDEX(Tbl_KPIMaster[Maximum Target],MATCH($G887,Tbl_KPIMaster[KPI],0)),"")</f>
        <v/>
      </c>
      <c r="J887" s="5" t="n">
        <v>0</v>
      </c>
      <c r="K887" s="4">
        <f>IFERROR(INDEX(Tbl_KPIMaster[Tolerance],MATCH($G887,Tbl_KPIMaster[KPI],0)),"")</f>
        <v/>
      </c>
      <c r="L887" s="4">
        <f>IFERROR(INDEX(Tbl_KPIMaster[Owner],MATCH($G887,Tbl_KPIMaster[KPI],0)),"")</f>
        <v/>
      </c>
      <c r="M887" s="6" t="inlineStr">
        <is>
          <t>Equipment breakdown</t>
        </is>
      </c>
      <c r="N887" s="4" t="inlineStr"/>
      <c r="O887" s="4" t="inlineStr">
        <is>
          <t>Medium</t>
        </is>
      </c>
      <c r="P887" s="4" t="inlineStr">
        <is>
          <t>Closed</t>
        </is>
      </c>
      <c r="Q887" s="5">
        <f>IFERROR(IF(INDEX(Tbl_KPIMaster[Direction],MATCH($G887,Tbl_KPIMaster[KPI],0))="Lower is Better",IF($J887=0,1,IF($I887=0,0,$I887/$J887)),IF($I887=0,1,$J887/$I887)),0)</f>
        <v/>
      </c>
      <c r="R887" s="4">
        <f>IF(OR($I887="",$J887=""),"",$J887-$I887)</f>
        <v/>
      </c>
      <c r="S887" s="4">
        <f>IFERROR(IF(INDEX(Tbl_KPIMaster[Direction],MATCH($G887,Tbl_KPIMaster[KPI],0))="Lower is Better",IF($J887&lt;=$I887,"Green",IF($J887&lt;=$I887+IF($I887=0,$K887,$I887*$K887),"Amber","Red")),IF($J887&gt;=$I887,"Green",IF($J887&gt;=$I887-IF($I887=0,$K887,$I887*$K887),"Amber","Red"))),"")</f>
        <v/>
      </c>
      <c r="T887" s="6" t="inlineStr"/>
    </row>
    <row r="888">
      <c r="A888" s="7" t="n">
        <v>46174</v>
      </c>
      <c r="B888" s="8">
        <f>IF($A888="","",TEXT($A888,"mmm-yyyy"))</f>
        <v/>
      </c>
      <c r="C888" s="8">
        <f>IF($A888="","","W"&amp;WEEKNUM($A888,2))</f>
        <v/>
      </c>
      <c r="D888" s="8">
        <f>IF($A888="","",TEXT($A888,"ddd"))</f>
        <v/>
      </c>
      <c r="E888" s="8" t="inlineStr">
        <is>
          <t>Quality</t>
        </is>
      </c>
      <c r="F888" s="8">
        <f>IFERROR(INDEX(Tbl_KPIMaster[Category],MATCH($G888,Tbl_KPIMaster[KPI],0)),"")</f>
        <v/>
      </c>
      <c r="G888" s="8" t="inlineStr">
        <is>
          <t>Customer Complaints</t>
        </is>
      </c>
      <c r="H888" s="8">
        <f>IFERROR(INDEX(Tbl_KPIMaster[Unit],MATCH($G888,Tbl_KPIMaster[KPI],0)),"")</f>
        <v/>
      </c>
      <c r="I888" s="9">
        <f>IFERROR(INDEX(Tbl_KPIMaster[Maximum Target],MATCH($G888,Tbl_KPIMaster[KPI],0)),"")</f>
        <v/>
      </c>
      <c r="J888" s="9" t="n">
        <v>1</v>
      </c>
      <c r="K888" s="8">
        <f>IFERROR(INDEX(Tbl_KPIMaster[Tolerance],MATCH($G888,Tbl_KPIMaster[KPI],0)),"")</f>
        <v/>
      </c>
      <c r="L888" s="8">
        <f>IFERROR(INDEX(Tbl_KPIMaster[Owner],MATCH($G888,Tbl_KPIMaster[KPI],0)),"")</f>
        <v/>
      </c>
      <c r="M888" s="10" t="inlineStr">
        <is>
          <t>Vendor delay</t>
        </is>
      </c>
      <c r="N888" s="8" t="inlineStr"/>
      <c r="O888" s="8" t="inlineStr">
        <is>
          <t>Medium</t>
        </is>
      </c>
      <c r="P888" s="8" t="inlineStr">
        <is>
          <t>Closed</t>
        </is>
      </c>
      <c r="Q888" s="9">
        <f>IFERROR(IF(INDEX(Tbl_KPIMaster[Direction],MATCH($G888,Tbl_KPIMaster[KPI],0))="Lower is Better",IF($J888=0,1,IF($I888=0,0,$I888/$J888)),IF($I888=0,1,$J888/$I888)),0)</f>
        <v/>
      </c>
      <c r="R888" s="8">
        <f>IF(OR($I888="",$J888=""),"",$J888-$I888)</f>
        <v/>
      </c>
      <c r="S888" s="8">
        <f>IFERROR(IF(INDEX(Tbl_KPIMaster[Direction],MATCH($G888,Tbl_KPIMaster[KPI],0))="Lower is Better",IF($J888&lt;=$I888,"Green",IF($J888&lt;=$I888+IF($I888=0,$K888,$I888*$K888),"Amber","Red")),IF($J888&gt;=$I888,"Green",IF($J888&gt;=$I888-IF($I888=0,$K888,$I888*$K888),"Amber","Red"))),"")</f>
        <v/>
      </c>
      <c r="T888" s="10" t="inlineStr"/>
    </row>
    <row r="889">
      <c r="A889" s="3" t="n">
        <v>46174</v>
      </c>
      <c r="B889" s="4">
        <f>IF($A889="","",TEXT($A889,"mmm-yyyy"))</f>
        <v/>
      </c>
      <c r="C889" s="4">
        <f>IF($A889="","","W"&amp;WEEKNUM($A889,2))</f>
        <v/>
      </c>
      <c r="D889" s="4">
        <f>IF($A889="","",TEXT($A889,"ddd"))</f>
        <v/>
      </c>
      <c r="E889" s="4" t="inlineStr">
        <is>
          <t>Maintenance</t>
        </is>
      </c>
      <c r="F889" s="4">
        <f>IFERROR(INDEX(Tbl_KPIMaster[Category],MATCH($G889,Tbl_KPIMaster[KPI],0)),"")</f>
        <v/>
      </c>
      <c r="G889" s="4" t="inlineStr">
        <is>
          <t>Unplanned Downtime</t>
        </is>
      </c>
      <c r="H889" s="4">
        <f>IFERROR(INDEX(Tbl_KPIMaster[Unit],MATCH($G889,Tbl_KPIMaster[KPI],0)),"")</f>
        <v/>
      </c>
      <c r="I889" s="5">
        <f>IFERROR(INDEX(Tbl_KPIMaster[Maximum Target],MATCH($G889,Tbl_KPIMaster[KPI],0)),"")</f>
        <v/>
      </c>
      <c r="J889" s="5" t="n">
        <v>0</v>
      </c>
      <c r="K889" s="4">
        <f>IFERROR(INDEX(Tbl_KPIMaster[Tolerance],MATCH($G889,Tbl_KPIMaster[KPI],0)),"")</f>
        <v/>
      </c>
      <c r="L889" s="4">
        <f>IFERROR(INDEX(Tbl_KPIMaster[Owner],MATCH($G889,Tbl_KPIMaster[KPI],0)),"")</f>
        <v/>
      </c>
      <c r="M889" s="6" t="inlineStr">
        <is>
          <t>Vendor delay</t>
        </is>
      </c>
      <c r="N889" s="4" t="inlineStr">
        <is>
          <t>Procurement follow-up</t>
        </is>
      </c>
      <c r="O889" s="4" t="inlineStr">
        <is>
          <t>High</t>
        </is>
      </c>
      <c r="P889" s="4" t="inlineStr">
        <is>
          <t>Open</t>
        </is>
      </c>
      <c r="Q889" s="5">
        <f>IFERROR(IF(INDEX(Tbl_KPIMaster[Direction],MATCH($G889,Tbl_KPIMaster[KPI],0))="Lower is Better",IF($J889=0,1,IF($I889=0,0,$I889/$J889)),IF($I889=0,1,$J889/$I889)),0)</f>
        <v/>
      </c>
      <c r="R889" s="4">
        <f>IF(OR($I889="",$J889=""),"",$J889-$I889)</f>
        <v/>
      </c>
      <c r="S889" s="4">
        <f>IFERROR(IF(INDEX(Tbl_KPIMaster[Direction],MATCH($G889,Tbl_KPIMaster[KPI],0))="Lower is Better",IF($J889&lt;=$I889,"Green",IF($J889&lt;=$I889+IF($I889=0,$K889,$I889*$K889),"Amber","Red")),IF($J889&gt;=$I889,"Green",IF($J889&gt;=$I889-IF($I889=0,$K889,$I889*$K889),"Amber","Red"))),"")</f>
        <v/>
      </c>
      <c r="T889" s="6" t="inlineStr"/>
    </row>
    <row r="890">
      <c r="A890" s="7" t="n">
        <v>46174</v>
      </c>
      <c r="B890" s="8">
        <f>IF($A890="","",TEXT($A890,"mmm-yyyy"))</f>
        <v/>
      </c>
      <c r="C890" s="8">
        <f>IF($A890="","","W"&amp;WEEKNUM($A890,2))</f>
        <v/>
      </c>
      <c r="D890" s="8">
        <f>IF($A890="","",TEXT($A890,"ddd"))</f>
        <v/>
      </c>
      <c r="E890" s="8" t="inlineStr">
        <is>
          <t>Maintenance</t>
        </is>
      </c>
      <c r="F890" s="8">
        <f>IFERROR(INDEX(Tbl_KPIMaster[Category],MATCH($G890,Tbl_KPIMaster[KPI],0)),"")</f>
        <v/>
      </c>
      <c r="G890" s="8" t="inlineStr">
        <is>
          <t>PM Compliance %</t>
        </is>
      </c>
      <c r="H890" s="8">
        <f>IFERROR(INDEX(Tbl_KPIMaster[Unit],MATCH($G890,Tbl_KPIMaster[KPI],0)),"")</f>
        <v/>
      </c>
      <c r="I890" s="9">
        <f>IFERROR(INDEX(Tbl_KPIMaster[Maximum Target],MATCH($G890,Tbl_KPIMaster[KPI],0)),"")</f>
        <v/>
      </c>
      <c r="J890" s="9" t="n">
        <v>1.2274</v>
      </c>
      <c r="K890" s="8">
        <f>IFERROR(INDEX(Tbl_KPIMaster[Tolerance],MATCH($G890,Tbl_KPIMaster[KPI],0)),"")</f>
        <v/>
      </c>
      <c r="L890" s="8">
        <f>IFERROR(INDEX(Tbl_KPIMaster[Owner],MATCH($G890,Tbl_KPIMaster[KPI],0)),"")</f>
        <v/>
      </c>
      <c r="M890" s="10" t="inlineStr">
        <is>
          <t>New operator training effect</t>
        </is>
      </c>
      <c r="N890" s="8" t="inlineStr"/>
      <c r="O890" s="8" t="inlineStr">
        <is>
          <t>Low</t>
        </is>
      </c>
      <c r="P890" s="8" t="inlineStr">
        <is>
          <t>Closed</t>
        </is>
      </c>
      <c r="Q890" s="9">
        <f>IFERROR(IF(INDEX(Tbl_KPIMaster[Direction],MATCH($G890,Tbl_KPIMaster[KPI],0))="Lower is Better",IF($J890=0,1,IF($I890=0,0,$I890/$J890)),IF($I890=0,1,$J890/$I890)),0)</f>
        <v/>
      </c>
      <c r="R890" s="8">
        <f>IF(OR($I890="",$J890=""),"",$J890-$I890)</f>
        <v/>
      </c>
      <c r="S890" s="8">
        <f>IFERROR(IF(INDEX(Tbl_KPIMaster[Direction],MATCH($G890,Tbl_KPIMaster[KPI],0))="Lower is Better",IF($J890&lt;=$I890,"Green",IF($J890&lt;=$I890+IF($I890=0,$K890,$I890*$K890),"Amber","Red")),IF($J890&gt;=$I890,"Green",IF($J890&gt;=$I890-IF($I890=0,$K890,$I890*$K890),"Amber","Red"))),"")</f>
        <v/>
      </c>
      <c r="T890" s="10" t="inlineStr"/>
    </row>
    <row r="891">
      <c r="A891" s="3" t="n">
        <v>46174</v>
      </c>
      <c r="B891" s="4">
        <f>IF($A891="","",TEXT($A891,"mmm-yyyy"))</f>
        <v/>
      </c>
      <c r="C891" s="4">
        <f>IF($A891="","","W"&amp;WEEKNUM($A891,2))</f>
        <v/>
      </c>
      <c r="D891" s="4">
        <f>IF($A891="","",TEXT($A891,"ddd"))</f>
        <v/>
      </c>
      <c r="E891" s="4" t="inlineStr">
        <is>
          <t>Utilities</t>
        </is>
      </c>
      <c r="F891" s="4">
        <f>IFERROR(INDEX(Tbl_KPIMaster[Category],MATCH($G891,Tbl_KPIMaster[KPI],0)),"")</f>
        <v/>
      </c>
      <c r="G891" s="4" t="inlineStr">
        <is>
          <t>Power Consumption</t>
        </is>
      </c>
      <c r="H891" s="4">
        <f>IFERROR(INDEX(Tbl_KPIMaster[Unit],MATCH($G891,Tbl_KPIMaster[KPI],0)),"")</f>
        <v/>
      </c>
      <c r="I891" s="5">
        <f>IFERROR(INDEX(Tbl_KPIMaster[Maximum Target],MATCH($G891,Tbl_KPIMaster[KPI],0)),"")</f>
        <v/>
      </c>
      <c r="J891" s="5" t="n">
        <v>4519.92</v>
      </c>
      <c r="K891" s="4">
        <f>IFERROR(INDEX(Tbl_KPIMaster[Tolerance],MATCH($G891,Tbl_KPIMaster[KPI],0)),"")</f>
        <v/>
      </c>
      <c r="L891" s="4">
        <f>IFERROR(INDEX(Tbl_KPIMaster[Owner],MATCH($G891,Tbl_KPIMaster[KPI],0)),"")</f>
        <v/>
      </c>
      <c r="M891" s="6" t="inlineStr">
        <is>
          <t>Vendor delay</t>
        </is>
      </c>
      <c r="N891" s="4" t="inlineStr"/>
      <c r="O891" s="4" t="inlineStr">
        <is>
          <t>Low</t>
        </is>
      </c>
      <c r="P891" s="4" t="inlineStr">
        <is>
          <t>Closed</t>
        </is>
      </c>
      <c r="Q891" s="5">
        <f>IFERROR(IF(INDEX(Tbl_KPIMaster[Direction],MATCH($G891,Tbl_KPIMaster[KPI],0))="Lower is Better",IF($J891=0,1,IF($I891=0,0,$I891/$J891)),IF($I891=0,1,$J891/$I891)),0)</f>
        <v/>
      </c>
      <c r="R891" s="4">
        <f>IF(OR($I891="",$J891=""),"",$J891-$I891)</f>
        <v/>
      </c>
      <c r="S891" s="4">
        <f>IFERROR(IF(INDEX(Tbl_KPIMaster[Direction],MATCH($G891,Tbl_KPIMaster[KPI],0))="Lower is Better",IF($J891&lt;=$I891,"Green",IF($J891&lt;=$I891+IF($I891=0,$K891,$I891*$K891),"Amber","Red")),IF($J891&gt;=$I891,"Green",IF($J891&gt;=$I891-IF($I891=0,$K891,$I891*$K891),"Amber","Red"))),"")</f>
        <v/>
      </c>
      <c r="T891" s="6" t="inlineStr"/>
    </row>
    <row r="892">
      <c r="A892" s="7" t="n">
        <v>46174</v>
      </c>
      <c r="B892" s="8">
        <f>IF($A892="","",TEXT($A892,"mmm-yyyy"))</f>
        <v/>
      </c>
      <c r="C892" s="8">
        <f>IF($A892="","","W"&amp;WEEKNUM($A892,2))</f>
        <v/>
      </c>
      <c r="D892" s="8">
        <f>IF($A892="","",TEXT($A892,"ddd"))</f>
        <v/>
      </c>
      <c r="E892" s="8" t="inlineStr">
        <is>
          <t>Utilities</t>
        </is>
      </c>
      <c r="F892" s="8">
        <f>IFERROR(INDEX(Tbl_KPIMaster[Category],MATCH($G892,Tbl_KPIMaster[KPI],0)),"")</f>
        <v/>
      </c>
      <c r="G892" s="8" t="inlineStr">
        <is>
          <t>Water Consumption</t>
        </is>
      </c>
      <c r="H892" s="8">
        <f>IFERROR(INDEX(Tbl_KPIMaster[Unit],MATCH($G892,Tbl_KPIMaster[KPI],0)),"")</f>
        <v/>
      </c>
      <c r="I892" s="9">
        <f>IFERROR(INDEX(Tbl_KPIMaster[Maximum Target],MATCH($G892,Tbl_KPIMaster[KPI],0)),"")</f>
        <v/>
      </c>
      <c r="J892" s="9" t="n">
        <v>56.25</v>
      </c>
      <c r="K892" s="8">
        <f>IFERROR(INDEX(Tbl_KPIMaster[Tolerance],MATCH($G892,Tbl_KPIMaster[KPI],0)),"")</f>
        <v/>
      </c>
      <c r="L892" s="8">
        <f>IFERROR(INDEX(Tbl_KPIMaster[Owner],MATCH($G892,Tbl_KPIMaster[KPI],0)),"")</f>
        <v/>
      </c>
      <c r="M892" s="10" t="inlineStr">
        <is>
          <t>New operator training effect</t>
        </is>
      </c>
      <c r="N892" s="8" t="inlineStr">
        <is>
          <t>Engineering support needed</t>
        </is>
      </c>
      <c r="O892" s="8" t="inlineStr">
        <is>
          <t>Low</t>
        </is>
      </c>
      <c r="P892" s="8" t="inlineStr">
        <is>
          <t>In Progress</t>
        </is>
      </c>
      <c r="Q892" s="9">
        <f>IFERROR(IF(INDEX(Tbl_KPIMaster[Direction],MATCH($G892,Tbl_KPIMaster[KPI],0))="Lower is Better",IF($J892=0,1,IF($I892=0,0,$I892/$J892)),IF($I892=0,1,$J892/$I892)),0)</f>
        <v/>
      </c>
      <c r="R892" s="8">
        <f>IF(OR($I892="",$J892=""),"",$J892-$I892)</f>
        <v/>
      </c>
      <c r="S892" s="8">
        <f>IFERROR(IF(INDEX(Tbl_KPIMaster[Direction],MATCH($G892,Tbl_KPIMaster[KPI],0))="Lower is Better",IF($J892&lt;=$I892,"Green",IF($J892&lt;=$I892+IF($I892=0,$K892,$I892*$K892),"Amber","Red")),IF($J892&gt;=$I892,"Green",IF($J892&gt;=$I892-IF($I892=0,$K892,$I892*$K892),"Amber","Red"))),"")</f>
        <v/>
      </c>
      <c r="T892" s="10" t="inlineStr"/>
    </row>
    <row r="893">
      <c r="A893" s="3" t="n">
        <v>46174</v>
      </c>
      <c r="B893" s="4">
        <f>IF($A893="","",TEXT($A893,"mmm-yyyy"))</f>
        <v/>
      </c>
      <c r="C893" s="4">
        <f>IF($A893="","","W"&amp;WEEKNUM($A893,2))</f>
        <v/>
      </c>
      <c r="D893" s="4">
        <f>IF($A893="","",TEXT($A893,"ddd"))</f>
        <v/>
      </c>
      <c r="E893" s="4" t="inlineStr">
        <is>
          <t>Warehouse</t>
        </is>
      </c>
      <c r="F893" s="4">
        <f>IFERROR(INDEX(Tbl_KPIMaster[Category],MATCH($G893,Tbl_KPIMaster[KPI],0)),"")</f>
        <v/>
      </c>
      <c r="G893" s="4" t="inlineStr">
        <is>
          <t>On-Time Dispatch %</t>
        </is>
      </c>
      <c r="H893" s="4">
        <f>IFERROR(INDEX(Tbl_KPIMaster[Unit],MATCH($G893,Tbl_KPIMaster[KPI],0)),"")</f>
        <v/>
      </c>
      <c r="I893" s="5">
        <f>IFERROR(INDEX(Tbl_KPIMaster[Maximum Target],MATCH($G893,Tbl_KPIMaster[KPI],0)),"")</f>
        <v/>
      </c>
      <c r="J893" s="5" t="n">
        <v>1.1018</v>
      </c>
      <c r="K893" s="4">
        <f>IFERROR(INDEX(Tbl_KPIMaster[Tolerance],MATCH($G893,Tbl_KPIMaster[KPI],0)),"")</f>
        <v/>
      </c>
      <c r="L893" s="4">
        <f>IFERROR(INDEX(Tbl_KPIMaster[Owner],MATCH($G893,Tbl_KPIMaster[KPI],0)),"")</f>
        <v/>
      </c>
      <c r="M893" s="6" t="inlineStr">
        <is>
          <t>New operator training effect</t>
        </is>
      </c>
      <c r="N893" s="4" t="inlineStr"/>
      <c r="O893" s="4" t="inlineStr">
        <is>
          <t>Low</t>
        </is>
      </c>
      <c r="P893" s="4" t="inlineStr">
        <is>
          <t>In Progress</t>
        </is>
      </c>
      <c r="Q893" s="5">
        <f>IFERROR(IF(INDEX(Tbl_KPIMaster[Direction],MATCH($G893,Tbl_KPIMaster[KPI],0))="Lower is Better",IF($J893=0,1,IF($I893=0,0,$I893/$J893)),IF($I893=0,1,$J893/$I893)),0)</f>
        <v/>
      </c>
      <c r="R893" s="4">
        <f>IF(OR($I893="",$J893=""),"",$J893-$I893)</f>
        <v/>
      </c>
      <c r="S893" s="4">
        <f>IFERROR(IF(INDEX(Tbl_KPIMaster[Direction],MATCH($G893,Tbl_KPIMaster[KPI],0))="Lower is Better",IF($J893&lt;=$I893,"Green",IF($J893&lt;=$I893+IF($I893=0,$K893,$I893*$K893),"Amber","Red")),IF($J893&gt;=$I893,"Green",IF($J893&gt;=$I893-IF($I893=0,$K893,$I893*$K893),"Amber","Red"))),"")</f>
        <v/>
      </c>
      <c r="T893" s="6" t="inlineStr"/>
    </row>
    <row r="894">
      <c r="A894" s="7" t="n">
        <v>46174</v>
      </c>
      <c r="B894" s="8">
        <f>IF($A894="","",TEXT($A894,"mmm-yyyy"))</f>
        <v/>
      </c>
      <c r="C894" s="8">
        <f>IF($A894="","","W"&amp;WEEKNUM($A894,2))</f>
        <v/>
      </c>
      <c r="D894" s="8">
        <f>IF($A894="","",TEXT($A894,"ddd"))</f>
        <v/>
      </c>
      <c r="E894" s="8" t="inlineStr">
        <is>
          <t>Warehouse</t>
        </is>
      </c>
      <c r="F894" s="8">
        <f>IFERROR(INDEX(Tbl_KPIMaster[Category],MATCH($G894,Tbl_KPIMaster[KPI],0)),"")</f>
        <v/>
      </c>
      <c r="G894" s="8" t="inlineStr">
        <is>
          <t>Inventory Accuracy %</t>
        </is>
      </c>
      <c r="H894" s="8">
        <f>IFERROR(INDEX(Tbl_KPIMaster[Unit],MATCH($G894,Tbl_KPIMaster[KPI],0)),"")</f>
        <v/>
      </c>
      <c r="I894" s="9">
        <f>IFERROR(INDEX(Tbl_KPIMaster[Maximum Target],MATCH($G894,Tbl_KPIMaster[KPI],0)),"")</f>
        <v/>
      </c>
      <c r="J894" s="9" t="n">
        <v>0.7141</v>
      </c>
      <c r="K894" s="8">
        <f>IFERROR(INDEX(Tbl_KPIMaster[Tolerance],MATCH($G894,Tbl_KPIMaster[KPI],0)),"")</f>
        <v/>
      </c>
      <c r="L894" s="8">
        <f>IFERROR(INDEX(Tbl_KPIMaster[Owner],MATCH($G894,Tbl_KPIMaster[KPI],0)),"")</f>
        <v/>
      </c>
      <c r="M894" s="10" t="inlineStr">
        <is>
          <t>Weather impact</t>
        </is>
      </c>
      <c r="N894" s="8" t="inlineStr">
        <is>
          <t>Engineering support needed</t>
        </is>
      </c>
      <c r="O894" s="8" t="inlineStr">
        <is>
          <t>Low</t>
        </is>
      </c>
      <c r="P894" s="8" t="inlineStr">
        <is>
          <t>Closed</t>
        </is>
      </c>
      <c r="Q894" s="9">
        <f>IFERROR(IF(INDEX(Tbl_KPIMaster[Direction],MATCH($G894,Tbl_KPIMaster[KPI],0))="Lower is Better",IF($J894=0,1,IF($I894=0,0,$I894/$J894)),IF($I894=0,1,$J894/$I894)),0)</f>
        <v/>
      </c>
      <c r="R894" s="8">
        <f>IF(OR($I894="",$J894=""),"",$J894-$I894)</f>
        <v/>
      </c>
      <c r="S894" s="8">
        <f>IFERROR(IF(INDEX(Tbl_KPIMaster[Direction],MATCH($G894,Tbl_KPIMaster[KPI],0))="Lower is Better",IF($J894&lt;=$I894,"Green",IF($J894&lt;=$I894+IF($I894=0,$K894,$I894*$K894),"Amber","Red")),IF($J894&gt;=$I894,"Green",IF($J894&gt;=$I894-IF($I894=0,$K894,$I894*$K894),"Amber","Red"))),"")</f>
        <v/>
      </c>
      <c r="T894" s="10" t="inlineStr"/>
    </row>
    <row r="895">
      <c r="A895" s="3" t="n">
        <v>46174</v>
      </c>
      <c r="B895" s="4">
        <f>IF($A895="","",TEXT($A895,"mmm-yyyy"))</f>
        <v/>
      </c>
      <c r="C895" s="4">
        <f>IF($A895="","","W"&amp;WEEKNUM($A895,2))</f>
        <v/>
      </c>
      <c r="D895" s="4">
        <f>IF($A895="","",TEXT($A895,"ddd"))</f>
        <v/>
      </c>
      <c r="E895" s="4" t="inlineStr">
        <is>
          <t>HR</t>
        </is>
      </c>
      <c r="F895" s="4">
        <f>IFERROR(INDEX(Tbl_KPIMaster[Category],MATCH($G895,Tbl_KPIMaster[KPI],0)),"")</f>
        <v/>
      </c>
      <c r="G895" s="4" t="inlineStr">
        <is>
          <t>Absenteeism %</t>
        </is>
      </c>
      <c r="H895" s="4">
        <f>IFERROR(INDEX(Tbl_KPIMaster[Unit],MATCH($G895,Tbl_KPIMaster[KPI],0)),"")</f>
        <v/>
      </c>
      <c r="I895" s="5">
        <f>IFERROR(INDEX(Tbl_KPIMaster[Maximum Target],MATCH($G895,Tbl_KPIMaster[KPI],0)),"")</f>
        <v/>
      </c>
      <c r="J895" s="5" t="n">
        <v>0</v>
      </c>
      <c r="K895" s="4">
        <f>IFERROR(INDEX(Tbl_KPIMaster[Tolerance],MATCH($G895,Tbl_KPIMaster[KPI],0)),"")</f>
        <v/>
      </c>
      <c r="L895" s="4">
        <f>IFERROR(INDEX(Tbl_KPIMaster[Owner],MATCH($G895,Tbl_KPIMaster[KPI],0)),"")</f>
        <v/>
      </c>
      <c r="M895" s="6" t="inlineStr">
        <is>
          <t>Vendor delay</t>
        </is>
      </c>
      <c r="N895" s="4" t="inlineStr"/>
      <c r="O895" s="4" t="inlineStr">
        <is>
          <t>Low</t>
        </is>
      </c>
      <c r="P895" s="4" t="inlineStr">
        <is>
          <t>Closed</t>
        </is>
      </c>
      <c r="Q895" s="5">
        <f>IFERROR(IF(INDEX(Tbl_KPIMaster[Direction],MATCH($G895,Tbl_KPIMaster[KPI],0))="Lower is Better",IF($J895=0,1,IF($I895=0,0,$I895/$J895)),IF($I895=0,1,$J895/$I895)),0)</f>
        <v/>
      </c>
      <c r="R895" s="4">
        <f>IF(OR($I895="",$J895=""),"",$J895-$I895)</f>
        <v/>
      </c>
      <c r="S895" s="4">
        <f>IFERROR(IF(INDEX(Tbl_KPIMaster[Direction],MATCH($G895,Tbl_KPIMaster[KPI],0))="Lower is Better",IF($J895&lt;=$I895,"Green",IF($J895&lt;=$I895+IF($I895=0,$K895,$I895*$K895),"Amber","Red")),IF($J895&gt;=$I895,"Green",IF($J895&gt;=$I895-IF($I895=0,$K895,$I895*$K895),"Amber","Red"))),"")</f>
        <v/>
      </c>
      <c r="T895" s="6" t="inlineStr"/>
    </row>
    <row r="896">
      <c r="A896" s="7" t="n">
        <v>46174</v>
      </c>
      <c r="B896" s="8">
        <f>IF($A896="","",TEXT($A896,"mmm-yyyy"))</f>
        <v/>
      </c>
      <c r="C896" s="8">
        <f>IF($A896="","","W"&amp;WEEKNUM($A896,2))</f>
        <v/>
      </c>
      <c r="D896" s="8">
        <f>IF($A896="","",TEXT($A896,"ddd"))</f>
        <v/>
      </c>
      <c r="E896" s="8" t="inlineStr">
        <is>
          <t>HR</t>
        </is>
      </c>
      <c r="F896" s="8">
        <f>IFERROR(INDEX(Tbl_KPIMaster[Category],MATCH($G896,Tbl_KPIMaster[KPI],0)),"")</f>
        <v/>
      </c>
      <c r="G896" s="8" t="inlineStr">
        <is>
          <t>Training Hours</t>
        </is>
      </c>
      <c r="H896" s="8">
        <f>IFERROR(INDEX(Tbl_KPIMaster[Unit],MATCH($G896,Tbl_KPIMaster[KPI],0)),"")</f>
        <v/>
      </c>
      <c r="I896" s="9">
        <f>IFERROR(INDEX(Tbl_KPIMaster[Maximum Target],MATCH($G896,Tbl_KPIMaster[KPI],0)),"")</f>
        <v/>
      </c>
      <c r="J896" s="9" t="n">
        <v>2.37</v>
      </c>
      <c r="K896" s="8">
        <f>IFERROR(INDEX(Tbl_KPIMaster[Tolerance],MATCH($G896,Tbl_KPIMaster[KPI],0)),"")</f>
        <v/>
      </c>
      <c r="L896" s="8">
        <f>IFERROR(INDEX(Tbl_KPIMaster[Owner],MATCH($G896,Tbl_KPIMaster[KPI],0)),"")</f>
        <v/>
      </c>
      <c r="M896" s="10" t="inlineStr">
        <is>
          <t>Preventive check done</t>
        </is>
      </c>
      <c r="N896" s="8" t="inlineStr"/>
      <c r="O896" s="8" t="inlineStr">
        <is>
          <t>High</t>
        </is>
      </c>
      <c r="P896" s="8" t="inlineStr">
        <is>
          <t>Open</t>
        </is>
      </c>
      <c r="Q896" s="9">
        <f>IFERROR(IF(INDEX(Tbl_KPIMaster[Direction],MATCH($G896,Tbl_KPIMaster[KPI],0))="Lower is Better",IF($J896=0,1,IF($I896=0,0,$I896/$J896)),IF($I896=0,1,$J896/$I896)),0)</f>
        <v/>
      </c>
      <c r="R896" s="8">
        <f>IF(OR($I896="",$J896=""),"",$J896-$I896)</f>
        <v/>
      </c>
      <c r="S896" s="8">
        <f>IFERROR(IF(INDEX(Tbl_KPIMaster[Direction],MATCH($G896,Tbl_KPIMaster[KPI],0))="Lower is Better",IF($J896&lt;=$I896,"Green",IF($J896&lt;=$I896+IF($I896=0,$K896,$I896*$K896),"Amber","Red")),IF($J896&gt;=$I896,"Green",IF($J896&gt;=$I896-IF($I896=0,$K896,$I896*$K896),"Amber","Red"))),"")</f>
        <v/>
      </c>
      <c r="T896" s="10" t="inlineStr"/>
    </row>
    <row r="897">
      <c r="A897" s="3" t="n">
        <v>46174</v>
      </c>
      <c r="B897" s="4">
        <f>IF($A897="","",TEXT($A897,"mmm-yyyy"))</f>
        <v/>
      </c>
      <c r="C897" s="4">
        <f>IF($A897="","","W"&amp;WEEKNUM($A897,2))</f>
        <v/>
      </c>
      <c r="D897" s="4">
        <f>IF($A897="","",TEXT($A897,"ddd"))</f>
        <v/>
      </c>
      <c r="E897" s="4" t="inlineStr">
        <is>
          <t>Engineering</t>
        </is>
      </c>
      <c r="F897" s="4">
        <f>IFERROR(INDEX(Tbl_KPIMaster[Category],MATCH($G897,Tbl_KPIMaster[KPI],0)),"")</f>
        <v/>
      </c>
      <c r="G897" s="4" t="inlineStr">
        <is>
          <t>Project Milestone Adherence %</t>
        </is>
      </c>
      <c r="H897" s="4">
        <f>IFERROR(INDEX(Tbl_KPIMaster[Unit],MATCH($G897,Tbl_KPIMaster[KPI],0)),"")</f>
        <v/>
      </c>
      <c r="I897" s="5">
        <f>IFERROR(INDEX(Tbl_KPIMaster[Maximum Target],MATCH($G897,Tbl_KPIMaster[KPI],0)),"")</f>
        <v/>
      </c>
      <c r="J897" s="5" t="n">
        <v>0.9447</v>
      </c>
      <c r="K897" s="4">
        <f>IFERROR(INDEX(Tbl_KPIMaster[Tolerance],MATCH($G897,Tbl_KPIMaster[KPI],0)),"")</f>
        <v/>
      </c>
      <c r="L897" s="4">
        <f>IFERROR(INDEX(Tbl_KPIMaster[Owner],MATCH($G897,Tbl_KPIMaster[KPI],0)),"")</f>
        <v/>
      </c>
      <c r="M897" s="6" t="inlineStr">
        <is>
          <t>Preventive check done</t>
        </is>
      </c>
      <c r="N897" s="4" t="inlineStr">
        <is>
          <t>Procurement follow-up</t>
        </is>
      </c>
      <c r="O897" s="4" t="inlineStr">
        <is>
          <t>High</t>
        </is>
      </c>
      <c r="P897" s="4" t="inlineStr">
        <is>
          <t>Closed</t>
        </is>
      </c>
      <c r="Q897" s="5">
        <f>IFERROR(IF(INDEX(Tbl_KPIMaster[Direction],MATCH($G897,Tbl_KPIMaster[KPI],0))="Lower is Better",IF($J897=0,1,IF($I897=0,0,$I897/$J897)),IF($I897=0,1,$J897/$I897)),0)</f>
        <v/>
      </c>
      <c r="R897" s="4">
        <f>IF(OR($I897="",$J897=""),"",$J897-$I897)</f>
        <v/>
      </c>
      <c r="S897" s="4">
        <f>IFERROR(IF(INDEX(Tbl_KPIMaster[Direction],MATCH($G897,Tbl_KPIMaster[KPI],0))="Lower is Better",IF($J897&lt;=$I897,"Green",IF($J897&lt;=$I897+IF($I897=0,$K897,$I897*$K897),"Amber","Red")),IF($J897&gt;=$I897,"Green",IF($J897&gt;=$I897-IF($I897=0,$K897,$I897*$K897),"Amber","Red"))),"")</f>
        <v/>
      </c>
      <c r="T897" s="6" t="inlineStr"/>
    </row>
    <row r="898">
      <c r="A898" s="7" t="n">
        <v>46174</v>
      </c>
      <c r="B898" s="8">
        <f>IF($A898="","",TEXT($A898,"mmm-yyyy"))</f>
        <v/>
      </c>
      <c r="C898" s="8">
        <f>IF($A898="","","W"&amp;WEEKNUM($A898,2))</f>
        <v/>
      </c>
      <c r="D898" s="8">
        <f>IF($A898="","",TEXT($A898,"ddd"))</f>
        <v/>
      </c>
      <c r="E898" s="8" t="inlineStr">
        <is>
          <t>Engineering</t>
        </is>
      </c>
      <c r="F898" s="8">
        <f>IFERROR(INDEX(Tbl_KPIMaster[Category],MATCH($G898,Tbl_KPIMaster[KPI],0)),"")</f>
        <v/>
      </c>
      <c r="G898" s="8" t="inlineStr">
        <is>
          <t>Breakdown Resolution Time</t>
        </is>
      </c>
      <c r="H898" s="8">
        <f>IFERROR(INDEX(Tbl_KPIMaster[Unit],MATCH($G898,Tbl_KPIMaster[KPI],0)),"")</f>
        <v/>
      </c>
      <c r="I898" s="9">
        <f>IFERROR(INDEX(Tbl_KPIMaster[Maximum Target],MATCH($G898,Tbl_KPIMaster[KPI],0)),"")</f>
        <v/>
      </c>
      <c r="J898" s="9" t="n">
        <v>0.57</v>
      </c>
      <c r="K898" s="8">
        <f>IFERROR(INDEX(Tbl_KPIMaster[Tolerance],MATCH($G898,Tbl_KPIMaster[KPI],0)),"")</f>
        <v/>
      </c>
      <c r="L898" s="8">
        <f>IFERROR(INDEX(Tbl_KPIMaster[Owner],MATCH($G898,Tbl_KPIMaster[KPI],0)),"")</f>
        <v/>
      </c>
      <c r="M898" s="10" t="inlineStr">
        <is>
          <t>Equipment breakdown</t>
        </is>
      </c>
      <c r="N898" s="8" t="inlineStr"/>
      <c r="O898" s="8" t="inlineStr">
        <is>
          <t>Medium</t>
        </is>
      </c>
      <c r="P898" s="8" t="inlineStr">
        <is>
          <t>Closed</t>
        </is>
      </c>
      <c r="Q898" s="9">
        <f>IFERROR(IF(INDEX(Tbl_KPIMaster[Direction],MATCH($G898,Tbl_KPIMaster[KPI],0))="Lower is Better",IF($J898=0,1,IF($I898=0,0,$I898/$J898)),IF($I898=0,1,$J898/$I898)),0)</f>
        <v/>
      </c>
      <c r="R898" s="8">
        <f>IF(OR($I898="",$J898=""),"",$J898-$I898)</f>
        <v/>
      </c>
      <c r="S898" s="8">
        <f>IFERROR(IF(INDEX(Tbl_KPIMaster[Direction],MATCH($G898,Tbl_KPIMaster[KPI],0))="Lower is Better",IF($J898&lt;=$I898,"Green",IF($J898&lt;=$I898+IF($I898=0,$K898,$I898*$K898),"Amber","Red")),IF($J898&gt;=$I898,"Green",IF($J898&gt;=$I898-IF($I898=0,$K898,$I898*$K898),"Amber","Red"))),"")</f>
        <v/>
      </c>
      <c r="T898" s="10" t="inlineStr"/>
    </row>
    <row r="899">
      <c r="A899" s="3" t="n">
        <v>46174</v>
      </c>
      <c r="B899" s="4">
        <f>IF($A899="","",TEXT($A899,"mmm-yyyy"))</f>
        <v/>
      </c>
      <c r="C899" s="4">
        <f>IF($A899="","","W"&amp;WEEKNUM($A899,2))</f>
        <v/>
      </c>
      <c r="D899" s="4">
        <f>IF($A899="","",TEXT($A899,"ddd"))</f>
        <v/>
      </c>
      <c r="E899" s="4" t="inlineStr">
        <is>
          <t>Cost</t>
        </is>
      </c>
      <c r="F899" s="4">
        <f>IFERROR(INDEX(Tbl_KPIMaster[Category],MATCH($G899,Tbl_KPIMaster[KPI],0)),"")</f>
        <v/>
      </c>
      <c r="G899" s="4" t="inlineStr">
        <is>
          <t>Cost per Unit</t>
        </is>
      </c>
      <c r="H899" s="4">
        <f>IFERROR(INDEX(Tbl_KPIMaster[Unit],MATCH($G899,Tbl_KPIMaster[KPI],0)),"")</f>
        <v/>
      </c>
      <c r="I899" s="5">
        <f>IFERROR(INDEX(Tbl_KPIMaster[Maximum Target],MATCH($G899,Tbl_KPIMaster[KPI],0)),"")</f>
        <v/>
      </c>
      <c r="J899" s="5" t="n">
        <v>46.76</v>
      </c>
      <c r="K899" s="4">
        <f>IFERROR(INDEX(Tbl_KPIMaster[Tolerance],MATCH($G899,Tbl_KPIMaster[KPI],0)),"")</f>
        <v/>
      </c>
      <c r="L899" s="4">
        <f>IFERROR(INDEX(Tbl_KPIMaster[Owner],MATCH($G899,Tbl_KPIMaster[KPI],0)),"")</f>
        <v/>
      </c>
      <c r="M899" s="6" t="inlineStr">
        <is>
          <t>Process improvement in progress</t>
        </is>
      </c>
      <c r="N899" s="4" t="inlineStr"/>
      <c r="O899" s="4" t="inlineStr">
        <is>
          <t>Low</t>
        </is>
      </c>
      <c r="P899" s="4" t="inlineStr">
        <is>
          <t>Closed</t>
        </is>
      </c>
      <c r="Q899" s="5">
        <f>IFERROR(IF(INDEX(Tbl_KPIMaster[Direction],MATCH($G899,Tbl_KPIMaster[KPI],0))="Lower is Better",IF($J899=0,1,IF($I899=0,0,$I899/$J899)),IF($I899=0,1,$J899/$I899)),0)</f>
        <v/>
      </c>
      <c r="R899" s="4">
        <f>IF(OR($I899="",$J899=""),"",$J899-$I899)</f>
        <v/>
      </c>
      <c r="S899" s="4">
        <f>IFERROR(IF(INDEX(Tbl_KPIMaster[Direction],MATCH($G899,Tbl_KPIMaster[KPI],0))="Lower is Better",IF($J899&lt;=$I899,"Green",IF($J899&lt;=$I899+IF($I899=0,$K899,$I899*$K899),"Amber","Red")),IF($J899&gt;=$I899,"Green",IF($J899&gt;=$I899-IF($I899=0,$K899,$I899*$K899),"Amber","Red"))),"")</f>
        <v/>
      </c>
      <c r="T899" s="6" t="inlineStr"/>
    </row>
    <row r="900">
      <c r="A900" s="7" t="n">
        <v>46174</v>
      </c>
      <c r="B900" s="8">
        <f>IF($A900="","",TEXT($A900,"mmm-yyyy"))</f>
        <v/>
      </c>
      <c r="C900" s="8">
        <f>IF($A900="","","W"&amp;WEEKNUM($A900,2))</f>
        <v/>
      </c>
      <c r="D900" s="8">
        <f>IF($A900="","",TEXT($A900,"ddd"))</f>
        <v/>
      </c>
      <c r="E900" s="8" t="inlineStr">
        <is>
          <t>Cost</t>
        </is>
      </c>
      <c r="F900" s="8">
        <f>IFERROR(INDEX(Tbl_KPIMaster[Category],MATCH($G900,Tbl_KPIMaster[KPI],0)),"")</f>
        <v/>
      </c>
      <c r="G900" s="8" t="inlineStr">
        <is>
          <t>Budget Variance %</t>
        </is>
      </c>
      <c r="H900" s="8">
        <f>IFERROR(INDEX(Tbl_KPIMaster[Unit],MATCH($G900,Tbl_KPIMaster[KPI],0)),"")</f>
        <v/>
      </c>
      <c r="I900" s="9">
        <f>IFERROR(INDEX(Tbl_KPIMaster[Maximum Target],MATCH($G900,Tbl_KPIMaster[KPI],0)),"")</f>
        <v/>
      </c>
      <c r="J900" s="9" t="n">
        <v>0</v>
      </c>
      <c r="K900" s="8">
        <f>IFERROR(INDEX(Tbl_KPIMaster[Tolerance],MATCH($G900,Tbl_KPIMaster[KPI],0)),"")</f>
        <v/>
      </c>
      <c r="L900" s="8">
        <f>IFERROR(INDEX(Tbl_KPIMaster[Owner],MATCH($G900,Tbl_KPIMaster[KPI],0)),"")</f>
        <v/>
      </c>
      <c r="M900" s="10" t="inlineStr">
        <is>
          <t>Line changeover impact</t>
        </is>
      </c>
      <c r="N900" s="8" t="inlineStr"/>
      <c r="O900" s="8" t="inlineStr">
        <is>
          <t>Low</t>
        </is>
      </c>
      <c r="P900" s="8" t="inlineStr">
        <is>
          <t>Open</t>
        </is>
      </c>
      <c r="Q900" s="9">
        <f>IFERROR(IF(INDEX(Tbl_KPIMaster[Direction],MATCH($G900,Tbl_KPIMaster[KPI],0))="Lower is Better",IF($J900=0,1,IF($I900=0,0,$I900/$J900)),IF($I900=0,1,$J900/$I900)),0)</f>
        <v/>
      </c>
      <c r="R900" s="8">
        <f>IF(OR($I900="",$J900=""),"",$J900-$I900)</f>
        <v/>
      </c>
      <c r="S900" s="8">
        <f>IFERROR(IF(INDEX(Tbl_KPIMaster[Direction],MATCH($G900,Tbl_KPIMaster[KPI],0))="Lower is Better",IF($J900&lt;=$I900,"Green",IF($J900&lt;=$I900+IF($I900=0,$K900,$I900*$K900),"Amber","Red")),IF($J900&gt;=$I900,"Green",IF($J900&gt;=$I900-IF($I900=0,$K900,$I900*$K900),"Amber","Red"))),"")</f>
        <v/>
      </c>
      <c r="T900" s="10" t="inlineStr"/>
    </row>
    <row r="901">
      <c r="A901" s="3" t="n">
        <v>46174</v>
      </c>
      <c r="B901" s="4">
        <f>IF($A901="","",TEXT($A901,"mmm-yyyy"))</f>
        <v/>
      </c>
      <c r="C901" s="4">
        <f>IF($A901="","","W"&amp;WEEKNUM($A901,2))</f>
        <v/>
      </c>
      <c r="D901" s="4">
        <f>IF($A901="","",TEXT($A901,"ddd"))</f>
        <v/>
      </c>
      <c r="E901" s="4" t="inlineStr">
        <is>
          <t>Energy</t>
        </is>
      </c>
      <c r="F901" s="4">
        <f>IFERROR(INDEX(Tbl_KPIMaster[Category],MATCH($G901,Tbl_KPIMaster[KPI],0)),"")</f>
        <v/>
      </c>
      <c r="G901" s="4" t="inlineStr">
        <is>
          <t>Energy Intensity (kWh/unit)</t>
        </is>
      </c>
      <c r="H901" s="4">
        <f>IFERROR(INDEX(Tbl_KPIMaster[Unit],MATCH($G901,Tbl_KPIMaster[KPI],0)),"")</f>
        <v/>
      </c>
      <c r="I901" s="5">
        <f>IFERROR(INDEX(Tbl_KPIMaster[Maximum Target],MATCH($G901,Tbl_KPIMaster[KPI],0)),"")</f>
        <v/>
      </c>
      <c r="J901" s="5" t="n">
        <v>3.69</v>
      </c>
      <c r="K901" s="4">
        <f>IFERROR(INDEX(Tbl_KPIMaster[Tolerance],MATCH($G901,Tbl_KPIMaster[KPI],0)),"")</f>
        <v/>
      </c>
      <c r="L901" s="4">
        <f>IFERROR(INDEX(Tbl_KPIMaster[Owner],MATCH($G901,Tbl_KPIMaster[KPI],0)),"")</f>
        <v/>
      </c>
      <c r="M901" s="6" t="inlineStr"/>
      <c r="N901" s="4" t="inlineStr"/>
      <c r="O901" s="4" t="inlineStr">
        <is>
          <t>Low</t>
        </is>
      </c>
      <c r="P901" s="4" t="inlineStr">
        <is>
          <t>Closed</t>
        </is>
      </c>
      <c r="Q901" s="5">
        <f>IFERROR(IF(INDEX(Tbl_KPIMaster[Direction],MATCH($G901,Tbl_KPIMaster[KPI],0))="Lower is Better",IF($J901=0,1,IF($I901=0,0,$I901/$J901)),IF($I901=0,1,$J901/$I901)),0)</f>
        <v/>
      </c>
      <c r="R901" s="4">
        <f>IF(OR($I901="",$J901=""),"",$J901-$I901)</f>
        <v/>
      </c>
      <c r="S901" s="4">
        <f>IFERROR(IF(INDEX(Tbl_KPIMaster[Direction],MATCH($G901,Tbl_KPIMaster[KPI],0))="Lower is Better",IF($J901&lt;=$I901,"Green",IF($J901&lt;=$I901+IF($I901=0,$K901,$I901*$K901),"Amber","Red")),IF($J901&gt;=$I901,"Green",IF($J901&gt;=$I901-IF($I901=0,$K901,$I901*$K901),"Amber","Red"))),"")</f>
        <v/>
      </c>
      <c r="T901" s="6" t="inlineStr"/>
    </row>
    <row r="902">
      <c r="A902" s="7" t="n">
        <v>46174</v>
      </c>
      <c r="B902" s="8">
        <f>IF($A902="","",TEXT($A902,"mmm-yyyy"))</f>
        <v/>
      </c>
      <c r="C902" s="8">
        <f>IF($A902="","","W"&amp;WEEKNUM($A902,2))</f>
        <v/>
      </c>
      <c r="D902" s="8">
        <f>IF($A902="","",TEXT($A902,"ddd"))</f>
        <v/>
      </c>
      <c r="E902" s="8" t="inlineStr">
        <is>
          <t>Energy</t>
        </is>
      </c>
      <c r="F902" s="8">
        <f>IFERROR(INDEX(Tbl_KPIMaster[Category],MATCH($G902,Tbl_KPIMaster[KPI],0)),"")</f>
        <v/>
      </c>
      <c r="G902" s="8" t="inlineStr">
        <is>
          <t>Renewable Energy Share %</t>
        </is>
      </c>
      <c r="H902" s="8">
        <f>IFERROR(INDEX(Tbl_KPIMaster[Unit],MATCH($G902,Tbl_KPIMaster[KPI],0)),"")</f>
        <v/>
      </c>
      <c r="I902" s="9">
        <f>IFERROR(INDEX(Tbl_KPIMaster[Maximum Target],MATCH($G902,Tbl_KPIMaster[KPI],0)),"")</f>
        <v/>
      </c>
      <c r="J902" s="9" t="n">
        <v>0.2384</v>
      </c>
      <c r="K902" s="8">
        <f>IFERROR(INDEX(Tbl_KPIMaster[Tolerance],MATCH($G902,Tbl_KPIMaster[KPI],0)),"")</f>
        <v/>
      </c>
      <c r="L902" s="8">
        <f>IFERROR(INDEX(Tbl_KPIMaster[Owner],MATCH($G902,Tbl_KPIMaster[KPI],0)),"")</f>
        <v/>
      </c>
      <c r="M902" s="10" t="inlineStr">
        <is>
          <t>Line changeover impact</t>
        </is>
      </c>
      <c r="N902" s="8" t="inlineStr"/>
      <c r="O902" s="8" t="inlineStr">
        <is>
          <t>Low</t>
        </is>
      </c>
      <c r="P902" s="8" t="inlineStr">
        <is>
          <t>Closed</t>
        </is>
      </c>
      <c r="Q902" s="9">
        <f>IFERROR(IF(INDEX(Tbl_KPIMaster[Direction],MATCH($G902,Tbl_KPIMaster[KPI],0))="Lower is Better",IF($J902=0,1,IF($I902=0,0,$I902/$J902)),IF($I902=0,1,$J902/$I902)),0)</f>
        <v/>
      </c>
      <c r="R902" s="8">
        <f>IF(OR($I902="",$J902=""),"",$J902-$I902)</f>
        <v/>
      </c>
      <c r="S902" s="8">
        <f>IFERROR(IF(INDEX(Tbl_KPIMaster[Direction],MATCH($G902,Tbl_KPIMaster[KPI],0))="Lower is Better",IF($J902&lt;=$I902,"Green",IF($J902&lt;=$I902+IF($I902=0,$K902,$I902*$K902),"Amber","Red")),IF($J902&gt;=$I902,"Green",IF($J902&gt;=$I902-IF($I902=0,$K902,$I902*$K902),"Amber","Red"))),"")</f>
        <v/>
      </c>
      <c r="T902" s="10" t="inlineStr"/>
    </row>
    <row r="903">
      <c r="A903" s="3" t="n">
        <v>46175</v>
      </c>
      <c r="B903" s="4">
        <f>IF($A903="","",TEXT($A903,"mmm-yyyy"))</f>
        <v/>
      </c>
      <c r="C903" s="4">
        <f>IF($A903="","","W"&amp;WEEKNUM($A903,2))</f>
        <v/>
      </c>
      <c r="D903" s="4">
        <f>IF($A903="","",TEXT($A903,"ddd"))</f>
        <v/>
      </c>
      <c r="E903" s="4" t="inlineStr">
        <is>
          <t>Safety</t>
        </is>
      </c>
      <c r="F903" s="4">
        <f>IFERROR(INDEX(Tbl_KPIMaster[Category],MATCH($G903,Tbl_KPIMaster[KPI],0)),"")</f>
        <v/>
      </c>
      <c r="G903" s="4" t="inlineStr">
        <is>
          <t>Safety Incidents (LTI)</t>
        </is>
      </c>
      <c r="H903" s="4">
        <f>IFERROR(INDEX(Tbl_KPIMaster[Unit],MATCH($G903,Tbl_KPIMaster[KPI],0)),"")</f>
        <v/>
      </c>
      <c r="I903" s="5">
        <f>IFERROR(INDEX(Tbl_KPIMaster[Maximum Target],MATCH($G903,Tbl_KPIMaster[KPI],0)),"")</f>
        <v/>
      </c>
      <c r="J903" s="5" t="n">
        <v>0</v>
      </c>
      <c r="K903" s="4">
        <f>IFERROR(INDEX(Tbl_KPIMaster[Tolerance],MATCH($G903,Tbl_KPIMaster[KPI],0)),"")</f>
        <v/>
      </c>
      <c r="L903" s="4">
        <f>IFERROR(INDEX(Tbl_KPIMaster[Owner],MATCH($G903,Tbl_KPIMaster[KPI],0)),"")</f>
        <v/>
      </c>
      <c r="M903" s="6" t="inlineStr"/>
      <c r="N903" s="4" t="inlineStr">
        <is>
          <t>Engineering support needed</t>
        </is>
      </c>
      <c r="O903" s="4" t="inlineStr">
        <is>
          <t>Low</t>
        </is>
      </c>
      <c r="P903" s="4" t="inlineStr">
        <is>
          <t>In Progress</t>
        </is>
      </c>
      <c r="Q903" s="5">
        <f>IFERROR(IF(INDEX(Tbl_KPIMaster[Direction],MATCH($G903,Tbl_KPIMaster[KPI],0))="Lower is Better",IF($J903=0,1,IF($I903=0,0,$I903/$J903)),IF($I903=0,1,$J903/$I903)),0)</f>
        <v/>
      </c>
      <c r="R903" s="4">
        <f>IF(OR($I903="",$J903=""),"",$J903-$I903)</f>
        <v/>
      </c>
      <c r="S903" s="4">
        <f>IFERROR(IF(INDEX(Tbl_KPIMaster[Direction],MATCH($G903,Tbl_KPIMaster[KPI],0))="Lower is Better",IF($J903&lt;=$I903,"Green",IF($J903&lt;=$I903+IF($I903=0,$K903,$I903*$K903),"Amber","Red")),IF($J903&gt;=$I903,"Green",IF($J903&gt;=$I903-IF($I903=0,$K903,$I903*$K903),"Amber","Red"))),"")</f>
        <v/>
      </c>
      <c r="T903" s="6" t="inlineStr"/>
    </row>
    <row r="904">
      <c r="A904" s="7" t="n">
        <v>46175</v>
      </c>
      <c r="B904" s="8">
        <f>IF($A904="","",TEXT($A904,"mmm-yyyy"))</f>
        <v/>
      </c>
      <c r="C904" s="8">
        <f>IF($A904="","","W"&amp;WEEKNUM($A904,2))</f>
        <v/>
      </c>
      <c r="D904" s="8">
        <f>IF($A904="","",TEXT($A904,"ddd"))</f>
        <v/>
      </c>
      <c r="E904" s="8" t="inlineStr">
        <is>
          <t>Safety</t>
        </is>
      </c>
      <c r="F904" s="8">
        <f>IFERROR(INDEX(Tbl_KPIMaster[Category],MATCH($G904,Tbl_KPIMaster[KPI],0)),"")</f>
        <v/>
      </c>
      <c r="G904" s="8" t="inlineStr">
        <is>
          <t>Near Miss Reports</t>
        </is>
      </c>
      <c r="H904" s="8">
        <f>IFERROR(INDEX(Tbl_KPIMaster[Unit],MATCH($G904,Tbl_KPIMaster[KPI],0)),"")</f>
        <v/>
      </c>
      <c r="I904" s="9">
        <f>IFERROR(INDEX(Tbl_KPIMaster[Maximum Target],MATCH($G904,Tbl_KPIMaster[KPI],0)),"")</f>
        <v/>
      </c>
      <c r="J904" s="9" t="n">
        <v>2</v>
      </c>
      <c r="K904" s="8">
        <f>IFERROR(INDEX(Tbl_KPIMaster[Tolerance],MATCH($G904,Tbl_KPIMaster[KPI],0)),"")</f>
        <v/>
      </c>
      <c r="L904" s="8">
        <f>IFERROR(INDEX(Tbl_KPIMaster[Owner],MATCH($G904,Tbl_KPIMaster[KPI],0)),"")</f>
        <v/>
      </c>
      <c r="M904" s="10" t="inlineStr">
        <is>
          <t>Equipment breakdown</t>
        </is>
      </c>
      <c r="N904" s="8" t="inlineStr">
        <is>
          <t>Management approval pending</t>
        </is>
      </c>
      <c r="O904" s="8" t="inlineStr">
        <is>
          <t>Low</t>
        </is>
      </c>
      <c r="P904" s="8" t="inlineStr">
        <is>
          <t>In Progress</t>
        </is>
      </c>
      <c r="Q904" s="9">
        <f>IFERROR(IF(INDEX(Tbl_KPIMaster[Direction],MATCH($G904,Tbl_KPIMaster[KPI],0))="Lower is Better",IF($J904=0,1,IF($I904=0,0,$I904/$J904)),IF($I904=0,1,$J904/$I904)),0)</f>
        <v/>
      </c>
      <c r="R904" s="8">
        <f>IF(OR($I904="",$J904=""),"",$J904-$I904)</f>
        <v/>
      </c>
      <c r="S904" s="8">
        <f>IFERROR(IF(INDEX(Tbl_KPIMaster[Direction],MATCH($G904,Tbl_KPIMaster[KPI],0))="Lower is Better",IF($J904&lt;=$I904,"Green",IF($J904&lt;=$I904+IF($I904=0,$K904,$I904*$K904),"Amber","Red")),IF($J904&gt;=$I904,"Green",IF($J904&gt;=$I904-IF($I904=0,$K904,$I904*$K904),"Amber","Red"))),"")</f>
        <v/>
      </c>
      <c r="T904" s="10" t="inlineStr"/>
    </row>
    <row r="905">
      <c r="A905" s="3" t="n">
        <v>46175</v>
      </c>
      <c r="B905" s="4">
        <f>IF($A905="","",TEXT($A905,"mmm-yyyy"))</f>
        <v/>
      </c>
      <c r="C905" s="4">
        <f>IF($A905="","","W"&amp;WEEKNUM($A905,2))</f>
        <v/>
      </c>
      <c r="D905" s="4">
        <f>IF($A905="","",TEXT($A905,"ddd"))</f>
        <v/>
      </c>
      <c r="E905" s="4" t="inlineStr">
        <is>
          <t>Production</t>
        </is>
      </c>
      <c r="F905" s="4">
        <f>IFERROR(INDEX(Tbl_KPIMaster[Category],MATCH($G905,Tbl_KPIMaster[KPI],0)),"")</f>
        <v/>
      </c>
      <c r="G905" s="4" t="inlineStr">
        <is>
          <t>Production Output</t>
        </is>
      </c>
      <c r="H905" s="4">
        <f>IFERROR(INDEX(Tbl_KPIMaster[Unit],MATCH($G905,Tbl_KPIMaster[KPI],0)),"")</f>
        <v/>
      </c>
      <c r="I905" s="5">
        <f>IFERROR(INDEX(Tbl_KPIMaster[Maximum Target],MATCH($G905,Tbl_KPIMaster[KPI],0)),"")</f>
        <v/>
      </c>
      <c r="J905" s="5" t="n">
        <v>1166.22</v>
      </c>
      <c r="K905" s="4">
        <f>IFERROR(INDEX(Tbl_KPIMaster[Tolerance],MATCH($G905,Tbl_KPIMaster[KPI],0)),"")</f>
        <v/>
      </c>
      <c r="L905" s="4">
        <f>IFERROR(INDEX(Tbl_KPIMaster[Owner],MATCH($G905,Tbl_KPIMaster[KPI],0)),"")</f>
        <v/>
      </c>
      <c r="M905" s="6" t="inlineStr"/>
      <c r="N905" s="4" t="inlineStr">
        <is>
          <t>Procurement follow-up</t>
        </is>
      </c>
      <c r="O905" s="4" t="inlineStr">
        <is>
          <t>High</t>
        </is>
      </c>
      <c r="P905" s="4" t="inlineStr">
        <is>
          <t>Closed</t>
        </is>
      </c>
      <c r="Q905" s="5">
        <f>IFERROR(IF(INDEX(Tbl_KPIMaster[Direction],MATCH($G905,Tbl_KPIMaster[KPI],0))="Lower is Better",IF($J905=0,1,IF($I905=0,0,$I905/$J905)),IF($I905=0,1,$J905/$I905)),0)</f>
        <v/>
      </c>
      <c r="R905" s="4">
        <f>IF(OR($I905="",$J905=""),"",$J905-$I905)</f>
        <v/>
      </c>
      <c r="S905" s="4">
        <f>IFERROR(IF(INDEX(Tbl_KPIMaster[Direction],MATCH($G905,Tbl_KPIMaster[KPI],0))="Lower is Better",IF($J905&lt;=$I905,"Green",IF($J905&lt;=$I905+IF($I905=0,$K905,$I905*$K905),"Amber","Red")),IF($J905&gt;=$I905,"Green",IF($J905&gt;=$I905-IF($I905=0,$K905,$I905*$K905),"Amber","Red"))),"")</f>
        <v/>
      </c>
      <c r="T905" s="6" t="inlineStr"/>
    </row>
    <row r="906">
      <c r="A906" s="7" t="n">
        <v>46175</v>
      </c>
      <c r="B906" s="8">
        <f>IF($A906="","",TEXT($A906,"mmm-yyyy"))</f>
        <v/>
      </c>
      <c r="C906" s="8">
        <f>IF($A906="","","W"&amp;WEEKNUM($A906,2))</f>
        <v/>
      </c>
      <c r="D906" s="8">
        <f>IF($A906="","",TEXT($A906,"ddd"))</f>
        <v/>
      </c>
      <c r="E906" s="8" t="inlineStr">
        <is>
          <t>Production</t>
        </is>
      </c>
      <c r="F906" s="8">
        <f>IFERROR(INDEX(Tbl_KPIMaster[Category],MATCH($G906,Tbl_KPIMaster[KPI],0)),"")</f>
        <v/>
      </c>
      <c r="G906" s="8" t="inlineStr">
        <is>
          <t>OEE %</t>
        </is>
      </c>
      <c r="H906" s="8">
        <f>IFERROR(INDEX(Tbl_KPIMaster[Unit],MATCH($G906,Tbl_KPIMaster[KPI],0)),"")</f>
        <v/>
      </c>
      <c r="I906" s="9">
        <f>IFERROR(INDEX(Tbl_KPIMaster[Maximum Target],MATCH($G906,Tbl_KPIMaster[KPI],0)),"")</f>
        <v/>
      </c>
      <c r="J906" s="9" t="n">
        <v>0.7466</v>
      </c>
      <c r="K906" s="8">
        <f>IFERROR(INDEX(Tbl_KPIMaster[Tolerance],MATCH($G906,Tbl_KPIMaster[KPI],0)),"")</f>
        <v/>
      </c>
      <c r="L906" s="8">
        <f>IFERROR(INDEX(Tbl_KPIMaster[Owner],MATCH($G906,Tbl_KPIMaster[KPI],0)),"")</f>
        <v/>
      </c>
      <c r="M906" s="10" t="inlineStr">
        <is>
          <t>Equipment breakdown</t>
        </is>
      </c>
      <c r="N906" s="8" t="inlineStr"/>
      <c r="O906" s="8" t="inlineStr">
        <is>
          <t>Low</t>
        </is>
      </c>
      <c r="P906" s="8" t="inlineStr">
        <is>
          <t>Closed</t>
        </is>
      </c>
      <c r="Q906" s="9">
        <f>IFERROR(IF(INDEX(Tbl_KPIMaster[Direction],MATCH($G906,Tbl_KPIMaster[KPI],0))="Lower is Better",IF($J906=0,1,IF($I906=0,0,$I906/$J906)),IF($I906=0,1,$J906/$I906)),0)</f>
        <v/>
      </c>
      <c r="R906" s="8">
        <f>IF(OR($I906="",$J906=""),"",$J906-$I906)</f>
        <v/>
      </c>
      <c r="S906" s="8">
        <f>IFERROR(IF(INDEX(Tbl_KPIMaster[Direction],MATCH($G906,Tbl_KPIMaster[KPI],0))="Lower is Better",IF($J906&lt;=$I906,"Green",IF($J906&lt;=$I906+IF($I906=0,$K906,$I906*$K906),"Amber","Red")),IF($J906&gt;=$I906,"Green",IF($J906&gt;=$I906-IF($I906=0,$K906,$I906*$K906),"Amber","Red"))),"")</f>
        <v/>
      </c>
      <c r="T906" s="10" t="inlineStr"/>
    </row>
    <row r="907">
      <c r="A907" s="3" t="n">
        <v>46175</v>
      </c>
      <c r="B907" s="4">
        <f>IF($A907="","",TEXT($A907,"mmm-yyyy"))</f>
        <v/>
      </c>
      <c r="C907" s="4">
        <f>IF($A907="","","W"&amp;WEEKNUM($A907,2))</f>
        <v/>
      </c>
      <c r="D907" s="4">
        <f>IF($A907="","",TEXT($A907,"ddd"))</f>
        <v/>
      </c>
      <c r="E907" s="4" t="inlineStr">
        <is>
          <t>Quality</t>
        </is>
      </c>
      <c r="F907" s="4">
        <f>IFERROR(INDEX(Tbl_KPIMaster[Category],MATCH($G907,Tbl_KPIMaster[KPI],0)),"")</f>
        <v/>
      </c>
      <c r="G907" s="4" t="inlineStr">
        <is>
          <t>Defect Rate %</t>
        </is>
      </c>
      <c r="H907" s="4">
        <f>IFERROR(INDEX(Tbl_KPIMaster[Unit],MATCH($G907,Tbl_KPIMaster[KPI],0)),"")</f>
        <v/>
      </c>
      <c r="I907" s="5">
        <f>IFERROR(INDEX(Tbl_KPIMaster[Maximum Target],MATCH($G907,Tbl_KPIMaster[KPI],0)),"")</f>
        <v/>
      </c>
      <c r="J907" s="5" t="n">
        <v>0.4612</v>
      </c>
      <c r="K907" s="4">
        <f>IFERROR(INDEX(Tbl_KPIMaster[Tolerance],MATCH($G907,Tbl_KPIMaster[KPI],0)),"")</f>
        <v/>
      </c>
      <c r="L907" s="4">
        <f>IFERROR(INDEX(Tbl_KPIMaster[Owner],MATCH($G907,Tbl_KPIMaster[KPI],0)),"")</f>
        <v/>
      </c>
      <c r="M907" s="6" t="inlineStr"/>
      <c r="N907" s="4" t="inlineStr"/>
      <c r="O907" s="4" t="inlineStr">
        <is>
          <t>Low</t>
        </is>
      </c>
      <c r="P907" s="4" t="inlineStr">
        <is>
          <t>Closed</t>
        </is>
      </c>
      <c r="Q907" s="5">
        <f>IFERROR(IF(INDEX(Tbl_KPIMaster[Direction],MATCH($G907,Tbl_KPIMaster[KPI],0))="Lower is Better",IF($J907=0,1,IF($I907=0,0,$I907/$J907)),IF($I907=0,1,$J907/$I907)),0)</f>
        <v/>
      </c>
      <c r="R907" s="4">
        <f>IF(OR($I907="",$J907=""),"",$J907-$I907)</f>
        <v/>
      </c>
      <c r="S907" s="4">
        <f>IFERROR(IF(INDEX(Tbl_KPIMaster[Direction],MATCH($G907,Tbl_KPIMaster[KPI],0))="Lower is Better",IF($J907&lt;=$I907,"Green",IF($J907&lt;=$I907+IF($I907=0,$K907,$I907*$K907),"Amber","Red")),IF($J907&gt;=$I907,"Green",IF($J907&gt;=$I907-IF($I907=0,$K907,$I907*$K907),"Amber","Red"))),"")</f>
        <v/>
      </c>
      <c r="T907" s="6" t="inlineStr"/>
    </row>
    <row r="908">
      <c r="A908" s="7" t="n">
        <v>46175</v>
      </c>
      <c r="B908" s="8">
        <f>IF($A908="","",TEXT($A908,"mmm-yyyy"))</f>
        <v/>
      </c>
      <c r="C908" s="8">
        <f>IF($A908="","","W"&amp;WEEKNUM($A908,2))</f>
        <v/>
      </c>
      <c r="D908" s="8">
        <f>IF($A908="","",TEXT($A908,"ddd"))</f>
        <v/>
      </c>
      <c r="E908" s="8" t="inlineStr">
        <is>
          <t>Quality</t>
        </is>
      </c>
      <c r="F908" s="8">
        <f>IFERROR(INDEX(Tbl_KPIMaster[Category],MATCH($G908,Tbl_KPIMaster[KPI],0)),"")</f>
        <v/>
      </c>
      <c r="G908" s="8" t="inlineStr">
        <is>
          <t>Customer Complaints</t>
        </is>
      </c>
      <c r="H908" s="8">
        <f>IFERROR(INDEX(Tbl_KPIMaster[Unit],MATCH($G908,Tbl_KPIMaster[KPI],0)),"")</f>
        <v/>
      </c>
      <c r="I908" s="9">
        <f>IFERROR(INDEX(Tbl_KPIMaster[Maximum Target],MATCH($G908,Tbl_KPIMaster[KPI],0)),"")</f>
        <v/>
      </c>
      <c r="J908" s="9" t="n">
        <v>0</v>
      </c>
      <c r="K908" s="8">
        <f>IFERROR(INDEX(Tbl_KPIMaster[Tolerance],MATCH($G908,Tbl_KPIMaster[KPI],0)),"")</f>
        <v/>
      </c>
      <c r="L908" s="8">
        <f>IFERROR(INDEX(Tbl_KPIMaster[Owner],MATCH($G908,Tbl_KPIMaster[KPI],0)),"")</f>
        <v/>
      </c>
      <c r="M908" s="10" t="inlineStr">
        <is>
          <t>Line changeover impact</t>
        </is>
      </c>
      <c r="N908" s="8" t="inlineStr">
        <is>
          <t>Procurement follow-up</t>
        </is>
      </c>
      <c r="O908" s="8" t="inlineStr">
        <is>
          <t>High</t>
        </is>
      </c>
      <c r="P908" s="8" t="inlineStr">
        <is>
          <t>Closed</t>
        </is>
      </c>
      <c r="Q908" s="9">
        <f>IFERROR(IF(INDEX(Tbl_KPIMaster[Direction],MATCH($G908,Tbl_KPIMaster[KPI],0))="Lower is Better",IF($J908=0,1,IF($I908=0,0,$I908/$J908)),IF($I908=0,1,$J908/$I908)),0)</f>
        <v/>
      </c>
      <c r="R908" s="8">
        <f>IF(OR($I908="",$J908=""),"",$J908-$I908)</f>
        <v/>
      </c>
      <c r="S908" s="8">
        <f>IFERROR(IF(INDEX(Tbl_KPIMaster[Direction],MATCH($G908,Tbl_KPIMaster[KPI],0))="Lower is Better",IF($J908&lt;=$I908,"Green",IF($J908&lt;=$I908+IF($I908=0,$K908,$I908*$K908),"Amber","Red")),IF($J908&gt;=$I908,"Green",IF($J908&gt;=$I908-IF($I908=0,$K908,$I908*$K908),"Amber","Red"))),"")</f>
        <v/>
      </c>
      <c r="T908" s="10" t="inlineStr"/>
    </row>
    <row r="909">
      <c r="A909" s="3" t="n">
        <v>46175</v>
      </c>
      <c r="B909" s="4">
        <f>IF($A909="","",TEXT($A909,"mmm-yyyy"))</f>
        <v/>
      </c>
      <c r="C909" s="4">
        <f>IF($A909="","","W"&amp;WEEKNUM($A909,2))</f>
        <v/>
      </c>
      <c r="D909" s="4">
        <f>IF($A909="","",TEXT($A909,"ddd"))</f>
        <v/>
      </c>
      <c r="E909" s="4" t="inlineStr">
        <is>
          <t>Maintenance</t>
        </is>
      </c>
      <c r="F909" s="4">
        <f>IFERROR(INDEX(Tbl_KPIMaster[Category],MATCH($G909,Tbl_KPIMaster[KPI],0)),"")</f>
        <v/>
      </c>
      <c r="G909" s="4" t="inlineStr">
        <is>
          <t>Unplanned Downtime</t>
        </is>
      </c>
      <c r="H909" s="4">
        <f>IFERROR(INDEX(Tbl_KPIMaster[Unit],MATCH($G909,Tbl_KPIMaster[KPI],0)),"")</f>
        <v/>
      </c>
      <c r="I909" s="5">
        <f>IFERROR(INDEX(Tbl_KPIMaster[Maximum Target],MATCH($G909,Tbl_KPIMaster[KPI],0)),"")</f>
        <v/>
      </c>
      <c r="J909" s="5" t="n">
        <v>0</v>
      </c>
      <c r="K909" s="4">
        <f>IFERROR(INDEX(Tbl_KPIMaster[Tolerance],MATCH($G909,Tbl_KPIMaster[KPI],0)),"")</f>
        <v/>
      </c>
      <c r="L909" s="4">
        <f>IFERROR(INDEX(Tbl_KPIMaster[Owner],MATCH($G909,Tbl_KPIMaster[KPI],0)),"")</f>
        <v/>
      </c>
      <c r="M909" s="6" t="inlineStr">
        <is>
          <t>Process improvement in progress</t>
        </is>
      </c>
      <c r="N909" s="4" t="inlineStr"/>
      <c r="O909" s="4" t="inlineStr">
        <is>
          <t>Low</t>
        </is>
      </c>
      <c r="P909" s="4" t="inlineStr">
        <is>
          <t>In Progress</t>
        </is>
      </c>
      <c r="Q909" s="5">
        <f>IFERROR(IF(INDEX(Tbl_KPIMaster[Direction],MATCH($G909,Tbl_KPIMaster[KPI],0))="Lower is Better",IF($J909=0,1,IF($I909=0,0,$I909/$J909)),IF($I909=0,1,$J909/$I909)),0)</f>
        <v/>
      </c>
      <c r="R909" s="4">
        <f>IF(OR($I909="",$J909=""),"",$J909-$I909)</f>
        <v/>
      </c>
      <c r="S909" s="4">
        <f>IFERROR(IF(INDEX(Tbl_KPIMaster[Direction],MATCH($G909,Tbl_KPIMaster[KPI],0))="Lower is Better",IF($J909&lt;=$I909,"Green",IF($J909&lt;=$I909+IF($I909=0,$K909,$I909*$K909),"Amber","Red")),IF($J909&gt;=$I909,"Green",IF($J909&gt;=$I909-IF($I909=0,$K909,$I909*$K909),"Amber","Red"))),"")</f>
        <v/>
      </c>
      <c r="T909" s="6" t="inlineStr"/>
    </row>
    <row r="910">
      <c r="A910" s="7" t="n">
        <v>46175</v>
      </c>
      <c r="B910" s="8">
        <f>IF($A910="","",TEXT($A910,"mmm-yyyy"))</f>
        <v/>
      </c>
      <c r="C910" s="8">
        <f>IF($A910="","","W"&amp;WEEKNUM($A910,2))</f>
        <v/>
      </c>
      <c r="D910" s="8">
        <f>IF($A910="","",TEXT($A910,"ddd"))</f>
        <v/>
      </c>
      <c r="E910" s="8" t="inlineStr">
        <is>
          <t>Maintenance</t>
        </is>
      </c>
      <c r="F910" s="8">
        <f>IFERROR(INDEX(Tbl_KPIMaster[Category],MATCH($G910,Tbl_KPIMaster[KPI],0)),"")</f>
        <v/>
      </c>
      <c r="G910" s="8" t="inlineStr">
        <is>
          <t>PM Compliance %</t>
        </is>
      </c>
      <c r="H910" s="8">
        <f>IFERROR(INDEX(Tbl_KPIMaster[Unit],MATCH($G910,Tbl_KPIMaster[KPI],0)),"")</f>
        <v/>
      </c>
      <c r="I910" s="9">
        <f>IFERROR(INDEX(Tbl_KPIMaster[Maximum Target],MATCH($G910,Tbl_KPIMaster[KPI],0)),"")</f>
        <v/>
      </c>
      <c r="J910" s="9" t="n">
        <v>1.0113</v>
      </c>
      <c r="K910" s="8">
        <f>IFERROR(INDEX(Tbl_KPIMaster[Tolerance],MATCH($G910,Tbl_KPIMaster[KPI],0)),"")</f>
        <v/>
      </c>
      <c r="L910" s="8">
        <f>IFERROR(INDEX(Tbl_KPIMaster[Owner],MATCH($G910,Tbl_KPIMaster[KPI],0)),"")</f>
        <v/>
      </c>
      <c r="M910" s="10" t="inlineStr">
        <is>
          <t>Process improvement in progress</t>
        </is>
      </c>
      <c r="N910" s="8" t="inlineStr"/>
      <c r="O910" s="8" t="inlineStr">
        <is>
          <t>Low</t>
        </is>
      </c>
      <c r="P910" s="8" t="inlineStr">
        <is>
          <t>Closed</t>
        </is>
      </c>
      <c r="Q910" s="9">
        <f>IFERROR(IF(INDEX(Tbl_KPIMaster[Direction],MATCH($G910,Tbl_KPIMaster[KPI],0))="Lower is Better",IF($J910=0,1,IF($I910=0,0,$I910/$J910)),IF($I910=0,1,$J910/$I910)),0)</f>
        <v/>
      </c>
      <c r="R910" s="8">
        <f>IF(OR($I910="",$J910=""),"",$J910-$I910)</f>
        <v/>
      </c>
      <c r="S910" s="8">
        <f>IFERROR(IF(INDEX(Tbl_KPIMaster[Direction],MATCH($G910,Tbl_KPIMaster[KPI],0))="Lower is Better",IF($J910&lt;=$I910,"Green",IF($J910&lt;=$I910+IF($I910=0,$K910,$I910*$K910),"Amber","Red")),IF($J910&gt;=$I910,"Green",IF($J910&gt;=$I910-IF($I910=0,$K910,$I910*$K910),"Amber","Red"))),"")</f>
        <v/>
      </c>
      <c r="T910" s="10" t="inlineStr"/>
    </row>
    <row r="911">
      <c r="A911" s="3" t="n">
        <v>46175</v>
      </c>
      <c r="B911" s="4">
        <f>IF($A911="","",TEXT($A911,"mmm-yyyy"))</f>
        <v/>
      </c>
      <c r="C911" s="4">
        <f>IF($A911="","","W"&amp;WEEKNUM($A911,2))</f>
        <v/>
      </c>
      <c r="D911" s="4">
        <f>IF($A911="","",TEXT($A911,"ddd"))</f>
        <v/>
      </c>
      <c r="E911" s="4" t="inlineStr">
        <is>
          <t>Utilities</t>
        </is>
      </c>
      <c r="F911" s="4">
        <f>IFERROR(INDEX(Tbl_KPIMaster[Category],MATCH($G911,Tbl_KPIMaster[KPI],0)),"")</f>
        <v/>
      </c>
      <c r="G911" s="4" t="inlineStr">
        <is>
          <t>Power Consumption</t>
        </is>
      </c>
      <c r="H911" s="4">
        <f>IFERROR(INDEX(Tbl_KPIMaster[Unit],MATCH($G911,Tbl_KPIMaster[KPI],0)),"")</f>
        <v/>
      </c>
      <c r="I911" s="5">
        <f>IFERROR(INDEX(Tbl_KPIMaster[Maximum Target],MATCH($G911,Tbl_KPIMaster[KPI],0)),"")</f>
        <v/>
      </c>
      <c r="J911" s="5" t="n">
        <v>3362.11</v>
      </c>
      <c r="K911" s="4">
        <f>IFERROR(INDEX(Tbl_KPIMaster[Tolerance],MATCH($G911,Tbl_KPIMaster[KPI],0)),"")</f>
        <v/>
      </c>
      <c r="L911" s="4">
        <f>IFERROR(INDEX(Tbl_KPIMaster[Owner],MATCH($G911,Tbl_KPIMaster[KPI],0)),"")</f>
        <v/>
      </c>
      <c r="M911" s="6" t="inlineStr">
        <is>
          <t>Process improvement in progress</t>
        </is>
      </c>
      <c r="N911" s="4" t="inlineStr">
        <is>
          <t>Engineering support needed</t>
        </is>
      </c>
      <c r="O911" s="4" t="inlineStr">
        <is>
          <t>Low</t>
        </is>
      </c>
      <c r="P911" s="4" t="inlineStr">
        <is>
          <t>Open</t>
        </is>
      </c>
      <c r="Q911" s="5">
        <f>IFERROR(IF(INDEX(Tbl_KPIMaster[Direction],MATCH($G911,Tbl_KPIMaster[KPI],0))="Lower is Better",IF($J911=0,1,IF($I911=0,0,$I911/$J911)),IF($I911=0,1,$J911/$I911)),0)</f>
        <v/>
      </c>
      <c r="R911" s="4">
        <f>IF(OR($I911="",$J911=""),"",$J911-$I911)</f>
        <v/>
      </c>
      <c r="S911" s="4">
        <f>IFERROR(IF(INDEX(Tbl_KPIMaster[Direction],MATCH($G911,Tbl_KPIMaster[KPI],0))="Lower is Better",IF($J911&lt;=$I911,"Green",IF($J911&lt;=$I911+IF($I911=0,$K911,$I911*$K911),"Amber","Red")),IF($J911&gt;=$I911,"Green",IF($J911&gt;=$I911-IF($I911=0,$K911,$I911*$K911),"Amber","Red"))),"")</f>
        <v/>
      </c>
      <c r="T911" s="6" t="inlineStr"/>
    </row>
    <row r="912">
      <c r="A912" s="7" t="n">
        <v>46175</v>
      </c>
      <c r="B912" s="8">
        <f>IF($A912="","",TEXT($A912,"mmm-yyyy"))</f>
        <v/>
      </c>
      <c r="C912" s="8">
        <f>IF($A912="","","W"&amp;WEEKNUM($A912,2))</f>
        <v/>
      </c>
      <c r="D912" s="8">
        <f>IF($A912="","",TEXT($A912,"ddd"))</f>
        <v/>
      </c>
      <c r="E912" s="8" t="inlineStr">
        <is>
          <t>Utilities</t>
        </is>
      </c>
      <c r="F912" s="8">
        <f>IFERROR(INDEX(Tbl_KPIMaster[Category],MATCH($G912,Tbl_KPIMaster[KPI],0)),"")</f>
        <v/>
      </c>
      <c r="G912" s="8" t="inlineStr">
        <is>
          <t>Water Consumption</t>
        </is>
      </c>
      <c r="H912" s="8">
        <f>IFERROR(INDEX(Tbl_KPIMaster[Unit],MATCH($G912,Tbl_KPIMaster[KPI],0)),"")</f>
        <v/>
      </c>
      <c r="I912" s="9">
        <f>IFERROR(INDEX(Tbl_KPIMaster[Maximum Target],MATCH($G912,Tbl_KPIMaster[KPI],0)),"")</f>
        <v/>
      </c>
      <c r="J912" s="9" t="n">
        <v>76</v>
      </c>
      <c r="K912" s="8">
        <f>IFERROR(INDEX(Tbl_KPIMaster[Tolerance],MATCH($G912,Tbl_KPIMaster[KPI],0)),"")</f>
        <v/>
      </c>
      <c r="L912" s="8">
        <f>IFERROR(INDEX(Tbl_KPIMaster[Owner],MATCH($G912,Tbl_KPIMaster[KPI],0)),"")</f>
        <v/>
      </c>
      <c r="M912" s="10" t="inlineStr"/>
      <c r="N912" s="8" t="inlineStr"/>
      <c r="O912" s="8" t="inlineStr">
        <is>
          <t>Low</t>
        </is>
      </c>
      <c r="P912" s="8" t="inlineStr">
        <is>
          <t>Closed</t>
        </is>
      </c>
      <c r="Q912" s="9">
        <f>IFERROR(IF(INDEX(Tbl_KPIMaster[Direction],MATCH($G912,Tbl_KPIMaster[KPI],0))="Lower is Better",IF($J912=0,1,IF($I912=0,0,$I912/$J912)),IF($I912=0,1,$J912/$I912)),0)</f>
        <v/>
      </c>
      <c r="R912" s="8">
        <f>IF(OR($I912="",$J912=""),"",$J912-$I912)</f>
        <v/>
      </c>
      <c r="S912" s="8">
        <f>IFERROR(IF(INDEX(Tbl_KPIMaster[Direction],MATCH($G912,Tbl_KPIMaster[KPI],0))="Lower is Better",IF($J912&lt;=$I912,"Green",IF($J912&lt;=$I912+IF($I912=0,$K912,$I912*$K912),"Amber","Red")),IF($J912&gt;=$I912,"Green",IF($J912&gt;=$I912-IF($I912=0,$K912,$I912*$K912),"Amber","Red"))),"")</f>
        <v/>
      </c>
      <c r="T912" s="10" t="inlineStr"/>
    </row>
    <row r="913">
      <c r="A913" s="3" t="n">
        <v>46175</v>
      </c>
      <c r="B913" s="4">
        <f>IF($A913="","",TEXT($A913,"mmm-yyyy"))</f>
        <v/>
      </c>
      <c r="C913" s="4">
        <f>IF($A913="","","W"&amp;WEEKNUM($A913,2))</f>
        <v/>
      </c>
      <c r="D913" s="4">
        <f>IF($A913="","",TEXT($A913,"ddd"))</f>
        <v/>
      </c>
      <c r="E913" s="4" t="inlineStr">
        <is>
          <t>Warehouse</t>
        </is>
      </c>
      <c r="F913" s="4">
        <f>IFERROR(INDEX(Tbl_KPIMaster[Category],MATCH($G913,Tbl_KPIMaster[KPI],0)),"")</f>
        <v/>
      </c>
      <c r="G913" s="4" t="inlineStr">
        <is>
          <t>On-Time Dispatch %</t>
        </is>
      </c>
      <c r="H913" s="4">
        <f>IFERROR(INDEX(Tbl_KPIMaster[Unit],MATCH($G913,Tbl_KPIMaster[KPI],0)),"")</f>
        <v/>
      </c>
      <c r="I913" s="5">
        <f>IFERROR(INDEX(Tbl_KPIMaster[Maximum Target],MATCH($G913,Tbl_KPIMaster[KPI],0)),"")</f>
        <v/>
      </c>
      <c r="J913" s="5" t="n">
        <v>0.7961</v>
      </c>
      <c r="K913" s="4">
        <f>IFERROR(INDEX(Tbl_KPIMaster[Tolerance],MATCH($G913,Tbl_KPIMaster[KPI],0)),"")</f>
        <v/>
      </c>
      <c r="L913" s="4">
        <f>IFERROR(INDEX(Tbl_KPIMaster[Owner],MATCH($G913,Tbl_KPIMaster[KPI],0)),"")</f>
        <v/>
      </c>
      <c r="M913" s="6" t="inlineStr">
        <is>
          <t>Process improvement in progress</t>
        </is>
      </c>
      <c r="N913" s="4" t="inlineStr">
        <is>
          <t>Management approval pending</t>
        </is>
      </c>
      <c r="O913" s="4" t="inlineStr">
        <is>
          <t>High</t>
        </is>
      </c>
      <c r="P913" s="4" t="inlineStr">
        <is>
          <t>Closed</t>
        </is>
      </c>
      <c r="Q913" s="5">
        <f>IFERROR(IF(INDEX(Tbl_KPIMaster[Direction],MATCH($G913,Tbl_KPIMaster[KPI],0))="Lower is Better",IF($J913=0,1,IF($I913=0,0,$I913/$J913)),IF($I913=0,1,$J913/$I913)),0)</f>
        <v/>
      </c>
      <c r="R913" s="4">
        <f>IF(OR($I913="",$J913=""),"",$J913-$I913)</f>
        <v/>
      </c>
      <c r="S913" s="4">
        <f>IFERROR(IF(INDEX(Tbl_KPIMaster[Direction],MATCH($G913,Tbl_KPIMaster[KPI],0))="Lower is Better",IF($J913&lt;=$I913,"Green",IF($J913&lt;=$I913+IF($I913=0,$K913,$I913*$K913),"Amber","Red")),IF($J913&gt;=$I913,"Green",IF($J913&gt;=$I913-IF($I913=0,$K913,$I913*$K913),"Amber","Red"))),"")</f>
        <v/>
      </c>
      <c r="T913" s="6" t="inlineStr"/>
    </row>
    <row r="914">
      <c r="A914" s="7" t="n">
        <v>46175</v>
      </c>
      <c r="B914" s="8">
        <f>IF($A914="","",TEXT($A914,"mmm-yyyy"))</f>
        <v/>
      </c>
      <c r="C914" s="8">
        <f>IF($A914="","","W"&amp;WEEKNUM($A914,2))</f>
        <v/>
      </c>
      <c r="D914" s="8">
        <f>IF($A914="","",TEXT($A914,"ddd"))</f>
        <v/>
      </c>
      <c r="E914" s="8" t="inlineStr">
        <is>
          <t>Warehouse</t>
        </is>
      </c>
      <c r="F914" s="8">
        <f>IFERROR(INDEX(Tbl_KPIMaster[Category],MATCH($G914,Tbl_KPIMaster[KPI],0)),"")</f>
        <v/>
      </c>
      <c r="G914" s="8" t="inlineStr">
        <is>
          <t>Inventory Accuracy %</t>
        </is>
      </c>
      <c r="H914" s="8">
        <f>IFERROR(INDEX(Tbl_KPIMaster[Unit],MATCH($G914,Tbl_KPIMaster[KPI],0)),"")</f>
        <v/>
      </c>
      <c r="I914" s="9">
        <f>IFERROR(INDEX(Tbl_KPIMaster[Maximum Target],MATCH($G914,Tbl_KPIMaster[KPI],0)),"")</f>
        <v/>
      </c>
      <c r="J914" s="9" t="n">
        <v>0.9387</v>
      </c>
      <c r="K914" s="8">
        <f>IFERROR(INDEX(Tbl_KPIMaster[Tolerance],MATCH($G914,Tbl_KPIMaster[KPI],0)),"")</f>
        <v/>
      </c>
      <c r="L914" s="8">
        <f>IFERROR(INDEX(Tbl_KPIMaster[Owner],MATCH($G914,Tbl_KPIMaster[KPI],0)),"")</f>
        <v/>
      </c>
      <c r="M914" s="10" t="inlineStr"/>
      <c r="N914" s="8" t="inlineStr">
        <is>
          <t>Procurement follow-up</t>
        </is>
      </c>
      <c r="O914" s="8" t="inlineStr">
        <is>
          <t>Low</t>
        </is>
      </c>
      <c r="P914" s="8" t="inlineStr">
        <is>
          <t>Open</t>
        </is>
      </c>
      <c r="Q914" s="9">
        <f>IFERROR(IF(INDEX(Tbl_KPIMaster[Direction],MATCH($G914,Tbl_KPIMaster[KPI],0))="Lower is Better",IF($J914=0,1,IF($I914=0,0,$I914/$J914)),IF($I914=0,1,$J914/$I914)),0)</f>
        <v/>
      </c>
      <c r="R914" s="8">
        <f>IF(OR($I914="",$J914=""),"",$J914-$I914)</f>
        <v/>
      </c>
      <c r="S914" s="8">
        <f>IFERROR(IF(INDEX(Tbl_KPIMaster[Direction],MATCH($G914,Tbl_KPIMaster[KPI],0))="Lower is Better",IF($J914&lt;=$I914,"Green",IF($J914&lt;=$I914+IF($I914=0,$K914,$I914*$K914),"Amber","Red")),IF($J914&gt;=$I914,"Green",IF($J914&gt;=$I914-IF($I914=0,$K914,$I914*$K914),"Amber","Red"))),"")</f>
        <v/>
      </c>
      <c r="T914" s="10" t="inlineStr"/>
    </row>
    <row r="915">
      <c r="A915" s="3" t="n">
        <v>46175</v>
      </c>
      <c r="B915" s="4">
        <f>IF($A915="","",TEXT($A915,"mmm-yyyy"))</f>
        <v/>
      </c>
      <c r="C915" s="4">
        <f>IF($A915="","","W"&amp;WEEKNUM($A915,2))</f>
        <v/>
      </c>
      <c r="D915" s="4">
        <f>IF($A915="","",TEXT($A915,"ddd"))</f>
        <v/>
      </c>
      <c r="E915" s="4" t="inlineStr">
        <is>
          <t>HR</t>
        </is>
      </c>
      <c r="F915" s="4">
        <f>IFERROR(INDEX(Tbl_KPIMaster[Category],MATCH($G915,Tbl_KPIMaster[KPI],0)),"")</f>
        <v/>
      </c>
      <c r="G915" s="4" t="inlineStr">
        <is>
          <t>Absenteeism %</t>
        </is>
      </c>
      <c r="H915" s="4">
        <f>IFERROR(INDEX(Tbl_KPIMaster[Unit],MATCH($G915,Tbl_KPIMaster[KPI],0)),"")</f>
        <v/>
      </c>
      <c r="I915" s="5">
        <f>IFERROR(INDEX(Tbl_KPIMaster[Maximum Target],MATCH($G915,Tbl_KPIMaster[KPI],0)),"")</f>
        <v/>
      </c>
      <c r="J915" s="5" t="n">
        <v>0.4691</v>
      </c>
      <c r="K915" s="4">
        <f>IFERROR(INDEX(Tbl_KPIMaster[Tolerance],MATCH($G915,Tbl_KPIMaster[KPI],0)),"")</f>
        <v/>
      </c>
      <c r="L915" s="4">
        <f>IFERROR(INDEX(Tbl_KPIMaster[Owner],MATCH($G915,Tbl_KPIMaster[KPI],0)),"")</f>
        <v/>
      </c>
      <c r="M915" s="6" t="inlineStr">
        <is>
          <t>Awaiting spares</t>
        </is>
      </c>
      <c r="N915" s="4" t="inlineStr">
        <is>
          <t>Procurement follow-up</t>
        </is>
      </c>
      <c r="O915" s="4" t="inlineStr">
        <is>
          <t>Low</t>
        </is>
      </c>
      <c r="P915" s="4" t="inlineStr">
        <is>
          <t>Closed</t>
        </is>
      </c>
      <c r="Q915" s="5">
        <f>IFERROR(IF(INDEX(Tbl_KPIMaster[Direction],MATCH($G915,Tbl_KPIMaster[KPI],0))="Lower is Better",IF($J915=0,1,IF($I915=0,0,$I915/$J915)),IF($I915=0,1,$J915/$I915)),0)</f>
        <v/>
      </c>
      <c r="R915" s="4">
        <f>IF(OR($I915="",$J915=""),"",$J915-$I915)</f>
        <v/>
      </c>
      <c r="S915" s="4">
        <f>IFERROR(IF(INDEX(Tbl_KPIMaster[Direction],MATCH($G915,Tbl_KPIMaster[KPI],0))="Lower is Better",IF($J915&lt;=$I915,"Green",IF($J915&lt;=$I915+IF($I915=0,$K915,$I915*$K915),"Amber","Red")),IF($J915&gt;=$I915,"Green",IF($J915&gt;=$I915-IF($I915=0,$K915,$I915*$K915),"Amber","Red"))),"")</f>
        <v/>
      </c>
      <c r="T915" s="6" t="inlineStr"/>
    </row>
    <row r="916">
      <c r="A916" s="7" t="n">
        <v>46175</v>
      </c>
      <c r="B916" s="8">
        <f>IF($A916="","",TEXT($A916,"mmm-yyyy"))</f>
        <v/>
      </c>
      <c r="C916" s="8">
        <f>IF($A916="","","W"&amp;WEEKNUM($A916,2))</f>
        <v/>
      </c>
      <c r="D916" s="8">
        <f>IF($A916="","",TEXT($A916,"ddd"))</f>
        <v/>
      </c>
      <c r="E916" s="8" t="inlineStr">
        <is>
          <t>HR</t>
        </is>
      </c>
      <c r="F916" s="8">
        <f>IFERROR(INDEX(Tbl_KPIMaster[Category],MATCH($G916,Tbl_KPIMaster[KPI],0)),"")</f>
        <v/>
      </c>
      <c r="G916" s="8" t="inlineStr">
        <is>
          <t>Training Hours</t>
        </is>
      </c>
      <c r="H916" s="8">
        <f>IFERROR(INDEX(Tbl_KPIMaster[Unit],MATCH($G916,Tbl_KPIMaster[KPI],0)),"")</f>
        <v/>
      </c>
      <c r="I916" s="9">
        <f>IFERROR(INDEX(Tbl_KPIMaster[Maximum Target],MATCH($G916,Tbl_KPIMaster[KPI],0)),"")</f>
        <v/>
      </c>
      <c r="J916" s="9" t="n">
        <v>2.44</v>
      </c>
      <c r="K916" s="8">
        <f>IFERROR(INDEX(Tbl_KPIMaster[Tolerance],MATCH($G916,Tbl_KPIMaster[KPI],0)),"")</f>
        <v/>
      </c>
      <c r="L916" s="8">
        <f>IFERROR(INDEX(Tbl_KPIMaster[Owner],MATCH($G916,Tbl_KPIMaster[KPI],0)),"")</f>
        <v/>
      </c>
      <c r="M916" s="10" t="inlineStr">
        <is>
          <t>Process improvement in progress</t>
        </is>
      </c>
      <c r="N916" s="8" t="inlineStr">
        <is>
          <t>Engineering support needed</t>
        </is>
      </c>
      <c r="O916" s="8" t="inlineStr">
        <is>
          <t>Low</t>
        </is>
      </c>
      <c r="P916" s="8" t="inlineStr">
        <is>
          <t>Open</t>
        </is>
      </c>
      <c r="Q916" s="9">
        <f>IFERROR(IF(INDEX(Tbl_KPIMaster[Direction],MATCH($G916,Tbl_KPIMaster[KPI],0))="Lower is Better",IF($J916=0,1,IF($I916=0,0,$I916/$J916)),IF($I916=0,1,$J916/$I916)),0)</f>
        <v/>
      </c>
      <c r="R916" s="8">
        <f>IF(OR($I916="",$J916=""),"",$J916-$I916)</f>
        <v/>
      </c>
      <c r="S916" s="8">
        <f>IFERROR(IF(INDEX(Tbl_KPIMaster[Direction],MATCH($G916,Tbl_KPIMaster[KPI],0))="Lower is Better",IF($J916&lt;=$I916,"Green",IF($J916&lt;=$I916+IF($I916=0,$K916,$I916*$K916),"Amber","Red")),IF($J916&gt;=$I916,"Green",IF($J916&gt;=$I916-IF($I916=0,$K916,$I916*$K916),"Amber","Red"))),"")</f>
        <v/>
      </c>
      <c r="T916" s="10" t="inlineStr"/>
    </row>
    <row r="917">
      <c r="A917" s="3" t="n">
        <v>46175</v>
      </c>
      <c r="B917" s="4">
        <f>IF($A917="","",TEXT($A917,"mmm-yyyy"))</f>
        <v/>
      </c>
      <c r="C917" s="4">
        <f>IF($A917="","","W"&amp;WEEKNUM($A917,2))</f>
        <v/>
      </c>
      <c r="D917" s="4">
        <f>IF($A917="","",TEXT($A917,"ddd"))</f>
        <v/>
      </c>
      <c r="E917" s="4" t="inlineStr">
        <is>
          <t>Engineering</t>
        </is>
      </c>
      <c r="F917" s="4">
        <f>IFERROR(INDEX(Tbl_KPIMaster[Category],MATCH($G917,Tbl_KPIMaster[KPI],0)),"")</f>
        <v/>
      </c>
      <c r="G917" s="4" t="inlineStr">
        <is>
          <t>Project Milestone Adherence %</t>
        </is>
      </c>
      <c r="H917" s="4">
        <f>IFERROR(INDEX(Tbl_KPIMaster[Unit],MATCH($G917,Tbl_KPIMaster[KPI],0)),"")</f>
        <v/>
      </c>
      <c r="I917" s="5">
        <f>IFERROR(INDEX(Tbl_KPIMaster[Maximum Target],MATCH($G917,Tbl_KPIMaster[KPI],0)),"")</f>
        <v/>
      </c>
      <c r="J917" s="5" t="n">
        <v>1.0646</v>
      </c>
      <c r="K917" s="4">
        <f>IFERROR(INDEX(Tbl_KPIMaster[Tolerance],MATCH($G917,Tbl_KPIMaster[KPI],0)),"")</f>
        <v/>
      </c>
      <c r="L917" s="4">
        <f>IFERROR(INDEX(Tbl_KPIMaster[Owner],MATCH($G917,Tbl_KPIMaster[KPI],0)),"")</f>
        <v/>
      </c>
      <c r="M917" s="6" t="inlineStr">
        <is>
          <t>Line changeover impact</t>
        </is>
      </c>
      <c r="N917" s="4" t="inlineStr">
        <is>
          <t>Engineering support needed</t>
        </is>
      </c>
      <c r="O917" s="4" t="inlineStr">
        <is>
          <t>High</t>
        </is>
      </c>
      <c r="P917" s="4" t="inlineStr">
        <is>
          <t>Open</t>
        </is>
      </c>
      <c r="Q917" s="5">
        <f>IFERROR(IF(INDEX(Tbl_KPIMaster[Direction],MATCH($G917,Tbl_KPIMaster[KPI],0))="Lower is Better",IF($J917=0,1,IF($I917=0,0,$I917/$J917)),IF($I917=0,1,$J917/$I917)),0)</f>
        <v/>
      </c>
      <c r="R917" s="4">
        <f>IF(OR($I917="",$J917=""),"",$J917-$I917)</f>
        <v/>
      </c>
      <c r="S917" s="4">
        <f>IFERROR(IF(INDEX(Tbl_KPIMaster[Direction],MATCH($G917,Tbl_KPIMaster[KPI],0))="Lower is Better",IF($J917&lt;=$I917,"Green",IF($J917&lt;=$I917+IF($I917=0,$K917,$I917*$K917),"Amber","Red")),IF($J917&gt;=$I917,"Green",IF($J917&gt;=$I917-IF($I917=0,$K917,$I917*$K917),"Amber","Red"))),"")</f>
        <v/>
      </c>
      <c r="T917" s="6" t="inlineStr"/>
    </row>
    <row r="918">
      <c r="A918" s="7" t="n">
        <v>46175</v>
      </c>
      <c r="B918" s="8">
        <f>IF($A918="","",TEXT($A918,"mmm-yyyy"))</f>
        <v/>
      </c>
      <c r="C918" s="8">
        <f>IF($A918="","","W"&amp;WEEKNUM($A918,2))</f>
        <v/>
      </c>
      <c r="D918" s="8">
        <f>IF($A918="","",TEXT($A918,"ddd"))</f>
        <v/>
      </c>
      <c r="E918" s="8" t="inlineStr">
        <is>
          <t>Engineering</t>
        </is>
      </c>
      <c r="F918" s="8">
        <f>IFERROR(INDEX(Tbl_KPIMaster[Category],MATCH($G918,Tbl_KPIMaster[KPI],0)),"")</f>
        <v/>
      </c>
      <c r="G918" s="8" t="inlineStr">
        <is>
          <t>Breakdown Resolution Time</t>
        </is>
      </c>
      <c r="H918" s="8">
        <f>IFERROR(INDEX(Tbl_KPIMaster[Unit],MATCH($G918,Tbl_KPIMaster[KPI],0)),"")</f>
        <v/>
      </c>
      <c r="I918" s="9">
        <f>IFERROR(INDEX(Tbl_KPIMaster[Maximum Target],MATCH($G918,Tbl_KPIMaster[KPI],0)),"")</f>
        <v/>
      </c>
      <c r="J918" s="9" t="n">
        <v>0</v>
      </c>
      <c r="K918" s="8">
        <f>IFERROR(INDEX(Tbl_KPIMaster[Tolerance],MATCH($G918,Tbl_KPIMaster[KPI],0)),"")</f>
        <v/>
      </c>
      <c r="L918" s="8">
        <f>IFERROR(INDEX(Tbl_KPIMaster[Owner],MATCH($G918,Tbl_KPIMaster[KPI],0)),"")</f>
        <v/>
      </c>
      <c r="M918" s="10" t="inlineStr">
        <is>
          <t>Process improvement in progress</t>
        </is>
      </c>
      <c r="N918" s="8" t="inlineStr">
        <is>
          <t>Management approval pending</t>
        </is>
      </c>
      <c r="O918" s="8" t="inlineStr">
        <is>
          <t>Low</t>
        </is>
      </c>
      <c r="P918" s="8" t="inlineStr">
        <is>
          <t>Closed</t>
        </is>
      </c>
      <c r="Q918" s="9">
        <f>IFERROR(IF(INDEX(Tbl_KPIMaster[Direction],MATCH($G918,Tbl_KPIMaster[KPI],0))="Lower is Better",IF($J918=0,1,IF($I918=0,0,$I918/$J918)),IF($I918=0,1,$J918/$I918)),0)</f>
        <v/>
      </c>
      <c r="R918" s="8">
        <f>IF(OR($I918="",$J918=""),"",$J918-$I918)</f>
        <v/>
      </c>
      <c r="S918" s="8">
        <f>IFERROR(IF(INDEX(Tbl_KPIMaster[Direction],MATCH($G918,Tbl_KPIMaster[KPI],0))="Lower is Better",IF($J918&lt;=$I918,"Green",IF($J918&lt;=$I918+IF($I918=0,$K918,$I918*$K918),"Amber","Red")),IF($J918&gt;=$I918,"Green",IF($J918&gt;=$I918-IF($I918=0,$K918,$I918*$K918),"Amber","Red"))),"")</f>
        <v/>
      </c>
      <c r="T918" s="10" t="inlineStr"/>
    </row>
    <row r="919">
      <c r="A919" s="3" t="n">
        <v>46175</v>
      </c>
      <c r="B919" s="4">
        <f>IF($A919="","",TEXT($A919,"mmm-yyyy"))</f>
        <v/>
      </c>
      <c r="C919" s="4">
        <f>IF($A919="","","W"&amp;WEEKNUM($A919,2))</f>
        <v/>
      </c>
      <c r="D919" s="4">
        <f>IF($A919="","",TEXT($A919,"ddd"))</f>
        <v/>
      </c>
      <c r="E919" s="4" t="inlineStr">
        <is>
          <t>Cost</t>
        </is>
      </c>
      <c r="F919" s="4">
        <f>IFERROR(INDEX(Tbl_KPIMaster[Category],MATCH($G919,Tbl_KPIMaster[KPI],0)),"")</f>
        <v/>
      </c>
      <c r="G919" s="4" t="inlineStr">
        <is>
          <t>Cost per Unit</t>
        </is>
      </c>
      <c r="H919" s="4">
        <f>IFERROR(INDEX(Tbl_KPIMaster[Unit],MATCH($G919,Tbl_KPIMaster[KPI],0)),"")</f>
        <v/>
      </c>
      <c r="I919" s="5">
        <f>IFERROR(INDEX(Tbl_KPIMaster[Maximum Target],MATCH($G919,Tbl_KPIMaster[KPI],0)),"")</f>
        <v/>
      </c>
      <c r="J919" s="5" t="n">
        <v>50.65</v>
      </c>
      <c r="K919" s="4">
        <f>IFERROR(INDEX(Tbl_KPIMaster[Tolerance],MATCH($G919,Tbl_KPIMaster[KPI],0)),"")</f>
        <v/>
      </c>
      <c r="L919" s="4">
        <f>IFERROR(INDEX(Tbl_KPIMaster[Owner],MATCH($G919,Tbl_KPIMaster[KPI],0)),"")</f>
        <v/>
      </c>
      <c r="M919" s="6" t="inlineStr">
        <is>
          <t>Awaiting spares</t>
        </is>
      </c>
      <c r="N919" s="4" t="inlineStr">
        <is>
          <t>Engineering support needed</t>
        </is>
      </c>
      <c r="O919" s="4" t="inlineStr">
        <is>
          <t>Medium</t>
        </is>
      </c>
      <c r="P919" s="4" t="inlineStr">
        <is>
          <t>Open</t>
        </is>
      </c>
      <c r="Q919" s="5">
        <f>IFERROR(IF(INDEX(Tbl_KPIMaster[Direction],MATCH($G919,Tbl_KPIMaster[KPI],0))="Lower is Better",IF($J919=0,1,IF($I919=0,0,$I919/$J919)),IF($I919=0,1,$J919/$I919)),0)</f>
        <v/>
      </c>
      <c r="R919" s="4">
        <f>IF(OR($I919="",$J919=""),"",$J919-$I919)</f>
        <v/>
      </c>
      <c r="S919" s="4">
        <f>IFERROR(IF(INDEX(Tbl_KPIMaster[Direction],MATCH($G919,Tbl_KPIMaster[KPI],0))="Lower is Better",IF($J919&lt;=$I919,"Green",IF($J919&lt;=$I919+IF($I919=0,$K919,$I919*$K919),"Amber","Red")),IF($J919&gt;=$I919,"Green",IF($J919&gt;=$I919-IF($I919=0,$K919,$I919*$K919),"Amber","Red"))),"")</f>
        <v/>
      </c>
      <c r="T919" s="6" t="inlineStr"/>
    </row>
    <row r="920">
      <c r="A920" s="7" t="n">
        <v>46175</v>
      </c>
      <c r="B920" s="8">
        <f>IF($A920="","",TEXT($A920,"mmm-yyyy"))</f>
        <v/>
      </c>
      <c r="C920" s="8">
        <f>IF($A920="","","W"&amp;WEEKNUM($A920,2))</f>
        <v/>
      </c>
      <c r="D920" s="8">
        <f>IF($A920="","",TEXT($A920,"ddd"))</f>
        <v/>
      </c>
      <c r="E920" s="8" t="inlineStr">
        <is>
          <t>Cost</t>
        </is>
      </c>
      <c r="F920" s="8">
        <f>IFERROR(INDEX(Tbl_KPIMaster[Category],MATCH($G920,Tbl_KPIMaster[KPI],0)),"")</f>
        <v/>
      </c>
      <c r="G920" s="8" t="inlineStr">
        <is>
          <t>Budget Variance %</t>
        </is>
      </c>
      <c r="H920" s="8">
        <f>IFERROR(INDEX(Tbl_KPIMaster[Unit],MATCH($G920,Tbl_KPIMaster[KPI],0)),"")</f>
        <v/>
      </c>
      <c r="I920" s="9">
        <f>IFERROR(INDEX(Tbl_KPIMaster[Maximum Target],MATCH($G920,Tbl_KPIMaster[KPI],0)),"")</f>
        <v/>
      </c>
      <c r="J920" s="9" t="n">
        <v>0</v>
      </c>
      <c r="K920" s="8">
        <f>IFERROR(INDEX(Tbl_KPIMaster[Tolerance],MATCH($G920,Tbl_KPIMaster[KPI],0)),"")</f>
        <v/>
      </c>
      <c r="L920" s="8">
        <f>IFERROR(INDEX(Tbl_KPIMaster[Owner],MATCH($G920,Tbl_KPIMaster[KPI],0)),"")</f>
        <v/>
      </c>
      <c r="M920" s="10" t="inlineStr">
        <is>
          <t>Vendor delay</t>
        </is>
      </c>
      <c r="N920" s="8" t="inlineStr">
        <is>
          <t>Engineering support needed</t>
        </is>
      </c>
      <c r="O920" s="8" t="inlineStr">
        <is>
          <t>Medium</t>
        </is>
      </c>
      <c r="P920" s="8" t="inlineStr">
        <is>
          <t>Open</t>
        </is>
      </c>
      <c r="Q920" s="9">
        <f>IFERROR(IF(INDEX(Tbl_KPIMaster[Direction],MATCH($G920,Tbl_KPIMaster[KPI],0))="Lower is Better",IF($J920=0,1,IF($I920=0,0,$I920/$J920)),IF($I920=0,1,$J920/$I920)),0)</f>
        <v/>
      </c>
      <c r="R920" s="8">
        <f>IF(OR($I920="",$J920=""),"",$J920-$I920)</f>
        <v/>
      </c>
      <c r="S920" s="8">
        <f>IFERROR(IF(INDEX(Tbl_KPIMaster[Direction],MATCH($G920,Tbl_KPIMaster[KPI],0))="Lower is Better",IF($J920&lt;=$I920,"Green",IF($J920&lt;=$I920+IF($I920=0,$K920,$I920*$K920),"Amber","Red")),IF($J920&gt;=$I920,"Green",IF($J920&gt;=$I920-IF($I920=0,$K920,$I920*$K920),"Amber","Red"))),"")</f>
        <v/>
      </c>
      <c r="T920" s="10" t="inlineStr"/>
    </row>
    <row r="921">
      <c r="A921" s="3" t="n">
        <v>46175</v>
      </c>
      <c r="B921" s="4">
        <f>IF($A921="","",TEXT($A921,"mmm-yyyy"))</f>
        <v/>
      </c>
      <c r="C921" s="4">
        <f>IF($A921="","","W"&amp;WEEKNUM($A921,2))</f>
        <v/>
      </c>
      <c r="D921" s="4">
        <f>IF($A921="","",TEXT($A921,"ddd"))</f>
        <v/>
      </c>
      <c r="E921" s="4" t="inlineStr">
        <is>
          <t>Energy</t>
        </is>
      </c>
      <c r="F921" s="4">
        <f>IFERROR(INDEX(Tbl_KPIMaster[Category],MATCH($G921,Tbl_KPIMaster[KPI],0)),"")</f>
        <v/>
      </c>
      <c r="G921" s="4" t="inlineStr">
        <is>
          <t>Energy Intensity (kWh/unit)</t>
        </is>
      </c>
      <c r="H921" s="4">
        <f>IFERROR(INDEX(Tbl_KPIMaster[Unit],MATCH($G921,Tbl_KPIMaster[KPI],0)),"")</f>
        <v/>
      </c>
      <c r="I921" s="5">
        <f>IFERROR(INDEX(Tbl_KPIMaster[Maximum Target],MATCH($G921,Tbl_KPIMaster[KPI],0)),"")</f>
        <v/>
      </c>
      <c r="J921" s="5" t="n">
        <v>4.52</v>
      </c>
      <c r="K921" s="4">
        <f>IFERROR(INDEX(Tbl_KPIMaster[Tolerance],MATCH($G921,Tbl_KPIMaster[KPI],0)),"")</f>
        <v/>
      </c>
      <c r="L921" s="4">
        <f>IFERROR(INDEX(Tbl_KPIMaster[Owner],MATCH($G921,Tbl_KPIMaster[KPI],0)),"")</f>
        <v/>
      </c>
      <c r="M921" s="6" t="inlineStr">
        <is>
          <t>Line changeover impact</t>
        </is>
      </c>
      <c r="N921" s="4" t="inlineStr"/>
      <c r="O921" s="4" t="inlineStr">
        <is>
          <t>Low</t>
        </is>
      </c>
      <c r="P921" s="4" t="inlineStr">
        <is>
          <t>Closed</t>
        </is>
      </c>
      <c r="Q921" s="5">
        <f>IFERROR(IF(INDEX(Tbl_KPIMaster[Direction],MATCH($G921,Tbl_KPIMaster[KPI],0))="Lower is Better",IF($J921=0,1,IF($I921=0,0,$I921/$J921)),IF($I921=0,1,$J921/$I921)),0)</f>
        <v/>
      </c>
      <c r="R921" s="4">
        <f>IF(OR($I921="",$J921=""),"",$J921-$I921)</f>
        <v/>
      </c>
      <c r="S921" s="4">
        <f>IFERROR(IF(INDEX(Tbl_KPIMaster[Direction],MATCH($G921,Tbl_KPIMaster[KPI],0))="Lower is Better",IF($J921&lt;=$I921,"Green",IF($J921&lt;=$I921+IF($I921=0,$K921,$I921*$K921),"Amber","Red")),IF($J921&gt;=$I921,"Green",IF($J921&gt;=$I921-IF($I921=0,$K921,$I921*$K921),"Amber","Red"))),"")</f>
        <v/>
      </c>
      <c r="T921" s="6" t="inlineStr"/>
    </row>
    <row r="922">
      <c r="A922" s="7" t="n">
        <v>46175</v>
      </c>
      <c r="B922" s="8">
        <f>IF($A922="","",TEXT($A922,"mmm-yyyy"))</f>
        <v/>
      </c>
      <c r="C922" s="8">
        <f>IF($A922="","","W"&amp;WEEKNUM($A922,2))</f>
        <v/>
      </c>
      <c r="D922" s="8">
        <f>IF($A922="","",TEXT($A922,"ddd"))</f>
        <v/>
      </c>
      <c r="E922" s="8" t="inlineStr">
        <is>
          <t>Energy</t>
        </is>
      </c>
      <c r="F922" s="8">
        <f>IFERROR(INDEX(Tbl_KPIMaster[Category],MATCH($G922,Tbl_KPIMaster[KPI],0)),"")</f>
        <v/>
      </c>
      <c r="G922" s="8" t="inlineStr">
        <is>
          <t>Renewable Energy Share %</t>
        </is>
      </c>
      <c r="H922" s="8">
        <f>IFERROR(INDEX(Tbl_KPIMaster[Unit],MATCH($G922,Tbl_KPIMaster[KPI],0)),"")</f>
        <v/>
      </c>
      <c r="I922" s="9">
        <f>IFERROR(INDEX(Tbl_KPIMaster[Maximum Target],MATCH($G922,Tbl_KPIMaster[KPI],0)),"")</f>
        <v/>
      </c>
      <c r="J922" s="9" t="n">
        <v>0.2441</v>
      </c>
      <c r="K922" s="8">
        <f>IFERROR(INDEX(Tbl_KPIMaster[Tolerance],MATCH($G922,Tbl_KPIMaster[KPI],0)),"")</f>
        <v/>
      </c>
      <c r="L922" s="8">
        <f>IFERROR(INDEX(Tbl_KPIMaster[Owner],MATCH($G922,Tbl_KPIMaster[KPI],0)),"")</f>
        <v/>
      </c>
      <c r="M922" s="10" t="inlineStr">
        <is>
          <t>New operator training effect</t>
        </is>
      </c>
      <c r="N922" s="8" t="inlineStr"/>
      <c r="O922" s="8" t="inlineStr">
        <is>
          <t>Low</t>
        </is>
      </c>
      <c r="P922" s="8" t="inlineStr">
        <is>
          <t>Closed</t>
        </is>
      </c>
      <c r="Q922" s="9">
        <f>IFERROR(IF(INDEX(Tbl_KPIMaster[Direction],MATCH($G922,Tbl_KPIMaster[KPI],0))="Lower is Better",IF($J922=0,1,IF($I922=0,0,$I922/$J922)),IF($I922=0,1,$J922/$I922)),0)</f>
        <v/>
      </c>
      <c r="R922" s="8">
        <f>IF(OR($I922="",$J922=""),"",$J922-$I922)</f>
        <v/>
      </c>
      <c r="S922" s="8">
        <f>IFERROR(IF(INDEX(Tbl_KPIMaster[Direction],MATCH($G922,Tbl_KPIMaster[KPI],0))="Lower is Better",IF($J922&lt;=$I922,"Green",IF($J922&lt;=$I922+IF($I922=0,$K922,$I922*$K922),"Amber","Red")),IF($J922&gt;=$I922,"Green",IF($J922&gt;=$I922-IF($I922=0,$K922,$I922*$K922),"Amber","Red"))),"")</f>
        <v/>
      </c>
      <c r="T922" s="10" t="inlineStr"/>
    </row>
    <row r="923">
      <c r="A923" s="3" t="n">
        <v>46176</v>
      </c>
      <c r="B923" s="4">
        <f>IF($A923="","",TEXT($A923,"mmm-yyyy"))</f>
        <v/>
      </c>
      <c r="C923" s="4">
        <f>IF($A923="","","W"&amp;WEEKNUM($A923,2))</f>
        <v/>
      </c>
      <c r="D923" s="4">
        <f>IF($A923="","",TEXT($A923,"ddd"))</f>
        <v/>
      </c>
      <c r="E923" s="4" t="inlineStr">
        <is>
          <t>Safety</t>
        </is>
      </c>
      <c r="F923" s="4">
        <f>IFERROR(INDEX(Tbl_KPIMaster[Category],MATCH($G923,Tbl_KPIMaster[KPI],0)),"")</f>
        <v/>
      </c>
      <c r="G923" s="4" t="inlineStr">
        <is>
          <t>Safety Incidents (LTI)</t>
        </is>
      </c>
      <c r="H923" s="4">
        <f>IFERROR(INDEX(Tbl_KPIMaster[Unit],MATCH($G923,Tbl_KPIMaster[KPI],0)),"")</f>
        <v/>
      </c>
      <c r="I923" s="5">
        <f>IFERROR(INDEX(Tbl_KPIMaster[Maximum Target],MATCH($G923,Tbl_KPIMaster[KPI],0)),"")</f>
        <v/>
      </c>
      <c r="J923" s="5" t="n">
        <v>1</v>
      </c>
      <c r="K923" s="4">
        <f>IFERROR(INDEX(Tbl_KPIMaster[Tolerance],MATCH($G923,Tbl_KPIMaster[KPI],0)),"")</f>
        <v/>
      </c>
      <c r="L923" s="4">
        <f>IFERROR(INDEX(Tbl_KPIMaster[Owner],MATCH($G923,Tbl_KPIMaster[KPI],0)),"")</f>
        <v/>
      </c>
      <c r="M923" s="6" t="inlineStr">
        <is>
          <t>Preventive check done</t>
        </is>
      </c>
      <c r="N923" s="4" t="inlineStr"/>
      <c r="O923" s="4" t="inlineStr">
        <is>
          <t>Medium</t>
        </is>
      </c>
      <c r="P923" s="4" t="inlineStr">
        <is>
          <t>Closed</t>
        </is>
      </c>
      <c r="Q923" s="5">
        <f>IFERROR(IF(INDEX(Tbl_KPIMaster[Direction],MATCH($G923,Tbl_KPIMaster[KPI],0))="Lower is Better",IF($J923=0,1,IF($I923=0,0,$I923/$J923)),IF($I923=0,1,$J923/$I923)),0)</f>
        <v/>
      </c>
      <c r="R923" s="4">
        <f>IF(OR($I923="",$J923=""),"",$J923-$I923)</f>
        <v/>
      </c>
      <c r="S923" s="4">
        <f>IFERROR(IF(INDEX(Tbl_KPIMaster[Direction],MATCH($G923,Tbl_KPIMaster[KPI],0))="Lower is Better",IF($J923&lt;=$I923,"Green",IF($J923&lt;=$I923+IF($I923=0,$K923,$I923*$K923),"Amber","Red")),IF($J923&gt;=$I923,"Green",IF($J923&gt;=$I923-IF($I923=0,$K923,$I923*$K923),"Amber","Red"))),"")</f>
        <v/>
      </c>
      <c r="T923" s="6" t="inlineStr"/>
    </row>
    <row r="924">
      <c r="A924" s="7" t="n">
        <v>46176</v>
      </c>
      <c r="B924" s="8">
        <f>IF($A924="","",TEXT($A924,"mmm-yyyy"))</f>
        <v/>
      </c>
      <c r="C924" s="8">
        <f>IF($A924="","","W"&amp;WEEKNUM($A924,2))</f>
        <v/>
      </c>
      <c r="D924" s="8">
        <f>IF($A924="","",TEXT($A924,"ddd"))</f>
        <v/>
      </c>
      <c r="E924" s="8" t="inlineStr">
        <is>
          <t>Safety</t>
        </is>
      </c>
      <c r="F924" s="8">
        <f>IFERROR(INDEX(Tbl_KPIMaster[Category],MATCH($G924,Tbl_KPIMaster[KPI],0)),"")</f>
        <v/>
      </c>
      <c r="G924" s="8" t="inlineStr">
        <is>
          <t>Near Miss Reports</t>
        </is>
      </c>
      <c r="H924" s="8">
        <f>IFERROR(INDEX(Tbl_KPIMaster[Unit],MATCH($G924,Tbl_KPIMaster[KPI],0)),"")</f>
        <v/>
      </c>
      <c r="I924" s="9">
        <f>IFERROR(INDEX(Tbl_KPIMaster[Maximum Target],MATCH($G924,Tbl_KPIMaster[KPI],0)),"")</f>
        <v/>
      </c>
      <c r="J924" s="9" t="n">
        <v>2</v>
      </c>
      <c r="K924" s="8">
        <f>IFERROR(INDEX(Tbl_KPIMaster[Tolerance],MATCH($G924,Tbl_KPIMaster[KPI],0)),"")</f>
        <v/>
      </c>
      <c r="L924" s="8">
        <f>IFERROR(INDEX(Tbl_KPIMaster[Owner],MATCH($G924,Tbl_KPIMaster[KPI],0)),"")</f>
        <v/>
      </c>
      <c r="M924" s="10" t="inlineStr">
        <is>
          <t>Within normal range</t>
        </is>
      </c>
      <c r="N924" s="8" t="inlineStr">
        <is>
          <t>Procurement follow-up</t>
        </is>
      </c>
      <c r="O924" s="8" t="inlineStr">
        <is>
          <t>Low</t>
        </is>
      </c>
      <c r="P924" s="8" t="inlineStr">
        <is>
          <t>Closed</t>
        </is>
      </c>
      <c r="Q924" s="9">
        <f>IFERROR(IF(INDEX(Tbl_KPIMaster[Direction],MATCH($G924,Tbl_KPIMaster[KPI],0))="Lower is Better",IF($J924=0,1,IF($I924=0,0,$I924/$J924)),IF($I924=0,1,$J924/$I924)),0)</f>
        <v/>
      </c>
      <c r="R924" s="8">
        <f>IF(OR($I924="",$J924=""),"",$J924-$I924)</f>
        <v/>
      </c>
      <c r="S924" s="8">
        <f>IFERROR(IF(INDEX(Tbl_KPIMaster[Direction],MATCH($G924,Tbl_KPIMaster[KPI],0))="Lower is Better",IF($J924&lt;=$I924,"Green",IF($J924&lt;=$I924+IF($I924=0,$K924,$I924*$K924),"Amber","Red")),IF($J924&gt;=$I924,"Green",IF($J924&gt;=$I924-IF($I924=0,$K924,$I924*$K924),"Amber","Red"))),"")</f>
        <v/>
      </c>
      <c r="T924" s="10" t="inlineStr"/>
    </row>
    <row r="925">
      <c r="A925" s="3" t="n">
        <v>46176</v>
      </c>
      <c r="B925" s="4">
        <f>IF($A925="","",TEXT($A925,"mmm-yyyy"))</f>
        <v/>
      </c>
      <c r="C925" s="4">
        <f>IF($A925="","","W"&amp;WEEKNUM($A925,2))</f>
        <v/>
      </c>
      <c r="D925" s="4">
        <f>IF($A925="","",TEXT($A925,"ddd"))</f>
        <v/>
      </c>
      <c r="E925" s="4" t="inlineStr">
        <is>
          <t>Production</t>
        </is>
      </c>
      <c r="F925" s="4">
        <f>IFERROR(INDEX(Tbl_KPIMaster[Category],MATCH($G925,Tbl_KPIMaster[KPI],0)),"")</f>
        <v/>
      </c>
      <c r="G925" s="4" t="inlineStr">
        <is>
          <t>Production Output</t>
        </is>
      </c>
      <c r="H925" s="4">
        <f>IFERROR(INDEX(Tbl_KPIMaster[Unit],MATCH($G925,Tbl_KPIMaster[KPI],0)),"")</f>
        <v/>
      </c>
      <c r="I925" s="5">
        <f>IFERROR(INDEX(Tbl_KPIMaster[Maximum Target],MATCH($G925,Tbl_KPIMaster[KPI],0)),"")</f>
        <v/>
      </c>
      <c r="J925" s="5" t="n">
        <v>1079.97</v>
      </c>
      <c r="K925" s="4">
        <f>IFERROR(INDEX(Tbl_KPIMaster[Tolerance],MATCH($G925,Tbl_KPIMaster[KPI],0)),"")</f>
        <v/>
      </c>
      <c r="L925" s="4">
        <f>IFERROR(INDEX(Tbl_KPIMaster[Owner],MATCH($G925,Tbl_KPIMaster[KPI],0)),"")</f>
        <v/>
      </c>
      <c r="M925" s="6" t="inlineStr">
        <is>
          <t>Line changeover impact</t>
        </is>
      </c>
      <c r="N925" s="4" t="inlineStr">
        <is>
          <t>Procurement follow-up</t>
        </is>
      </c>
      <c r="O925" s="4" t="inlineStr">
        <is>
          <t>Low</t>
        </is>
      </c>
      <c r="P925" s="4" t="inlineStr">
        <is>
          <t>Closed</t>
        </is>
      </c>
      <c r="Q925" s="5">
        <f>IFERROR(IF(INDEX(Tbl_KPIMaster[Direction],MATCH($G925,Tbl_KPIMaster[KPI],0))="Lower is Better",IF($J925=0,1,IF($I925=0,0,$I925/$J925)),IF($I925=0,1,$J925/$I925)),0)</f>
        <v/>
      </c>
      <c r="R925" s="4">
        <f>IF(OR($I925="",$J925=""),"",$J925-$I925)</f>
        <v/>
      </c>
      <c r="S925" s="4">
        <f>IFERROR(IF(INDEX(Tbl_KPIMaster[Direction],MATCH($G925,Tbl_KPIMaster[KPI],0))="Lower is Better",IF($J925&lt;=$I925,"Green",IF($J925&lt;=$I925+IF($I925=0,$K925,$I925*$K925),"Amber","Red")),IF($J925&gt;=$I925,"Green",IF($J925&gt;=$I925-IF($I925=0,$K925,$I925*$K925),"Amber","Red"))),"")</f>
        <v/>
      </c>
      <c r="T925" s="6" t="inlineStr"/>
    </row>
    <row r="926">
      <c r="A926" s="7" t="n">
        <v>46176</v>
      </c>
      <c r="B926" s="8">
        <f>IF($A926="","",TEXT($A926,"mmm-yyyy"))</f>
        <v/>
      </c>
      <c r="C926" s="8">
        <f>IF($A926="","","W"&amp;WEEKNUM($A926,2))</f>
        <v/>
      </c>
      <c r="D926" s="8">
        <f>IF($A926="","",TEXT($A926,"ddd"))</f>
        <v/>
      </c>
      <c r="E926" s="8" t="inlineStr">
        <is>
          <t>Production</t>
        </is>
      </c>
      <c r="F926" s="8">
        <f>IFERROR(INDEX(Tbl_KPIMaster[Category],MATCH($G926,Tbl_KPIMaster[KPI],0)),"")</f>
        <v/>
      </c>
      <c r="G926" s="8" t="inlineStr">
        <is>
          <t>OEE %</t>
        </is>
      </c>
      <c r="H926" s="8">
        <f>IFERROR(INDEX(Tbl_KPIMaster[Unit],MATCH($G926,Tbl_KPIMaster[KPI],0)),"")</f>
        <v/>
      </c>
      <c r="I926" s="9">
        <f>IFERROR(INDEX(Tbl_KPIMaster[Maximum Target],MATCH($G926,Tbl_KPIMaster[KPI],0)),"")</f>
        <v/>
      </c>
      <c r="J926" s="9" t="n">
        <v>0.7577</v>
      </c>
      <c r="K926" s="8">
        <f>IFERROR(INDEX(Tbl_KPIMaster[Tolerance],MATCH($G926,Tbl_KPIMaster[KPI],0)),"")</f>
        <v/>
      </c>
      <c r="L926" s="8">
        <f>IFERROR(INDEX(Tbl_KPIMaster[Owner],MATCH($G926,Tbl_KPIMaster[KPI],0)),"")</f>
        <v/>
      </c>
      <c r="M926" s="10" t="inlineStr"/>
      <c r="N926" s="8" t="inlineStr">
        <is>
          <t>Management approval pending</t>
        </is>
      </c>
      <c r="O926" s="8" t="inlineStr">
        <is>
          <t>Medium</t>
        </is>
      </c>
      <c r="P926" s="8" t="inlineStr">
        <is>
          <t>Closed</t>
        </is>
      </c>
      <c r="Q926" s="9">
        <f>IFERROR(IF(INDEX(Tbl_KPIMaster[Direction],MATCH($G926,Tbl_KPIMaster[KPI],0))="Lower is Better",IF($J926=0,1,IF($I926=0,0,$I926/$J926)),IF($I926=0,1,$J926/$I926)),0)</f>
        <v/>
      </c>
      <c r="R926" s="8">
        <f>IF(OR($I926="",$J926=""),"",$J926-$I926)</f>
        <v/>
      </c>
      <c r="S926" s="8">
        <f>IFERROR(IF(INDEX(Tbl_KPIMaster[Direction],MATCH($G926,Tbl_KPIMaster[KPI],0))="Lower is Better",IF($J926&lt;=$I926,"Green",IF($J926&lt;=$I926+IF($I926=0,$K926,$I926*$K926),"Amber","Red")),IF($J926&gt;=$I926,"Green",IF($J926&gt;=$I926-IF($I926=0,$K926,$I926*$K926),"Amber","Red"))),"")</f>
        <v/>
      </c>
      <c r="T926" s="10" t="inlineStr"/>
    </row>
    <row r="927">
      <c r="A927" s="3" t="n">
        <v>46176</v>
      </c>
      <c r="B927" s="4">
        <f>IF($A927="","",TEXT($A927,"mmm-yyyy"))</f>
        <v/>
      </c>
      <c r="C927" s="4">
        <f>IF($A927="","","W"&amp;WEEKNUM($A927,2))</f>
        <v/>
      </c>
      <c r="D927" s="4">
        <f>IF($A927="","",TEXT($A927,"ddd"))</f>
        <v/>
      </c>
      <c r="E927" s="4" t="inlineStr">
        <is>
          <t>Quality</t>
        </is>
      </c>
      <c r="F927" s="4">
        <f>IFERROR(INDEX(Tbl_KPIMaster[Category],MATCH($G927,Tbl_KPIMaster[KPI],0)),"")</f>
        <v/>
      </c>
      <c r="G927" s="4" t="inlineStr">
        <is>
          <t>Defect Rate %</t>
        </is>
      </c>
      <c r="H927" s="4">
        <f>IFERROR(INDEX(Tbl_KPIMaster[Unit],MATCH($G927,Tbl_KPIMaster[KPI],0)),"")</f>
        <v/>
      </c>
      <c r="I927" s="5">
        <f>IFERROR(INDEX(Tbl_KPIMaster[Maximum Target],MATCH($G927,Tbl_KPIMaster[KPI],0)),"")</f>
        <v/>
      </c>
      <c r="J927" s="5" t="n">
        <v>0.7239</v>
      </c>
      <c r="K927" s="4">
        <f>IFERROR(INDEX(Tbl_KPIMaster[Tolerance],MATCH($G927,Tbl_KPIMaster[KPI],0)),"")</f>
        <v/>
      </c>
      <c r="L927" s="4">
        <f>IFERROR(INDEX(Tbl_KPIMaster[Owner],MATCH($G927,Tbl_KPIMaster[KPI],0)),"")</f>
        <v/>
      </c>
      <c r="M927" s="6" t="inlineStr">
        <is>
          <t>Preventive check done</t>
        </is>
      </c>
      <c r="N927" s="4" t="inlineStr">
        <is>
          <t>Procurement follow-up</t>
        </is>
      </c>
      <c r="O927" s="4" t="inlineStr">
        <is>
          <t>Low</t>
        </is>
      </c>
      <c r="P927" s="4" t="inlineStr">
        <is>
          <t>Closed</t>
        </is>
      </c>
      <c r="Q927" s="5">
        <f>IFERROR(IF(INDEX(Tbl_KPIMaster[Direction],MATCH($G927,Tbl_KPIMaster[KPI],0))="Lower is Better",IF($J927=0,1,IF($I927=0,0,$I927/$J927)),IF($I927=0,1,$J927/$I927)),0)</f>
        <v/>
      </c>
      <c r="R927" s="4">
        <f>IF(OR($I927="",$J927=""),"",$J927-$I927)</f>
        <v/>
      </c>
      <c r="S927" s="4">
        <f>IFERROR(IF(INDEX(Tbl_KPIMaster[Direction],MATCH($G927,Tbl_KPIMaster[KPI],0))="Lower is Better",IF($J927&lt;=$I927,"Green",IF($J927&lt;=$I927+IF($I927=0,$K927,$I927*$K927),"Amber","Red")),IF($J927&gt;=$I927,"Green",IF($J927&gt;=$I927-IF($I927=0,$K927,$I927*$K927),"Amber","Red"))),"")</f>
        <v/>
      </c>
      <c r="T927" s="6" t="inlineStr"/>
    </row>
    <row r="928">
      <c r="A928" s="7" t="n">
        <v>46176</v>
      </c>
      <c r="B928" s="8">
        <f>IF($A928="","",TEXT($A928,"mmm-yyyy"))</f>
        <v/>
      </c>
      <c r="C928" s="8">
        <f>IF($A928="","","W"&amp;WEEKNUM($A928,2))</f>
        <v/>
      </c>
      <c r="D928" s="8">
        <f>IF($A928="","",TEXT($A928,"ddd"))</f>
        <v/>
      </c>
      <c r="E928" s="8" t="inlineStr">
        <is>
          <t>Quality</t>
        </is>
      </c>
      <c r="F928" s="8">
        <f>IFERROR(INDEX(Tbl_KPIMaster[Category],MATCH($G928,Tbl_KPIMaster[KPI],0)),"")</f>
        <v/>
      </c>
      <c r="G928" s="8" t="inlineStr">
        <is>
          <t>Customer Complaints</t>
        </is>
      </c>
      <c r="H928" s="8">
        <f>IFERROR(INDEX(Tbl_KPIMaster[Unit],MATCH($G928,Tbl_KPIMaster[KPI],0)),"")</f>
        <v/>
      </c>
      <c r="I928" s="9">
        <f>IFERROR(INDEX(Tbl_KPIMaster[Maximum Target],MATCH($G928,Tbl_KPIMaster[KPI],0)),"")</f>
        <v/>
      </c>
      <c r="J928" s="9" t="n">
        <v>1</v>
      </c>
      <c r="K928" s="8">
        <f>IFERROR(INDEX(Tbl_KPIMaster[Tolerance],MATCH($G928,Tbl_KPIMaster[KPI],0)),"")</f>
        <v/>
      </c>
      <c r="L928" s="8">
        <f>IFERROR(INDEX(Tbl_KPIMaster[Owner],MATCH($G928,Tbl_KPIMaster[KPI],0)),"")</f>
        <v/>
      </c>
      <c r="M928" s="10" t="inlineStr">
        <is>
          <t>Line changeover impact</t>
        </is>
      </c>
      <c r="N928" s="8" t="inlineStr">
        <is>
          <t>Management approval pending</t>
        </is>
      </c>
      <c r="O928" s="8" t="inlineStr">
        <is>
          <t>Medium</t>
        </is>
      </c>
      <c r="P928" s="8" t="inlineStr">
        <is>
          <t>Closed</t>
        </is>
      </c>
      <c r="Q928" s="9">
        <f>IFERROR(IF(INDEX(Tbl_KPIMaster[Direction],MATCH($G928,Tbl_KPIMaster[KPI],0))="Lower is Better",IF($J928=0,1,IF($I928=0,0,$I928/$J928)),IF($I928=0,1,$J928/$I928)),0)</f>
        <v/>
      </c>
      <c r="R928" s="8">
        <f>IF(OR($I928="",$J928=""),"",$J928-$I928)</f>
        <v/>
      </c>
      <c r="S928" s="8">
        <f>IFERROR(IF(INDEX(Tbl_KPIMaster[Direction],MATCH($G928,Tbl_KPIMaster[KPI],0))="Lower is Better",IF($J928&lt;=$I928,"Green",IF($J928&lt;=$I928+IF($I928=0,$K928,$I928*$K928),"Amber","Red")),IF($J928&gt;=$I928,"Green",IF($J928&gt;=$I928-IF($I928=0,$K928,$I928*$K928),"Amber","Red"))),"")</f>
        <v/>
      </c>
      <c r="T928" s="10" t="inlineStr"/>
    </row>
    <row r="929">
      <c r="A929" s="3" t="n">
        <v>46176</v>
      </c>
      <c r="B929" s="4">
        <f>IF($A929="","",TEXT($A929,"mmm-yyyy"))</f>
        <v/>
      </c>
      <c r="C929" s="4">
        <f>IF($A929="","","W"&amp;WEEKNUM($A929,2))</f>
        <v/>
      </c>
      <c r="D929" s="4">
        <f>IF($A929="","",TEXT($A929,"ddd"))</f>
        <v/>
      </c>
      <c r="E929" s="4" t="inlineStr">
        <is>
          <t>Maintenance</t>
        </is>
      </c>
      <c r="F929" s="4">
        <f>IFERROR(INDEX(Tbl_KPIMaster[Category],MATCH($G929,Tbl_KPIMaster[KPI],0)),"")</f>
        <v/>
      </c>
      <c r="G929" s="4" t="inlineStr">
        <is>
          <t>Unplanned Downtime</t>
        </is>
      </c>
      <c r="H929" s="4">
        <f>IFERROR(INDEX(Tbl_KPIMaster[Unit],MATCH($G929,Tbl_KPIMaster[KPI],0)),"")</f>
        <v/>
      </c>
      <c r="I929" s="5">
        <f>IFERROR(INDEX(Tbl_KPIMaster[Maximum Target],MATCH($G929,Tbl_KPIMaster[KPI],0)),"")</f>
        <v/>
      </c>
      <c r="J929" s="5" t="n">
        <v>0</v>
      </c>
      <c r="K929" s="4">
        <f>IFERROR(INDEX(Tbl_KPIMaster[Tolerance],MATCH($G929,Tbl_KPIMaster[KPI],0)),"")</f>
        <v/>
      </c>
      <c r="L929" s="4">
        <f>IFERROR(INDEX(Tbl_KPIMaster[Owner],MATCH($G929,Tbl_KPIMaster[KPI],0)),"")</f>
        <v/>
      </c>
      <c r="M929" s="6" t="inlineStr">
        <is>
          <t>Vendor delay</t>
        </is>
      </c>
      <c r="N929" s="4" t="inlineStr">
        <is>
          <t>Engineering support needed</t>
        </is>
      </c>
      <c r="O929" s="4" t="inlineStr">
        <is>
          <t>Low</t>
        </is>
      </c>
      <c r="P929" s="4" t="inlineStr">
        <is>
          <t>Closed</t>
        </is>
      </c>
      <c r="Q929" s="5">
        <f>IFERROR(IF(INDEX(Tbl_KPIMaster[Direction],MATCH($G929,Tbl_KPIMaster[KPI],0))="Lower is Better",IF($J929=0,1,IF($I929=0,0,$I929/$J929)),IF($I929=0,1,$J929/$I929)),0)</f>
        <v/>
      </c>
      <c r="R929" s="4">
        <f>IF(OR($I929="",$J929=""),"",$J929-$I929)</f>
        <v/>
      </c>
      <c r="S929" s="4">
        <f>IFERROR(IF(INDEX(Tbl_KPIMaster[Direction],MATCH($G929,Tbl_KPIMaster[KPI],0))="Lower is Better",IF($J929&lt;=$I929,"Green",IF($J929&lt;=$I929+IF($I929=0,$K929,$I929*$K929),"Amber","Red")),IF($J929&gt;=$I929,"Green",IF($J929&gt;=$I929-IF($I929=0,$K929,$I929*$K929),"Amber","Red"))),"")</f>
        <v/>
      </c>
      <c r="T929" s="6" t="inlineStr"/>
    </row>
    <row r="930">
      <c r="A930" s="7" t="n">
        <v>46176</v>
      </c>
      <c r="B930" s="8">
        <f>IF($A930="","",TEXT($A930,"mmm-yyyy"))</f>
        <v/>
      </c>
      <c r="C930" s="8">
        <f>IF($A930="","","W"&amp;WEEKNUM($A930,2))</f>
        <v/>
      </c>
      <c r="D930" s="8">
        <f>IF($A930="","",TEXT($A930,"ddd"))</f>
        <v/>
      </c>
      <c r="E930" s="8" t="inlineStr">
        <is>
          <t>Maintenance</t>
        </is>
      </c>
      <c r="F930" s="8">
        <f>IFERROR(INDEX(Tbl_KPIMaster[Category],MATCH($G930,Tbl_KPIMaster[KPI],0)),"")</f>
        <v/>
      </c>
      <c r="G930" s="8" t="inlineStr">
        <is>
          <t>PM Compliance %</t>
        </is>
      </c>
      <c r="H930" s="8">
        <f>IFERROR(INDEX(Tbl_KPIMaster[Unit],MATCH($G930,Tbl_KPIMaster[KPI],0)),"")</f>
        <v/>
      </c>
      <c r="I930" s="9">
        <f>IFERROR(INDEX(Tbl_KPIMaster[Maximum Target],MATCH($G930,Tbl_KPIMaster[KPI],0)),"")</f>
        <v/>
      </c>
      <c r="J930" s="9" t="n">
        <v>0.7885</v>
      </c>
      <c r="K930" s="8">
        <f>IFERROR(INDEX(Tbl_KPIMaster[Tolerance],MATCH($G930,Tbl_KPIMaster[KPI],0)),"")</f>
        <v/>
      </c>
      <c r="L930" s="8">
        <f>IFERROR(INDEX(Tbl_KPIMaster[Owner],MATCH($G930,Tbl_KPIMaster[KPI],0)),"")</f>
        <v/>
      </c>
      <c r="M930" s="10" t="inlineStr">
        <is>
          <t>Preventive check done</t>
        </is>
      </c>
      <c r="N930" s="8" t="inlineStr"/>
      <c r="O930" s="8" t="inlineStr">
        <is>
          <t>Medium</t>
        </is>
      </c>
      <c r="P930" s="8" t="inlineStr">
        <is>
          <t>Closed</t>
        </is>
      </c>
      <c r="Q930" s="9">
        <f>IFERROR(IF(INDEX(Tbl_KPIMaster[Direction],MATCH($G930,Tbl_KPIMaster[KPI],0))="Lower is Better",IF($J930=0,1,IF($I930=0,0,$I930/$J930)),IF($I930=0,1,$J930/$I930)),0)</f>
        <v/>
      </c>
      <c r="R930" s="8">
        <f>IF(OR($I930="",$J930=""),"",$J930-$I930)</f>
        <v/>
      </c>
      <c r="S930" s="8">
        <f>IFERROR(IF(INDEX(Tbl_KPIMaster[Direction],MATCH($G930,Tbl_KPIMaster[KPI],0))="Lower is Better",IF($J930&lt;=$I930,"Green",IF($J930&lt;=$I930+IF($I930=0,$K930,$I930*$K930),"Amber","Red")),IF($J930&gt;=$I930,"Green",IF($J930&gt;=$I930-IF($I930=0,$K930,$I930*$K930),"Amber","Red"))),"")</f>
        <v/>
      </c>
      <c r="T930" s="10" t="inlineStr"/>
    </row>
    <row r="931">
      <c r="A931" s="3" t="n">
        <v>46176</v>
      </c>
      <c r="B931" s="4">
        <f>IF($A931="","",TEXT($A931,"mmm-yyyy"))</f>
        <v/>
      </c>
      <c r="C931" s="4">
        <f>IF($A931="","","W"&amp;WEEKNUM($A931,2))</f>
        <v/>
      </c>
      <c r="D931" s="4">
        <f>IF($A931="","",TEXT($A931,"ddd"))</f>
        <v/>
      </c>
      <c r="E931" s="4" t="inlineStr">
        <is>
          <t>Utilities</t>
        </is>
      </c>
      <c r="F931" s="4">
        <f>IFERROR(INDEX(Tbl_KPIMaster[Category],MATCH($G931,Tbl_KPIMaster[KPI],0)),"")</f>
        <v/>
      </c>
      <c r="G931" s="4" t="inlineStr">
        <is>
          <t>Power Consumption</t>
        </is>
      </c>
      <c r="H931" s="4">
        <f>IFERROR(INDEX(Tbl_KPIMaster[Unit],MATCH($G931,Tbl_KPIMaster[KPI],0)),"")</f>
        <v/>
      </c>
      <c r="I931" s="5">
        <f>IFERROR(INDEX(Tbl_KPIMaster[Maximum Target],MATCH($G931,Tbl_KPIMaster[KPI],0)),"")</f>
        <v/>
      </c>
      <c r="J931" s="5" t="n">
        <v>4426.51</v>
      </c>
      <c r="K931" s="4">
        <f>IFERROR(INDEX(Tbl_KPIMaster[Tolerance],MATCH($G931,Tbl_KPIMaster[KPI],0)),"")</f>
        <v/>
      </c>
      <c r="L931" s="4">
        <f>IFERROR(INDEX(Tbl_KPIMaster[Owner],MATCH($G931,Tbl_KPIMaster[KPI],0)),"")</f>
        <v/>
      </c>
      <c r="M931" s="6" t="inlineStr"/>
      <c r="N931" s="4" t="inlineStr">
        <is>
          <t>Engineering support needed</t>
        </is>
      </c>
      <c r="O931" s="4" t="inlineStr">
        <is>
          <t>Medium</t>
        </is>
      </c>
      <c r="P931" s="4" t="inlineStr">
        <is>
          <t>Closed</t>
        </is>
      </c>
      <c r="Q931" s="5">
        <f>IFERROR(IF(INDEX(Tbl_KPIMaster[Direction],MATCH($G931,Tbl_KPIMaster[KPI],0))="Lower is Better",IF($J931=0,1,IF($I931=0,0,$I931/$J931)),IF($I931=0,1,$J931/$I931)),0)</f>
        <v/>
      </c>
      <c r="R931" s="4">
        <f>IF(OR($I931="",$J931=""),"",$J931-$I931)</f>
        <v/>
      </c>
      <c r="S931" s="4">
        <f>IFERROR(IF(INDEX(Tbl_KPIMaster[Direction],MATCH($G931,Tbl_KPIMaster[KPI],0))="Lower is Better",IF($J931&lt;=$I931,"Green",IF($J931&lt;=$I931+IF($I931=0,$K931,$I931*$K931),"Amber","Red")),IF($J931&gt;=$I931,"Green",IF($J931&gt;=$I931-IF($I931=0,$K931,$I931*$K931),"Amber","Red"))),"")</f>
        <v/>
      </c>
      <c r="T931" s="6" t="inlineStr"/>
    </row>
    <row r="932">
      <c r="A932" s="7" t="n">
        <v>46176</v>
      </c>
      <c r="B932" s="8">
        <f>IF($A932="","",TEXT($A932,"mmm-yyyy"))</f>
        <v/>
      </c>
      <c r="C932" s="8">
        <f>IF($A932="","","W"&amp;WEEKNUM($A932,2))</f>
        <v/>
      </c>
      <c r="D932" s="8">
        <f>IF($A932="","",TEXT($A932,"ddd"))</f>
        <v/>
      </c>
      <c r="E932" s="8" t="inlineStr">
        <is>
          <t>Utilities</t>
        </is>
      </c>
      <c r="F932" s="8">
        <f>IFERROR(INDEX(Tbl_KPIMaster[Category],MATCH($G932,Tbl_KPIMaster[KPI],0)),"")</f>
        <v/>
      </c>
      <c r="G932" s="8" t="inlineStr">
        <is>
          <t>Water Consumption</t>
        </is>
      </c>
      <c r="H932" s="8">
        <f>IFERROR(INDEX(Tbl_KPIMaster[Unit],MATCH($G932,Tbl_KPIMaster[KPI],0)),"")</f>
        <v/>
      </c>
      <c r="I932" s="9">
        <f>IFERROR(INDEX(Tbl_KPIMaster[Maximum Target],MATCH($G932,Tbl_KPIMaster[KPI],0)),"")</f>
        <v/>
      </c>
      <c r="J932" s="9" t="n">
        <v>60.54</v>
      </c>
      <c r="K932" s="8">
        <f>IFERROR(INDEX(Tbl_KPIMaster[Tolerance],MATCH($G932,Tbl_KPIMaster[KPI],0)),"")</f>
        <v/>
      </c>
      <c r="L932" s="8">
        <f>IFERROR(INDEX(Tbl_KPIMaster[Owner],MATCH($G932,Tbl_KPIMaster[KPI],0)),"")</f>
        <v/>
      </c>
      <c r="M932" s="10" t="inlineStr">
        <is>
          <t>Vendor delay</t>
        </is>
      </c>
      <c r="N932" s="8" t="inlineStr"/>
      <c r="O932" s="8" t="inlineStr">
        <is>
          <t>Low</t>
        </is>
      </c>
      <c r="P932" s="8" t="inlineStr">
        <is>
          <t>Open</t>
        </is>
      </c>
      <c r="Q932" s="9">
        <f>IFERROR(IF(INDEX(Tbl_KPIMaster[Direction],MATCH($G932,Tbl_KPIMaster[KPI],0))="Lower is Better",IF($J932=0,1,IF($I932=0,0,$I932/$J932)),IF($I932=0,1,$J932/$I932)),0)</f>
        <v/>
      </c>
      <c r="R932" s="8">
        <f>IF(OR($I932="",$J932=""),"",$J932-$I932)</f>
        <v/>
      </c>
      <c r="S932" s="8">
        <f>IFERROR(IF(INDEX(Tbl_KPIMaster[Direction],MATCH($G932,Tbl_KPIMaster[KPI],0))="Lower is Better",IF($J932&lt;=$I932,"Green",IF($J932&lt;=$I932+IF($I932=0,$K932,$I932*$K932),"Amber","Red")),IF($J932&gt;=$I932,"Green",IF($J932&gt;=$I932-IF($I932=0,$K932,$I932*$K932),"Amber","Red"))),"")</f>
        <v/>
      </c>
      <c r="T932" s="10" t="inlineStr"/>
    </row>
    <row r="933">
      <c r="A933" s="3" t="n">
        <v>46176</v>
      </c>
      <c r="B933" s="4">
        <f>IF($A933="","",TEXT($A933,"mmm-yyyy"))</f>
        <v/>
      </c>
      <c r="C933" s="4">
        <f>IF($A933="","","W"&amp;WEEKNUM($A933,2))</f>
        <v/>
      </c>
      <c r="D933" s="4">
        <f>IF($A933="","",TEXT($A933,"ddd"))</f>
        <v/>
      </c>
      <c r="E933" s="4" t="inlineStr">
        <is>
          <t>Warehouse</t>
        </is>
      </c>
      <c r="F933" s="4">
        <f>IFERROR(INDEX(Tbl_KPIMaster[Category],MATCH($G933,Tbl_KPIMaster[KPI],0)),"")</f>
        <v/>
      </c>
      <c r="G933" s="4" t="inlineStr">
        <is>
          <t>On-Time Dispatch %</t>
        </is>
      </c>
      <c r="H933" s="4">
        <f>IFERROR(INDEX(Tbl_KPIMaster[Unit],MATCH($G933,Tbl_KPIMaster[KPI],0)),"")</f>
        <v/>
      </c>
      <c r="I933" s="5">
        <f>IFERROR(INDEX(Tbl_KPIMaster[Maximum Target],MATCH($G933,Tbl_KPIMaster[KPI],0)),"")</f>
        <v/>
      </c>
      <c r="J933" s="5" t="n">
        <v>0.9301</v>
      </c>
      <c r="K933" s="4">
        <f>IFERROR(INDEX(Tbl_KPIMaster[Tolerance],MATCH($G933,Tbl_KPIMaster[KPI],0)),"")</f>
        <v/>
      </c>
      <c r="L933" s="4">
        <f>IFERROR(INDEX(Tbl_KPIMaster[Owner],MATCH($G933,Tbl_KPIMaster[KPI],0)),"")</f>
        <v/>
      </c>
      <c r="M933" s="6" t="inlineStr">
        <is>
          <t>Equipment breakdown</t>
        </is>
      </c>
      <c r="N933" s="4" t="inlineStr"/>
      <c r="O933" s="4" t="inlineStr">
        <is>
          <t>High</t>
        </is>
      </c>
      <c r="P933" s="4" t="inlineStr">
        <is>
          <t>Closed</t>
        </is>
      </c>
      <c r="Q933" s="5">
        <f>IFERROR(IF(INDEX(Tbl_KPIMaster[Direction],MATCH($G933,Tbl_KPIMaster[KPI],0))="Lower is Better",IF($J933=0,1,IF($I933=0,0,$I933/$J933)),IF($I933=0,1,$J933/$I933)),0)</f>
        <v/>
      </c>
      <c r="R933" s="4">
        <f>IF(OR($I933="",$J933=""),"",$J933-$I933)</f>
        <v/>
      </c>
      <c r="S933" s="4">
        <f>IFERROR(IF(INDEX(Tbl_KPIMaster[Direction],MATCH($G933,Tbl_KPIMaster[KPI],0))="Lower is Better",IF($J933&lt;=$I933,"Green",IF($J933&lt;=$I933+IF($I933=0,$K933,$I933*$K933),"Amber","Red")),IF($J933&gt;=$I933,"Green",IF($J933&gt;=$I933-IF($I933=0,$K933,$I933*$K933),"Amber","Red"))),"")</f>
        <v/>
      </c>
      <c r="T933" s="6" t="inlineStr"/>
    </row>
    <row r="934">
      <c r="A934" s="7" t="n">
        <v>46176</v>
      </c>
      <c r="B934" s="8">
        <f>IF($A934="","",TEXT($A934,"mmm-yyyy"))</f>
        <v/>
      </c>
      <c r="C934" s="8">
        <f>IF($A934="","","W"&amp;WEEKNUM($A934,2))</f>
        <v/>
      </c>
      <c r="D934" s="8">
        <f>IF($A934="","",TEXT($A934,"ddd"))</f>
        <v/>
      </c>
      <c r="E934" s="8" t="inlineStr">
        <is>
          <t>Warehouse</t>
        </is>
      </c>
      <c r="F934" s="8">
        <f>IFERROR(INDEX(Tbl_KPIMaster[Category],MATCH($G934,Tbl_KPIMaster[KPI],0)),"")</f>
        <v/>
      </c>
      <c r="G934" s="8" t="inlineStr">
        <is>
          <t>Inventory Accuracy %</t>
        </is>
      </c>
      <c r="H934" s="8">
        <f>IFERROR(INDEX(Tbl_KPIMaster[Unit],MATCH($G934,Tbl_KPIMaster[KPI],0)),"")</f>
        <v/>
      </c>
      <c r="I934" s="9">
        <f>IFERROR(INDEX(Tbl_KPIMaster[Maximum Target],MATCH($G934,Tbl_KPIMaster[KPI],0)),"")</f>
        <v/>
      </c>
      <c r="J934" s="9" t="n">
        <v>0.9752</v>
      </c>
      <c r="K934" s="8">
        <f>IFERROR(INDEX(Tbl_KPIMaster[Tolerance],MATCH($G934,Tbl_KPIMaster[KPI],0)),"")</f>
        <v/>
      </c>
      <c r="L934" s="8">
        <f>IFERROR(INDEX(Tbl_KPIMaster[Owner],MATCH($G934,Tbl_KPIMaster[KPI],0)),"")</f>
        <v/>
      </c>
      <c r="M934" s="10" t="inlineStr">
        <is>
          <t>Weather impact</t>
        </is>
      </c>
      <c r="N934" s="8" t="inlineStr"/>
      <c r="O934" s="8" t="inlineStr">
        <is>
          <t>Low</t>
        </is>
      </c>
      <c r="P934" s="8" t="inlineStr">
        <is>
          <t>Closed</t>
        </is>
      </c>
      <c r="Q934" s="9">
        <f>IFERROR(IF(INDEX(Tbl_KPIMaster[Direction],MATCH($G934,Tbl_KPIMaster[KPI],0))="Lower is Better",IF($J934=0,1,IF($I934=0,0,$I934/$J934)),IF($I934=0,1,$J934/$I934)),0)</f>
        <v/>
      </c>
      <c r="R934" s="8">
        <f>IF(OR($I934="",$J934=""),"",$J934-$I934)</f>
        <v/>
      </c>
      <c r="S934" s="8">
        <f>IFERROR(IF(INDEX(Tbl_KPIMaster[Direction],MATCH($G934,Tbl_KPIMaster[KPI],0))="Lower is Better",IF($J934&lt;=$I934,"Green",IF($J934&lt;=$I934+IF($I934=0,$K934,$I934*$K934),"Amber","Red")),IF($J934&gt;=$I934,"Green",IF($J934&gt;=$I934-IF($I934=0,$K934,$I934*$K934),"Amber","Red"))),"")</f>
        <v/>
      </c>
      <c r="T934" s="10" t="inlineStr"/>
    </row>
    <row r="935">
      <c r="A935" s="3" t="n">
        <v>46176</v>
      </c>
      <c r="B935" s="4">
        <f>IF($A935="","",TEXT($A935,"mmm-yyyy"))</f>
        <v/>
      </c>
      <c r="C935" s="4">
        <f>IF($A935="","","W"&amp;WEEKNUM($A935,2))</f>
        <v/>
      </c>
      <c r="D935" s="4">
        <f>IF($A935="","",TEXT($A935,"ddd"))</f>
        <v/>
      </c>
      <c r="E935" s="4" t="inlineStr">
        <is>
          <t>HR</t>
        </is>
      </c>
      <c r="F935" s="4">
        <f>IFERROR(INDEX(Tbl_KPIMaster[Category],MATCH($G935,Tbl_KPIMaster[KPI],0)),"")</f>
        <v/>
      </c>
      <c r="G935" s="4" t="inlineStr">
        <is>
          <t>Absenteeism %</t>
        </is>
      </c>
      <c r="H935" s="4">
        <f>IFERROR(INDEX(Tbl_KPIMaster[Unit],MATCH($G935,Tbl_KPIMaster[KPI],0)),"")</f>
        <v/>
      </c>
      <c r="I935" s="5">
        <f>IFERROR(INDEX(Tbl_KPIMaster[Maximum Target],MATCH($G935,Tbl_KPIMaster[KPI],0)),"")</f>
        <v/>
      </c>
      <c r="J935" s="5" t="n">
        <v>0.2805</v>
      </c>
      <c r="K935" s="4">
        <f>IFERROR(INDEX(Tbl_KPIMaster[Tolerance],MATCH($G935,Tbl_KPIMaster[KPI],0)),"")</f>
        <v/>
      </c>
      <c r="L935" s="4">
        <f>IFERROR(INDEX(Tbl_KPIMaster[Owner],MATCH($G935,Tbl_KPIMaster[KPI],0)),"")</f>
        <v/>
      </c>
      <c r="M935" s="6" t="inlineStr">
        <is>
          <t>Vendor delay</t>
        </is>
      </c>
      <c r="N935" s="4" t="inlineStr">
        <is>
          <t>Management approval pending</t>
        </is>
      </c>
      <c r="O935" s="4" t="inlineStr">
        <is>
          <t>Low</t>
        </is>
      </c>
      <c r="P935" s="4" t="inlineStr">
        <is>
          <t>Open</t>
        </is>
      </c>
      <c r="Q935" s="5">
        <f>IFERROR(IF(INDEX(Tbl_KPIMaster[Direction],MATCH($G935,Tbl_KPIMaster[KPI],0))="Lower is Better",IF($J935=0,1,IF($I935=0,0,$I935/$J935)),IF($I935=0,1,$J935/$I935)),0)</f>
        <v/>
      </c>
      <c r="R935" s="4">
        <f>IF(OR($I935="",$J935=""),"",$J935-$I935)</f>
        <v/>
      </c>
      <c r="S935" s="4">
        <f>IFERROR(IF(INDEX(Tbl_KPIMaster[Direction],MATCH($G935,Tbl_KPIMaster[KPI],0))="Lower is Better",IF($J935&lt;=$I935,"Green",IF($J935&lt;=$I935+IF($I935=0,$K935,$I935*$K935),"Amber","Red")),IF($J935&gt;=$I935,"Green",IF($J935&gt;=$I935-IF($I935=0,$K935,$I935*$K935),"Amber","Red"))),"")</f>
        <v/>
      </c>
      <c r="T935" s="6" t="inlineStr"/>
    </row>
    <row r="936">
      <c r="A936" s="7" t="n">
        <v>46176</v>
      </c>
      <c r="B936" s="8">
        <f>IF($A936="","",TEXT($A936,"mmm-yyyy"))</f>
        <v/>
      </c>
      <c r="C936" s="8">
        <f>IF($A936="","","W"&amp;WEEKNUM($A936,2))</f>
        <v/>
      </c>
      <c r="D936" s="8">
        <f>IF($A936="","",TEXT($A936,"ddd"))</f>
        <v/>
      </c>
      <c r="E936" s="8" t="inlineStr">
        <is>
          <t>HR</t>
        </is>
      </c>
      <c r="F936" s="8">
        <f>IFERROR(INDEX(Tbl_KPIMaster[Category],MATCH($G936,Tbl_KPIMaster[KPI],0)),"")</f>
        <v/>
      </c>
      <c r="G936" s="8" t="inlineStr">
        <is>
          <t>Training Hours</t>
        </is>
      </c>
      <c r="H936" s="8">
        <f>IFERROR(INDEX(Tbl_KPIMaster[Unit],MATCH($G936,Tbl_KPIMaster[KPI],0)),"")</f>
        <v/>
      </c>
      <c r="I936" s="9">
        <f>IFERROR(INDEX(Tbl_KPIMaster[Maximum Target],MATCH($G936,Tbl_KPIMaster[KPI],0)),"")</f>
        <v/>
      </c>
      <c r="J936" s="9" t="n">
        <v>2.16</v>
      </c>
      <c r="K936" s="8">
        <f>IFERROR(INDEX(Tbl_KPIMaster[Tolerance],MATCH($G936,Tbl_KPIMaster[KPI],0)),"")</f>
        <v/>
      </c>
      <c r="L936" s="8">
        <f>IFERROR(INDEX(Tbl_KPIMaster[Owner],MATCH($G936,Tbl_KPIMaster[KPI],0)),"")</f>
        <v/>
      </c>
      <c r="M936" s="10" t="inlineStr"/>
      <c r="N936" s="8" t="inlineStr">
        <is>
          <t>Management approval pending</t>
        </is>
      </c>
      <c r="O936" s="8" t="inlineStr">
        <is>
          <t>Medium</t>
        </is>
      </c>
      <c r="P936" s="8" t="inlineStr">
        <is>
          <t>Closed</t>
        </is>
      </c>
      <c r="Q936" s="9">
        <f>IFERROR(IF(INDEX(Tbl_KPIMaster[Direction],MATCH($G936,Tbl_KPIMaster[KPI],0))="Lower is Better",IF($J936=0,1,IF($I936=0,0,$I936/$J936)),IF($I936=0,1,$J936/$I936)),0)</f>
        <v/>
      </c>
      <c r="R936" s="8">
        <f>IF(OR($I936="",$J936=""),"",$J936-$I936)</f>
        <v/>
      </c>
      <c r="S936" s="8">
        <f>IFERROR(IF(INDEX(Tbl_KPIMaster[Direction],MATCH($G936,Tbl_KPIMaster[KPI],0))="Lower is Better",IF($J936&lt;=$I936,"Green",IF($J936&lt;=$I936+IF($I936=0,$K936,$I936*$K936),"Amber","Red")),IF($J936&gt;=$I936,"Green",IF($J936&gt;=$I936-IF($I936=0,$K936,$I936*$K936),"Amber","Red"))),"")</f>
        <v/>
      </c>
      <c r="T936" s="10" t="inlineStr"/>
    </row>
    <row r="937">
      <c r="A937" s="3" t="n">
        <v>46176</v>
      </c>
      <c r="B937" s="4">
        <f>IF($A937="","",TEXT($A937,"mmm-yyyy"))</f>
        <v/>
      </c>
      <c r="C937" s="4">
        <f>IF($A937="","","W"&amp;WEEKNUM($A937,2))</f>
        <v/>
      </c>
      <c r="D937" s="4">
        <f>IF($A937="","",TEXT($A937,"ddd"))</f>
        <v/>
      </c>
      <c r="E937" s="4" t="inlineStr">
        <is>
          <t>Engineering</t>
        </is>
      </c>
      <c r="F937" s="4">
        <f>IFERROR(INDEX(Tbl_KPIMaster[Category],MATCH($G937,Tbl_KPIMaster[KPI],0)),"")</f>
        <v/>
      </c>
      <c r="G937" s="4" t="inlineStr">
        <is>
          <t>Project Milestone Adherence %</t>
        </is>
      </c>
      <c r="H937" s="4">
        <f>IFERROR(INDEX(Tbl_KPIMaster[Unit],MATCH($G937,Tbl_KPIMaster[KPI],0)),"")</f>
        <v/>
      </c>
      <c r="I937" s="5">
        <f>IFERROR(INDEX(Tbl_KPIMaster[Maximum Target],MATCH($G937,Tbl_KPIMaster[KPI],0)),"")</f>
        <v/>
      </c>
      <c r="J937" s="5" t="n">
        <v>0.9673</v>
      </c>
      <c r="K937" s="4">
        <f>IFERROR(INDEX(Tbl_KPIMaster[Tolerance],MATCH($G937,Tbl_KPIMaster[KPI],0)),"")</f>
        <v/>
      </c>
      <c r="L937" s="4">
        <f>IFERROR(INDEX(Tbl_KPIMaster[Owner],MATCH($G937,Tbl_KPIMaster[KPI],0)),"")</f>
        <v/>
      </c>
      <c r="M937" s="6" t="inlineStr">
        <is>
          <t>Equipment breakdown</t>
        </is>
      </c>
      <c r="N937" s="4" t="inlineStr">
        <is>
          <t>Procurement follow-up</t>
        </is>
      </c>
      <c r="O937" s="4" t="inlineStr">
        <is>
          <t>Low</t>
        </is>
      </c>
      <c r="P937" s="4" t="inlineStr">
        <is>
          <t>Open</t>
        </is>
      </c>
      <c r="Q937" s="5">
        <f>IFERROR(IF(INDEX(Tbl_KPIMaster[Direction],MATCH($G937,Tbl_KPIMaster[KPI],0))="Lower is Better",IF($J937=0,1,IF($I937=0,0,$I937/$J937)),IF($I937=0,1,$J937/$I937)),0)</f>
        <v/>
      </c>
      <c r="R937" s="4">
        <f>IF(OR($I937="",$J937=""),"",$J937-$I937)</f>
        <v/>
      </c>
      <c r="S937" s="4">
        <f>IFERROR(IF(INDEX(Tbl_KPIMaster[Direction],MATCH($G937,Tbl_KPIMaster[KPI],0))="Lower is Better",IF($J937&lt;=$I937,"Green",IF($J937&lt;=$I937+IF($I937=0,$K937,$I937*$K937),"Amber","Red")),IF($J937&gt;=$I937,"Green",IF($J937&gt;=$I937-IF($I937=0,$K937,$I937*$K937),"Amber","Red"))),"")</f>
        <v/>
      </c>
      <c r="T937" s="6" t="inlineStr"/>
    </row>
    <row r="938">
      <c r="A938" s="7" t="n">
        <v>46176</v>
      </c>
      <c r="B938" s="8">
        <f>IF($A938="","",TEXT($A938,"mmm-yyyy"))</f>
        <v/>
      </c>
      <c r="C938" s="8">
        <f>IF($A938="","","W"&amp;WEEKNUM($A938,2))</f>
        <v/>
      </c>
      <c r="D938" s="8">
        <f>IF($A938="","",TEXT($A938,"ddd"))</f>
        <v/>
      </c>
      <c r="E938" s="8" t="inlineStr">
        <is>
          <t>Engineering</t>
        </is>
      </c>
      <c r="F938" s="8">
        <f>IFERROR(INDEX(Tbl_KPIMaster[Category],MATCH($G938,Tbl_KPIMaster[KPI],0)),"")</f>
        <v/>
      </c>
      <c r="G938" s="8" t="inlineStr">
        <is>
          <t>Breakdown Resolution Time</t>
        </is>
      </c>
      <c r="H938" s="8">
        <f>IFERROR(INDEX(Tbl_KPIMaster[Unit],MATCH($G938,Tbl_KPIMaster[KPI],0)),"")</f>
        <v/>
      </c>
      <c r="I938" s="9">
        <f>IFERROR(INDEX(Tbl_KPIMaster[Maximum Target],MATCH($G938,Tbl_KPIMaster[KPI],0)),"")</f>
        <v/>
      </c>
      <c r="J938" s="9" t="n">
        <v>0.83</v>
      </c>
      <c r="K938" s="8">
        <f>IFERROR(INDEX(Tbl_KPIMaster[Tolerance],MATCH($G938,Tbl_KPIMaster[KPI],0)),"")</f>
        <v/>
      </c>
      <c r="L938" s="8">
        <f>IFERROR(INDEX(Tbl_KPIMaster[Owner],MATCH($G938,Tbl_KPIMaster[KPI],0)),"")</f>
        <v/>
      </c>
      <c r="M938" s="10" t="inlineStr"/>
      <c r="N938" s="8" t="inlineStr">
        <is>
          <t>Engineering support needed</t>
        </is>
      </c>
      <c r="O938" s="8" t="inlineStr">
        <is>
          <t>High</t>
        </is>
      </c>
      <c r="P938" s="8" t="inlineStr">
        <is>
          <t>Closed</t>
        </is>
      </c>
      <c r="Q938" s="9">
        <f>IFERROR(IF(INDEX(Tbl_KPIMaster[Direction],MATCH($G938,Tbl_KPIMaster[KPI],0))="Lower is Better",IF($J938=0,1,IF($I938=0,0,$I938/$J938)),IF($I938=0,1,$J938/$I938)),0)</f>
        <v/>
      </c>
      <c r="R938" s="8">
        <f>IF(OR($I938="",$J938=""),"",$J938-$I938)</f>
        <v/>
      </c>
      <c r="S938" s="8">
        <f>IFERROR(IF(INDEX(Tbl_KPIMaster[Direction],MATCH($G938,Tbl_KPIMaster[KPI],0))="Lower is Better",IF($J938&lt;=$I938,"Green",IF($J938&lt;=$I938+IF($I938=0,$K938,$I938*$K938),"Amber","Red")),IF($J938&gt;=$I938,"Green",IF($J938&gt;=$I938-IF($I938=0,$K938,$I938*$K938),"Amber","Red"))),"")</f>
        <v/>
      </c>
      <c r="T938" s="10" t="inlineStr"/>
    </row>
    <row r="939">
      <c r="A939" s="3" t="n">
        <v>46176</v>
      </c>
      <c r="B939" s="4">
        <f>IF($A939="","",TEXT($A939,"mmm-yyyy"))</f>
        <v/>
      </c>
      <c r="C939" s="4">
        <f>IF($A939="","","W"&amp;WEEKNUM($A939,2))</f>
        <v/>
      </c>
      <c r="D939" s="4">
        <f>IF($A939="","",TEXT($A939,"ddd"))</f>
        <v/>
      </c>
      <c r="E939" s="4" t="inlineStr">
        <is>
          <t>Cost</t>
        </is>
      </c>
      <c r="F939" s="4">
        <f>IFERROR(INDEX(Tbl_KPIMaster[Category],MATCH($G939,Tbl_KPIMaster[KPI],0)),"")</f>
        <v/>
      </c>
      <c r="G939" s="4" t="inlineStr">
        <is>
          <t>Cost per Unit</t>
        </is>
      </c>
      <c r="H939" s="4">
        <f>IFERROR(INDEX(Tbl_KPIMaster[Unit],MATCH($G939,Tbl_KPIMaster[KPI],0)),"")</f>
        <v/>
      </c>
      <c r="I939" s="5">
        <f>IFERROR(INDEX(Tbl_KPIMaster[Maximum Target],MATCH($G939,Tbl_KPIMaster[KPI],0)),"")</f>
        <v/>
      </c>
      <c r="J939" s="5" t="n">
        <v>39.88</v>
      </c>
      <c r="K939" s="4">
        <f>IFERROR(INDEX(Tbl_KPIMaster[Tolerance],MATCH($G939,Tbl_KPIMaster[KPI],0)),"")</f>
        <v/>
      </c>
      <c r="L939" s="4">
        <f>IFERROR(INDEX(Tbl_KPIMaster[Owner],MATCH($G939,Tbl_KPIMaster[KPI],0)),"")</f>
        <v/>
      </c>
      <c r="M939" s="6" t="inlineStr">
        <is>
          <t>Vendor delay</t>
        </is>
      </c>
      <c r="N939" s="4" t="inlineStr"/>
      <c r="O939" s="4" t="inlineStr">
        <is>
          <t>Low</t>
        </is>
      </c>
      <c r="P939" s="4" t="inlineStr">
        <is>
          <t>In Progress</t>
        </is>
      </c>
      <c r="Q939" s="5">
        <f>IFERROR(IF(INDEX(Tbl_KPIMaster[Direction],MATCH($G939,Tbl_KPIMaster[KPI],0))="Lower is Better",IF($J939=0,1,IF($I939=0,0,$I939/$J939)),IF($I939=0,1,$J939/$I939)),0)</f>
        <v/>
      </c>
      <c r="R939" s="4">
        <f>IF(OR($I939="",$J939=""),"",$J939-$I939)</f>
        <v/>
      </c>
      <c r="S939" s="4">
        <f>IFERROR(IF(INDEX(Tbl_KPIMaster[Direction],MATCH($G939,Tbl_KPIMaster[KPI],0))="Lower is Better",IF($J939&lt;=$I939,"Green",IF($J939&lt;=$I939+IF($I939=0,$K939,$I939*$K939),"Amber","Red")),IF($J939&gt;=$I939,"Green",IF($J939&gt;=$I939-IF($I939=0,$K939,$I939*$K939),"Amber","Red"))),"")</f>
        <v/>
      </c>
      <c r="T939" s="6" t="inlineStr"/>
    </row>
    <row r="940">
      <c r="A940" s="7" t="n">
        <v>46176</v>
      </c>
      <c r="B940" s="8">
        <f>IF($A940="","",TEXT($A940,"mmm-yyyy"))</f>
        <v/>
      </c>
      <c r="C940" s="8">
        <f>IF($A940="","","W"&amp;WEEKNUM($A940,2))</f>
        <v/>
      </c>
      <c r="D940" s="8">
        <f>IF($A940="","",TEXT($A940,"ddd"))</f>
        <v/>
      </c>
      <c r="E940" s="8" t="inlineStr">
        <is>
          <t>Cost</t>
        </is>
      </c>
      <c r="F940" s="8">
        <f>IFERROR(INDEX(Tbl_KPIMaster[Category],MATCH($G940,Tbl_KPIMaster[KPI],0)),"")</f>
        <v/>
      </c>
      <c r="G940" s="8" t="inlineStr">
        <is>
          <t>Budget Variance %</t>
        </is>
      </c>
      <c r="H940" s="8">
        <f>IFERROR(INDEX(Tbl_KPIMaster[Unit],MATCH($G940,Tbl_KPIMaster[KPI],0)),"")</f>
        <v/>
      </c>
      <c r="I940" s="9">
        <f>IFERROR(INDEX(Tbl_KPIMaster[Maximum Target],MATCH($G940,Tbl_KPIMaster[KPI],0)),"")</f>
        <v/>
      </c>
      <c r="J940" s="9" t="n">
        <v>0</v>
      </c>
      <c r="K940" s="8">
        <f>IFERROR(INDEX(Tbl_KPIMaster[Tolerance],MATCH($G940,Tbl_KPIMaster[KPI],0)),"")</f>
        <v/>
      </c>
      <c r="L940" s="8">
        <f>IFERROR(INDEX(Tbl_KPIMaster[Owner],MATCH($G940,Tbl_KPIMaster[KPI],0)),"")</f>
        <v/>
      </c>
      <c r="M940" s="10" t="inlineStr">
        <is>
          <t>Manpower shortage</t>
        </is>
      </c>
      <c r="N940" s="8" t="inlineStr"/>
      <c r="O940" s="8" t="inlineStr">
        <is>
          <t>Low</t>
        </is>
      </c>
      <c r="P940" s="8" t="inlineStr">
        <is>
          <t>Open</t>
        </is>
      </c>
      <c r="Q940" s="9">
        <f>IFERROR(IF(INDEX(Tbl_KPIMaster[Direction],MATCH($G940,Tbl_KPIMaster[KPI],0))="Lower is Better",IF($J940=0,1,IF($I940=0,0,$I940/$J940)),IF($I940=0,1,$J940/$I940)),0)</f>
        <v/>
      </c>
      <c r="R940" s="8">
        <f>IF(OR($I940="",$J940=""),"",$J940-$I940)</f>
        <v/>
      </c>
      <c r="S940" s="8">
        <f>IFERROR(IF(INDEX(Tbl_KPIMaster[Direction],MATCH($G940,Tbl_KPIMaster[KPI],0))="Lower is Better",IF($J940&lt;=$I940,"Green",IF($J940&lt;=$I940+IF($I940=0,$K940,$I940*$K940),"Amber","Red")),IF($J940&gt;=$I940,"Green",IF($J940&gt;=$I940-IF($I940=0,$K940,$I940*$K940),"Amber","Red"))),"")</f>
        <v/>
      </c>
      <c r="T940" s="10" t="inlineStr"/>
    </row>
    <row r="941">
      <c r="A941" s="3" t="n">
        <v>46176</v>
      </c>
      <c r="B941" s="4">
        <f>IF($A941="","",TEXT($A941,"mmm-yyyy"))</f>
        <v/>
      </c>
      <c r="C941" s="4">
        <f>IF($A941="","","W"&amp;WEEKNUM($A941,2))</f>
        <v/>
      </c>
      <c r="D941" s="4">
        <f>IF($A941="","",TEXT($A941,"ddd"))</f>
        <v/>
      </c>
      <c r="E941" s="4" t="inlineStr">
        <is>
          <t>Energy</t>
        </is>
      </c>
      <c r="F941" s="4">
        <f>IFERROR(INDEX(Tbl_KPIMaster[Category],MATCH($G941,Tbl_KPIMaster[KPI],0)),"")</f>
        <v/>
      </c>
      <c r="G941" s="4" t="inlineStr">
        <is>
          <t>Energy Intensity (kWh/unit)</t>
        </is>
      </c>
      <c r="H941" s="4">
        <f>IFERROR(INDEX(Tbl_KPIMaster[Unit],MATCH($G941,Tbl_KPIMaster[KPI],0)),"")</f>
        <v/>
      </c>
      <c r="I941" s="5">
        <f>IFERROR(INDEX(Tbl_KPIMaster[Maximum Target],MATCH($G941,Tbl_KPIMaster[KPI],0)),"")</f>
        <v/>
      </c>
      <c r="J941" s="5" t="n">
        <v>4.22</v>
      </c>
      <c r="K941" s="4">
        <f>IFERROR(INDEX(Tbl_KPIMaster[Tolerance],MATCH($G941,Tbl_KPIMaster[KPI],0)),"")</f>
        <v/>
      </c>
      <c r="L941" s="4">
        <f>IFERROR(INDEX(Tbl_KPIMaster[Owner],MATCH($G941,Tbl_KPIMaster[KPI],0)),"")</f>
        <v/>
      </c>
      <c r="M941" s="6" t="inlineStr"/>
      <c r="N941" s="4" t="inlineStr"/>
      <c r="O941" s="4" t="inlineStr">
        <is>
          <t>Low</t>
        </is>
      </c>
      <c r="P941" s="4" t="inlineStr">
        <is>
          <t>Open</t>
        </is>
      </c>
      <c r="Q941" s="5">
        <f>IFERROR(IF(INDEX(Tbl_KPIMaster[Direction],MATCH($G941,Tbl_KPIMaster[KPI],0))="Lower is Better",IF($J941=0,1,IF($I941=0,0,$I941/$J941)),IF($I941=0,1,$J941/$I941)),0)</f>
        <v/>
      </c>
      <c r="R941" s="4">
        <f>IF(OR($I941="",$J941=""),"",$J941-$I941)</f>
        <v/>
      </c>
      <c r="S941" s="4">
        <f>IFERROR(IF(INDEX(Tbl_KPIMaster[Direction],MATCH($G941,Tbl_KPIMaster[KPI],0))="Lower is Better",IF($J941&lt;=$I941,"Green",IF($J941&lt;=$I941+IF($I941=0,$K941,$I941*$K941),"Amber","Red")),IF($J941&gt;=$I941,"Green",IF($J941&gt;=$I941-IF($I941=0,$K941,$I941*$K941),"Amber","Red"))),"")</f>
        <v/>
      </c>
      <c r="T941" s="6" t="inlineStr"/>
    </row>
    <row r="942">
      <c r="A942" s="7" t="n">
        <v>46176</v>
      </c>
      <c r="B942" s="8">
        <f>IF($A942="","",TEXT($A942,"mmm-yyyy"))</f>
        <v/>
      </c>
      <c r="C942" s="8">
        <f>IF($A942="","","W"&amp;WEEKNUM($A942,2))</f>
        <v/>
      </c>
      <c r="D942" s="8">
        <f>IF($A942="","",TEXT($A942,"ddd"))</f>
        <v/>
      </c>
      <c r="E942" s="8" t="inlineStr">
        <is>
          <t>Energy</t>
        </is>
      </c>
      <c r="F942" s="8">
        <f>IFERROR(INDEX(Tbl_KPIMaster[Category],MATCH($G942,Tbl_KPIMaster[KPI],0)),"")</f>
        <v/>
      </c>
      <c r="G942" s="8" t="inlineStr">
        <is>
          <t>Renewable Energy Share %</t>
        </is>
      </c>
      <c r="H942" s="8">
        <f>IFERROR(INDEX(Tbl_KPIMaster[Unit],MATCH($G942,Tbl_KPIMaster[KPI],0)),"")</f>
        <v/>
      </c>
      <c r="I942" s="9">
        <f>IFERROR(INDEX(Tbl_KPIMaster[Maximum Target],MATCH($G942,Tbl_KPIMaster[KPI],0)),"")</f>
        <v/>
      </c>
      <c r="J942" s="9" t="n">
        <v>0.2557</v>
      </c>
      <c r="K942" s="8">
        <f>IFERROR(INDEX(Tbl_KPIMaster[Tolerance],MATCH($G942,Tbl_KPIMaster[KPI],0)),"")</f>
        <v/>
      </c>
      <c r="L942" s="8">
        <f>IFERROR(INDEX(Tbl_KPIMaster[Owner],MATCH($G942,Tbl_KPIMaster[KPI],0)),"")</f>
        <v/>
      </c>
      <c r="M942" s="10" t="inlineStr">
        <is>
          <t>Weather impact</t>
        </is>
      </c>
      <c r="N942" s="8" t="inlineStr"/>
      <c r="O942" s="8" t="inlineStr">
        <is>
          <t>Low</t>
        </is>
      </c>
      <c r="P942" s="8" t="inlineStr">
        <is>
          <t>Open</t>
        </is>
      </c>
      <c r="Q942" s="9">
        <f>IFERROR(IF(INDEX(Tbl_KPIMaster[Direction],MATCH($G942,Tbl_KPIMaster[KPI],0))="Lower is Better",IF($J942=0,1,IF($I942=0,0,$I942/$J942)),IF($I942=0,1,$J942/$I942)),0)</f>
        <v/>
      </c>
      <c r="R942" s="8">
        <f>IF(OR($I942="",$J942=""),"",$J942-$I942)</f>
        <v/>
      </c>
      <c r="S942" s="8">
        <f>IFERROR(IF(INDEX(Tbl_KPIMaster[Direction],MATCH($G942,Tbl_KPIMaster[KPI],0))="Lower is Better",IF($J942&lt;=$I942,"Green",IF($J942&lt;=$I942+IF($I942=0,$K942,$I942*$K942),"Amber","Red")),IF($J942&gt;=$I942,"Green",IF($J942&gt;=$I942-IF($I942=0,$K942,$I942*$K942),"Amber","Red"))),"")</f>
        <v/>
      </c>
      <c r="T942" s="10" t="inlineStr"/>
    </row>
    <row r="943">
      <c r="A943" s="3" t="n">
        <v>46177</v>
      </c>
      <c r="B943" s="4">
        <f>IF($A943="","",TEXT($A943,"mmm-yyyy"))</f>
        <v/>
      </c>
      <c r="C943" s="4">
        <f>IF($A943="","","W"&amp;WEEKNUM($A943,2))</f>
        <v/>
      </c>
      <c r="D943" s="4">
        <f>IF($A943="","",TEXT($A943,"ddd"))</f>
        <v/>
      </c>
      <c r="E943" s="4" t="inlineStr">
        <is>
          <t>Safety</t>
        </is>
      </c>
      <c r="F943" s="4">
        <f>IFERROR(INDEX(Tbl_KPIMaster[Category],MATCH($G943,Tbl_KPIMaster[KPI],0)),"")</f>
        <v/>
      </c>
      <c r="G943" s="4" t="inlineStr">
        <is>
          <t>Safety Incidents (LTI)</t>
        </is>
      </c>
      <c r="H943" s="4">
        <f>IFERROR(INDEX(Tbl_KPIMaster[Unit],MATCH($G943,Tbl_KPIMaster[KPI],0)),"")</f>
        <v/>
      </c>
      <c r="I943" s="5">
        <f>IFERROR(INDEX(Tbl_KPIMaster[Maximum Target],MATCH($G943,Tbl_KPIMaster[KPI],0)),"")</f>
        <v/>
      </c>
      <c r="J943" s="5" t="n">
        <v>0</v>
      </c>
      <c r="K943" s="4">
        <f>IFERROR(INDEX(Tbl_KPIMaster[Tolerance],MATCH($G943,Tbl_KPIMaster[KPI],0)),"")</f>
        <v/>
      </c>
      <c r="L943" s="4">
        <f>IFERROR(INDEX(Tbl_KPIMaster[Owner],MATCH($G943,Tbl_KPIMaster[KPI],0)),"")</f>
        <v/>
      </c>
      <c r="M943" s="6" t="inlineStr">
        <is>
          <t>Vendor delay</t>
        </is>
      </c>
      <c r="N943" s="4" t="inlineStr">
        <is>
          <t>Engineering support needed</t>
        </is>
      </c>
      <c r="O943" s="4" t="inlineStr">
        <is>
          <t>Low</t>
        </is>
      </c>
      <c r="P943" s="4" t="inlineStr">
        <is>
          <t>Closed</t>
        </is>
      </c>
      <c r="Q943" s="5">
        <f>IFERROR(IF(INDEX(Tbl_KPIMaster[Direction],MATCH($G943,Tbl_KPIMaster[KPI],0))="Lower is Better",IF($J943=0,1,IF($I943=0,0,$I943/$J943)),IF($I943=0,1,$J943/$I943)),0)</f>
        <v/>
      </c>
      <c r="R943" s="4">
        <f>IF(OR($I943="",$J943=""),"",$J943-$I943)</f>
        <v/>
      </c>
      <c r="S943" s="4">
        <f>IFERROR(IF(INDEX(Tbl_KPIMaster[Direction],MATCH($G943,Tbl_KPIMaster[KPI],0))="Lower is Better",IF($J943&lt;=$I943,"Green",IF($J943&lt;=$I943+IF($I943=0,$K943,$I943*$K943),"Amber","Red")),IF($J943&gt;=$I943,"Green",IF($J943&gt;=$I943-IF($I943=0,$K943,$I943*$K943),"Amber","Red"))),"")</f>
        <v/>
      </c>
      <c r="T943" s="6" t="inlineStr"/>
    </row>
    <row r="944">
      <c r="A944" s="7" t="n">
        <v>46177</v>
      </c>
      <c r="B944" s="8">
        <f>IF($A944="","",TEXT($A944,"mmm-yyyy"))</f>
        <v/>
      </c>
      <c r="C944" s="8">
        <f>IF($A944="","","W"&amp;WEEKNUM($A944,2))</f>
        <v/>
      </c>
      <c r="D944" s="8">
        <f>IF($A944="","",TEXT($A944,"ddd"))</f>
        <v/>
      </c>
      <c r="E944" s="8" t="inlineStr">
        <is>
          <t>Safety</t>
        </is>
      </c>
      <c r="F944" s="8">
        <f>IFERROR(INDEX(Tbl_KPIMaster[Category],MATCH($G944,Tbl_KPIMaster[KPI],0)),"")</f>
        <v/>
      </c>
      <c r="G944" s="8" t="inlineStr">
        <is>
          <t>Near Miss Reports</t>
        </is>
      </c>
      <c r="H944" s="8">
        <f>IFERROR(INDEX(Tbl_KPIMaster[Unit],MATCH($G944,Tbl_KPIMaster[KPI],0)),"")</f>
        <v/>
      </c>
      <c r="I944" s="9">
        <f>IFERROR(INDEX(Tbl_KPIMaster[Maximum Target],MATCH($G944,Tbl_KPIMaster[KPI],0)),"")</f>
        <v/>
      </c>
      <c r="J944" s="9" t="n">
        <v>2</v>
      </c>
      <c r="K944" s="8">
        <f>IFERROR(INDEX(Tbl_KPIMaster[Tolerance],MATCH($G944,Tbl_KPIMaster[KPI],0)),"")</f>
        <v/>
      </c>
      <c r="L944" s="8">
        <f>IFERROR(INDEX(Tbl_KPIMaster[Owner],MATCH($G944,Tbl_KPIMaster[KPI],0)),"")</f>
        <v/>
      </c>
      <c r="M944" s="10" t="inlineStr">
        <is>
          <t>Vendor delay</t>
        </is>
      </c>
      <c r="N944" s="8" t="inlineStr">
        <is>
          <t>Management approval pending</t>
        </is>
      </c>
      <c r="O944" s="8" t="inlineStr">
        <is>
          <t>Medium</t>
        </is>
      </c>
      <c r="P944" s="8" t="inlineStr">
        <is>
          <t>In Progress</t>
        </is>
      </c>
      <c r="Q944" s="9">
        <f>IFERROR(IF(INDEX(Tbl_KPIMaster[Direction],MATCH($G944,Tbl_KPIMaster[KPI],0))="Lower is Better",IF($J944=0,1,IF($I944=0,0,$I944/$J944)),IF($I944=0,1,$J944/$I944)),0)</f>
        <v/>
      </c>
      <c r="R944" s="8">
        <f>IF(OR($I944="",$J944=""),"",$J944-$I944)</f>
        <v/>
      </c>
      <c r="S944" s="8">
        <f>IFERROR(IF(INDEX(Tbl_KPIMaster[Direction],MATCH($G944,Tbl_KPIMaster[KPI],0))="Lower is Better",IF($J944&lt;=$I944,"Green",IF($J944&lt;=$I944+IF($I944=0,$K944,$I944*$K944),"Amber","Red")),IF($J944&gt;=$I944,"Green",IF($J944&gt;=$I944-IF($I944=0,$K944,$I944*$K944),"Amber","Red"))),"")</f>
        <v/>
      </c>
      <c r="T944" s="10" t="inlineStr"/>
    </row>
    <row r="945">
      <c r="A945" s="3" t="n">
        <v>46177</v>
      </c>
      <c r="B945" s="4">
        <f>IF($A945="","",TEXT($A945,"mmm-yyyy"))</f>
        <v/>
      </c>
      <c r="C945" s="4">
        <f>IF($A945="","","W"&amp;WEEKNUM($A945,2))</f>
        <v/>
      </c>
      <c r="D945" s="4">
        <f>IF($A945="","",TEXT($A945,"ddd"))</f>
        <v/>
      </c>
      <c r="E945" s="4" t="inlineStr">
        <is>
          <t>Production</t>
        </is>
      </c>
      <c r="F945" s="4">
        <f>IFERROR(INDEX(Tbl_KPIMaster[Category],MATCH($G945,Tbl_KPIMaster[KPI],0)),"")</f>
        <v/>
      </c>
      <c r="G945" s="4" t="inlineStr">
        <is>
          <t>Production Output</t>
        </is>
      </c>
      <c r="H945" s="4">
        <f>IFERROR(INDEX(Tbl_KPIMaster[Unit],MATCH($G945,Tbl_KPIMaster[KPI],0)),"")</f>
        <v/>
      </c>
      <c r="I945" s="5">
        <f>IFERROR(INDEX(Tbl_KPIMaster[Maximum Target],MATCH($G945,Tbl_KPIMaster[KPI],0)),"")</f>
        <v/>
      </c>
      <c r="J945" s="5" t="n">
        <v>1197.7</v>
      </c>
      <c r="K945" s="4">
        <f>IFERROR(INDEX(Tbl_KPIMaster[Tolerance],MATCH($G945,Tbl_KPIMaster[KPI],0)),"")</f>
        <v/>
      </c>
      <c r="L945" s="4">
        <f>IFERROR(INDEX(Tbl_KPIMaster[Owner],MATCH($G945,Tbl_KPIMaster[KPI],0)),"")</f>
        <v/>
      </c>
      <c r="M945" s="6" t="inlineStr">
        <is>
          <t>New operator training effect</t>
        </is>
      </c>
      <c r="N945" s="4" t="inlineStr"/>
      <c r="O945" s="4" t="inlineStr">
        <is>
          <t>High</t>
        </is>
      </c>
      <c r="P945" s="4" t="inlineStr">
        <is>
          <t>Closed</t>
        </is>
      </c>
      <c r="Q945" s="5">
        <f>IFERROR(IF(INDEX(Tbl_KPIMaster[Direction],MATCH($G945,Tbl_KPIMaster[KPI],0))="Lower is Better",IF($J945=0,1,IF($I945=0,0,$I945/$J945)),IF($I945=0,1,$J945/$I945)),0)</f>
        <v/>
      </c>
      <c r="R945" s="4">
        <f>IF(OR($I945="",$J945=""),"",$J945-$I945)</f>
        <v/>
      </c>
      <c r="S945" s="4">
        <f>IFERROR(IF(INDEX(Tbl_KPIMaster[Direction],MATCH($G945,Tbl_KPIMaster[KPI],0))="Lower is Better",IF($J945&lt;=$I945,"Green",IF($J945&lt;=$I945+IF($I945=0,$K945,$I945*$K945),"Amber","Red")),IF($J945&gt;=$I945,"Green",IF($J945&gt;=$I945-IF($I945=0,$K945,$I945*$K945),"Amber","Red"))),"")</f>
        <v/>
      </c>
      <c r="T945" s="6" t="inlineStr"/>
    </row>
    <row r="946">
      <c r="A946" s="7" t="n">
        <v>46177</v>
      </c>
      <c r="B946" s="8">
        <f>IF($A946="","",TEXT($A946,"mmm-yyyy"))</f>
        <v/>
      </c>
      <c r="C946" s="8">
        <f>IF($A946="","","W"&amp;WEEKNUM($A946,2))</f>
        <v/>
      </c>
      <c r="D946" s="8">
        <f>IF($A946="","",TEXT($A946,"ddd"))</f>
        <v/>
      </c>
      <c r="E946" s="8" t="inlineStr">
        <is>
          <t>Production</t>
        </is>
      </c>
      <c r="F946" s="8">
        <f>IFERROR(INDEX(Tbl_KPIMaster[Category],MATCH($G946,Tbl_KPIMaster[KPI],0)),"")</f>
        <v/>
      </c>
      <c r="G946" s="8" t="inlineStr">
        <is>
          <t>OEE %</t>
        </is>
      </c>
      <c r="H946" s="8">
        <f>IFERROR(INDEX(Tbl_KPIMaster[Unit],MATCH($G946,Tbl_KPIMaster[KPI],0)),"")</f>
        <v/>
      </c>
      <c r="I946" s="9">
        <f>IFERROR(INDEX(Tbl_KPIMaster[Maximum Target],MATCH($G946,Tbl_KPIMaster[KPI],0)),"")</f>
        <v/>
      </c>
      <c r="J946" s="9" t="n">
        <v>1.0027</v>
      </c>
      <c r="K946" s="8">
        <f>IFERROR(INDEX(Tbl_KPIMaster[Tolerance],MATCH($G946,Tbl_KPIMaster[KPI],0)),"")</f>
        <v/>
      </c>
      <c r="L946" s="8">
        <f>IFERROR(INDEX(Tbl_KPIMaster[Owner],MATCH($G946,Tbl_KPIMaster[KPI],0)),"")</f>
        <v/>
      </c>
      <c r="M946" s="10" t="inlineStr">
        <is>
          <t>Manpower shortage</t>
        </is>
      </c>
      <c r="N946" s="8" t="inlineStr"/>
      <c r="O946" s="8" t="inlineStr">
        <is>
          <t>Medium</t>
        </is>
      </c>
      <c r="P946" s="8" t="inlineStr">
        <is>
          <t>In Progress</t>
        </is>
      </c>
      <c r="Q946" s="9">
        <f>IFERROR(IF(INDEX(Tbl_KPIMaster[Direction],MATCH($G946,Tbl_KPIMaster[KPI],0))="Lower is Better",IF($J946=0,1,IF($I946=0,0,$I946/$J946)),IF($I946=0,1,$J946/$I946)),0)</f>
        <v/>
      </c>
      <c r="R946" s="8">
        <f>IF(OR($I946="",$J946=""),"",$J946-$I946)</f>
        <v/>
      </c>
      <c r="S946" s="8">
        <f>IFERROR(IF(INDEX(Tbl_KPIMaster[Direction],MATCH($G946,Tbl_KPIMaster[KPI],0))="Lower is Better",IF($J946&lt;=$I946,"Green",IF($J946&lt;=$I946+IF($I946=0,$K946,$I946*$K946),"Amber","Red")),IF($J946&gt;=$I946,"Green",IF($J946&gt;=$I946-IF($I946=0,$K946,$I946*$K946),"Amber","Red"))),"")</f>
        <v/>
      </c>
      <c r="T946" s="10" t="inlineStr"/>
    </row>
    <row r="947">
      <c r="A947" s="3" t="n">
        <v>46177</v>
      </c>
      <c r="B947" s="4">
        <f>IF($A947="","",TEXT($A947,"mmm-yyyy"))</f>
        <v/>
      </c>
      <c r="C947" s="4">
        <f>IF($A947="","","W"&amp;WEEKNUM($A947,2))</f>
        <v/>
      </c>
      <c r="D947" s="4">
        <f>IF($A947="","",TEXT($A947,"ddd"))</f>
        <v/>
      </c>
      <c r="E947" s="4" t="inlineStr">
        <is>
          <t>Quality</t>
        </is>
      </c>
      <c r="F947" s="4">
        <f>IFERROR(INDEX(Tbl_KPIMaster[Category],MATCH($G947,Tbl_KPIMaster[KPI],0)),"")</f>
        <v/>
      </c>
      <c r="G947" s="4" t="inlineStr">
        <is>
          <t>Defect Rate %</t>
        </is>
      </c>
      <c r="H947" s="4">
        <f>IFERROR(INDEX(Tbl_KPIMaster[Unit],MATCH($G947,Tbl_KPIMaster[KPI],0)),"")</f>
        <v/>
      </c>
      <c r="I947" s="5">
        <f>IFERROR(INDEX(Tbl_KPIMaster[Maximum Target],MATCH($G947,Tbl_KPIMaster[KPI],0)),"")</f>
        <v/>
      </c>
      <c r="J947" s="5" t="n">
        <v>0.0516</v>
      </c>
      <c r="K947" s="4">
        <f>IFERROR(INDEX(Tbl_KPIMaster[Tolerance],MATCH($G947,Tbl_KPIMaster[KPI],0)),"")</f>
        <v/>
      </c>
      <c r="L947" s="4">
        <f>IFERROR(INDEX(Tbl_KPIMaster[Owner],MATCH($G947,Tbl_KPIMaster[KPI],0)),"")</f>
        <v/>
      </c>
      <c r="M947" s="6" t="inlineStr">
        <is>
          <t>Within normal range</t>
        </is>
      </c>
      <c r="N947" s="4" t="inlineStr"/>
      <c r="O947" s="4" t="inlineStr">
        <is>
          <t>Low</t>
        </is>
      </c>
      <c r="P947" s="4" t="inlineStr">
        <is>
          <t>Open</t>
        </is>
      </c>
      <c r="Q947" s="5">
        <f>IFERROR(IF(INDEX(Tbl_KPIMaster[Direction],MATCH($G947,Tbl_KPIMaster[KPI],0))="Lower is Better",IF($J947=0,1,IF($I947=0,0,$I947/$J947)),IF($I947=0,1,$J947/$I947)),0)</f>
        <v/>
      </c>
      <c r="R947" s="4">
        <f>IF(OR($I947="",$J947=""),"",$J947-$I947)</f>
        <v/>
      </c>
      <c r="S947" s="4">
        <f>IFERROR(IF(INDEX(Tbl_KPIMaster[Direction],MATCH($G947,Tbl_KPIMaster[KPI],0))="Lower is Better",IF($J947&lt;=$I947,"Green",IF($J947&lt;=$I947+IF($I947=0,$K947,$I947*$K947),"Amber","Red")),IF($J947&gt;=$I947,"Green",IF($J947&gt;=$I947-IF($I947=0,$K947,$I947*$K947),"Amber","Red"))),"")</f>
        <v/>
      </c>
      <c r="T947" s="6" t="inlineStr"/>
    </row>
    <row r="948">
      <c r="A948" s="7" t="n">
        <v>46177</v>
      </c>
      <c r="B948" s="8">
        <f>IF($A948="","",TEXT($A948,"mmm-yyyy"))</f>
        <v/>
      </c>
      <c r="C948" s="8">
        <f>IF($A948="","","W"&amp;WEEKNUM($A948,2))</f>
        <v/>
      </c>
      <c r="D948" s="8">
        <f>IF($A948="","",TEXT($A948,"ddd"))</f>
        <v/>
      </c>
      <c r="E948" s="8" t="inlineStr">
        <is>
          <t>Quality</t>
        </is>
      </c>
      <c r="F948" s="8">
        <f>IFERROR(INDEX(Tbl_KPIMaster[Category],MATCH($G948,Tbl_KPIMaster[KPI],0)),"")</f>
        <v/>
      </c>
      <c r="G948" s="8" t="inlineStr">
        <is>
          <t>Customer Complaints</t>
        </is>
      </c>
      <c r="H948" s="8">
        <f>IFERROR(INDEX(Tbl_KPIMaster[Unit],MATCH($G948,Tbl_KPIMaster[KPI],0)),"")</f>
        <v/>
      </c>
      <c r="I948" s="9">
        <f>IFERROR(INDEX(Tbl_KPIMaster[Maximum Target],MATCH($G948,Tbl_KPIMaster[KPI],0)),"")</f>
        <v/>
      </c>
      <c r="J948" s="9" t="n">
        <v>1</v>
      </c>
      <c r="K948" s="8">
        <f>IFERROR(INDEX(Tbl_KPIMaster[Tolerance],MATCH($G948,Tbl_KPIMaster[KPI],0)),"")</f>
        <v/>
      </c>
      <c r="L948" s="8">
        <f>IFERROR(INDEX(Tbl_KPIMaster[Owner],MATCH($G948,Tbl_KPIMaster[KPI],0)),"")</f>
        <v/>
      </c>
      <c r="M948" s="10" t="inlineStr">
        <is>
          <t>Process improvement in progress</t>
        </is>
      </c>
      <c r="N948" s="8" t="inlineStr">
        <is>
          <t>Engineering support needed</t>
        </is>
      </c>
      <c r="O948" s="8" t="inlineStr">
        <is>
          <t>High</t>
        </is>
      </c>
      <c r="P948" s="8" t="inlineStr">
        <is>
          <t>Open</t>
        </is>
      </c>
      <c r="Q948" s="9">
        <f>IFERROR(IF(INDEX(Tbl_KPIMaster[Direction],MATCH($G948,Tbl_KPIMaster[KPI],0))="Lower is Better",IF($J948=0,1,IF($I948=0,0,$I948/$J948)),IF($I948=0,1,$J948/$I948)),0)</f>
        <v/>
      </c>
      <c r="R948" s="8">
        <f>IF(OR($I948="",$J948=""),"",$J948-$I948)</f>
        <v/>
      </c>
      <c r="S948" s="8">
        <f>IFERROR(IF(INDEX(Tbl_KPIMaster[Direction],MATCH($G948,Tbl_KPIMaster[KPI],0))="Lower is Better",IF($J948&lt;=$I948,"Green",IF($J948&lt;=$I948+IF($I948=0,$K948,$I948*$K948),"Amber","Red")),IF($J948&gt;=$I948,"Green",IF($J948&gt;=$I948-IF($I948=0,$K948,$I948*$K948),"Amber","Red"))),"")</f>
        <v/>
      </c>
      <c r="T948" s="10" t="inlineStr"/>
    </row>
    <row r="949">
      <c r="A949" s="3" t="n">
        <v>46177</v>
      </c>
      <c r="B949" s="4">
        <f>IF($A949="","",TEXT($A949,"mmm-yyyy"))</f>
        <v/>
      </c>
      <c r="C949" s="4">
        <f>IF($A949="","","W"&amp;WEEKNUM($A949,2))</f>
        <v/>
      </c>
      <c r="D949" s="4">
        <f>IF($A949="","",TEXT($A949,"ddd"))</f>
        <v/>
      </c>
      <c r="E949" s="4" t="inlineStr">
        <is>
          <t>Maintenance</t>
        </is>
      </c>
      <c r="F949" s="4">
        <f>IFERROR(INDEX(Tbl_KPIMaster[Category],MATCH($G949,Tbl_KPIMaster[KPI],0)),"")</f>
        <v/>
      </c>
      <c r="G949" s="4" t="inlineStr">
        <is>
          <t>Unplanned Downtime</t>
        </is>
      </c>
      <c r="H949" s="4">
        <f>IFERROR(INDEX(Tbl_KPIMaster[Unit],MATCH($G949,Tbl_KPIMaster[KPI],0)),"")</f>
        <v/>
      </c>
      <c r="I949" s="5">
        <f>IFERROR(INDEX(Tbl_KPIMaster[Maximum Target],MATCH($G949,Tbl_KPIMaster[KPI],0)),"")</f>
        <v/>
      </c>
      <c r="J949" s="5" t="n">
        <v>0</v>
      </c>
      <c r="K949" s="4">
        <f>IFERROR(INDEX(Tbl_KPIMaster[Tolerance],MATCH($G949,Tbl_KPIMaster[KPI],0)),"")</f>
        <v/>
      </c>
      <c r="L949" s="4">
        <f>IFERROR(INDEX(Tbl_KPIMaster[Owner],MATCH($G949,Tbl_KPIMaster[KPI],0)),"")</f>
        <v/>
      </c>
      <c r="M949" s="6" t="inlineStr">
        <is>
          <t>Equipment breakdown</t>
        </is>
      </c>
      <c r="N949" s="4" t="inlineStr">
        <is>
          <t>Management approval pending</t>
        </is>
      </c>
      <c r="O949" s="4" t="inlineStr">
        <is>
          <t>Medium</t>
        </is>
      </c>
      <c r="P949" s="4" t="inlineStr">
        <is>
          <t>Closed</t>
        </is>
      </c>
      <c r="Q949" s="5">
        <f>IFERROR(IF(INDEX(Tbl_KPIMaster[Direction],MATCH($G949,Tbl_KPIMaster[KPI],0))="Lower is Better",IF($J949=0,1,IF($I949=0,0,$I949/$J949)),IF($I949=0,1,$J949/$I949)),0)</f>
        <v/>
      </c>
      <c r="R949" s="4">
        <f>IF(OR($I949="",$J949=""),"",$J949-$I949)</f>
        <v/>
      </c>
      <c r="S949" s="4">
        <f>IFERROR(IF(INDEX(Tbl_KPIMaster[Direction],MATCH($G949,Tbl_KPIMaster[KPI],0))="Lower is Better",IF($J949&lt;=$I949,"Green",IF($J949&lt;=$I949+IF($I949=0,$K949,$I949*$K949),"Amber","Red")),IF($J949&gt;=$I949,"Green",IF($J949&gt;=$I949-IF($I949=0,$K949,$I949*$K949),"Amber","Red"))),"")</f>
        <v/>
      </c>
      <c r="T949" s="6" t="inlineStr"/>
    </row>
    <row r="950">
      <c r="A950" s="7" t="n">
        <v>46177</v>
      </c>
      <c r="B950" s="8">
        <f>IF($A950="","",TEXT($A950,"mmm-yyyy"))</f>
        <v/>
      </c>
      <c r="C950" s="8">
        <f>IF($A950="","","W"&amp;WEEKNUM($A950,2))</f>
        <v/>
      </c>
      <c r="D950" s="8">
        <f>IF($A950="","",TEXT($A950,"ddd"))</f>
        <v/>
      </c>
      <c r="E950" s="8" t="inlineStr">
        <is>
          <t>Maintenance</t>
        </is>
      </c>
      <c r="F950" s="8">
        <f>IFERROR(INDEX(Tbl_KPIMaster[Category],MATCH($G950,Tbl_KPIMaster[KPI],0)),"")</f>
        <v/>
      </c>
      <c r="G950" s="8" t="inlineStr">
        <is>
          <t>PM Compliance %</t>
        </is>
      </c>
      <c r="H950" s="8">
        <f>IFERROR(INDEX(Tbl_KPIMaster[Unit],MATCH($G950,Tbl_KPIMaster[KPI],0)),"")</f>
        <v/>
      </c>
      <c r="I950" s="9">
        <f>IFERROR(INDEX(Tbl_KPIMaster[Maximum Target],MATCH($G950,Tbl_KPIMaster[KPI],0)),"")</f>
        <v/>
      </c>
      <c r="J950" s="9" t="n">
        <v>0.9233</v>
      </c>
      <c r="K950" s="8">
        <f>IFERROR(INDEX(Tbl_KPIMaster[Tolerance],MATCH($G950,Tbl_KPIMaster[KPI],0)),"")</f>
        <v/>
      </c>
      <c r="L950" s="8">
        <f>IFERROR(INDEX(Tbl_KPIMaster[Owner],MATCH($G950,Tbl_KPIMaster[KPI],0)),"")</f>
        <v/>
      </c>
      <c r="M950" s="10" t="inlineStr">
        <is>
          <t>New operator training effect</t>
        </is>
      </c>
      <c r="N950" s="8" t="inlineStr">
        <is>
          <t>Engineering support needed</t>
        </is>
      </c>
      <c r="O950" s="8" t="inlineStr">
        <is>
          <t>Low</t>
        </is>
      </c>
      <c r="P950" s="8" t="inlineStr">
        <is>
          <t>Closed</t>
        </is>
      </c>
      <c r="Q950" s="9">
        <f>IFERROR(IF(INDEX(Tbl_KPIMaster[Direction],MATCH($G950,Tbl_KPIMaster[KPI],0))="Lower is Better",IF($J950=0,1,IF($I950=0,0,$I950/$J950)),IF($I950=0,1,$J950/$I950)),0)</f>
        <v/>
      </c>
      <c r="R950" s="8">
        <f>IF(OR($I950="",$J950=""),"",$J950-$I950)</f>
        <v/>
      </c>
      <c r="S950" s="8">
        <f>IFERROR(IF(INDEX(Tbl_KPIMaster[Direction],MATCH($G950,Tbl_KPIMaster[KPI],0))="Lower is Better",IF($J950&lt;=$I950,"Green",IF($J950&lt;=$I950+IF($I950=0,$K950,$I950*$K950),"Amber","Red")),IF($J950&gt;=$I950,"Green",IF($J950&gt;=$I950-IF($I950=0,$K950,$I950*$K950),"Amber","Red"))),"")</f>
        <v/>
      </c>
      <c r="T950" s="10" t="inlineStr"/>
    </row>
    <row r="951">
      <c r="A951" s="3" t="n">
        <v>46177</v>
      </c>
      <c r="B951" s="4">
        <f>IF($A951="","",TEXT($A951,"mmm-yyyy"))</f>
        <v/>
      </c>
      <c r="C951" s="4">
        <f>IF($A951="","","W"&amp;WEEKNUM($A951,2))</f>
        <v/>
      </c>
      <c r="D951" s="4">
        <f>IF($A951="","",TEXT($A951,"ddd"))</f>
        <v/>
      </c>
      <c r="E951" s="4" t="inlineStr">
        <is>
          <t>Utilities</t>
        </is>
      </c>
      <c r="F951" s="4">
        <f>IFERROR(INDEX(Tbl_KPIMaster[Category],MATCH($G951,Tbl_KPIMaster[KPI],0)),"")</f>
        <v/>
      </c>
      <c r="G951" s="4" t="inlineStr">
        <is>
          <t>Power Consumption</t>
        </is>
      </c>
      <c r="H951" s="4">
        <f>IFERROR(INDEX(Tbl_KPIMaster[Unit],MATCH($G951,Tbl_KPIMaster[KPI],0)),"")</f>
        <v/>
      </c>
      <c r="I951" s="5">
        <f>IFERROR(INDEX(Tbl_KPIMaster[Maximum Target],MATCH($G951,Tbl_KPIMaster[KPI],0)),"")</f>
        <v/>
      </c>
      <c r="J951" s="5" t="n">
        <v>3310.6</v>
      </c>
      <c r="K951" s="4">
        <f>IFERROR(INDEX(Tbl_KPIMaster[Tolerance],MATCH($G951,Tbl_KPIMaster[KPI],0)),"")</f>
        <v/>
      </c>
      <c r="L951" s="4">
        <f>IFERROR(INDEX(Tbl_KPIMaster[Owner],MATCH($G951,Tbl_KPIMaster[KPI],0)),"")</f>
        <v/>
      </c>
      <c r="M951" s="6" t="inlineStr">
        <is>
          <t>Equipment breakdown</t>
        </is>
      </c>
      <c r="N951" s="4" t="inlineStr">
        <is>
          <t>Management approval pending</t>
        </is>
      </c>
      <c r="O951" s="4" t="inlineStr">
        <is>
          <t>High</t>
        </is>
      </c>
      <c r="P951" s="4" t="inlineStr">
        <is>
          <t>In Progress</t>
        </is>
      </c>
      <c r="Q951" s="5">
        <f>IFERROR(IF(INDEX(Tbl_KPIMaster[Direction],MATCH($G951,Tbl_KPIMaster[KPI],0))="Lower is Better",IF($J951=0,1,IF($I951=0,0,$I951/$J951)),IF($I951=0,1,$J951/$I951)),0)</f>
        <v/>
      </c>
      <c r="R951" s="4">
        <f>IF(OR($I951="",$J951=""),"",$J951-$I951)</f>
        <v/>
      </c>
      <c r="S951" s="4">
        <f>IFERROR(IF(INDEX(Tbl_KPIMaster[Direction],MATCH($G951,Tbl_KPIMaster[KPI],0))="Lower is Better",IF($J951&lt;=$I951,"Green",IF($J951&lt;=$I951+IF($I951=0,$K951,$I951*$K951),"Amber","Red")),IF($J951&gt;=$I951,"Green",IF($J951&gt;=$I951-IF($I951=0,$K951,$I951*$K951),"Amber","Red"))),"")</f>
        <v/>
      </c>
      <c r="T951" s="6" t="inlineStr"/>
    </row>
    <row r="952">
      <c r="A952" s="7" t="n">
        <v>46177</v>
      </c>
      <c r="B952" s="8">
        <f>IF($A952="","",TEXT($A952,"mmm-yyyy"))</f>
        <v/>
      </c>
      <c r="C952" s="8">
        <f>IF($A952="","","W"&amp;WEEKNUM($A952,2))</f>
        <v/>
      </c>
      <c r="D952" s="8">
        <f>IF($A952="","",TEXT($A952,"ddd"))</f>
        <v/>
      </c>
      <c r="E952" s="8" t="inlineStr">
        <is>
          <t>Utilities</t>
        </is>
      </c>
      <c r="F952" s="8">
        <f>IFERROR(INDEX(Tbl_KPIMaster[Category],MATCH($G952,Tbl_KPIMaster[KPI],0)),"")</f>
        <v/>
      </c>
      <c r="G952" s="8" t="inlineStr">
        <is>
          <t>Water Consumption</t>
        </is>
      </c>
      <c r="H952" s="8">
        <f>IFERROR(INDEX(Tbl_KPIMaster[Unit],MATCH($G952,Tbl_KPIMaster[KPI],0)),"")</f>
        <v/>
      </c>
      <c r="I952" s="9">
        <f>IFERROR(INDEX(Tbl_KPIMaster[Maximum Target],MATCH($G952,Tbl_KPIMaster[KPI],0)),"")</f>
        <v/>
      </c>
      <c r="J952" s="9" t="n">
        <v>47.93</v>
      </c>
      <c r="K952" s="8">
        <f>IFERROR(INDEX(Tbl_KPIMaster[Tolerance],MATCH($G952,Tbl_KPIMaster[KPI],0)),"")</f>
        <v/>
      </c>
      <c r="L952" s="8">
        <f>IFERROR(INDEX(Tbl_KPIMaster[Owner],MATCH($G952,Tbl_KPIMaster[KPI],0)),"")</f>
        <v/>
      </c>
      <c r="M952" s="10" t="inlineStr">
        <is>
          <t>Manpower shortage</t>
        </is>
      </c>
      <c r="N952" s="8" t="inlineStr">
        <is>
          <t>Management approval pending</t>
        </is>
      </c>
      <c r="O952" s="8" t="inlineStr">
        <is>
          <t>Low</t>
        </is>
      </c>
      <c r="P952" s="8" t="inlineStr">
        <is>
          <t>Closed</t>
        </is>
      </c>
      <c r="Q952" s="9">
        <f>IFERROR(IF(INDEX(Tbl_KPIMaster[Direction],MATCH($G952,Tbl_KPIMaster[KPI],0))="Lower is Better",IF($J952=0,1,IF($I952=0,0,$I952/$J952)),IF($I952=0,1,$J952/$I952)),0)</f>
        <v/>
      </c>
      <c r="R952" s="8">
        <f>IF(OR($I952="",$J952=""),"",$J952-$I952)</f>
        <v/>
      </c>
      <c r="S952" s="8">
        <f>IFERROR(IF(INDEX(Tbl_KPIMaster[Direction],MATCH($G952,Tbl_KPIMaster[KPI],0))="Lower is Better",IF($J952&lt;=$I952,"Green",IF($J952&lt;=$I952+IF($I952=0,$K952,$I952*$K952),"Amber","Red")),IF($J952&gt;=$I952,"Green",IF($J952&gt;=$I952-IF($I952=0,$K952,$I952*$K952),"Amber","Red"))),"")</f>
        <v/>
      </c>
      <c r="T952" s="10" t="inlineStr"/>
    </row>
    <row r="953">
      <c r="A953" s="3" t="n">
        <v>46177</v>
      </c>
      <c r="B953" s="4">
        <f>IF($A953="","",TEXT($A953,"mmm-yyyy"))</f>
        <v/>
      </c>
      <c r="C953" s="4">
        <f>IF($A953="","","W"&amp;WEEKNUM($A953,2))</f>
        <v/>
      </c>
      <c r="D953" s="4">
        <f>IF($A953="","",TEXT($A953,"ddd"))</f>
        <v/>
      </c>
      <c r="E953" s="4" t="inlineStr">
        <is>
          <t>Warehouse</t>
        </is>
      </c>
      <c r="F953" s="4">
        <f>IFERROR(INDEX(Tbl_KPIMaster[Category],MATCH($G953,Tbl_KPIMaster[KPI],0)),"")</f>
        <v/>
      </c>
      <c r="G953" s="4" t="inlineStr">
        <is>
          <t>On-Time Dispatch %</t>
        </is>
      </c>
      <c r="H953" s="4">
        <f>IFERROR(INDEX(Tbl_KPIMaster[Unit],MATCH($G953,Tbl_KPIMaster[KPI],0)),"")</f>
        <v/>
      </c>
      <c r="I953" s="5">
        <f>IFERROR(INDEX(Tbl_KPIMaster[Maximum Target],MATCH($G953,Tbl_KPIMaster[KPI],0)),"")</f>
        <v/>
      </c>
      <c r="J953" s="5" t="n">
        <v>0.9871</v>
      </c>
      <c r="K953" s="4">
        <f>IFERROR(INDEX(Tbl_KPIMaster[Tolerance],MATCH($G953,Tbl_KPIMaster[KPI],0)),"")</f>
        <v/>
      </c>
      <c r="L953" s="4">
        <f>IFERROR(INDEX(Tbl_KPIMaster[Owner],MATCH($G953,Tbl_KPIMaster[KPI],0)),"")</f>
        <v/>
      </c>
      <c r="M953" s="6" t="inlineStr">
        <is>
          <t>Equipment breakdown</t>
        </is>
      </c>
      <c r="N953" s="4" t="inlineStr"/>
      <c r="O953" s="4" t="inlineStr">
        <is>
          <t>Medium</t>
        </is>
      </c>
      <c r="P953" s="4" t="inlineStr">
        <is>
          <t>Closed</t>
        </is>
      </c>
      <c r="Q953" s="5">
        <f>IFERROR(IF(INDEX(Tbl_KPIMaster[Direction],MATCH($G953,Tbl_KPIMaster[KPI],0))="Lower is Better",IF($J953=0,1,IF($I953=0,0,$I953/$J953)),IF($I953=0,1,$J953/$I953)),0)</f>
        <v/>
      </c>
      <c r="R953" s="4">
        <f>IF(OR($I953="",$J953=""),"",$J953-$I953)</f>
        <v/>
      </c>
      <c r="S953" s="4">
        <f>IFERROR(IF(INDEX(Tbl_KPIMaster[Direction],MATCH($G953,Tbl_KPIMaster[KPI],0))="Lower is Better",IF($J953&lt;=$I953,"Green",IF($J953&lt;=$I953+IF($I953=0,$K953,$I953*$K953),"Amber","Red")),IF($J953&gt;=$I953,"Green",IF($J953&gt;=$I953-IF($I953=0,$K953,$I953*$K953),"Amber","Red"))),"")</f>
        <v/>
      </c>
      <c r="T953" s="6" t="inlineStr"/>
    </row>
    <row r="954">
      <c r="A954" s="7" t="n">
        <v>46177</v>
      </c>
      <c r="B954" s="8">
        <f>IF($A954="","",TEXT($A954,"mmm-yyyy"))</f>
        <v/>
      </c>
      <c r="C954" s="8">
        <f>IF($A954="","","W"&amp;WEEKNUM($A954,2))</f>
        <v/>
      </c>
      <c r="D954" s="8">
        <f>IF($A954="","",TEXT($A954,"ddd"))</f>
        <v/>
      </c>
      <c r="E954" s="8" t="inlineStr">
        <is>
          <t>Warehouse</t>
        </is>
      </c>
      <c r="F954" s="8">
        <f>IFERROR(INDEX(Tbl_KPIMaster[Category],MATCH($G954,Tbl_KPIMaster[KPI],0)),"")</f>
        <v/>
      </c>
      <c r="G954" s="8" t="inlineStr">
        <is>
          <t>Inventory Accuracy %</t>
        </is>
      </c>
      <c r="H954" s="8">
        <f>IFERROR(INDEX(Tbl_KPIMaster[Unit],MATCH($G954,Tbl_KPIMaster[KPI],0)),"")</f>
        <v/>
      </c>
      <c r="I954" s="9">
        <f>IFERROR(INDEX(Tbl_KPIMaster[Maximum Target],MATCH($G954,Tbl_KPIMaster[KPI],0)),"")</f>
        <v/>
      </c>
      <c r="J954" s="9" t="n">
        <v>0.7411</v>
      </c>
      <c r="K954" s="8">
        <f>IFERROR(INDEX(Tbl_KPIMaster[Tolerance],MATCH($G954,Tbl_KPIMaster[KPI],0)),"")</f>
        <v/>
      </c>
      <c r="L954" s="8">
        <f>IFERROR(INDEX(Tbl_KPIMaster[Owner],MATCH($G954,Tbl_KPIMaster[KPI],0)),"")</f>
        <v/>
      </c>
      <c r="M954" s="10" t="inlineStr"/>
      <c r="N954" s="8" t="inlineStr">
        <is>
          <t>Engineering support needed</t>
        </is>
      </c>
      <c r="O954" s="8" t="inlineStr">
        <is>
          <t>High</t>
        </is>
      </c>
      <c r="P954" s="8" t="inlineStr">
        <is>
          <t>Closed</t>
        </is>
      </c>
      <c r="Q954" s="9">
        <f>IFERROR(IF(INDEX(Tbl_KPIMaster[Direction],MATCH($G954,Tbl_KPIMaster[KPI],0))="Lower is Better",IF($J954=0,1,IF($I954=0,0,$I954/$J954)),IF($I954=0,1,$J954/$I954)),0)</f>
        <v/>
      </c>
      <c r="R954" s="8">
        <f>IF(OR($I954="",$J954=""),"",$J954-$I954)</f>
        <v/>
      </c>
      <c r="S954" s="8">
        <f>IFERROR(IF(INDEX(Tbl_KPIMaster[Direction],MATCH($G954,Tbl_KPIMaster[KPI],0))="Lower is Better",IF($J954&lt;=$I954,"Green",IF($J954&lt;=$I954+IF($I954=0,$K954,$I954*$K954),"Amber","Red")),IF($J954&gt;=$I954,"Green",IF($J954&gt;=$I954-IF($I954=0,$K954,$I954*$K954),"Amber","Red"))),"")</f>
        <v/>
      </c>
      <c r="T954" s="10" t="inlineStr"/>
    </row>
    <row r="955">
      <c r="A955" s="3" t="n">
        <v>46177</v>
      </c>
      <c r="B955" s="4">
        <f>IF($A955="","",TEXT($A955,"mmm-yyyy"))</f>
        <v/>
      </c>
      <c r="C955" s="4">
        <f>IF($A955="","","W"&amp;WEEKNUM($A955,2))</f>
        <v/>
      </c>
      <c r="D955" s="4">
        <f>IF($A955="","",TEXT($A955,"ddd"))</f>
        <v/>
      </c>
      <c r="E955" s="4" t="inlineStr">
        <is>
          <t>HR</t>
        </is>
      </c>
      <c r="F955" s="4">
        <f>IFERROR(INDEX(Tbl_KPIMaster[Category],MATCH($G955,Tbl_KPIMaster[KPI],0)),"")</f>
        <v/>
      </c>
      <c r="G955" s="4" t="inlineStr">
        <is>
          <t>Absenteeism %</t>
        </is>
      </c>
      <c r="H955" s="4">
        <f>IFERROR(INDEX(Tbl_KPIMaster[Unit],MATCH($G955,Tbl_KPIMaster[KPI],0)),"")</f>
        <v/>
      </c>
      <c r="I955" s="5">
        <f>IFERROR(INDEX(Tbl_KPIMaster[Maximum Target],MATCH($G955,Tbl_KPIMaster[KPI],0)),"")</f>
        <v/>
      </c>
      <c r="J955" s="5" t="n">
        <v>0</v>
      </c>
      <c r="K955" s="4">
        <f>IFERROR(INDEX(Tbl_KPIMaster[Tolerance],MATCH($G955,Tbl_KPIMaster[KPI],0)),"")</f>
        <v/>
      </c>
      <c r="L955" s="4">
        <f>IFERROR(INDEX(Tbl_KPIMaster[Owner],MATCH($G955,Tbl_KPIMaster[KPI],0)),"")</f>
        <v/>
      </c>
      <c r="M955" s="6" t="inlineStr">
        <is>
          <t>Equipment breakdown</t>
        </is>
      </c>
      <c r="N955" s="4" t="inlineStr">
        <is>
          <t>Management approval pending</t>
        </is>
      </c>
      <c r="O955" s="4" t="inlineStr">
        <is>
          <t>Low</t>
        </is>
      </c>
      <c r="P955" s="4" t="inlineStr">
        <is>
          <t>Open</t>
        </is>
      </c>
      <c r="Q955" s="5">
        <f>IFERROR(IF(INDEX(Tbl_KPIMaster[Direction],MATCH($G955,Tbl_KPIMaster[KPI],0))="Lower is Better",IF($J955=0,1,IF($I955=0,0,$I955/$J955)),IF($I955=0,1,$J955/$I955)),0)</f>
        <v/>
      </c>
      <c r="R955" s="4">
        <f>IF(OR($I955="",$J955=""),"",$J955-$I955)</f>
        <v/>
      </c>
      <c r="S955" s="4">
        <f>IFERROR(IF(INDEX(Tbl_KPIMaster[Direction],MATCH($G955,Tbl_KPIMaster[KPI],0))="Lower is Better",IF($J955&lt;=$I955,"Green",IF($J955&lt;=$I955+IF($I955=0,$K955,$I955*$K955),"Amber","Red")),IF($J955&gt;=$I955,"Green",IF($J955&gt;=$I955-IF($I955=0,$K955,$I955*$K955),"Amber","Red"))),"")</f>
        <v/>
      </c>
      <c r="T955" s="6" t="inlineStr"/>
    </row>
    <row r="956">
      <c r="A956" s="7" t="n">
        <v>46177</v>
      </c>
      <c r="B956" s="8">
        <f>IF($A956="","",TEXT($A956,"mmm-yyyy"))</f>
        <v/>
      </c>
      <c r="C956" s="8">
        <f>IF($A956="","","W"&amp;WEEKNUM($A956,2))</f>
        <v/>
      </c>
      <c r="D956" s="8">
        <f>IF($A956="","",TEXT($A956,"ddd"))</f>
        <v/>
      </c>
      <c r="E956" s="8" t="inlineStr">
        <is>
          <t>HR</t>
        </is>
      </c>
      <c r="F956" s="8">
        <f>IFERROR(INDEX(Tbl_KPIMaster[Category],MATCH($G956,Tbl_KPIMaster[KPI],0)),"")</f>
        <v/>
      </c>
      <c r="G956" s="8" t="inlineStr">
        <is>
          <t>Training Hours</t>
        </is>
      </c>
      <c r="H956" s="8">
        <f>IFERROR(INDEX(Tbl_KPIMaster[Unit],MATCH($G956,Tbl_KPIMaster[KPI],0)),"")</f>
        <v/>
      </c>
      <c r="I956" s="9">
        <f>IFERROR(INDEX(Tbl_KPIMaster[Maximum Target],MATCH($G956,Tbl_KPIMaster[KPI],0)),"")</f>
        <v/>
      </c>
      <c r="J956" s="9" t="n">
        <v>1.91</v>
      </c>
      <c r="K956" s="8">
        <f>IFERROR(INDEX(Tbl_KPIMaster[Tolerance],MATCH($G956,Tbl_KPIMaster[KPI],0)),"")</f>
        <v/>
      </c>
      <c r="L956" s="8">
        <f>IFERROR(INDEX(Tbl_KPIMaster[Owner],MATCH($G956,Tbl_KPIMaster[KPI],0)),"")</f>
        <v/>
      </c>
      <c r="M956" s="10" t="inlineStr">
        <is>
          <t>Within normal range</t>
        </is>
      </c>
      <c r="N956" s="8" t="inlineStr"/>
      <c r="O956" s="8" t="inlineStr">
        <is>
          <t>Low</t>
        </is>
      </c>
      <c r="P956" s="8" t="inlineStr">
        <is>
          <t>Closed</t>
        </is>
      </c>
      <c r="Q956" s="9">
        <f>IFERROR(IF(INDEX(Tbl_KPIMaster[Direction],MATCH($G956,Tbl_KPIMaster[KPI],0))="Lower is Better",IF($J956=0,1,IF($I956=0,0,$I956/$J956)),IF($I956=0,1,$J956/$I956)),0)</f>
        <v/>
      </c>
      <c r="R956" s="8">
        <f>IF(OR($I956="",$J956=""),"",$J956-$I956)</f>
        <v/>
      </c>
      <c r="S956" s="8">
        <f>IFERROR(IF(INDEX(Tbl_KPIMaster[Direction],MATCH($G956,Tbl_KPIMaster[KPI],0))="Lower is Better",IF($J956&lt;=$I956,"Green",IF($J956&lt;=$I956+IF($I956=0,$K956,$I956*$K956),"Amber","Red")),IF($J956&gt;=$I956,"Green",IF($J956&gt;=$I956-IF($I956=0,$K956,$I956*$K956),"Amber","Red"))),"")</f>
        <v/>
      </c>
      <c r="T956" s="10" t="inlineStr"/>
    </row>
    <row r="957">
      <c r="A957" s="3" t="n">
        <v>46177</v>
      </c>
      <c r="B957" s="4">
        <f>IF($A957="","",TEXT($A957,"mmm-yyyy"))</f>
        <v/>
      </c>
      <c r="C957" s="4">
        <f>IF($A957="","","W"&amp;WEEKNUM($A957,2))</f>
        <v/>
      </c>
      <c r="D957" s="4">
        <f>IF($A957="","",TEXT($A957,"ddd"))</f>
        <v/>
      </c>
      <c r="E957" s="4" t="inlineStr">
        <is>
          <t>Engineering</t>
        </is>
      </c>
      <c r="F957" s="4">
        <f>IFERROR(INDEX(Tbl_KPIMaster[Category],MATCH($G957,Tbl_KPIMaster[KPI],0)),"")</f>
        <v/>
      </c>
      <c r="G957" s="4" t="inlineStr">
        <is>
          <t>Project Milestone Adherence %</t>
        </is>
      </c>
      <c r="H957" s="4">
        <f>IFERROR(INDEX(Tbl_KPIMaster[Unit],MATCH($G957,Tbl_KPIMaster[KPI],0)),"")</f>
        <v/>
      </c>
      <c r="I957" s="5">
        <f>IFERROR(INDEX(Tbl_KPIMaster[Maximum Target],MATCH($G957,Tbl_KPIMaster[KPI],0)),"")</f>
        <v/>
      </c>
      <c r="J957" s="5" t="n">
        <v>0.8207</v>
      </c>
      <c r="K957" s="4">
        <f>IFERROR(INDEX(Tbl_KPIMaster[Tolerance],MATCH($G957,Tbl_KPIMaster[KPI],0)),"")</f>
        <v/>
      </c>
      <c r="L957" s="4">
        <f>IFERROR(INDEX(Tbl_KPIMaster[Owner],MATCH($G957,Tbl_KPIMaster[KPI],0)),"")</f>
        <v/>
      </c>
      <c r="M957" s="6" t="inlineStr">
        <is>
          <t>Awaiting spares</t>
        </is>
      </c>
      <c r="N957" s="4" t="inlineStr">
        <is>
          <t>Engineering support needed</t>
        </is>
      </c>
      <c r="O957" s="4" t="inlineStr">
        <is>
          <t>Low</t>
        </is>
      </c>
      <c r="P957" s="4" t="inlineStr">
        <is>
          <t>Closed</t>
        </is>
      </c>
      <c r="Q957" s="5">
        <f>IFERROR(IF(INDEX(Tbl_KPIMaster[Direction],MATCH($G957,Tbl_KPIMaster[KPI],0))="Lower is Better",IF($J957=0,1,IF($I957=0,0,$I957/$J957)),IF($I957=0,1,$J957/$I957)),0)</f>
        <v/>
      </c>
      <c r="R957" s="4">
        <f>IF(OR($I957="",$J957=""),"",$J957-$I957)</f>
        <v/>
      </c>
      <c r="S957" s="4">
        <f>IFERROR(IF(INDEX(Tbl_KPIMaster[Direction],MATCH($G957,Tbl_KPIMaster[KPI],0))="Lower is Better",IF($J957&lt;=$I957,"Green",IF($J957&lt;=$I957+IF($I957=0,$K957,$I957*$K957),"Amber","Red")),IF($J957&gt;=$I957,"Green",IF($J957&gt;=$I957-IF($I957=0,$K957,$I957*$K957),"Amber","Red"))),"")</f>
        <v/>
      </c>
      <c r="T957" s="6" t="inlineStr"/>
    </row>
    <row r="958">
      <c r="A958" s="7" t="n">
        <v>46177</v>
      </c>
      <c r="B958" s="8">
        <f>IF($A958="","",TEXT($A958,"mmm-yyyy"))</f>
        <v/>
      </c>
      <c r="C958" s="8">
        <f>IF($A958="","","W"&amp;WEEKNUM($A958,2))</f>
        <v/>
      </c>
      <c r="D958" s="8">
        <f>IF($A958="","",TEXT($A958,"ddd"))</f>
        <v/>
      </c>
      <c r="E958" s="8" t="inlineStr">
        <is>
          <t>Engineering</t>
        </is>
      </c>
      <c r="F958" s="8">
        <f>IFERROR(INDEX(Tbl_KPIMaster[Category],MATCH($G958,Tbl_KPIMaster[KPI],0)),"")</f>
        <v/>
      </c>
      <c r="G958" s="8" t="inlineStr">
        <is>
          <t>Breakdown Resolution Time</t>
        </is>
      </c>
      <c r="H958" s="8">
        <f>IFERROR(INDEX(Tbl_KPIMaster[Unit],MATCH($G958,Tbl_KPIMaster[KPI],0)),"")</f>
        <v/>
      </c>
      <c r="I958" s="9">
        <f>IFERROR(INDEX(Tbl_KPIMaster[Maximum Target],MATCH($G958,Tbl_KPIMaster[KPI],0)),"")</f>
        <v/>
      </c>
      <c r="J958" s="9" t="n">
        <v>0</v>
      </c>
      <c r="K958" s="8">
        <f>IFERROR(INDEX(Tbl_KPIMaster[Tolerance],MATCH($G958,Tbl_KPIMaster[KPI],0)),"")</f>
        <v/>
      </c>
      <c r="L958" s="8">
        <f>IFERROR(INDEX(Tbl_KPIMaster[Owner],MATCH($G958,Tbl_KPIMaster[KPI],0)),"")</f>
        <v/>
      </c>
      <c r="M958" s="10" t="inlineStr"/>
      <c r="N958" s="8" t="inlineStr"/>
      <c r="O958" s="8" t="inlineStr">
        <is>
          <t>High</t>
        </is>
      </c>
      <c r="P958" s="8" t="inlineStr">
        <is>
          <t>In Progress</t>
        </is>
      </c>
      <c r="Q958" s="9">
        <f>IFERROR(IF(INDEX(Tbl_KPIMaster[Direction],MATCH($G958,Tbl_KPIMaster[KPI],0))="Lower is Better",IF($J958=0,1,IF($I958=0,0,$I958/$J958)),IF($I958=0,1,$J958/$I958)),0)</f>
        <v/>
      </c>
      <c r="R958" s="8">
        <f>IF(OR($I958="",$J958=""),"",$J958-$I958)</f>
        <v/>
      </c>
      <c r="S958" s="8">
        <f>IFERROR(IF(INDEX(Tbl_KPIMaster[Direction],MATCH($G958,Tbl_KPIMaster[KPI],0))="Lower is Better",IF($J958&lt;=$I958,"Green",IF($J958&lt;=$I958+IF($I958=0,$K958,$I958*$K958),"Amber","Red")),IF($J958&gt;=$I958,"Green",IF($J958&gt;=$I958-IF($I958=0,$K958,$I958*$K958),"Amber","Red"))),"")</f>
        <v/>
      </c>
      <c r="T958" s="10" t="inlineStr"/>
    </row>
    <row r="959">
      <c r="A959" s="3" t="n">
        <v>46177</v>
      </c>
      <c r="B959" s="4">
        <f>IF($A959="","",TEXT($A959,"mmm-yyyy"))</f>
        <v/>
      </c>
      <c r="C959" s="4">
        <f>IF($A959="","","W"&amp;WEEKNUM($A959,2))</f>
        <v/>
      </c>
      <c r="D959" s="4">
        <f>IF($A959="","",TEXT($A959,"ddd"))</f>
        <v/>
      </c>
      <c r="E959" s="4" t="inlineStr">
        <is>
          <t>Cost</t>
        </is>
      </c>
      <c r="F959" s="4">
        <f>IFERROR(INDEX(Tbl_KPIMaster[Category],MATCH($G959,Tbl_KPIMaster[KPI],0)),"")</f>
        <v/>
      </c>
      <c r="G959" s="4" t="inlineStr">
        <is>
          <t>Cost per Unit</t>
        </is>
      </c>
      <c r="H959" s="4">
        <f>IFERROR(INDEX(Tbl_KPIMaster[Unit],MATCH($G959,Tbl_KPIMaster[KPI],0)),"")</f>
        <v/>
      </c>
      <c r="I959" s="5">
        <f>IFERROR(INDEX(Tbl_KPIMaster[Maximum Target],MATCH($G959,Tbl_KPIMaster[KPI],0)),"")</f>
        <v/>
      </c>
      <c r="J959" s="5" t="n">
        <v>37.26</v>
      </c>
      <c r="K959" s="4">
        <f>IFERROR(INDEX(Tbl_KPIMaster[Tolerance],MATCH($G959,Tbl_KPIMaster[KPI],0)),"")</f>
        <v/>
      </c>
      <c r="L959" s="4">
        <f>IFERROR(INDEX(Tbl_KPIMaster[Owner],MATCH($G959,Tbl_KPIMaster[KPI],0)),"")</f>
        <v/>
      </c>
      <c r="M959" s="6" t="inlineStr"/>
      <c r="N959" s="4" t="inlineStr">
        <is>
          <t>Engineering support needed</t>
        </is>
      </c>
      <c r="O959" s="4" t="inlineStr">
        <is>
          <t>Low</t>
        </is>
      </c>
      <c r="P959" s="4" t="inlineStr">
        <is>
          <t>Closed</t>
        </is>
      </c>
      <c r="Q959" s="5">
        <f>IFERROR(IF(INDEX(Tbl_KPIMaster[Direction],MATCH($G959,Tbl_KPIMaster[KPI],0))="Lower is Better",IF($J959=0,1,IF($I959=0,0,$I959/$J959)),IF($I959=0,1,$J959/$I959)),0)</f>
        <v/>
      </c>
      <c r="R959" s="4">
        <f>IF(OR($I959="",$J959=""),"",$J959-$I959)</f>
        <v/>
      </c>
      <c r="S959" s="4">
        <f>IFERROR(IF(INDEX(Tbl_KPIMaster[Direction],MATCH($G959,Tbl_KPIMaster[KPI],0))="Lower is Better",IF($J959&lt;=$I959,"Green",IF($J959&lt;=$I959+IF($I959=0,$K959,$I959*$K959),"Amber","Red")),IF($J959&gt;=$I959,"Green",IF($J959&gt;=$I959-IF($I959=0,$K959,$I959*$K959),"Amber","Red"))),"")</f>
        <v/>
      </c>
      <c r="T959" s="6" t="inlineStr"/>
    </row>
    <row r="960">
      <c r="A960" s="7" t="n">
        <v>46177</v>
      </c>
      <c r="B960" s="8">
        <f>IF($A960="","",TEXT($A960,"mmm-yyyy"))</f>
        <v/>
      </c>
      <c r="C960" s="8">
        <f>IF($A960="","","W"&amp;WEEKNUM($A960,2))</f>
        <v/>
      </c>
      <c r="D960" s="8">
        <f>IF($A960="","",TEXT($A960,"ddd"))</f>
        <v/>
      </c>
      <c r="E960" s="8" t="inlineStr">
        <is>
          <t>Cost</t>
        </is>
      </c>
      <c r="F960" s="8">
        <f>IFERROR(INDEX(Tbl_KPIMaster[Category],MATCH($G960,Tbl_KPIMaster[KPI],0)),"")</f>
        <v/>
      </c>
      <c r="G960" s="8" t="inlineStr">
        <is>
          <t>Budget Variance %</t>
        </is>
      </c>
      <c r="H960" s="8">
        <f>IFERROR(INDEX(Tbl_KPIMaster[Unit],MATCH($G960,Tbl_KPIMaster[KPI],0)),"")</f>
        <v/>
      </c>
      <c r="I960" s="9">
        <f>IFERROR(INDEX(Tbl_KPIMaster[Maximum Target],MATCH($G960,Tbl_KPIMaster[KPI],0)),"")</f>
        <v/>
      </c>
      <c r="J960" s="9" t="n">
        <v>1.3363</v>
      </c>
      <c r="K960" s="8">
        <f>IFERROR(INDEX(Tbl_KPIMaster[Tolerance],MATCH($G960,Tbl_KPIMaster[KPI],0)),"")</f>
        <v/>
      </c>
      <c r="L960" s="8">
        <f>IFERROR(INDEX(Tbl_KPIMaster[Owner],MATCH($G960,Tbl_KPIMaster[KPI],0)),"")</f>
        <v/>
      </c>
      <c r="M960" s="10" t="inlineStr">
        <is>
          <t>Process improvement in progress</t>
        </is>
      </c>
      <c r="N960" s="8" t="inlineStr">
        <is>
          <t>Engineering support needed</t>
        </is>
      </c>
      <c r="O960" s="8" t="inlineStr">
        <is>
          <t>High</t>
        </is>
      </c>
      <c r="P960" s="8" t="inlineStr">
        <is>
          <t>Open</t>
        </is>
      </c>
      <c r="Q960" s="9">
        <f>IFERROR(IF(INDEX(Tbl_KPIMaster[Direction],MATCH($G960,Tbl_KPIMaster[KPI],0))="Lower is Better",IF($J960=0,1,IF($I960=0,0,$I960/$J960)),IF($I960=0,1,$J960/$I960)),0)</f>
        <v/>
      </c>
      <c r="R960" s="8">
        <f>IF(OR($I960="",$J960=""),"",$J960-$I960)</f>
        <v/>
      </c>
      <c r="S960" s="8">
        <f>IFERROR(IF(INDEX(Tbl_KPIMaster[Direction],MATCH($G960,Tbl_KPIMaster[KPI],0))="Lower is Better",IF($J960&lt;=$I960,"Green",IF($J960&lt;=$I960+IF($I960=0,$K960,$I960*$K960),"Amber","Red")),IF($J960&gt;=$I960,"Green",IF($J960&gt;=$I960-IF($I960=0,$K960,$I960*$K960),"Amber","Red"))),"")</f>
        <v/>
      </c>
      <c r="T960" s="10" t="inlineStr"/>
    </row>
    <row r="961">
      <c r="A961" s="3" t="n">
        <v>46177</v>
      </c>
      <c r="B961" s="4">
        <f>IF($A961="","",TEXT($A961,"mmm-yyyy"))</f>
        <v/>
      </c>
      <c r="C961" s="4">
        <f>IF($A961="","","W"&amp;WEEKNUM($A961,2))</f>
        <v/>
      </c>
      <c r="D961" s="4">
        <f>IF($A961="","",TEXT($A961,"ddd"))</f>
        <v/>
      </c>
      <c r="E961" s="4" t="inlineStr">
        <is>
          <t>Energy</t>
        </is>
      </c>
      <c r="F961" s="4">
        <f>IFERROR(INDEX(Tbl_KPIMaster[Category],MATCH($G961,Tbl_KPIMaster[KPI],0)),"")</f>
        <v/>
      </c>
      <c r="G961" s="4" t="inlineStr">
        <is>
          <t>Energy Intensity (kWh/unit)</t>
        </is>
      </c>
      <c r="H961" s="4">
        <f>IFERROR(INDEX(Tbl_KPIMaster[Unit],MATCH($G961,Tbl_KPIMaster[KPI],0)),"")</f>
        <v/>
      </c>
      <c r="I961" s="5">
        <f>IFERROR(INDEX(Tbl_KPIMaster[Maximum Target],MATCH($G961,Tbl_KPIMaster[KPI],0)),"")</f>
        <v/>
      </c>
      <c r="J961" s="5" t="n">
        <v>3.82</v>
      </c>
      <c r="K961" s="4">
        <f>IFERROR(INDEX(Tbl_KPIMaster[Tolerance],MATCH($G961,Tbl_KPIMaster[KPI],0)),"")</f>
        <v/>
      </c>
      <c r="L961" s="4">
        <f>IFERROR(INDEX(Tbl_KPIMaster[Owner],MATCH($G961,Tbl_KPIMaster[KPI],0)),"")</f>
        <v/>
      </c>
      <c r="M961" s="6" t="inlineStr">
        <is>
          <t>Awaiting spares</t>
        </is>
      </c>
      <c r="N961" s="4" t="inlineStr">
        <is>
          <t>Engineering support needed</t>
        </is>
      </c>
      <c r="O961" s="4" t="inlineStr">
        <is>
          <t>Medium</t>
        </is>
      </c>
      <c r="P961" s="4" t="inlineStr">
        <is>
          <t>In Progress</t>
        </is>
      </c>
      <c r="Q961" s="5">
        <f>IFERROR(IF(INDEX(Tbl_KPIMaster[Direction],MATCH($G961,Tbl_KPIMaster[KPI],0))="Lower is Better",IF($J961=0,1,IF($I961=0,0,$I961/$J961)),IF($I961=0,1,$J961/$I961)),0)</f>
        <v/>
      </c>
      <c r="R961" s="4">
        <f>IF(OR($I961="",$J961=""),"",$J961-$I961)</f>
        <v/>
      </c>
      <c r="S961" s="4">
        <f>IFERROR(IF(INDEX(Tbl_KPIMaster[Direction],MATCH($G961,Tbl_KPIMaster[KPI],0))="Lower is Better",IF($J961&lt;=$I961,"Green",IF($J961&lt;=$I961+IF($I961=0,$K961,$I961*$K961),"Amber","Red")),IF($J961&gt;=$I961,"Green",IF($J961&gt;=$I961-IF($I961=0,$K961,$I961*$K961),"Amber","Red"))),"")</f>
        <v/>
      </c>
      <c r="T961" s="6" t="inlineStr"/>
    </row>
    <row r="962">
      <c r="A962" s="7" t="n">
        <v>46177</v>
      </c>
      <c r="B962" s="8">
        <f>IF($A962="","",TEXT($A962,"mmm-yyyy"))</f>
        <v/>
      </c>
      <c r="C962" s="8">
        <f>IF($A962="","","W"&amp;WEEKNUM($A962,2))</f>
        <v/>
      </c>
      <c r="D962" s="8">
        <f>IF($A962="","",TEXT($A962,"ddd"))</f>
        <v/>
      </c>
      <c r="E962" s="8" t="inlineStr">
        <is>
          <t>Energy</t>
        </is>
      </c>
      <c r="F962" s="8">
        <f>IFERROR(INDEX(Tbl_KPIMaster[Category],MATCH($G962,Tbl_KPIMaster[KPI],0)),"")</f>
        <v/>
      </c>
      <c r="G962" s="8" t="inlineStr">
        <is>
          <t>Renewable Energy Share %</t>
        </is>
      </c>
      <c r="H962" s="8">
        <f>IFERROR(INDEX(Tbl_KPIMaster[Unit],MATCH($G962,Tbl_KPIMaster[KPI],0)),"")</f>
        <v/>
      </c>
      <c r="I962" s="9">
        <f>IFERROR(INDEX(Tbl_KPIMaster[Maximum Target],MATCH($G962,Tbl_KPIMaster[KPI],0)),"")</f>
        <v/>
      </c>
      <c r="J962" s="9" t="n">
        <v>0.2435</v>
      </c>
      <c r="K962" s="8">
        <f>IFERROR(INDEX(Tbl_KPIMaster[Tolerance],MATCH($G962,Tbl_KPIMaster[KPI],0)),"")</f>
        <v/>
      </c>
      <c r="L962" s="8">
        <f>IFERROR(INDEX(Tbl_KPIMaster[Owner],MATCH($G962,Tbl_KPIMaster[KPI],0)),"")</f>
        <v/>
      </c>
      <c r="M962" s="10" t="inlineStr">
        <is>
          <t>Equipment breakdown</t>
        </is>
      </c>
      <c r="N962" s="8" t="inlineStr"/>
      <c r="O962" s="8" t="inlineStr">
        <is>
          <t>Low</t>
        </is>
      </c>
      <c r="P962" s="8" t="inlineStr">
        <is>
          <t>Open</t>
        </is>
      </c>
      <c r="Q962" s="9">
        <f>IFERROR(IF(INDEX(Tbl_KPIMaster[Direction],MATCH($G962,Tbl_KPIMaster[KPI],0))="Lower is Better",IF($J962=0,1,IF($I962=0,0,$I962/$J962)),IF($I962=0,1,$J962/$I962)),0)</f>
        <v/>
      </c>
      <c r="R962" s="8">
        <f>IF(OR($I962="",$J962=""),"",$J962-$I962)</f>
        <v/>
      </c>
      <c r="S962" s="8">
        <f>IFERROR(IF(INDEX(Tbl_KPIMaster[Direction],MATCH($G962,Tbl_KPIMaster[KPI],0))="Lower is Better",IF($J962&lt;=$I962,"Green",IF($J962&lt;=$I962+IF($I962=0,$K962,$I962*$K962),"Amber","Red")),IF($J962&gt;=$I962,"Green",IF($J962&gt;=$I962-IF($I962=0,$K962,$I962*$K962),"Amber","Red"))),"")</f>
        <v/>
      </c>
      <c r="T962" s="10" t="inlineStr"/>
    </row>
    <row r="963">
      <c r="A963" s="3" t="n">
        <v>46178</v>
      </c>
      <c r="B963" s="4">
        <f>IF($A963="","",TEXT($A963,"mmm-yyyy"))</f>
        <v/>
      </c>
      <c r="C963" s="4">
        <f>IF($A963="","","W"&amp;WEEKNUM($A963,2))</f>
        <v/>
      </c>
      <c r="D963" s="4">
        <f>IF($A963="","",TEXT($A963,"ddd"))</f>
        <v/>
      </c>
      <c r="E963" s="4" t="inlineStr">
        <is>
          <t>Safety</t>
        </is>
      </c>
      <c r="F963" s="4">
        <f>IFERROR(INDEX(Tbl_KPIMaster[Category],MATCH($G963,Tbl_KPIMaster[KPI],0)),"")</f>
        <v/>
      </c>
      <c r="G963" s="4" t="inlineStr">
        <is>
          <t>Safety Incidents (LTI)</t>
        </is>
      </c>
      <c r="H963" s="4">
        <f>IFERROR(INDEX(Tbl_KPIMaster[Unit],MATCH($G963,Tbl_KPIMaster[KPI],0)),"")</f>
        <v/>
      </c>
      <c r="I963" s="5">
        <f>IFERROR(INDEX(Tbl_KPIMaster[Maximum Target],MATCH($G963,Tbl_KPIMaster[KPI],0)),"")</f>
        <v/>
      </c>
      <c r="J963" s="5" t="n">
        <v>0</v>
      </c>
      <c r="K963" s="4">
        <f>IFERROR(INDEX(Tbl_KPIMaster[Tolerance],MATCH($G963,Tbl_KPIMaster[KPI],0)),"")</f>
        <v/>
      </c>
      <c r="L963" s="4">
        <f>IFERROR(INDEX(Tbl_KPIMaster[Owner],MATCH($G963,Tbl_KPIMaster[KPI],0)),"")</f>
        <v/>
      </c>
      <c r="M963" s="6" t="inlineStr"/>
      <c r="N963" s="4" t="inlineStr">
        <is>
          <t>Engineering support needed</t>
        </is>
      </c>
      <c r="O963" s="4" t="inlineStr">
        <is>
          <t>Low</t>
        </is>
      </c>
      <c r="P963" s="4" t="inlineStr">
        <is>
          <t>Closed</t>
        </is>
      </c>
      <c r="Q963" s="5">
        <f>IFERROR(IF(INDEX(Tbl_KPIMaster[Direction],MATCH($G963,Tbl_KPIMaster[KPI],0))="Lower is Better",IF($J963=0,1,IF($I963=0,0,$I963/$J963)),IF($I963=0,1,$J963/$I963)),0)</f>
        <v/>
      </c>
      <c r="R963" s="4">
        <f>IF(OR($I963="",$J963=""),"",$J963-$I963)</f>
        <v/>
      </c>
      <c r="S963" s="4">
        <f>IFERROR(IF(INDEX(Tbl_KPIMaster[Direction],MATCH($G963,Tbl_KPIMaster[KPI],0))="Lower is Better",IF($J963&lt;=$I963,"Green",IF($J963&lt;=$I963+IF($I963=0,$K963,$I963*$K963),"Amber","Red")),IF($J963&gt;=$I963,"Green",IF($J963&gt;=$I963-IF($I963=0,$K963,$I963*$K963),"Amber","Red"))),"")</f>
        <v/>
      </c>
      <c r="T963" s="6" t="inlineStr"/>
    </row>
    <row r="964">
      <c r="A964" s="7" t="n">
        <v>46178</v>
      </c>
      <c r="B964" s="8">
        <f>IF($A964="","",TEXT($A964,"mmm-yyyy"))</f>
        <v/>
      </c>
      <c r="C964" s="8">
        <f>IF($A964="","","W"&amp;WEEKNUM($A964,2))</f>
        <v/>
      </c>
      <c r="D964" s="8">
        <f>IF($A964="","",TEXT($A964,"ddd"))</f>
        <v/>
      </c>
      <c r="E964" s="8" t="inlineStr">
        <is>
          <t>Safety</t>
        </is>
      </c>
      <c r="F964" s="8">
        <f>IFERROR(INDEX(Tbl_KPIMaster[Category],MATCH($G964,Tbl_KPIMaster[KPI],0)),"")</f>
        <v/>
      </c>
      <c r="G964" s="8" t="inlineStr">
        <is>
          <t>Near Miss Reports</t>
        </is>
      </c>
      <c r="H964" s="8">
        <f>IFERROR(INDEX(Tbl_KPIMaster[Unit],MATCH($G964,Tbl_KPIMaster[KPI],0)),"")</f>
        <v/>
      </c>
      <c r="I964" s="9">
        <f>IFERROR(INDEX(Tbl_KPIMaster[Maximum Target],MATCH($G964,Tbl_KPIMaster[KPI],0)),"")</f>
        <v/>
      </c>
      <c r="J964" s="9" t="n">
        <v>2</v>
      </c>
      <c r="K964" s="8">
        <f>IFERROR(INDEX(Tbl_KPIMaster[Tolerance],MATCH($G964,Tbl_KPIMaster[KPI],0)),"")</f>
        <v/>
      </c>
      <c r="L964" s="8">
        <f>IFERROR(INDEX(Tbl_KPIMaster[Owner],MATCH($G964,Tbl_KPIMaster[KPI],0)),"")</f>
        <v/>
      </c>
      <c r="M964" s="10" t="inlineStr">
        <is>
          <t>Equipment breakdown</t>
        </is>
      </c>
      <c r="N964" s="8" t="inlineStr">
        <is>
          <t>Engineering support needed</t>
        </is>
      </c>
      <c r="O964" s="8" t="inlineStr">
        <is>
          <t>Low</t>
        </is>
      </c>
      <c r="P964" s="8" t="inlineStr">
        <is>
          <t>Closed</t>
        </is>
      </c>
      <c r="Q964" s="9">
        <f>IFERROR(IF(INDEX(Tbl_KPIMaster[Direction],MATCH($G964,Tbl_KPIMaster[KPI],0))="Lower is Better",IF($J964=0,1,IF($I964=0,0,$I964/$J964)),IF($I964=0,1,$J964/$I964)),0)</f>
        <v/>
      </c>
      <c r="R964" s="8">
        <f>IF(OR($I964="",$J964=""),"",$J964-$I964)</f>
        <v/>
      </c>
      <c r="S964" s="8">
        <f>IFERROR(IF(INDEX(Tbl_KPIMaster[Direction],MATCH($G964,Tbl_KPIMaster[KPI],0))="Lower is Better",IF($J964&lt;=$I964,"Green",IF($J964&lt;=$I964+IF($I964=0,$K964,$I964*$K964),"Amber","Red")),IF($J964&gt;=$I964,"Green",IF($J964&gt;=$I964-IF($I964=0,$K964,$I964*$K964),"Amber","Red"))),"")</f>
        <v/>
      </c>
      <c r="T964" s="10" t="inlineStr"/>
    </row>
    <row r="965">
      <c r="A965" s="3" t="n">
        <v>46178</v>
      </c>
      <c r="B965" s="4">
        <f>IF($A965="","",TEXT($A965,"mmm-yyyy"))</f>
        <v/>
      </c>
      <c r="C965" s="4">
        <f>IF($A965="","","W"&amp;WEEKNUM($A965,2))</f>
        <v/>
      </c>
      <c r="D965" s="4">
        <f>IF($A965="","",TEXT($A965,"ddd"))</f>
        <v/>
      </c>
      <c r="E965" s="4" t="inlineStr">
        <is>
          <t>Production</t>
        </is>
      </c>
      <c r="F965" s="4">
        <f>IFERROR(INDEX(Tbl_KPIMaster[Category],MATCH($G965,Tbl_KPIMaster[KPI],0)),"")</f>
        <v/>
      </c>
      <c r="G965" s="4" t="inlineStr">
        <is>
          <t>Production Output</t>
        </is>
      </c>
      <c r="H965" s="4">
        <f>IFERROR(INDEX(Tbl_KPIMaster[Unit],MATCH($G965,Tbl_KPIMaster[KPI],0)),"")</f>
        <v/>
      </c>
      <c r="I965" s="5">
        <f>IFERROR(INDEX(Tbl_KPIMaster[Maximum Target],MATCH($G965,Tbl_KPIMaster[KPI],0)),"")</f>
        <v/>
      </c>
      <c r="J965" s="5" t="n">
        <v>788.42</v>
      </c>
      <c r="K965" s="4">
        <f>IFERROR(INDEX(Tbl_KPIMaster[Tolerance],MATCH($G965,Tbl_KPIMaster[KPI],0)),"")</f>
        <v/>
      </c>
      <c r="L965" s="4">
        <f>IFERROR(INDEX(Tbl_KPIMaster[Owner],MATCH($G965,Tbl_KPIMaster[KPI],0)),"")</f>
        <v/>
      </c>
      <c r="M965" s="6" t="inlineStr">
        <is>
          <t>New operator training effect</t>
        </is>
      </c>
      <c r="N965" s="4" t="inlineStr"/>
      <c r="O965" s="4" t="inlineStr">
        <is>
          <t>Low</t>
        </is>
      </c>
      <c r="P965" s="4" t="inlineStr">
        <is>
          <t>Closed</t>
        </is>
      </c>
      <c r="Q965" s="5">
        <f>IFERROR(IF(INDEX(Tbl_KPIMaster[Direction],MATCH($G965,Tbl_KPIMaster[KPI],0))="Lower is Better",IF($J965=0,1,IF($I965=0,0,$I965/$J965)),IF($I965=0,1,$J965/$I965)),0)</f>
        <v/>
      </c>
      <c r="R965" s="4">
        <f>IF(OR($I965="",$J965=""),"",$J965-$I965)</f>
        <v/>
      </c>
      <c r="S965" s="4">
        <f>IFERROR(IF(INDEX(Tbl_KPIMaster[Direction],MATCH($G965,Tbl_KPIMaster[KPI],0))="Lower is Better",IF($J965&lt;=$I965,"Green",IF($J965&lt;=$I965+IF($I965=0,$K965,$I965*$K965),"Amber","Red")),IF($J965&gt;=$I965,"Green",IF($J965&gt;=$I965-IF($I965=0,$K965,$I965*$K965),"Amber","Red"))),"")</f>
        <v/>
      </c>
      <c r="T965" s="6" t="inlineStr"/>
    </row>
    <row r="966">
      <c r="A966" s="7" t="n">
        <v>46178</v>
      </c>
      <c r="B966" s="8">
        <f>IF($A966="","",TEXT($A966,"mmm-yyyy"))</f>
        <v/>
      </c>
      <c r="C966" s="8">
        <f>IF($A966="","","W"&amp;WEEKNUM($A966,2))</f>
        <v/>
      </c>
      <c r="D966" s="8">
        <f>IF($A966="","",TEXT($A966,"ddd"))</f>
        <v/>
      </c>
      <c r="E966" s="8" t="inlineStr">
        <is>
          <t>Production</t>
        </is>
      </c>
      <c r="F966" s="8">
        <f>IFERROR(INDEX(Tbl_KPIMaster[Category],MATCH($G966,Tbl_KPIMaster[KPI],0)),"")</f>
        <v/>
      </c>
      <c r="G966" s="8" t="inlineStr">
        <is>
          <t>OEE %</t>
        </is>
      </c>
      <c r="H966" s="8">
        <f>IFERROR(INDEX(Tbl_KPIMaster[Unit],MATCH($G966,Tbl_KPIMaster[KPI],0)),"")</f>
        <v/>
      </c>
      <c r="I966" s="9">
        <f>IFERROR(INDEX(Tbl_KPIMaster[Maximum Target],MATCH($G966,Tbl_KPIMaster[KPI],0)),"")</f>
        <v/>
      </c>
      <c r="J966" s="9" t="n">
        <v>0.8933</v>
      </c>
      <c r="K966" s="8">
        <f>IFERROR(INDEX(Tbl_KPIMaster[Tolerance],MATCH($G966,Tbl_KPIMaster[KPI],0)),"")</f>
        <v/>
      </c>
      <c r="L966" s="8">
        <f>IFERROR(INDEX(Tbl_KPIMaster[Owner],MATCH($G966,Tbl_KPIMaster[KPI],0)),"")</f>
        <v/>
      </c>
      <c r="M966" s="10" t="inlineStr">
        <is>
          <t>Within normal range</t>
        </is>
      </c>
      <c r="N966" s="8" t="inlineStr"/>
      <c r="O966" s="8" t="inlineStr">
        <is>
          <t>High</t>
        </is>
      </c>
      <c r="P966" s="8" t="inlineStr">
        <is>
          <t>Closed</t>
        </is>
      </c>
      <c r="Q966" s="9">
        <f>IFERROR(IF(INDEX(Tbl_KPIMaster[Direction],MATCH($G966,Tbl_KPIMaster[KPI],0))="Lower is Better",IF($J966=0,1,IF($I966=0,0,$I966/$J966)),IF($I966=0,1,$J966/$I966)),0)</f>
        <v/>
      </c>
      <c r="R966" s="8">
        <f>IF(OR($I966="",$J966=""),"",$J966-$I966)</f>
        <v/>
      </c>
      <c r="S966" s="8">
        <f>IFERROR(IF(INDEX(Tbl_KPIMaster[Direction],MATCH($G966,Tbl_KPIMaster[KPI],0))="Lower is Better",IF($J966&lt;=$I966,"Green",IF($J966&lt;=$I966+IF($I966=0,$K966,$I966*$K966),"Amber","Red")),IF($J966&gt;=$I966,"Green",IF($J966&gt;=$I966-IF($I966=0,$K966,$I966*$K966),"Amber","Red"))),"")</f>
        <v/>
      </c>
      <c r="T966" s="10" t="inlineStr"/>
    </row>
    <row r="967">
      <c r="A967" s="3" t="n">
        <v>46178</v>
      </c>
      <c r="B967" s="4">
        <f>IF($A967="","",TEXT($A967,"mmm-yyyy"))</f>
        <v/>
      </c>
      <c r="C967" s="4">
        <f>IF($A967="","","W"&amp;WEEKNUM($A967,2))</f>
        <v/>
      </c>
      <c r="D967" s="4">
        <f>IF($A967="","",TEXT($A967,"ddd"))</f>
        <v/>
      </c>
      <c r="E967" s="4" t="inlineStr">
        <is>
          <t>Quality</t>
        </is>
      </c>
      <c r="F967" s="4">
        <f>IFERROR(INDEX(Tbl_KPIMaster[Category],MATCH($G967,Tbl_KPIMaster[KPI],0)),"")</f>
        <v/>
      </c>
      <c r="G967" s="4" t="inlineStr">
        <is>
          <t>Defect Rate %</t>
        </is>
      </c>
      <c r="H967" s="4">
        <f>IFERROR(INDEX(Tbl_KPIMaster[Unit],MATCH($G967,Tbl_KPIMaster[KPI],0)),"")</f>
        <v/>
      </c>
      <c r="I967" s="5">
        <f>IFERROR(INDEX(Tbl_KPIMaster[Maximum Target],MATCH($G967,Tbl_KPIMaster[KPI],0)),"")</f>
        <v/>
      </c>
      <c r="J967" s="5" t="n">
        <v>0.3356</v>
      </c>
      <c r="K967" s="4">
        <f>IFERROR(INDEX(Tbl_KPIMaster[Tolerance],MATCH($G967,Tbl_KPIMaster[KPI],0)),"")</f>
        <v/>
      </c>
      <c r="L967" s="4">
        <f>IFERROR(INDEX(Tbl_KPIMaster[Owner],MATCH($G967,Tbl_KPIMaster[KPI],0)),"")</f>
        <v/>
      </c>
      <c r="M967" s="6" t="inlineStr">
        <is>
          <t>Vendor delay</t>
        </is>
      </c>
      <c r="N967" s="4" t="inlineStr"/>
      <c r="O967" s="4" t="inlineStr">
        <is>
          <t>High</t>
        </is>
      </c>
      <c r="P967" s="4" t="inlineStr">
        <is>
          <t>In Progress</t>
        </is>
      </c>
      <c r="Q967" s="5">
        <f>IFERROR(IF(INDEX(Tbl_KPIMaster[Direction],MATCH($G967,Tbl_KPIMaster[KPI],0))="Lower is Better",IF($J967=0,1,IF($I967=0,0,$I967/$J967)),IF($I967=0,1,$J967/$I967)),0)</f>
        <v/>
      </c>
      <c r="R967" s="4">
        <f>IF(OR($I967="",$J967=""),"",$J967-$I967)</f>
        <v/>
      </c>
      <c r="S967" s="4">
        <f>IFERROR(IF(INDEX(Tbl_KPIMaster[Direction],MATCH($G967,Tbl_KPIMaster[KPI],0))="Lower is Better",IF($J967&lt;=$I967,"Green",IF($J967&lt;=$I967+IF($I967=0,$K967,$I967*$K967),"Amber","Red")),IF($J967&gt;=$I967,"Green",IF($J967&gt;=$I967-IF($I967=0,$K967,$I967*$K967),"Amber","Red"))),"")</f>
        <v/>
      </c>
      <c r="T967" s="6" t="inlineStr"/>
    </row>
    <row r="968">
      <c r="A968" s="7" t="n">
        <v>46178</v>
      </c>
      <c r="B968" s="8">
        <f>IF($A968="","",TEXT($A968,"mmm-yyyy"))</f>
        <v/>
      </c>
      <c r="C968" s="8">
        <f>IF($A968="","","W"&amp;WEEKNUM($A968,2))</f>
        <v/>
      </c>
      <c r="D968" s="8">
        <f>IF($A968="","",TEXT($A968,"ddd"))</f>
        <v/>
      </c>
      <c r="E968" s="8" t="inlineStr">
        <is>
          <t>Quality</t>
        </is>
      </c>
      <c r="F968" s="8">
        <f>IFERROR(INDEX(Tbl_KPIMaster[Category],MATCH($G968,Tbl_KPIMaster[KPI],0)),"")</f>
        <v/>
      </c>
      <c r="G968" s="8" t="inlineStr">
        <is>
          <t>Customer Complaints</t>
        </is>
      </c>
      <c r="H968" s="8">
        <f>IFERROR(INDEX(Tbl_KPIMaster[Unit],MATCH($G968,Tbl_KPIMaster[KPI],0)),"")</f>
        <v/>
      </c>
      <c r="I968" s="9">
        <f>IFERROR(INDEX(Tbl_KPIMaster[Maximum Target],MATCH($G968,Tbl_KPIMaster[KPI],0)),"")</f>
        <v/>
      </c>
      <c r="J968" s="9" t="n">
        <v>0</v>
      </c>
      <c r="K968" s="8">
        <f>IFERROR(INDEX(Tbl_KPIMaster[Tolerance],MATCH($G968,Tbl_KPIMaster[KPI],0)),"")</f>
        <v/>
      </c>
      <c r="L968" s="8">
        <f>IFERROR(INDEX(Tbl_KPIMaster[Owner],MATCH($G968,Tbl_KPIMaster[KPI],0)),"")</f>
        <v/>
      </c>
      <c r="M968" s="10" t="inlineStr">
        <is>
          <t>Within normal range</t>
        </is>
      </c>
      <c r="N968" s="8" t="inlineStr"/>
      <c r="O968" s="8" t="inlineStr">
        <is>
          <t>Low</t>
        </is>
      </c>
      <c r="P968" s="8" t="inlineStr">
        <is>
          <t>Closed</t>
        </is>
      </c>
      <c r="Q968" s="9">
        <f>IFERROR(IF(INDEX(Tbl_KPIMaster[Direction],MATCH($G968,Tbl_KPIMaster[KPI],0))="Lower is Better",IF($J968=0,1,IF($I968=0,0,$I968/$J968)),IF($I968=0,1,$J968/$I968)),0)</f>
        <v/>
      </c>
      <c r="R968" s="8">
        <f>IF(OR($I968="",$J968=""),"",$J968-$I968)</f>
        <v/>
      </c>
      <c r="S968" s="8">
        <f>IFERROR(IF(INDEX(Tbl_KPIMaster[Direction],MATCH($G968,Tbl_KPIMaster[KPI],0))="Lower is Better",IF($J968&lt;=$I968,"Green",IF($J968&lt;=$I968+IF($I968=0,$K968,$I968*$K968),"Amber","Red")),IF($J968&gt;=$I968,"Green",IF($J968&gt;=$I968-IF($I968=0,$K968,$I968*$K968),"Amber","Red"))),"")</f>
        <v/>
      </c>
      <c r="T968" s="10" t="inlineStr"/>
    </row>
    <row r="969">
      <c r="A969" s="3" t="n">
        <v>46178</v>
      </c>
      <c r="B969" s="4">
        <f>IF($A969="","",TEXT($A969,"mmm-yyyy"))</f>
        <v/>
      </c>
      <c r="C969" s="4">
        <f>IF($A969="","","W"&amp;WEEKNUM($A969,2))</f>
        <v/>
      </c>
      <c r="D969" s="4">
        <f>IF($A969="","",TEXT($A969,"ddd"))</f>
        <v/>
      </c>
      <c r="E969" s="4" t="inlineStr">
        <is>
          <t>Maintenance</t>
        </is>
      </c>
      <c r="F969" s="4">
        <f>IFERROR(INDEX(Tbl_KPIMaster[Category],MATCH($G969,Tbl_KPIMaster[KPI],0)),"")</f>
        <v/>
      </c>
      <c r="G969" s="4" t="inlineStr">
        <is>
          <t>Unplanned Downtime</t>
        </is>
      </c>
      <c r="H969" s="4">
        <f>IFERROR(INDEX(Tbl_KPIMaster[Unit],MATCH($G969,Tbl_KPIMaster[KPI],0)),"")</f>
        <v/>
      </c>
      <c r="I969" s="5">
        <f>IFERROR(INDEX(Tbl_KPIMaster[Maximum Target],MATCH($G969,Tbl_KPIMaster[KPI],0)),"")</f>
        <v/>
      </c>
      <c r="J969" s="5" t="n">
        <v>0.25</v>
      </c>
      <c r="K969" s="4">
        <f>IFERROR(INDEX(Tbl_KPIMaster[Tolerance],MATCH($G969,Tbl_KPIMaster[KPI],0)),"")</f>
        <v/>
      </c>
      <c r="L969" s="4">
        <f>IFERROR(INDEX(Tbl_KPIMaster[Owner],MATCH($G969,Tbl_KPIMaster[KPI],0)),"")</f>
        <v/>
      </c>
      <c r="M969" s="6" t="inlineStr">
        <is>
          <t>Manpower shortage</t>
        </is>
      </c>
      <c r="N969" s="4" t="inlineStr"/>
      <c r="O969" s="4" t="inlineStr">
        <is>
          <t>Medium</t>
        </is>
      </c>
      <c r="P969" s="4" t="inlineStr">
        <is>
          <t>Closed</t>
        </is>
      </c>
      <c r="Q969" s="5">
        <f>IFERROR(IF(INDEX(Tbl_KPIMaster[Direction],MATCH($G969,Tbl_KPIMaster[KPI],0))="Lower is Better",IF($J969=0,1,IF($I969=0,0,$I969/$J969)),IF($I969=0,1,$J969/$I969)),0)</f>
        <v/>
      </c>
      <c r="R969" s="4">
        <f>IF(OR($I969="",$J969=""),"",$J969-$I969)</f>
        <v/>
      </c>
      <c r="S969" s="4">
        <f>IFERROR(IF(INDEX(Tbl_KPIMaster[Direction],MATCH($G969,Tbl_KPIMaster[KPI],0))="Lower is Better",IF($J969&lt;=$I969,"Green",IF($J969&lt;=$I969+IF($I969=0,$K969,$I969*$K969),"Amber","Red")),IF($J969&gt;=$I969,"Green",IF($J969&gt;=$I969-IF($I969=0,$K969,$I969*$K969),"Amber","Red"))),"")</f>
        <v/>
      </c>
      <c r="T969" s="6" t="inlineStr"/>
    </row>
    <row r="970">
      <c r="A970" s="7" t="n">
        <v>46178</v>
      </c>
      <c r="B970" s="8">
        <f>IF($A970="","",TEXT($A970,"mmm-yyyy"))</f>
        <v/>
      </c>
      <c r="C970" s="8">
        <f>IF($A970="","","W"&amp;WEEKNUM($A970,2))</f>
        <v/>
      </c>
      <c r="D970" s="8">
        <f>IF($A970="","",TEXT($A970,"ddd"))</f>
        <v/>
      </c>
      <c r="E970" s="8" t="inlineStr">
        <is>
          <t>Maintenance</t>
        </is>
      </c>
      <c r="F970" s="8">
        <f>IFERROR(INDEX(Tbl_KPIMaster[Category],MATCH($G970,Tbl_KPIMaster[KPI],0)),"")</f>
        <v/>
      </c>
      <c r="G970" s="8" t="inlineStr">
        <is>
          <t>PM Compliance %</t>
        </is>
      </c>
      <c r="H970" s="8">
        <f>IFERROR(INDEX(Tbl_KPIMaster[Unit],MATCH($G970,Tbl_KPIMaster[KPI],0)),"")</f>
        <v/>
      </c>
      <c r="I970" s="9">
        <f>IFERROR(INDEX(Tbl_KPIMaster[Maximum Target],MATCH($G970,Tbl_KPIMaster[KPI],0)),"")</f>
        <v/>
      </c>
      <c r="J970" s="9" t="n">
        <v>1.0361</v>
      </c>
      <c r="K970" s="8">
        <f>IFERROR(INDEX(Tbl_KPIMaster[Tolerance],MATCH($G970,Tbl_KPIMaster[KPI],0)),"")</f>
        <v/>
      </c>
      <c r="L970" s="8">
        <f>IFERROR(INDEX(Tbl_KPIMaster[Owner],MATCH($G970,Tbl_KPIMaster[KPI],0)),"")</f>
        <v/>
      </c>
      <c r="M970" s="10" t="inlineStr">
        <is>
          <t>Awaiting spares</t>
        </is>
      </c>
      <c r="N970" s="8" t="inlineStr"/>
      <c r="O970" s="8" t="inlineStr">
        <is>
          <t>Medium</t>
        </is>
      </c>
      <c r="P970" s="8" t="inlineStr">
        <is>
          <t>Open</t>
        </is>
      </c>
      <c r="Q970" s="9">
        <f>IFERROR(IF(INDEX(Tbl_KPIMaster[Direction],MATCH($G970,Tbl_KPIMaster[KPI],0))="Lower is Better",IF($J970=0,1,IF($I970=0,0,$I970/$J970)),IF($I970=0,1,$J970/$I970)),0)</f>
        <v/>
      </c>
      <c r="R970" s="8">
        <f>IF(OR($I970="",$J970=""),"",$J970-$I970)</f>
        <v/>
      </c>
      <c r="S970" s="8">
        <f>IFERROR(IF(INDEX(Tbl_KPIMaster[Direction],MATCH($G970,Tbl_KPIMaster[KPI],0))="Lower is Better",IF($J970&lt;=$I970,"Green",IF($J970&lt;=$I970+IF($I970=0,$K970,$I970*$K970),"Amber","Red")),IF($J970&gt;=$I970,"Green",IF($J970&gt;=$I970-IF($I970=0,$K970,$I970*$K970),"Amber","Red"))),"")</f>
        <v/>
      </c>
      <c r="T970" s="10" t="inlineStr"/>
    </row>
    <row r="971">
      <c r="A971" s="3" t="n">
        <v>46178</v>
      </c>
      <c r="B971" s="4">
        <f>IF($A971="","",TEXT($A971,"mmm-yyyy"))</f>
        <v/>
      </c>
      <c r="C971" s="4">
        <f>IF($A971="","","W"&amp;WEEKNUM($A971,2))</f>
        <v/>
      </c>
      <c r="D971" s="4">
        <f>IF($A971="","",TEXT($A971,"ddd"))</f>
        <v/>
      </c>
      <c r="E971" s="4" t="inlineStr">
        <is>
          <t>Utilities</t>
        </is>
      </c>
      <c r="F971" s="4">
        <f>IFERROR(INDEX(Tbl_KPIMaster[Category],MATCH($G971,Tbl_KPIMaster[KPI],0)),"")</f>
        <v/>
      </c>
      <c r="G971" s="4" t="inlineStr">
        <is>
          <t>Power Consumption</t>
        </is>
      </c>
      <c r="H971" s="4">
        <f>IFERROR(INDEX(Tbl_KPIMaster[Unit],MATCH($G971,Tbl_KPIMaster[KPI],0)),"")</f>
        <v/>
      </c>
      <c r="I971" s="5">
        <f>IFERROR(INDEX(Tbl_KPIMaster[Maximum Target],MATCH($G971,Tbl_KPIMaster[KPI],0)),"")</f>
        <v/>
      </c>
      <c r="J971" s="5" t="n">
        <v>5014.92</v>
      </c>
      <c r="K971" s="4">
        <f>IFERROR(INDEX(Tbl_KPIMaster[Tolerance],MATCH($G971,Tbl_KPIMaster[KPI],0)),"")</f>
        <v/>
      </c>
      <c r="L971" s="4">
        <f>IFERROR(INDEX(Tbl_KPIMaster[Owner],MATCH($G971,Tbl_KPIMaster[KPI],0)),"")</f>
        <v/>
      </c>
      <c r="M971" s="6" t="inlineStr">
        <is>
          <t>Weather impact</t>
        </is>
      </c>
      <c r="N971" s="4" t="inlineStr"/>
      <c r="O971" s="4" t="inlineStr">
        <is>
          <t>High</t>
        </is>
      </c>
      <c r="P971" s="4" t="inlineStr">
        <is>
          <t>In Progress</t>
        </is>
      </c>
      <c r="Q971" s="5">
        <f>IFERROR(IF(INDEX(Tbl_KPIMaster[Direction],MATCH($G971,Tbl_KPIMaster[KPI],0))="Lower is Better",IF($J971=0,1,IF($I971=0,0,$I971/$J971)),IF($I971=0,1,$J971/$I971)),0)</f>
        <v/>
      </c>
      <c r="R971" s="4">
        <f>IF(OR($I971="",$J971=""),"",$J971-$I971)</f>
        <v/>
      </c>
      <c r="S971" s="4">
        <f>IFERROR(IF(INDEX(Tbl_KPIMaster[Direction],MATCH($G971,Tbl_KPIMaster[KPI],0))="Lower is Better",IF($J971&lt;=$I971,"Green",IF($J971&lt;=$I971+IF($I971=0,$K971,$I971*$K971),"Amber","Red")),IF($J971&gt;=$I971,"Green",IF($J971&gt;=$I971-IF($I971=0,$K971,$I971*$K971),"Amber","Red"))),"")</f>
        <v/>
      </c>
      <c r="T971" s="6" t="inlineStr"/>
    </row>
    <row r="972">
      <c r="A972" s="7" t="n">
        <v>46178</v>
      </c>
      <c r="B972" s="8">
        <f>IF($A972="","",TEXT($A972,"mmm-yyyy"))</f>
        <v/>
      </c>
      <c r="C972" s="8">
        <f>IF($A972="","","W"&amp;WEEKNUM($A972,2))</f>
        <v/>
      </c>
      <c r="D972" s="8">
        <f>IF($A972="","",TEXT($A972,"ddd"))</f>
        <v/>
      </c>
      <c r="E972" s="8" t="inlineStr">
        <is>
          <t>Utilities</t>
        </is>
      </c>
      <c r="F972" s="8">
        <f>IFERROR(INDEX(Tbl_KPIMaster[Category],MATCH($G972,Tbl_KPIMaster[KPI],0)),"")</f>
        <v/>
      </c>
      <c r="G972" s="8" t="inlineStr">
        <is>
          <t>Water Consumption</t>
        </is>
      </c>
      <c r="H972" s="8">
        <f>IFERROR(INDEX(Tbl_KPIMaster[Unit],MATCH($G972,Tbl_KPIMaster[KPI],0)),"")</f>
        <v/>
      </c>
      <c r="I972" s="9">
        <f>IFERROR(INDEX(Tbl_KPIMaster[Maximum Target],MATCH($G972,Tbl_KPIMaster[KPI],0)),"")</f>
        <v/>
      </c>
      <c r="J972" s="9" t="n">
        <v>64.69</v>
      </c>
      <c r="K972" s="8">
        <f>IFERROR(INDEX(Tbl_KPIMaster[Tolerance],MATCH($G972,Tbl_KPIMaster[KPI],0)),"")</f>
        <v/>
      </c>
      <c r="L972" s="8">
        <f>IFERROR(INDEX(Tbl_KPIMaster[Owner],MATCH($G972,Tbl_KPIMaster[KPI],0)),"")</f>
        <v/>
      </c>
      <c r="M972" s="10" t="inlineStr">
        <is>
          <t>Weather impact</t>
        </is>
      </c>
      <c r="N972" s="8" t="inlineStr">
        <is>
          <t>Procurement follow-up</t>
        </is>
      </c>
      <c r="O972" s="8" t="inlineStr">
        <is>
          <t>Medium</t>
        </is>
      </c>
      <c r="P972" s="8" t="inlineStr">
        <is>
          <t>Open</t>
        </is>
      </c>
      <c r="Q972" s="9">
        <f>IFERROR(IF(INDEX(Tbl_KPIMaster[Direction],MATCH($G972,Tbl_KPIMaster[KPI],0))="Lower is Better",IF($J972=0,1,IF($I972=0,0,$I972/$J972)),IF($I972=0,1,$J972/$I972)),0)</f>
        <v/>
      </c>
      <c r="R972" s="8">
        <f>IF(OR($I972="",$J972=""),"",$J972-$I972)</f>
        <v/>
      </c>
      <c r="S972" s="8">
        <f>IFERROR(IF(INDEX(Tbl_KPIMaster[Direction],MATCH($G972,Tbl_KPIMaster[KPI],0))="Lower is Better",IF($J972&lt;=$I972,"Green",IF($J972&lt;=$I972+IF($I972=0,$K972,$I972*$K972),"Amber","Red")),IF($J972&gt;=$I972,"Green",IF($J972&gt;=$I972-IF($I972=0,$K972,$I972*$K972),"Amber","Red"))),"")</f>
        <v/>
      </c>
      <c r="T972" s="10" t="inlineStr"/>
    </row>
    <row r="973">
      <c r="A973" s="3" t="n">
        <v>46178</v>
      </c>
      <c r="B973" s="4">
        <f>IF($A973="","",TEXT($A973,"mmm-yyyy"))</f>
        <v/>
      </c>
      <c r="C973" s="4">
        <f>IF($A973="","","W"&amp;WEEKNUM($A973,2))</f>
        <v/>
      </c>
      <c r="D973" s="4">
        <f>IF($A973="","",TEXT($A973,"ddd"))</f>
        <v/>
      </c>
      <c r="E973" s="4" t="inlineStr">
        <is>
          <t>Warehouse</t>
        </is>
      </c>
      <c r="F973" s="4">
        <f>IFERROR(INDEX(Tbl_KPIMaster[Category],MATCH($G973,Tbl_KPIMaster[KPI],0)),"")</f>
        <v/>
      </c>
      <c r="G973" s="4" t="inlineStr">
        <is>
          <t>On-Time Dispatch %</t>
        </is>
      </c>
      <c r="H973" s="4">
        <f>IFERROR(INDEX(Tbl_KPIMaster[Unit],MATCH($G973,Tbl_KPIMaster[KPI],0)),"")</f>
        <v/>
      </c>
      <c r="I973" s="5">
        <f>IFERROR(INDEX(Tbl_KPIMaster[Maximum Target],MATCH($G973,Tbl_KPIMaster[KPI],0)),"")</f>
        <v/>
      </c>
      <c r="J973" s="5" t="n">
        <v>1.0038</v>
      </c>
      <c r="K973" s="4">
        <f>IFERROR(INDEX(Tbl_KPIMaster[Tolerance],MATCH($G973,Tbl_KPIMaster[KPI],0)),"")</f>
        <v/>
      </c>
      <c r="L973" s="4">
        <f>IFERROR(INDEX(Tbl_KPIMaster[Owner],MATCH($G973,Tbl_KPIMaster[KPI],0)),"")</f>
        <v/>
      </c>
      <c r="M973" s="6" t="inlineStr">
        <is>
          <t>New operator training effect</t>
        </is>
      </c>
      <c r="N973" s="4" t="inlineStr">
        <is>
          <t>Engineering support needed</t>
        </is>
      </c>
      <c r="O973" s="4" t="inlineStr">
        <is>
          <t>High</t>
        </is>
      </c>
      <c r="P973" s="4" t="inlineStr">
        <is>
          <t>Open</t>
        </is>
      </c>
      <c r="Q973" s="5">
        <f>IFERROR(IF(INDEX(Tbl_KPIMaster[Direction],MATCH($G973,Tbl_KPIMaster[KPI],0))="Lower is Better",IF($J973=0,1,IF($I973=0,0,$I973/$J973)),IF($I973=0,1,$J973/$I973)),0)</f>
        <v/>
      </c>
      <c r="R973" s="4">
        <f>IF(OR($I973="",$J973=""),"",$J973-$I973)</f>
        <v/>
      </c>
      <c r="S973" s="4">
        <f>IFERROR(IF(INDEX(Tbl_KPIMaster[Direction],MATCH($G973,Tbl_KPIMaster[KPI],0))="Lower is Better",IF($J973&lt;=$I973,"Green",IF($J973&lt;=$I973+IF($I973=0,$K973,$I973*$K973),"Amber","Red")),IF($J973&gt;=$I973,"Green",IF($J973&gt;=$I973-IF($I973=0,$K973,$I973*$K973),"Amber","Red"))),"")</f>
        <v/>
      </c>
      <c r="T973" s="6" t="inlineStr"/>
    </row>
    <row r="974">
      <c r="A974" s="7" t="n">
        <v>46178</v>
      </c>
      <c r="B974" s="8">
        <f>IF($A974="","",TEXT($A974,"mmm-yyyy"))</f>
        <v/>
      </c>
      <c r="C974" s="8">
        <f>IF($A974="","","W"&amp;WEEKNUM($A974,2))</f>
        <v/>
      </c>
      <c r="D974" s="8">
        <f>IF($A974="","",TEXT($A974,"ddd"))</f>
        <v/>
      </c>
      <c r="E974" s="8" t="inlineStr">
        <is>
          <t>Warehouse</t>
        </is>
      </c>
      <c r="F974" s="8">
        <f>IFERROR(INDEX(Tbl_KPIMaster[Category],MATCH($G974,Tbl_KPIMaster[KPI],0)),"")</f>
        <v/>
      </c>
      <c r="G974" s="8" t="inlineStr">
        <is>
          <t>Inventory Accuracy %</t>
        </is>
      </c>
      <c r="H974" s="8">
        <f>IFERROR(INDEX(Tbl_KPIMaster[Unit],MATCH($G974,Tbl_KPIMaster[KPI],0)),"")</f>
        <v/>
      </c>
      <c r="I974" s="9">
        <f>IFERROR(INDEX(Tbl_KPIMaster[Maximum Target],MATCH($G974,Tbl_KPIMaster[KPI],0)),"")</f>
        <v/>
      </c>
      <c r="J974" s="9" t="n">
        <v>0.781</v>
      </c>
      <c r="K974" s="8">
        <f>IFERROR(INDEX(Tbl_KPIMaster[Tolerance],MATCH($G974,Tbl_KPIMaster[KPI],0)),"")</f>
        <v/>
      </c>
      <c r="L974" s="8">
        <f>IFERROR(INDEX(Tbl_KPIMaster[Owner],MATCH($G974,Tbl_KPIMaster[KPI],0)),"")</f>
        <v/>
      </c>
      <c r="M974" s="10" t="inlineStr">
        <is>
          <t>Line changeover impact</t>
        </is>
      </c>
      <c r="N974" s="8" t="inlineStr">
        <is>
          <t>Procurement follow-up</t>
        </is>
      </c>
      <c r="O974" s="8" t="inlineStr">
        <is>
          <t>Medium</t>
        </is>
      </c>
      <c r="P974" s="8" t="inlineStr">
        <is>
          <t>In Progress</t>
        </is>
      </c>
      <c r="Q974" s="9">
        <f>IFERROR(IF(INDEX(Tbl_KPIMaster[Direction],MATCH($G974,Tbl_KPIMaster[KPI],0))="Lower is Better",IF($J974=0,1,IF($I974=0,0,$I974/$J974)),IF($I974=0,1,$J974/$I974)),0)</f>
        <v/>
      </c>
      <c r="R974" s="8">
        <f>IF(OR($I974="",$J974=""),"",$J974-$I974)</f>
        <v/>
      </c>
      <c r="S974" s="8">
        <f>IFERROR(IF(INDEX(Tbl_KPIMaster[Direction],MATCH($G974,Tbl_KPIMaster[KPI],0))="Lower is Better",IF($J974&lt;=$I974,"Green",IF($J974&lt;=$I974+IF($I974=0,$K974,$I974*$K974),"Amber","Red")),IF($J974&gt;=$I974,"Green",IF($J974&gt;=$I974-IF($I974=0,$K974,$I974*$K974),"Amber","Red"))),"")</f>
        <v/>
      </c>
      <c r="T974" s="10" t="inlineStr"/>
    </row>
    <row r="975">
      <c r="A975" s="3" t="n">
        <v>46178</v>
      </c>
      <c r="B975" s="4">
        <f>IF($A975="","",TEXT($A975,"mmm-yyyy"))</f>
        <v/>
      </c>
      <c r="C975" s="4">
        <f>IF($A975="","","W"&amp;WEEKNUM($A975,2))</f>
        <v/>
      </c>
      <c r="D975" s="4">
        <f>IF($A975="","",TEXT($A975,"ddd"))</f>
        <v/>
      </c>
      <c r="E975" s="4" t="inlineStr">
        <is>
          <t>HR</t>
        </is>
      </c>
      <c r="F975" s="4">
        <f>IFERROR(INDEX(Tbl_KPIMaster[Category],MATCH($G975,Tbl_KPIMaster[KPI],0)),"")</f>
        <v/>
      </c>
      <c r="G975" s="4" t="inlineStr">
        <is>
          <t>Absenteeism %</t>
        </is>
      </c>
      <c r="H975" s="4">
        <f>IFERROR(INDEX(Tbl_KPIMaster[Unit],MATCH($G975,Tbl_KPIMaster[KPI],0)),"")</f>
        <v/>
      </c>
      <c r="I975" s="5">
        <f>IFERROR(INDEX(Tbl_KPIMaster[Maximum Target],MATCH($G975,Tbl_KPIMaster[KPI],0)),"")</f>
        <v/>
      </c>
      <c r="J975" s="5" t="n">
        <v>0</v>
      </c>
      <c r="K975" s="4">
        <f>IFERROR(INDEX(Tbl_KPIMaster[Tolerance],MATCH($G975,Tbl_KPIMaster[KPI],0)),"")</f>
        <v/>
      </c>
      <c r="L975" s="4">
        <f>IFERROR(INDEX(Tbl_KPIMaster[Owner],MATCH($G975,Tbl_KPIMaster[KPI],0)),"")</f>
        <v/>
      </c>
      <c r="M975" s="6" t="inlineStr">
        <is>
          <t>Line changeover impact</t>
        </is>
      </c>
      <c r="N975" s="4" t="inlineStr">
        <is>
          <t>Procurement follow-up</t>
        </is>
      </c>
      <c r="O975" s="4" t="inlineStr">
        <is>
          <t>Low</t>
        </is>
      </c>
      <c r="P975" s="4" t="inlineStr">
        <is>
          <t>Closed</t>
        </is>
      </c>
      <c r="Q975" s="5">
        <f>IFERROR(IF(INDEX(Tbl_KPIMaster[Direction],MATCH($G975,Tbl_KPIMaster[KPI],0))="Lower is Better",IF($J975=0,1,IF($I975=0,0,$I975/$J975)),IF($I975=0,1,$J975/$I975)),0)</f>
        <v/>
      </c>
      <c r="R975" s="4">
        <f>IF(OR($I975="",$J975=""),"",$J975-$I975)</f>
        <v/>
      </c>
      <c r="S975" s="4">
        <f>IFERROR(IF(INDEX(Tbl_KPIMaster[Direction],MATCH($G975,Tbl_KPIMaster[KPI],0))="Lower is Better",IF($J975&lt;=$I975,"Green",IF($J975&lt;=$I975+IF($I975=0,$K975,$I975*$K975),"Amber","Red")),IF($J975&gt;=$I975,"Green",IF($J975&gt;=$I975-IF($I975=0,$K975,$I975*$K975),"Amber","Red"))),"")</f>
        <v/>
      </c>
      <c r="T975" s="6" t="inlineStr"/>
    </row>
    <row r="976">
      <c r="A976" s="7" t="n">
        <v>46178</v>
      </c>
      <c r="B976" s="8">
        <f>IF($A976="","",TEXT($A976,"mmm-yyyy"))</f>
        <v/>
      </c>
      <c r="C976" s="8">
        <f>IF($A976="","","W"&amp;WEEKNUM($A976,2))</f>
        <v/>
      </c>
      <c r="D976" s="8">
        <f>IF($A976="","",TEXT($A976,"ddd"))</f>
        <v/>
      </c>
      <c r="E976" s="8" t="inlineStr">
        <is>
          <t>HR</t>
        </is>
      </c>
      <c r="F976" s="8">
        <f>IFERROR(INDEX(Tbl_KPIMaster[Category],MATCH($G976,Tbl_KPIMaster[KPI],0)),"")</f>
        <v/>
      </c>
      <c r="G976" s="8" t="inlineStr">
        <is>
          <t>Training Hours</t>
        </is>
      </c>
      <c r="H976" s="8">
        <f>IFERROR(INDEX(Tbl_KPIMaster[Unit],MATCH($G976,Tbl_KPIMaster[KPI],0)),"")</f>
        <v/>
      </c>
      <c r="I976" s="9">
        <f>IFERROR(INDEX(Tbl_KPIMaster[Maximum Target],MATCH($G976,Tbl_KPIMaster[KPI],0)),"")</f>
        <v/>
      </c>
      <c r="J976" s="9" t="n">
        <v>2.36</v>
      </c>
      <c r="K976" s="8">
        <f>IFERROR(INDEX(Tbl_KPIMaster[Tolerance],MATCH($G976,Tbl_KPIMaster[KPI],0)),"")</f>
        <v/>
      </c>
      <c r="L976" s="8">
        <f>IFERROR(INDEX(Tbl_KPIMaster[Owner],MATCH($G976,Tbl_KPIMaster[KPI],0)),"")</f>
        <v/>
      </c>
      <c r="M976" s="10" t="inlineStr"/>
      <c r="N976" s="8" t="inlineStr"/>
      <c r="O976" s="8" t="inlineStr">
        <is>
          <t>High</t>
        </is>
      </c>
      <c r="P976" s="8" t="inlineStr">
        <is>
          <t>In Progress</t>
        </is>
      </c>
      <c r="Q976" s="9">
        <f>IFERROR(IF(INDEX(Tbl_KPIMaster[Direction],MATCH($G976,Tbl_KPIMaster[KPI],0))="Lower is Better",IF($J976=0,1,IF($I976=0,0,$I976/$J976)),IF($I976=0,1,$J976/$I976)),0)</f>
        <v/>
      </c>
      <c r="R976" s="8">
        <f>IF(OR($I976="",$J976=""),"",$J976-$I976)</f>
        <v/>
      </c>
      <c r="S976" s="8">
        <f>IFERROR(IF(INDEX(Tbl_KPIMaster[Direction],MATCH($G976,Tbl_KPIMaster[KPI],0))="Lower is Better",IF($J976&lt;=$I976,"Green",IF($J976&lt;=$I976+IF($I976=0,$K976,$I976*$K976),"Amber","Red")),IF($J976&gt;=$I976,"Green",IF($J976&gt;=$I976-IF($I976=0,$K976,$I976*$K976),"Amber","Red"))),"")</f>
        <v/>
      </c>
      <c r="T976" s="10" t="inlineStr"/>
    </row>
    <row r="977">
      <c r="A977" s="3" t="n">
        <v>46178</v>
      </c>
      <c r="B977" s="4">
        <f>IF($A977="","",TEXT($A977,"mmm-yyyy"))</f>
        <v/>
      </c>
      <c r="C977" s="4">
        <f>IF($A977="","","W"&amp;WEEKNUM($A977,2))</f>
        <v/>
      </c>
      <c r="D977" s="4">
        <f>IF($A977="","",TEXT($A977,"ddd"))</f>
        <v/>
      </c>
      <c r="E977" s="4" t="inlineStr">
        <is>
          <t>Engineering</t>
        </is>
      </c>
      <c r="F977" s="4">
        <f>IFERROR(INDEX(Tbl_KPIMaster[Category],MATCH($G977,Tbl_KPIMaster[KPI],0)),"")</f>
        <v/>
      </c>
      <c r="G977" s="4" t="inlineStr">
        <is>
          <t>Project Milestone Adherence %</t>
        </is>
      </c>
      <c r="H977" s="4">
        <f>IFERROR(INDEX(Tbl_KPIMaster[Unit],MATCH($G977,Tbl_KPIMaster[KPI],0)),"")</f>
        <v/>
      </c>
      <c r="I977" s="5">
        <f>IFERROR(INDEX(Tbl_KPIMaster[Maximum Target],MATCH($G977,Tbl_KPIMaster[KPI],0)),"")</f>
        <v/>
      </c>
      <c r="J977" s="5" t="n">
        <v>1.0422</v>
      </c>
      <c r="K977" s="4">
        <f>IFERROR(INDEX(Tbl_KPIMaster[Tolerance],MATCH($G977,Tbl_KPIMaster[KPI],0)),"")</f>
        <v/>
      </c>
      <c r="L977" s="4">
        <f>IFERROR(INDEX(Tbl_KPIMaster[Owner],MATCH($G977,Tbl_KPIMaster[KPI],0)),"")</f>
        <v/>
      </c>
      <c r="M977" s="6" t="inlineStr">
        <is>
          <t>Vendor delay</t>
        </is>
      </c>
      <c r="N977" s="4" t="inlineStr">
        <is>
          <t>Management approval pending</t>
        </is>
      </c>
      <c r="O977" s="4" t="inlineStr">
        <is>
          <t>Low</t>
        </is>
      </c>
      <c r="P977" s="4" t="inlineStr">
        <is>
          <t>Closed</t>
        </is>
      </c>
      <c r="Q977" s="5">
        <f>IFERROR(IF(INDEX(Tbl_KPIMaster[Direction],MATCH($G977,Tbl_KPIMaster[KPI],0))="Lower is Better",IF($J977=0,1,IF($I977=0,0,$I977/$J977)),IF($I977=0,1,$J977/$I977)),0)</f>
        <v/>
      </c>
      <c r="R977" s="4">
        <f>IF(OR($I977="",$J977=""),"",$J977-$I977)</f>
        <v/>
      </c>
      <c r="S977" s="4">
        <f>IFERROR(IF(INDEX(Tbl_KPIMaster[Direction],MATCH($G977,Tbl_KPIMaster[KPI],0))="Lower is Better",IF($J977&lt;=$I977,"Green",IF($J977&lt;=$I977+IF($I977=0,$K977,$I977*$K977),"Amber","Red")),IF($J977&gt;=$I977,"Green",IF($J977&gt;=$I977-IF($I977=0,$K977,$I977*$K977),"Amber","Red"))),"")</f>
        <v/>
      </c>
      <c r="T977" s="6" t="inlineStr"/>
    </row>
    <row r="978">
      <c r="A978" s="7" t="n">
        <v>46178</v>
      </c>
      <c r="B978" s="8">
        <f>IF($A978="","",TEXT($A978,"mmm-yyyy"))</f>
        <v/>
      </c>
      <c r="C978" s="8">
        <f>IF($A978="","","W"&amp;WEEKNUM($A978,2))</f>
        <v/>
      </c>
      <c r="D978" s="8">
        <f>IF($A978="","",TEXT($A978,"ddd"))</f>
        <v/>
      </c>
      <c r="E978" s="8" t="inlineStr">
        <is>
          <t>Engineering</t>
        </is>
      </c>
      <c r="F978" s="8">
        <f>IFERROR(INDEX(Tbl_KPIMaster[Category],MATCH($G978,Tbl_KPIMaster[KPI],0)),"")</f>
        <v/>
      </c>
      <c r="G978" s="8" t="inlineStr">
        <is>
          <t>Breakdown Resolution Time</t>
        </is>
      </c>
      <c r="H978" s="8">
        <f>IFERROR(INDEX(Tbl_KPIMaster[Unit],MATCH($G978,Tbl_KPIMaster[KPI],0)),"")</f>
        <v/>
      </c>
      <c r="I978" s="9">
        <f>IFERROR(INDEX(Tbl_KPIMaster[Maximum Target],MATCH($G978,Tbl_KPIMaster[KPI],0)),"")</f>
        <v/>
      </c>
      <c r="J978" s="9" t="n">
        <v>0</v>
      </c>
      <c r="K978" s="8">
        <f>IFERROR(INDEX(Tbl_KPIMaster[Tolerance],MATCH($G978,Tbl_KPIMaster[KPI],0)),"")</f>
        <v/>
      </c>
      <c r="L978" s="8">
        <f>IFERROR(INDEX(Tbl_KPIMaster[Owner],MATCH($G978,Tbl_KPIMaster[KPI],0)),"")</f>
        <v/>
      </c>
      <c r="M978" s="10" t="inlineStr">
        <is>
          <t>Weather impact</t>
        </is>
      </c>
      <c r="N978" s="8" t="inlineStr">
        <is>
          <t>Engineering support needed</t>
        </is>
      </c>
      <c r="O978" s="8" t="inlineStr">
        <is>
          <t>Medium</t>
        </is>
      </c>
      <c r="P978" s="8" t="inlineStr">
        <is>
          <t>Closed</t>
        </is>
      </c>
      <c r="Q978" s="9">
        <f>IFERROR(IF(INDEX(Tbl_KPIMaster[Direction],MATCH($G978,Tbl_KPIMaster[KPI],0))="Lower is Better",IF($J978=0,1,IF($I978=0,0,$I978/$J978)),IF($I978=0,1,$J978/$I978)),0)</f>
        <v/>
      </c>
      <c r="R978" s="8">
        <f>IF(OR($I978="",$J978=""),"",$J978-$I978)</f>
        <v/>
      </c>
      <c r="S978" s="8">
        <f>IFERROR(IF(INDEX(Tbl_KPIMaster[Direction],MATCH($G978,Tbl_KPIMaster[KPI],0))="Lower is Better",IF($J978&lt;=$I978,"Green",IF($J978&lt;=$I978+IF($I978=0,$K978,$I978*$K978),"Amber","Red")),IF($J978&gt;=$I978,"Green",IF($J978&gt;=$I978-IF($I978=0,$K978,$I978*$K978),"Amber","Red"))),"")</f>
        <v/>
      </c>
      <c r="T978" s="10" t="inlineStr"/>
    </row>
    <row r="979">
      <c r="A979" s="3" t="n">
        <v>46178</v>
      </c>
      <c r="B979" s="4">
        <f>IF($A979="","",TEXT($A979,"mmm-yyyy"))</f>
        <v/>
      </c>
      <c r="C979" s="4">
        <f>IF($A979="","","W"&amp;WEEKNUM($A979,2))</f>
        <v/>
      </c>
      <c r="D979" s="4">
        <f>IF($A979="","",TEXT($A979,"ddd"))</f>
        <v/>
      </c>
      <c r="E979" s="4" t="inlineStr">
        <is>
          <t>Cost</t>
        </is>
      </c>
      <c r="F979" s="4">
        <f>IFERROR(INDEX(Tbl_KPIMaster[Category],MATCH($G979,Tbl_KPIMaster[KPI],0)),"")</f>
        <v/>
      </c>
      <c r="G979" s="4" t="inlineStr">
        <is>
          <t>Cost per Unit</t>
        </is>
      </c>
      <c r="H979" s="4">
        <f>IFERROR(INDEX(Tbl_KPIMaster[Unit],MATCH($G979,Tbl_KPIMaster[KPI],0)),"")</f>
        <v/>
      </c>
      <c r="I979" s="5">
        <f>IFERROR(INDEX(Tbl_KPIMaster[Maximum Target],MATCH($G979,Tbl_KPIMaster[KPI],0)),"")</f>
        <v/>
      </c>
      <c r="J979" s="5" t="n">
        <v>33.22</v>
      </c>
      <c r="K979" s="4">
        <f>IFERROR(INDEX(Tbl_KPIMaster[Tolerance],MATCH($G979,Tbl_KPIMaster[KPI],0)),"")</f>
        <v/>
      </c>
      <c r="L979" s="4">
        <f>IFERROR(INDEX(Tbl_KPIMaster[Owner],MATCH($G979,Tbl_KPIMaster[KPI],0)),"")</f>
        <v/>
      </c>
      <c r="M979" s="6" t="inlineStr"/>
      <c r="N979" s="4" t="inlineStr"/>
      <c r="O979" s="4" t="inlineStr">
        <is>
          <t>Low</t>
        </is>
      </c>
      <c r="P979" s="4" t="inlineStr">
        <is>
          <t>Closed</t>
        </is>
      </c>
      <c r="Q979" s="5">
        <f>IFERROR(IF(INDEX(Tbl_KPIMaster[Direction],MATCH($G979,Tbl_KPIMaster[KPI],0))="Lower is Better",IF($J979=0,1,IF($I979=0,0,$I979/$J979)),IF($I979=0,1,$J979/$I979)),0)</f>
        <v/>
      </c>
      <c r="R979" s="4">
        <f>IF(OR($I979="",$J979=""),"",$J979-$I979)</f>
        <v/>
      </c>
      <c r="S979" s="4">
        <f>IFERROR(IF(INDEX(Tbl_KPIMaster[Direction],MATCH($G979,Tbl_KPIMaster[KPI],0))="Lower is Better",IF($J979&lt;=$I979,"Green",IF($J979&lt;=$I979+IF($I979=0,$K979,$I979*$K979),"Amber","Red")),IF($J979&gt;=$I979,"Green",IF($J979&gt;=$I979-IF($I979=0,$K979,$I979*$K979),"Amber","Red"))),"")</f>
        <v/>
      </c>
      <c r="T979" s="6" t="inlineStr"/>
    </row>
    <row r="980">
      <c r="A980" s="7" t="n">
        <v>46178</v>
      </c>
      <c r="B980" s="8">
        <f>IF($A980="","",TEXT($A980,"mmm-yyyy"))</f>
        <v/>
      </c>
      <c r="C980" s="8">
        <f>IF($A980="","","W"&amp;WEEKNUM($A980,2))</f>
        <v/>
      </c>
      <c r="D980" s="8">
        <f>IF($A980="","",TEXT($A980,"ddd"))</f>
        <v/>
      </c>
      <c r="E980" s="8" t="inlineStr">
        <is>
          <t>Cost</t>
        </is>
      </c>
      <c r="F980" s="8">
        <f>IFERROR(INDEX(Tbl_KPIMaster[Category],MATCH($G980,Tbl_KPIMaster[KPI],0)),"")</f>
        <v/>
      </c>
      <c r="G980" s="8" t="inlineStr">
        <is>
          <t>Budget Variance %</t>
        </is>
      </c>
      <c r="H980" s="8">
        <f>IFERROR(INDEX(Tbl_KPIMaster[Unit],MATCH($G980,Tbl_KPIMaster[KPI],0)),"")</f>
        <v/>
      </c>
      <c r="I980" s="9">
        <f>IFERROR(INDEX(Tbl_KPIMaster[Maximum Target],MATCH($G980,Tbl_KPIMaster[KPI],0)),"")</f>
        <v/>
      </c>
      <c r="J980" s="9" t="n">
        <v>0</v>
      </c>
      <c r="K980" s="8">
        <f>IFERROR(INDEX(Tbl_KPIMaster[Tolerance],MATCH($G980,Tbl_KPIMaster[KPI],0)),"")</f>
        <v/>
      </c>
      <c r="L980" s="8">
        <f>IFERROR(INDEX(Tbl_KPIMaster[Owner],MATCH($G980,Tbl_KPIMaster[KPI],0)),"")</f>
        <v/>
      </c>
      <c r="M980" s="10" t="inlineStr">
        <is>
          <t>Manpower shortage</t>
        </is>
      </c>
      <c r="N980" s="8" t="inlineStr">
        <is>
          <t>Engineering support needed</t>
        </is>
      </c>
      <c r="O980" s="8" t="inlineStr">
        <is>
          <t>High</t>
        </is>
      </c>
      <c r="P980" s="8" t="inlineStr">
        <is>
          <t>Open</t>
        </is>
      </c>
      <c r="Q980" s="9">
        <f>IFERROR(IF(INDEX(Tbl_KPIMaster[Direction],MATCH($G980,Tbl_KPIMaster[KPI],0))="Lower is Better",IF($J980=0,1,IF($I980=0,0,$I980/$J980)),IF($I980=0,1,$J980/$I980)),0)</f>
        <v/>
      </c>
      <c r="R980" s="8">
        <f>IF(OR($I980="",$J980=""),"",$J980-$I980)</f>
        <v/>
      </c>
      <c r="S980" s="8">
        <f>IFERROR(IF(INDEX(Tbl_KPIMaster[Direction],MATCH($G980,Tbl_KPIMaster[KPI],0))="Lower is Better",IF($J980&lt;=$I980,"Green",IF($J980&lt;=$I980+IF($I980=0,$K980,$I980*$K980),"Amber","Red")),IF($J980&gt;=$I980,"Green",IF($J980&gt;=$I980-IF($I980=0,$K980,$I980*$K980),"Amber","Red"))),"")</f>
        <v/>
      </c>
      <c r="T980" s="10" t="inlineStr"/>
    </row>
    <row r="981">
      <c r="A981" s="3" t="n">
        <v>46178</v>
      </c>
      <c r="B981" s="4">
        <f>IF($A981="","",TEXT($A981,"mmm-yyyy"))</f>
        <v/>
      </c>
      <c r="C981" s="4">
        <f>IF($A981="","","W"&amp;WEEKNUM($A981,2))</f>
        <v/>
      </c>
      <c r="D981" s="4">
        <f>IF($A981="","",TEXT($A981,"ddd"))</f>
        <v/>
      </c>
      <c r="E981" s="4" t="inlineStr">
        <is>
          <t>Energy</t>
        </is>
      </c>
      <c r="F981" s="4">
        <f>IFERROR(INDEX(Tbl_KPIMaster[Category],MATCH($G981,Tbl_KPIMaster[KPI],0)),"")</f>
        <v/>
      </c>
      <c r="G981" s="4" t="inlineStr">
        <is>
          <t>Energy Intensity (kWh/unit)</t>
        </is>
      </c>
      <c r="H981" s="4">
        <f>IFERROR(INDEX(Tbl_KPIMaster[Unit],MATCH($G981,Tbl_KPIMaster[KPI],0)),"")</f>
        <v/>
      </c>
      <c r="I981" s="5">
        <f>IFERROR(INDEX(Tbl_KPIMaster[Maximum Target],MATCH($G981,Tbl_KPIMaster[KPI],0)),"")</f>
        <v/>
      </c>
      <c r="J981" s="5" t="n">
        <v>3.43</v>
      </c>
      <c r="K981" s="4">
        <f>IFERROR(INDEX(Tbl_KPIMaster[Tolerance],MATCH($G981,Tbl_KPIMaster[KPI],0)),"")</f>
        <v/>
      </c>
      <c r="L981" s="4">
        <f>IFERROR(INDEX(Tbl_KPIMaster[Owner],MATCH($G981,Tbl_KPIMaster[KPI],0)),"")</f>
        <v/>
      </c>
      <c r="M981" s="6" t="inlineStr">
        <is>
          <t>Within normal range</t>
        </is>
      </c>
      <c r="N981" s="4" t="inlineStr"/>
      <c r="O981" s="4" t="inlineStr">
        <is>
          <t>High</t>
        </is>
      </c>
      <c r="P981" s="4" t="inlineStr">
        <is>
          <t>Closed</t>
        </is>
      </c>
      <c r="Q981" s="5">
        <f>IFERROR(IF(INDEX(Tbl_KPIMaster[Direction],MATCH($G981,Tbl_KPIMaster[KPI],0))="Lower is Better",IF($J981=0,1,IF($I981=0,0,$I981/$J981)),IF($I981=0,1,$J981/$I981)),0)</f>
        <v/>
      </c>
      <c r="R981" s="4">
        <f>IF(OR($I981="",$J981=""),"",$J981-$I981)</f>
        <v/>
      </c>
      <c r="S981" s="4">
        <f>IFERROR(IF(INDEX(Tbl_KPIMaster[Direction],MATCH($G981,Tbl_KPIMaster[KPI],0))="Lower is Better",IF($J981&lt;=$I981,"Green",IF($J981&lt;=$I981+IF($I981=0,$K981,$I981*$K981),"Amber","Red")),IF($J981&gt;=$I981,"Green",IF($J981&gt;=$I981-IF($I981=0,$K981,$I981*$K981),"Amber","Red"))),"")</f>
        <v/>
      </c>
      <c r="T981" s="6" t="inlineStr"/>
    </row>
    <row r="982">
      <c r="A982" s="7" t="n">
        <v>46178</v>
      </c>
      <c r="B982" s="8">
        <f>IF($A982="","",TEXT($A982,"mmm-yyyy"))</f>
        <v/>
      </c>
      <c r="C982" s="8">
        <f>IF($A982="","","W"&amp;WEEKNUM($A982,2))</f>
        <v/>
      </c>
      <c r="D982" s="8">
        <f>IF($A982="","",TEXT($A982,"ddd"))</f>
        <v/>
      </c>
      <c r="E982" s="8" t="inlineStr">
        <is>
          <t>Energy</t>
        </is>
      </c>
      <c r="F982" s="8">
        <f>IFERROR(INDEX(Tbl_KPIMaster[Category],MATCH($G982,Tbl_KPIMaster[KPI],0)),"")</f>
        <v/>
      </c>
      <c r="G982" s="8" t="inlineStr">
        <is>
          <t>Renewable Energy Share %</t>
        </is>
      </c>
      <c r="H982" s="8">
        <f>IFERROR(INDEX(Tbl_KPIMaster[Unit],MATCH($G982,Tbl_KPIMaster[KPI],0)),"")</f>
        <v/>
      </c>
      <c r="I982" s="9">
        <f>IFERROR(INDEX(Tbl_KPIMaster[Maximum Target],MATCH($G982,Tbl_KPIMaster[KPI],0)),"")</f>
        <v/>
      </c>
      <c r="J982" s="9" t="n">
        <v>0.2415</v>
      </c>
      <c r="K982" s="8">
        <f>IFERROR(INDEX(Tbl_KPIMaster[Tolerance],MATCH($G982,Tbl_KPIMaster[KPI],0)),"")</f>
        <v/>
      </c>
      <c r="L982" s="8">
        <f>IFERROR(INDEX(Tbl_KPIMaster[Owner],MATCH($G982,Tbl_KPIMaster[KPI],0)),"")</f>
        <v/>
      </c>
      <c r="M982" s="10" t="inlineStr">
        <is>
          <t>Preventive check done</t>
        </is>
      </c>
      <c r="N982" s="8" t="inlineStr">
        <is>
          <t>Procurement follow-up</t>
        </is>
      </c>
      <c r="O982" s="8" t="inlineStr">
        <is>
          <t>Low</t>
        </is>
      </c>
      <c r="P982" s="8" t="inlineStr">
        <is>
          <t>Closed</t>
        </is>
      </c>
      <c r="Q982" s="9">
        <f>IFERROR(IF(INDEX(Tbl_KPIMaster[Direction],MATCH($G982,Tbl_KPIMaster[KPI],0))="Lower is Better",IF($J982=0,1,IF($I982=0,0,$I982/$J982)),IF($I982=0,1,$J982/$I982)),0)</f>
        <v/>
      </c>
      <c r="R982" s="8">
        <f>IF(OR($I982="",$J982=""),"",$J982-$I982)</f>
        <v/>
      </c>
      <c r="S982" s="8">
        <f>IFERROR(IF(INDEX(Tbl_KPIMaster[Direction],MATCH($G982,Tbl_KPIMaster[KPI],0))="Lower is Better",IF($J982&lt;=$I982,"Green",IF($J982&lt;=$I982+IF($I982=0,$K982,$I982*$K982),"Amber","Red")),IF($J982&gt;=$I982,"Green",IF($J982&gt;=$I982-IF($I982=0,$K982,$I982*$K982),"Amber","Red"))),"")</f>
        <v/>
      </c>
      <c r="T982" s="10" t="inlineStr"/>
    </row>
    <row r="983">
      <c r="A983" s="3" t="n">
        <v>46179</v>
      </c>
      <c r="B983" s="4">
        <f>IF($A983="","",TEXT($A983,"mmm-yyyy"))</f>
        <v/>
      </c>
      <c r="C983" s="4">
        <f>IF($A983="","","W"&amp;WEEKNUM($A983,2))</f>
        <v/>
      </c>
      <c r="D983" s="4">
        <f>IF($A983="","",TEXT($A983,"ddd"))</f>
        <v/>
      </c>
      <c r="E983" s="4" t="inlineStr">
        <is>
          <t>Safety</t>
        </is>
      </c>
      <c r="F983" s="4">
        <f>IFERROR(INDEX(Tbl_KPIMaster[Category],MATCH($G983,Tbl_KPIMaster[KPI],0)),"")</f>
        <v/>
      </c>
      <c r="G983" s="4" t="inlineStr">
        <is>
          <t>Safety Incidents (LTI)</t>
        </is>
      </c>
      <c r="H983" s="4">
        <f>IFERROR(INDEX(Tbl_KPIMaster[Unit],MATCH($G983,Tbl_KPIMaster[KPI],0)),"")</f>
        <v/>
      </c>
      <c r="I983" s="5">
        <f>IFERROR(INDEX(Tbl_KPIMaster[Maximum Target],MATCH($G983,Tbl_KPIMaster[KPI],0)),"")</f>
        <v/>
      </c>
      <c r="J983" s="5" t="n">
        <v>0</v>
      </c>
      <c r="K983" s="4">
        <f>IFERROR(INDEX(Tbl_KPIMaster[Tolerance],MATCH($G983,Tbl_KPIMaster[KPI],0)),"")</f>
        <v/>
      </c>
      <c r="L983" s="4">
        <f>IFERROR(INDEX(Tbl_KPIMaster[Owner],MATCH($G983,Tbl_KPIMaster[KPI],0)),"")</f>
        <v/>
      </c>
      <c r="M983" s="6" t="inlineStr">
        <is>
          <t>Process improvement in progress</t>
        </is>
      </c>
      <c r="N983" s="4" t="inlineStr"/>
      <c r="O983" s="4" t="inlineStr">
        <is>
          <t>Medium</t>
        </is>
      </c>
      <c r="P983" s="4" t="inlineStr">
        <is>
          <t>Closed</t>
        </is>
      </c>
      <c r="Q983" s="5">
        <f>IFERROR(IF(INDEX(Tbl_KPIMaster[Direction],MATCH($G983,Tbl_KPIMaster[KPI],0))="Lower is Better",IF($J983=0,1,IF($I983=0,0,$I983/$J983)),IF($I983=0,1,$J983/$I983)),0)</f>
        <v/>
      </c>
      <c r="R983" s="4">
        <f>IF(OR($I983="",$J983=""),"",$J983-$I983)</f>
        <v/>
      </c>
      <c r="S983" s="4">
        <f>IFERROR(IF(INDEX(Tbl_KPIMaster[Direction],MATCH($G983,Tbl_KPIMaster[KPI],0))="Lower is Better",IF($J983&lt;=$I983,"Green",IF($J983&lt;=$I983+IF($I983=0,$K983,$I983*$K983),"Amber","Red")),IF($J983&gt;=$I983,"Green",IF($J983&gt;=$I983-IF($I983=0,$K983,$I983*$K983),"Amber","Red"))),"")</f>
        <v/>
      </c>
      <c r="T983" s="6" t="inlineStr"/>
    </row>
    <row r="984">
      <c r="A984" s="7" t="n">
        <v>46179</v>
      </c>
      <c r="B984" s="8">
        <f>IF($A984="","",TEXT($A984,"mmm-yyyy"))</f>
        <v/>
      </c>
      <c r="C984" s="8">
        <f>IF($A984="","","W"&amp;WEEKNUM($A984,2))</f>
        <v/>
      </c>
      <c r="D984" s="8">
        <f>IF($A984="","",TEXT($A984,"ddd"))</f>
        <v/>
      </c>
      <c r="E984" s="8" t="inlineStr">
        <is>
          <t>Safety</t>
        </is>
      </c>
      <c r="F984" s="8">
        <f>IFERROR(INDEX(Tbl_KPIMaster[Category],MATCH($G984,Tbl_KPIMaster[KPI],0)),"")</f>
        <v/>
      </c>
      <c r="G984" s="8" t="inlineStr">
        <is>
          <t>Near Miss Reports</t>
        </is>
      </c>
      <c r="H984" s="8">
        <f>IFERROR(INDEX(Tbl_KPIMaster[Unit],MATCH($G984,Tbl_KPIMaster[KPI],0)),"")</f>
        <v/>
      </c>
      <c r="I984" s="9">
        <f>IFERROR(INDEX(Tbl_KPIMaster[Maximum Target],MATCH($G984,Tbl_KPIMaster[KPI],0)),"")</f>
        <v/>
      </c>
      <c r="J984" s="9" t="n">
        <v>2</v>
      </c>
      <c r="K984" s="8">
        <f>IFERROR(INDEX(Tbl_KPIMaster[Tolerance],MATCH($G984,Tbl_KPIMaster[KPI],0)),"")</f>
        <v/>
      </c>
      <c r="L984" s="8">
        <f>IFERROR(INDEX(Tbl_KPIMaster[Owner],MATCH($G984,Tbl_KPIMaster[KPI],0)),"")</f>
        <v/>
      </c>
      <c r="M984" s="10" t="inlineStr">
        <is>
          <t>Weather impact</t>
        </is>
      </c>
      <c r="N984" s="8" t="inlineStr">
        <is>
          <t>Engineering support needed</t>
        </is>
      </c>
      <c r="O984" s="8" t="inlineStr">
        <is>
          <t>Medium</t>
        </is>
      </c>
      <c r="P984" s="8" t="inlineStr">
        <is>
          <t>Closed</t>
        </is>
      </c>
      <c r="Q984" s="9">
        <f>IFERROR(IF(INDEX(Tbl_KPIMaster[Direction],MATCH($G984,Tbl_KPIMaster[KPI],0))="Lower is Better",IF($J984=0,1,IF($I984=0,0,$I984/$J984)),IF($I984=0,1,$J984/$I984)),0)</f>
        <v/>
      </c>
      <c r="R984" s="8">
        <f>IF(OR($I984="",$J984=""),"",$J984-$I984)</f>
        <v/>
      </c>
      <c r="S984" s="8">
        <f>IFERROR(IF(INDEX(Tbl_KPIMaster[Direction],MATCH($G984,Tbl_KPIMaster[KPI],0))="Lower is Better",IF($J984&lt;=$I984,"Green",IF($J984&lt;=$I984+IF($I984=0,$K984,$I984*$K984),"Amber","Red")),IF($J984&gt;=$I984,"Green",IF($J984&gt;=$I984-IF($I984=0,$K984,$I984*$K984),"Amber","Red"))),"")</f>
        <v/>
      </c>
      <c r="T984" s="10" t="inlineStr"/>
    </row>
    <row r="985">
      <c r="A985" s="3" t="n">
        <v>46179</v>
      </c>
      <c r="B985" s="4">
        <f>IF($A985="","",TEXT($A985,"mmm-yyyy"))</f>
        <v/>
      </c>
      <c r="C985" s="4">
        <f>IF($A985="","","W"&amp;WEEKNUM($A985,2))</f>
        <v/>
      </c>
      <c r="D985" s="4">
        <f>IF($A985="","",TEXT($A985,"ddd"))</f>
        <v/>
      </c>
      <c r="E985" s="4" t="inlineStr">
        <is>
          <t>Production</t>
        </is>
      </c>
      <c r="F985" s="4">
        <f>IFERROR(INDEX(Tbl_KPIMaster[Category],MATCH($G985,Tbl_KPIMaster[KPI],0)),"")</f>
        <v/>
      </c>
      <c r="G985" s="4" t="inlineStr">
        <is>
          <t>Production Output</t>
        </is>
      </c>
      <c r="H985" s="4">
        <f>IFERROR(INDEX(Tbl_KPIMaster[Unit],MATCH($G985,Tbl_KPIMaster[KPI],0)),"")</f>
        <v/>
      </c>
      <c r="I985" s="5">
        <f>IFERROR(INDEX(Tbl_KPIMaster[Maximum Target],MATCH($G985,Tbl_KPIMaster[KPI],0)),"")</f>
        <v/>
      </c>
      <c r="J985" s="5" t="n">
        <v>857.87</v>
      </c>
      <c r="K985" s="4">
        <f>IFERROR(INDEX(Tbl_KPIMaster[Tolerance],MATCH($G985,Tbl_KPIMaster[KPI],0)),"")</f>
        <v/>
      </c>
      <c r="L985" s="4">
        <f>IFERROR(INDEX(Tbl_KPIMaster[Owner],MATCH($G985,Tbl_KPIMaster[KPI],0)),"")</f>
        <v/>
      </c>
      <c r="M985" s="6" t="inlineStr">
        <is>
          <t>Process improvement in progress</t>
        </is>
      </c>
      <c r="N985" s="4" t="inlineStr">
        <is>
          <t>Engineering support needed</t>
        </is>
      </c>
      <c r="O985" s="4" t="inlineStr">
        <is>
          <t>High</t>
        </is>
      </c>
      <c r="P985" s="4" t="inlineStr">
        <is>
          <t>In Progress</t>
        </is>
      </c>
      <c r="Q985" s="5">
        <f>IFERROR(IF(INDEX(Tbl_KPIMaster[Direction],MATCH($G985,Tbl_KPIMaster[KPI],0))="Lower is Better",IF($J985=0,1,IF($I985=0,0,$I985/$J985)),IF($I985=0,1,$J985/$I985)),0)</f>
        <v/>
      </c>
      <c r="R985" s="4">
        <f>IF(OR($I985="",$J985=""),"",$J985-$I985)</f>
        <v/>
      </c>
      <c r="S985" s="4">
        <f>IFERROR(IF(INDEX(Tbl_KPIMaster[Direction],MATCH($G985,Tbl_KPIMaster[KPI],0))="Lower is Better",IF($J985&lt;=$I985,"Green",IF($J985&lt;=$I985+IF($I985=0,$K985,$I985*$K985),"Amber","Red")),IF($J985&gt;=$I985,"Green",IF($J985&gt;=$I985-IF($I985=0,$K985,$I985*$K985),"Amber","Red"))),"")</f>
        <v/>
      </c>
      <c r="T985" s="6" t="inlineStr"/>
    </row>
    <row r="986">
      <c r="A986" s="7" t="n">
        <v>46179</v>
      </c>
      <c r="B986" s="8">
        <f>IF($A986="","",TEXT($A986,"mmm-yyyy"))</f>
        <v/>
      </c>
      <c r="C986" s="8">
        <f>IF($A986="","","W"&amp;WEEKNUM($A986,2))</f>
        <v/>
      </c>
      <c r="D986" s="8">
        <f>IF($A986="","",TEXT($A986,"ddd"))</f>
        <v/>
      </c>
      <c r="E986" s="8" t="inlineStr">
        <is>
          <t>Production</t>
        </is>
      </c>
      <c r="F986" s="8">
        <f>IFERROR(INDEX(Tbl_KPIMaster[Category],MATCH($G986,Tbl_KPIMaster[KPI],0)),"")</f>
        <v/>
      </c>
      <c r="G986" s="8" t="inlineStr">
        <is>
          <t>OEE %</t>
        </is>
      </c>
      <c r="H986" s="8">
        <f>IFERROR(INDEX(Tbl_KPIMaster[Unit],MATCH($G986,Tbl_KPIMaster[KPI],0)),"")</f>
        <v/>
      </c>
      <c r="I986" s="9">
        <f>IFERROR(INDEX(Tbl_KPIMaster[Maximum Target],MATCH($G986,Tbl_KPIMaster[KPI],0)),"")</f>
        <v/>
      </c>
      <c r="J986" s="9" t="n">
        <v>0.8154</v>
      </c>
      <c r="K986" s="8">
        <f>IFERROR(INDEX(Tbl_KPIMaster[Tolerance],MATCH($G986,Tbl_KPIMaster[KPI],0)),"")</f>
        <v/>
      </c>
      <c r="L986" s="8">
        <f>IFERROR(INDEX(Tbl_KPIMaster[Owner],MATCH($G986,Tbl_KPIMaster[KPI],0)),"")</f>
        <v/>
      </c>
      <c r="M986" s="10" t="inlineStr">
        <is>
          <t>Weather impact</t>
        </is>
      </c>
      <c r="N986" s="8" t="inlineStr">
        <is>
          <t>Management approval pending</t>
        </is>
      </c>
      <c r="O986" s="8" t="inlineStr">
        <is>
          <t>Low</t>
        </is>
      </c>
      <c r="P986" s="8" t="inlineStr">
        <is>
          <t>Closed</t>
        </is>
      </c>
      <c r="Q986" s="9">
        <f>IFERROR(IF(INDEX(Tbl_KPIMaster[Direction],MATCH($G986,Tbl_KPIMaster[KPI],0))="Lower is Better",IF($J986=0,1,IF($I986=0,0,$I986/$J986)),IF($I986=0,1,$J986/$I986)),0)</f>
        <v/>
      </c>
      <c r="R986" s="8">
        <f>IF(OR($I986="",$J986=""),"",$J986-$I986)</f>
        <v/>
      </c>
      <c r="S986" s="8">
        <f>IFERROR(IF(INDEX(Tbl_KPIMaster[Direction],MATCH($G986,Tbl_KPIMaster[KPI],0))="Lower is Better",IF($J986&lt;=$I986,"Green",IF($J986&lt;=$I986+IF($I986=0,$K986,$I986*$K986),"Amber","Red")),IF($J986&gt;=$I986,"Green",IF($J986&gt;=$I986-IF($I986=0,$K986,$I986*$K986),"Amber","Red"))),"")</f>
        <v/>
      </c>
      <c r="T986" s="10" t="inlineStr"/>
    </row>
    <row r="987">
      <c r="A987" s="3" t="n">
        <v>46179</v>
      </c>
      <c r="B987" s="4">
        <f>IF($A987="","",TEXT($A987,"mmm-yyyy"))</f>
        <v/>
      </c>
      <c r="C987" s="4">
        <f>IF($A987="","","W"&amp;WEEKNUM($A987,2))</f>
        <v/>
      </c>
      <c r="D987" s="4">
        <f>IF($A987="","",TEXT($A987,"ddd"))</f>
        <v/>
      </c>
      <c r="E987" s="4" t="inlineStr">
        <is>
          <t>Quality</t>
        </is>
      </c>
      <c r="F987" s="4">
        <f>IFERROR(INDEX(Tbl_KPIMaster[Category],MATCH($G987,Tbl_KPIMaster[KPI],0)),"")</f>
        <v/>
      </c>
      <c r="G987" s="4" t="inlineStr">
        <is>
          <t>Defect Rate %</t>
        </is>
      </c>
      <c r="H987" s="4">
        <f>IFERROR(INDEX(Tbl_KPIMaster[Unit],MATCH($G987,Tbl_KPIMaster[KPI],0)),"")</f>
        <v/>
      </c>
      <c r="I987" s="5">
        <f>IFERROR(INDEX(Tbl_KPIMaster[Maximum Target],MATCH($G987,Tbl_KPIMaster[KPI],0)),"")</f>
        <v/>
      </c>
      <c r="J987" s="5" t="n">
        <v>0</v>
      </c>
      <c r="K987" s="4">
        <f>IFERROR(INDEX(Tbl_KPIMaster[Tolerance],MATCH($G987,Tbl_KPIMaster[KPI],0)),"")</f>
        <v/>
      </c>
      <c r="L987" s="4">
        <f>IFERROR(INDEX(Tbl_KPIMaster[Owner],MATCH($G987,Tbl_KPIMaster[KPI],0)),"")</f>
        <v/>
      </c>
      <c r="M987" s="6" t="inlineStr">
        <is>
          <t>Vendor delay</t>
        </is>
      </c>
      <c r="N987" s="4" t="inlineStr"/>
      <c r="O987" s="4" t="inlineStr">
        <is>
          <t>Medium</t>
        </is>
      </c>
      <c r="P987" s="4" t="inlineStr">
        <is>
          <t>Closed</t>
        </is>
      </c>
      <c r="Q987" s="5">
        <f>IFERROR(IF(INDEX(Tbl_KPIMaster[Direction],MATCH($G987,Tbl_KPIMaster[KPI],0))="Lower is Better",IF($J987=0,1,IF($I987=0,0,$I987/$J987)),IF($I987=0,1,$J987/$I987)),0)</f>
        <v/>
      </c>
      <c r="R987" s="4">
        <f>IF(OR($I987="",$J987=""),"",$J987-$I987)</f>
        <v/>
      </c>
      <c r="S987" s="4">
        <f>IFERROR(IF(INDEX(Tbl_KPIMaster[Direction],MATCH($G987,Tbl_KPIMaster[KPI],0))="Lower is Better",IF($J987&lt;=$I987,"Green",IF($J987&lt;=$I987+IF($I987=0,$K987,$I987*$K987),"Amber","Red")),IF($J987&gt;=$I987,"Green",IF($J987&gt;=$I987-IF($I987=0,$K987,$I987*$K987),"Amber","Red"))),"")</f>
        <v/>
      </c>
      <c r="T987" s="6" t="inlineStr"/>
    </row>
    <row r="988">
      <c r="A988" s="7" t="n">
        <v>46179</v>
      </c>
      <c r="B988" s="8">
        <f>IF($A988="","",TEXT($A988,"mmm-yyyy"))</f>
        <v/>
      </c>
      <c r="C988" s="8">
        <f>IF($A988="","","W"&amp;WEEKNUM($A988,2))</f>
        <v/>
      </c>
      <c r="D988" s="8">
        <f>IF($A988="","",TEXT($A988,"ddd"))</f>
        <v/>
      </c>
      <c r="E988" s="8" t="inlineStr">
        <is>
          <t>Quality</t>
        </is>
      </c>
      <c r="F988" s="8">
        <f>IFERROR(INDEX(Tbl_KPIMaster[Category],MATCH($G988,Tbl_KPIMaster[KPI],0)),"")</f>
        <v/>
      </c>
      <c r="G988" s="8" t="inlineStr">
        <is>
          <t>Customer Complaints</t>
        </is>
      </c>
      <c r="H988" s="8">
        <f>IFERROR(INDEX(Tbl_KPIMaster[Unit],MATCH($G988,Tbl_KPIMaster[KPI],0)),"")</f>
        <v/>
      </c>
      <c r="I988" s="9">
        <f>IFERROR(INDEX(Tbl_KPIMaster[Maximum Target],MATCH($G988,Tbl_KPIMaster[KPI],0)),"")</f>
        <v/>
      </c>
      <c r="J988" s="9" t="n">
        <v>1</v>
      </c>
      <c r="K988" s="8">
        <f>IFERROR(INDEX(Tbl_KPIMaster[Tolerance],MATCH($G988,Tbl_KPIMaster[KPI],0)),"")</f>
        <v/>
      </c>
      <c r="L988" s="8">
        <f>IFERROR(INDEX(Tbl_KPIMaster[Owner],MATCH($G988,Tbl_KPIMaster[KPI],0)),"")</f>
        <v/>
      </c>
      <c r="M988" s="10" t="inlineStr">
        <is>
          <t>Line changeover impact</t>
        </is>
      </c>
      <c r="N988" s="8" t="inlineStr"/>
      <c r="O988" s="8" t="inlineStr">
        <is>
          <t>Low</t>
        </is>
      </c>
      <c r="P988" s="8" t="inlineStr">
        <is>
          <t>Closed</t>
        </is>
      </c>
      <c r="Q988" s="9">
        <f>IFERROR(IF(INDEX(Tbl_KPIMaster[Direction],MATCH($G988,Tbl_KPIMaster[KPI],0))="Lower is Better",IF($J988=0,1,IF($I988=0,0,$I988/$J988)),IF($I988=0,1,$J988/$I988)),0)</f>
        <v/>
      </c>
      <c r="R988" s="8">
        <f>IF(OR($I988="",$J988=""),"",$J988-$I988)</f>
        <v/>
      </c>
      <c r="S988" s="8">
        <f>IFERROR(IF(INDEX(Tbl_KPIMaster[Direction],MATCH($G988,Tbl_KPIMaster[KPI],0))="Lower is Better",IF($J988&lt;=$I988,"Green",IF($J988&lt;=$I988+IF($I988=0,$K988,$I988*$K988),"Amber","Red")),IF($J988&gt;=$I988,"Green",IF($J988&gt;=$I988-IF($I988=0,$K988,$I988*$K988),"Amber","Red"))),"")</f>
        <v/>
      </c>
      <c r="T988" s="10" t="inlineStr"/>
    </row>
    <row r="989">
      <c r="A989" s="3" t="n">
        <v>46179</v>
      </c>
      <c r="B989" s="4">
        <f>IF($A989="","",TEXT($A989,"mmm-yyyy"))</f>
        <v/>
      </c>
      <c r="C989" s="4">
        <f>IF($A989="","","W"&amp;WEEKNUM($A989,2))</f>
        <v/>
      </c>
      <c r="D989" s="4">
        <f>IF($A989="","",TEXT($A989,"ddd"))</f>
        <v/>
      </c>
      <c r="E989" s="4" t="inlineStr">
        <is>
          <t>Maintenance</t>
        </is>
      </c>
      <c r="F989" s="4">
        <f>IFERROR(INDEX(Tbl_KPIMaster[Category],MATCH($G989,Tbl_KPIMaster[KPI],0)),"")</f>
        <v/>
      </c>
      <c r="G989" s="4" t="inlineStr">
        <is>
          <t>Unplanned Downtime</t>
        </is>
      </c>
      <c r="H989" s="4">
        <f>IFERROR(INDEX(Tbl_KPIMaster[Unit],MATCH($G989,Tbl_KPIMaster[KPI],0)),"")</f>
        <v/>
      </c>
      <c r="I989" s="5">
        <f>IFERROR(INDEX(Tbl_KPIMaster[Maximum Target],MATCH($G989,Tbl_KPIMaster[KPI],0)),"")</f>
        <v/>
      </c>
      <c r="J989" s="5" t="n">
        <v>0.6899999999999999</v>
      </c>
      <c r="K989" s="4">
        <f>IFERROR(INDEX(Tbl_KPIMaster[Tolerance],MATCH($G989,Tbl_KPIMaster[KPI],0)),"")</f>
        <v/>
      </c>
      <c r="L989" s="4">
        <f>IFERROR(INDEX(Tbl_KPIMaster[Owner],MATCH($G989,Tbl_KPIMaster[KPI],0)),"")</f>
        <v/>
      </c>
      <c r="M989" s="6" t="inlineStr">
        <is>
          <t>Vendor delay</t>
        </is>
      </c>
      <c r="N989" s="4" t="inlineStr">
        <is>
          <t>Engineering support needed</t>
        </is>
      </c>
      <c r="O989" s="4" t="inlineStr">
        <is>
          <t>Low</t>
        </is>
      </c>
      <c r="P989" s="4" t="inlineStr">
        <is>
          <t>Open</t>
        </is>
      </c>
      <c r="Q989" s="5">
        <f>IFERROR(IF(INDEX(Tbl_KPIMaster[Direction],MATCH($G989,Tbl_KPIMaster[KPI],0))="Lower is Better",IF($J989=0,1,IF($I989=0,0,$I989/$J989)),IF($I989=0,1,$J989/$I989)),0)</f>
        <v/>
      </c>
      <c r="R989" s="4">
        <f>IF(OR($I989="",$J989=""),"",$J989-$I989)</f>
        <v/>
      </c>
      <c r="S989" s="4">
        <f>IFERROR(IF(INDEX(Tbl_KPIMaster[Direction],MATCH($G989,Tbl_KPIMaster[KPI],0))="Lower is Better",IF($J989&lt;=$I989,"Green",IF($J989&lt;=$I989+IF($I989=0,$K989,$I989*$K989),"Amber","Red")),IF($J989&gt;=$I989,"Green",IF($J989&gt;=$I989-IF($I989=0,$K989,$I989*$K989),"Amber","Red"))),"")</f>
        <v/>
      </c>
      <c r="T989" s="6" t="inlineStr"/>
    </row>
    <row r="990">
      <c r="A990" s="7" t="n">
        <v>46179</v>
      </c>
      <c r="B990" s="8">
        <f>IF($A990="","",TEXT($A990,"mmm-yyyy"))</f>
        <v/>
      </c>
      <c r="C990" s="8">
        <f>IF($A990="","","W"&amp;WEEKNUM($A990,2))</f>
        <v/>
      </c>
      <c r="D990" s="8">
        <f>IF($A990="","",TEXT($A990,"ddd"))</f>
        <v/>
      </c>
      <c r="E990" s="8" t="inlineStr">
        <is>
          <t>Maintenance</t>
        </is>
      </c>
      <c r="F990" s="8">
        <f>IFERROR(INDEX(Tbl_KPIMaster[Category],MATCH($G990,Tbl_KPIMaster[KPI],0)),"")</f>
        <v/>
      </c>
      <c r="G990" s="8" t="inlineStr">
        <is>
          <t>PM Compliance %</t>
        </is>
      </c>
      <c r="H990" s="8">
        <f>IFERROR(INDEX(Tbl_KPIMaster[Unit],MATCH($G990,Tbl_KPIMaster[KPI],0)),"")</f>
        <v/>
      </c>
      <c r="I990" s="9">
        <f>IFERROR(INDEX(Tbl_KPIMaster[Maximum Target],MATCH($G990,Tbl_KPIMaster[KPI],0)),"")</f>
        <v/>
      </c>
      <c r="J990" s="9" t="n">
        <v>1.1423</v>
      </c>
      <c r="K990" s="8">
        <f>IFERROR(INDEX(Tbl_KPIMaster[Tolerance],MATCH($G990,Tbl_KPIMaster[KPI],0)),"")</f>
        <v/>
      </c>
      <c r="L990" s="8">
        <f>IFERROR(INDEX(Tbl_KPIMaster[Owner],MATCH($G990,Tbl_KPIMaster[KPI],0)),"")</f>
        <v/>
      </c>
      <c r="M990" s="10" t="inlineStr"/>
      <c r="N990" s="8" t="inlineStr">
        <is>
          <t>Management approval pending</t>
        </is>
      </c>
      <c r="O990" s="8" t="inlineStr">
        <is>
          <t>Low</t>
        </is>
      </c>
      <c r="P990" s="8" t="inlineStr">
        <is>
          <t>Closed</t>
        </is>
      </c>
      <c r="Q990" s="9">
        <f>IFERROR(IF(INDEX(Tbl_KPIMaster[Direction],MATCH($G990,Tbl_KPIMaster[KPI],0))="Lower is Better",IF($J990=0,1,IF($I990=0,0,$I990/$J990)),IF($I990=0,1,$J990/$I990)),0)</f>
        <v/>
      </c>
      <c r="R990" s="8">
        <f>IF(OR($I990="",$J990=""),"",$J990-$I990)</f>
        <v/>
      </c>
      <c r="S990" s="8">
        <f>IFERROR(IF(INDEX(Tbl_KPIMaster[Direction],MATCH($G990,Tbl_KPIMaster[KPI],0))="Lower is Better",IF($J990&lt;=$I990,"Green",IF($J990&lt;=$I990+IF($I990=0,$K990,$I990*$K990),"Amber","Red")),IF($J990&gt;=$I990,"Green",IF($J990&gt;=$I990-IF($I990=0,$K990,$I990*$K990),"Amber","Red"))),"")</f>
        <v/>
      </c>
      <c r="T990" s="10" t="inlineStr"/>
    </row>
    <row r="991">
      <c r="A991" s="3" t="n">
        <v>46179</v>
      </c>
      <c r="B991" s="4">
        <f>IF($A991="","",TEXT($A991,"mmm-yyyy"))</f>
        <v/>
      </c>
      <c r="C991" s="4">
        <f>IF($A991="","","W"&amp;WEEKNUM($A991,2))</f>
        <v/>
      </c>
      <c r="D991" s="4">
        <f>IF($A991="","",TEXT($A991,"ddd"))</f>
        <v/>
      </c>
      <c r="E991" s="4" t="inlineStr">
        <is>
          <t>Utilities</t>
        </is>
      </c>
      <c r="F991" s="4">
        <f>IFERROR(INDEX(Tbl_KPIMaster[Category],MATCH($G991,Tbl_KPIMaster[KPI],0)),"")</f>
        <v/>
      </c>
      <c r="G991" s="4" t="inlineStr">
        <is>
          <t>Power Consumption</t>
        </is>
      </c>
      <c r="H991" s="4">
        <f>IFERROR(INDEX(Tbl_KPIMaster[Unit],MATCH($G991,Tbl_KPIMaster[KPI],0)),"")</f>
        <v/>
      </c>
      <c r="I991" s="5">
        <f>IFERROR(INDEX(Tbl_KPIMaster[Maximum Target],MATCH($G991,Tbl_KPIMaster[KPI],0)),"")</f>
        <v/>
      </c>
      <c r="J991" s="5" t="n">
        <v>4063.5</v>
      </c>
      <c r="K991" s="4">
        <f>IFERROR(INDEX(Tbl_KPIMaster[Tolerance],MATCH($G991,Tbl_KPIMaster[KPI],0)),"")</f>
        <v/>
      </c>
      <c r="L991" s="4">
        <f>IFERROR(INDEX(Tbl_KPIMaster[Owner],MATCH($G991,Tbl_KPIMaster[KPI],0)),"")</f>
        <v/>
      </c>
      <c r="M991" s="6" t="inlineStr"/>
      <c r="N991" s="4" t="inlineStr">
        <is>
          <t>Management approval pending</t>
        </is>
      </c>
      <c r="O991" s="4" t="inlineStr">
        <is>
          <t>Medium</t>
        </is>
      </c>
      <c r="P991" s="4" t="inlineStr">
        <is>
          <t>In Progress</t>
        </is>
      </c>
      <c r="Q991" s="5">
        <f>IFERROR(IF(INDEX(Tbl_KPIMaster[Direction],MATCH($G991,Tbl_KPIMaster[KPI],0))="Lower is Better",IF($J991=0,1,IF($I991=0,0,$I991/$J991)),IF($I991=0,1,$J991/$I991)),0)</f>
        <v/>
      </c>
      <c r="R991" s="4">
        <f>IF(OR($I991="",$J991=""),"",$J991-$I991)</f>
        <v/>
      </c>
      <c r="S991" s="4">
        <f>IFERROR(IF(INDEX(Tbl_KPIMaster[Direction],MATCH($G991,Tbl_KPIMaster[KPI],0))="Lower is Better",IF($J991&lt;=$I991,"Green",IF($J991&lt;=$I991+IF($I991=0,$K991,$I991*$K991),"Amber","Red")),IF($J991&gt;=$I991,"Green",IF($J991&gt;=$I991-IF($I991=0,$K991,$I991*$K991),"Amber","Red"))),"")</f>
        <v/>
      </c>
      <c r="T991" s="6" t="inlineStr"/>
    </row>
    <row r="992">
      <c r="A992" s="7" t="n">
        <v>46179</v>
      </c>
      <c r="B992" s="8">
        <f>IF($A992="","",TEXT($A992,"mmm-yyyy"))</f>
        <v/>
      </c>
      <c r="C992" s="8">
        <f>IF($A992="","","W"&amp;WEEKNUM($A992,2))</f>
        <v/>
      </c>
      <c r="D992" s="8">
        <f>IF($A992="","",TEXT($A992,"ddd"))</f>
        <v/>
      </c>
      <c r="E992" s="8" t="inlineStr">
        <is>
          <t>Utilities</t>
        </is>
      </c>
      <c r="F992" s="8">
        <f>IFERROR(INDEX(Tbl_KPIMaster[Category],MATCH($G992,Tbl_KPIMaster[KPI],0)),"")</f>
        <v/>
      </c>
      <c r="G992" s="8" t="inlineStr">
        <is>
          <t>Water Consumption</t>
        </is>
      </c>
      <c r="H992" s="8">
        <f>IFERROR(INDEX(Tbl_KPIMaster[Unit],MATCH($G992,Tbl_KPIMaster[KPI],0)),"")</f>
        <v/>
      </c>
      <c r="I992" s="9">
        <f>IFERROR(INDEX(Tbl_KPIMaster[Maximum Target],MATCH($G992,Tbl_KPIMaster[KPI],0)),"")</f>
        <v/>
      </c>
      <c r="J992" s="9" t="n">
        <v>49.29</v>
      </c>
      <c r="K992" s="8">
        <f>IFERROR(INDEX(Tbl_KPIMaster[Tolerance],MATCH($G992,Tbl_KPIMaster[KPI],0)),"")</f>
        <v/>
      </c>
      <c r="L992" s="8">
        <f>IFERROR(INDEX(Tbl_KPIMaster[Owner],MATCH($G992,Tbl_KPIMaster[KPI],0)),"")</f>
        <v/>
      </c>
      <c r="M992" s="10" t="inlineStr">
        <is>
          <t>Preventive check done</t>
        </is>
      </c>
      <c r="N992" s="8" t="inlineStr">
        <is>
          <t>Engineering support needed</t>
        </is>
      </c>
      <c r="O992" s="8" t="inlineStr">
        <is>
          <t>Low</t>
        </is>
      </c>
      <c r="P992" s="8" t="inlineStr">
        <is>
          <t>Open</t>
        </is>
      </c>
      <c r="Q992" s="9">
        <f>IFERROR(IF(INDEX(Tbl_KPIMaster[Direction],MATCH($G992,Tbl_KPIMaster[KPI],0))="Lower is Better",IF($J992=0,1,IF($I992=0,0,$I992/$J992)),IF($I992=0,1,$J992/$I992)),0)</f>
        <v/>
      </c>
      <c r="R992" s="8">
        <f>IF(OR($I992="",$J992=""),"",$J992-$I992)</f>
        <v/>
      </c>
      <c r="S992" s="8">
        <f>IFERROR(IF(INDEX(Tbl_KPIMaster[Direction],MATCH($G992,Tbl_KPIMaster[KPI],0))="Lower is Better",IF($J992&lt;=$I992,"Green",IF($J992&lt;=$I992+IF($I992=0,$K992,$I992*$K992),"Amber","Red")),IF($J992&gt;=$I992,"Green",IF($J992&gt;=$I992-IF($I992=0,$K992,$I992*$K992),"Amber","Red"))),"")</f>
        <v/>
      </c>
      <c r="T992" s="10" t="inlineStr"/>
    </row>
    <row r="993">
      <c r="A993" s="3" t="n">
        <v>46179</v>
      </c>
      <c r="B993" s="4">
        <f>IF($A993="","",TEXT($A993,"mmm-yyyy"))</f>
        <v/>
      </c>
      <c r="C993" s="4">
        <f>IF($A993="","","W"&amp;WEEKNUM($A993,2))</f>
        <v/>
      </c>
      <c r="D993" s="4">
        <f>IF($A993="","",TEXT($A993,"ddd"))</f>
        <v/>
      </c>
      <c r="E993" s="4" t="inlineStr">
        <is>
          <t>Warehouse</t>
        </is>
      </c>
      <c r="F993" s="4">
        <f>IFERROR(INDEX(Tbl_KPIMaster[Category],MATCH($G993,Tbl_KPIMaster[KPI],0)),"")</f>
        <v/>
      </c>
      <c r="G993" s="4" t="inlineStr">
        <is>
          <t>On-Time Dispatch %</t>
        </is>
      </c>
      <c r="H993" s="4">
        <f>IFERROR(INDEX(Tbl_KPIMaster[Unit],MATCH($G993,Tbl_KPIMaster[KPI],0)),"")</f>
        <v/>
      </c>
      <c r="I993" s="5">
        <f>IFERROR(INDEX(Tbl_KPIMaster[Maximum Target],MATCH($G993,Tbl_KPIMaster[KPI],0)),"")</f>
        <v/>
      </c>
      <c r="J993" s="5" t="n">
        <v>0.8248</v>
      </c>
      <c r="K993" s="4">
        <f>IFERROR(INDEX(Tbl_KPIMaster[Tolerance],MATCH($G993,Tbl_KPIMaster[KPI],0)),"")</f>
        <v/>
      </c>
      <c r="L993" s="4">
        <f>IFERROR(INDEX(Tbl_KPIMaster[Owner],MATCH($G993,Tbl_KPIMaster[KPI],0)),"")</f>
        <v/>
      </c>
      <c r="M993" s="6" t="inlineStr">
        <is>
          <t>Weather impact</t>
        </is>
      </c>
      <c r="N993" s="4" t="inlineStr"/>
      <c r="O993" s="4" t="inlineStr">
        <is>
          <t>Medium</t>
        </is>
      </c>
      <c r="P993" s="4" t="inlineStr">
        <is>
          <t>Closed</t>
        </is>
      </c>
      <c r="Q993" s="5">
        <f>IFERROR(IF(INDEX(Tbl_KPIMaster[Direction],MATCH($G993,Tbl_KPIMaster[KPI],0))="Lower is Better",IF($J993=0,1,IF($I993=0,0,$I993/$J993)),IF($I993=0,1,$J993/$I993)),0)</f>
        <v/>
      </c>
      <c r="R993" s="4">
        <f>IF(OR($I993="",$J993=""),"",$J993-$I993)</f>
        <v/>
      </c>
      <c r="S993" s="4">
        <f>IFERROR(IF(INDEX(Tbl_KPIMaster[Direction],MATCH($G993,Tbl_KPIMaster[KPI],0))="Lower is Better",IF($J993&lt;=$I993,"Green",IF($J993&lt;=$I993+IF($I993=0,$K993,$I993*$K993),"Amber","Red")),IF($J993&gt;=$I993,"Green",IF($J993&gt;=$I993-IF($I993=0,$K993,$I993*$K993),"Amber","Red"))),"")</f>
        <v/>
      </c>
      <c r="T993" s="6" t="inlineStr"/>
    </row>
    <row r="994">
      <c r="A994" s="7" t="n">
        <v>46179</v>
      </c>
      <c r="B994" s="8">
        <f>IF($A994="","",TEXT($A994,"mmm-yyyy"))</f>
        <v/>
      </c>
      <c r="C994" s="8">
        <f>IF($A994="","","W"&amp;WEEKNUM($A994,2))</f>
        <v/>
      </c>
      <c r="D994" s="8">
        <f>IF($A994="","",TEXT($A994,"ddd"))</f>
        <v/>
      </c>
      <c r="E994" s="8" t="inlineStr">
        <is>
          <t>Warehouse</t>
        </is>
      </c>
      <c r="F994" s="8">
        <f>IFERROR(INDEX(Tbl_KPIMaster[Category],MATCH($G994,Tbl_KPIMaster[KPI],0)),"")</f>
        <v/>
      </c>
      <c r="G994" s="8" t="inlineStr">
        <is>
          <t>Inventory Accuracy %</t>
        </is>
      </c>
      <c r="H994" s="8">
        <f>IFERROR(INDEX(Tbl_KPIMaster[Unit],MATCH($G994,Tbl_KPIMaster[KPI],0)),"")</f>
        <v/>
      </c>
      <c r="I994" s="9">
        <f>IFERROR(INDEX(Tbl_KPIMaster[Maximum Target],MATCH($G994,Tbl_KPIMaster[KPI],0)),"")</f>
        <v/>
      </c>
      <c r="J994" s="9" t="n">
        <v>1.0132</v>
      </c>
      <c r="K994" s="8">
        <f>IFERROR(INDEX(Tbl_KPIMaster[Tolerance],MATCH($G994,Tbl_KPIMaster[KPI],0)),"")</f>
        <v/>
      </c>
      <c r="L994" s="8">
        <f>IFERROR(INDEX(Tbl_KPIMaster[Owner],MATCH($G994,Tbl_KPIMaster[KPI],0)),"")</f>
        <v/>
      </c>
      <c r="M994" s="10" t="inlineStr">
        <is>
          <t>Awaiting spares</t>
        </is>
      </c>
      <c r="N994" s="8" t="inlineStr"/>
      <c r="O994" s="8" t="inlineStr">
        <is>
          <t>High</t>
        </is>
      </c>
      <c r="P994" s="8" t="inlineStr">
        <is>
          <t>In Progress</t>
        </is>
      </c>
      <c r="Q994" s="9">
        <f>IFERROR(IF(INDEX(Tbl_KPIMaster[Direction],MATCH($G994,Tbl_KPIMaster[KPI],0))="Lower is Better",IF($J994=0,1,IF($I994=0,0,$I994/$J994)),IF($I994=0,1,$J994/$I994)),0)</f>
        <v/>
      </c>
      <c r="R994" s="8">
        <f>IF(OR($I994="",$J994=""),"",$J994-$I994)</f>
        <v/>
      </c>
      <c r="S994" s="8">
        <f>IFERROR(IF(INDEX(Tbl_KPIMaster[Direction],MATCH($G994,Tbl_KPIMaster[KPI],0))="Lower is Better",IF($J994&lt;=$I994,"Green",IF($J994&lt;=$I994+IF($I994=0,$K994,$I994*$K994),"Amber","Red")),IF($J994&gt;=$I994,"Green",IF($J994&gt;=$I994-IF($I994=0,$K994,$I994*$K994),"Amber","Red"))),"")</f>
        <v/>
      </c>
      <c r="T994" s="10" t="inlineStr"/>
    </row>
    <row r="995">
      <c r="A995" s="3" t="n">
        <v>46179</v>
      </c>
      <c r="B995" s="4">
        <f>IF($A995="","",TEXT($A995,"mmm-yyyy"))</f>
        <v/>
      </c>
      <c r="C995" s="4">
        <f>IF($A995="","","W"&amp;WEEKNUM($A995,2))</f>
        <v/>
      </c>
      <c r="D995" s="4">
        <f>IF($A995="","",TEXT($A995,"ddd"))</f>
        <v/>
      </c>
      <c r="E995" s="4" t="inlineStr">
        <is>
          <t>HR</t>
        </is>
      </c>
      <c r="F995" s="4">
        <f>IFERROR(INDEX(Tbl_KPIMaster[Category],MATCH($G995,Tbl_KPIMaster[KPI],0)),"")</f>
        <v/>
      </c>
      <c r="G995" s="4" t="inlineStr">
        <is>
          <t>Absenteeism %</t>
        </is>
      </c>
      <c r="H995" s="4">
        <f>IFERROR(INDEX(Tbl_KPIMaster[Unit],MATCH($G995,Tbl_KPIMaster[KPI],0)),"")</f>
        <v/>
      </c>
      <c r="I995" s="5">
        <f>IFERROR(INDEX(Tbl_KPIMaster[Maximum Target],MATCH($G995,Tbl_KPIMaster[KPI],0)),"")</f>
        <v/>
      </c>
      <c r="J995" s="5" t="n">
        <v>0.07530000000000001</v>
      </c>
      <c r="K995" s="4">
        <f>IFERROR(INDEX(Tbl_KPIMaster[Tolerance],MATCH($G995,Tbl_KPIMaster[KPI],0)),"")</f>
        <v/>
      </c>
      <c r="L995" s="4">
        <f>IFERROR(INDEX(Tbl_KPIMaster[Owner],MATCH($G995,Tbl_KPIMaster[KPI],0)),"")</f>
        <v/>
      </c>
      <c r="M995" s="6" t="inlineStr">
        <is>
          <t>Equipment breakdown</t>
        </is>
      </c>
      <c r="N995" s="4" t="inlineStr"/>
      <c r="O995" s="4" t="inlineStr">
        <is>
          <t>Medium</t>
        </is>
      </c>
      <c r="P995" s="4" t="inlineStr">
        <is>
          <t>Closed</t>
        </is>
      </c>
      <c r="Q995" s="5">
        <f>IFERROR(IF(INDEX(Tbl_KPIMaster[Direction],MATCH($G995,Tbl_KPIMaster[KPI],0))="Lower is Better",IF($J995=0,1,IF($I995=0,0,$I995/$J995)),IF($I995=0,1,$J995/$I995)),0)</f>
        <v/>
      </c>
      <c r="R995" s="4">
        <f>IF(OR($I995="",$J995=""),"",$J995-$I995)</f>
        <v/>
      </c>
      <c r="S995" s="4">
        <f>IFERROR(IF(INDEX(Tbl_KPIMaster[Direction],MATCH($G995,Tbl_KPIMaster[KPI],0))="Lower is Better",IF($J995&lt;=$I995,"Green",IF($J995&lt;=$I995+IF($I995=0,$K995,$I995*$K995),"Amber","Red")),IF($J995&gt;=$I995,"Green",IF($J995&gt;=$I995-IF($I995=0,$K995,$I995*$K995),"Amber","Red"))),"")</f>
        <v/>
      </c>
      <c r="T995" s="6" t="inlineStr"/>
    </row>
    <row r="996">
      <c r="A996" s="7" t="n">
        <v>46179</v>
      </c>
      <c r="B996" s="8">
        <f>IF($A996="","",TEXT($A996,"mmm-yyyy"))</f>
        <v/>
      </c>
      <c r="C996" s="8">
        <f>IF($A996="","","W"&amp;WEEKNUM($A996,2))</f>
        <v/>
      </c>
      <c r="D996" s="8">
        <f>IF($A996="","",TEXT($A996,"ddd"))</f>
        <v/>
      </c>
      <c r="E996" s="8" t="inlineStr">
        <is>
          <t>HR</t>
        </is>
      </c>
      <c r="F996" s="8">
        <f>IFERROR(INDEX(Tbl_KPIMaster[Category],MATCH($G996,Tbl_KPIMaster[KPI],0)),"")</f>
        <v/>
      </c>
      <c r="G996" s="8" t="inlineStr">
        <is>
          <t>Training Hours</t>
        </is>
      </c>
      <c r="H996" s="8">
        <f>IFERROR(INDEX(Tbl_KPIMaster[Unit],MATCH($G996,Tbl_KPIMaster[KPI],0)),"")</f>
        <v/>
      </c>
      <c r="I996" s="9">
        <f>IFERROR(INDEX(Tbl_KPIMaster[Maximum Target],MATCH($G996,Tbl_KPIMaster[KPI],0)),"")</f>
        <v/>
      </c>
      <c r="J996" s="9" t="n">
        <v>1.76</v>
      </c>
      <c r="K996" s="8">
        <f>IFERROR(INDEX(Tbl_KPIMaster[Tolerance],MATCH($G996,Tbl_KPIMaster[KPI],0)),"")</f>
        <v/>
      </c>
      <c r="L996" s="8">
        <f>IFERROR(INDEX(Tbl_KPIMaster[Owner],MATCH($G996,Tbl_KPIMaster[KPI],0)),"")</f>
        <v/>
      </c>
      <c r="M996" s="10" t="inlineStr">
        <is>
          <t>Manpower shortage</t>
        </is>
      </c>
      <c r="N996" s="8" t="inlineStr">
        <is>
          <t>Procurement follow-up</t>
        </is>
      </c>
      <c r="O996" s="8" t="inlineStr">
        <is>
          <t>Medium</t>
        </is>
      </c>
      <c r="P996" s="8" t="inlineStr">
        <is>
          <t>Open</t>
        </is>
      </c>
      <c r="Q996" s="9">
        <f>IFERROR(IF(INDEX(Tbl_KPIMaster[Direction],MATCH($G996,Tbl_KPIMaster[KPI],0))="Lower is Better",IF($J996=0,1,IF($I996=0,0,$I996/$J996)),IF($I996=0,1,$J996/$I996)),0)</f>
        <v/>
      </c>
      <c r="R996" s="8">
        <f>IF(OR($I996="",$J996=""),"",$J996-$I996)</f>
        <v/>
      </c>
      <c r="S996" s="8">
        <f>IFERROR(IF(INDEX(Tbl_KPIMaster[Direction],MATCH($G996,Tbl_KPIMaster[KPI],0))="Lower is Better",IF($J996&lt;=$I996,"Green",IF($J996&lt;=$I996+IF($I996=0,$K996,$I996*$K996),"Amber","Red")),IF($J996&gt;=$I996,"Green",IF($J996&gt;=$I996-IF($I996=0,$K996,$I996*$K996),"Amber","Red"))),"")</f>
        <v/>
      </c>
      <c r="T996" s="10" t="inlineStr"/>
    </row>
    <row r="997">
      <c r="A997" s="3" t="n">
        <v>46179</v>
      </c>
      <c r="B997" s="4">
        <f>IF($A997="","",TEXT($A997,"mmm-yyyy"))</f>
        <v/>
      </c>
      <c r="C997" s="4">
        <f>IF($A997="","","W"&amp;WEEKNUM($A997,2))</f>
        <v/>
      </c>
      <c r="D997" s="4">
        <f>IF($A997="","",TEXT($A997,"ddd"))</f>
        <v/>
      </c>
      <c r="E997" s="4" t="inlineStr">
        <is>
          <t>Engineering</t>
        </is>
      </c>
      <c r="F997" s="4">
        <f>IFERROR(INDEX(Tbl_KPIMaster[Category],MATCH($G997,Tbl_KPIMaster[KPI],0)),"")</f>
        <v/>
      </c>
      <c r="G997" s="4" t="inlineStr">
        <is>
          <t>Project Milestone Adherence %</t>
        </is>
      </c>
      <c r="H997" s="4">
        <f>IFERROR(INDEX(Tbl_KPIMaster[Unit],MATCH($G997,Tbl_KPIMaster[KPI],0)),"")</f>
        <v/>
      </c>
      <c r="I997" s="5">
        <f>IFERROR(INDEX(Tbl_KPIMaster[Maximum Target],MATCH($G997,Tbl_KPIMaster[KPI],0)),"")</f>
        <v/>
      </c>
      <c r="J997" s="5" t="n">
        <v>0.9755</v>
      </c>
      <c r="K997" s="4">
        <f>IFERROR(INDEX(Tbl_KPIMaster[Tolerance],MATCH($G997,Tbl_KPIMaster[KPI],0)),"")</f>
        <v/>
      </c>
      <c r="L997" s="4">
        <f>IFERROR(INDEX(Tbl_KPIMaster[Owner],MATCH($G997,Tbl_KPIMaster[KPI],0)),"")</f>
        <v/>
      </c>
      <c r="M997" s="6" t="inlineStr">
        <is>
          <t>New operator training effect</t>
        </is>
      </c>
      <c r="N997" s="4" t="inlineStr">
        <is>
          <t>Management approval pending</t>
        </is>
      </c>
      <c r="O997" s="4" t="inlineStr">
        <is>
          <t>Low</t>
        </is>
      </c>
      <c r="P997" s="4" t="inlineStr">
        <is>
          <t>In Progress</t>
        </is>
      </c>
      <c r="Q997" s="5">
        <f>IFERROR(IF(INDEX(Tbl_KPIMaster[Direction],MATCH($G997,Tbl_KPIMaster[KPI],0))="Lower is Better",IF($J997=0,1,IF($I997=0,0,$I997/$J997)),IF($I997=0,1,$J997/$I997)),0)</f>
        <v/>
      </c>
      <c r="R997" s="4">
        <f>IF(OR($I997="",$J997=""),"",$J997-$I997)</f>
        <v/>
      </c>
      <c r="S997" s="4">
        <f>IFERROR(IF(INDEX(Tbl_KPIMaster[Direction],MATCH($G997,Tbl_KPIMaster[KPI],0))="Lower is Better",IF($J997&lt;=$I997,"Green",IF($J997&lt;=$I997+IF($I997=0,$K997,$I997*$K997),"Amber","Red")),IF($J997&gt;=$I997,"Green",IF($J997&gt;=$I997-IF($I997=0,$K997,$I997*$K997),"Amber","Red"))),"")</f>
        <v/>
      </c>
      <c r="T997" s="6" t="inlineStr"/>
    </row>
    <row r="998">
      <c r="A998" s="7" t="n">
        <v>46179</v>
      </c>
      <c r="B998" s="8">
        <f>IF($A998="","",TEXT($A998,"mmm-yyyy"))</f>
        <v/>
      </c>
      <c r="C998" s="8">
        <f>IF($A998="","","W"&amp;WEEKNUM($A998,2))</f>
        <v/>
      </c>
      <c r="D998" s="8">
        <f>IF($A998="","",TEXT($A998,"ddd"))</f>
        <v/>
      </c>
      <c r="E998" s="8" t="inlineStr">
        <is>
          <t>Engineering</t>
        </is>
      </c>
      <c r="F998" s="8">
        <f>IFERROR(INDEX(Tbl_KPIMaster[Category],MATCH($G998,Tbl_KPIMaster[KPI],0)),"")</f>
        <v/>
      </c>
      <c r="G998" s="8" t="inlineStr">
        <is>
          <t>Breakdown Resolution Time</t>
        </is>
      </c>
      <c r="H998" s="8">
        <f>IFERROR(INDEX(Tbl_KPIMaster[Unit],MATCH($G998,Tbl_KPIMaster[KPI],0)),"")</f>
        <v/>
      </c>
      <c r="I998" s="9">
        <f>IFERROR(INDEX(Tbl_KPIMaster[Maximum Target],MATCH($G998,Tbl_KPIMaster[KPI],0)),"")</f>
        <v/>
      </c>
      <c r="J998" s="9" t="n">
        <v>0</v>
      </c>
      <c r="K998" s="8">
        <f>IFERROR(INDEX(Tbl_KPIMaster[Tolerance],MATCH($G998,Tbl_KPIMaster[KPI],0)),"")</f>
        <v/>
      </c>
      <c r="L998" s="8">
        <f>IFERROR(INDEX(Tbl_KPIMaster[Owner],MATCH($G998,Tbl_KPIMaster[KPI],0)),"")</f>
        <v/>
      </c>
      <c r="M998" s="10" t="inlineStr"/>
      <c r="N998" s="8" t="inlineStr">
        <is>
          <t>Engineering support needed</t>
        </is>
      </c>
      <c r="O998" s="8" t="inlineStr">
        <is>
          <t>Medium</t>
        </is>
      </c>
      <c r="P998" s="8" t="inlineStr">
        <is>
          <t>In Progress</t>
        </is>
      </c>
      <c r="Q998" s="9">
        <f>IFERROR(IF(INDEX(Tbl_KPIMaster[Direction],MATCH($G998,Tbl_KPIMaster[KPI],0))="Lower is Better",IF($J998=0,1,IF($I998=0,0,$I998/$J998)),IF($I998=0,1,$J998/$I998)),0)</f>
        <v/>
      </c>
      <c r="R998" s="8">
        <f>IF(OR($I998="",$J998=""),"",$J998-$I998)</f>
        <v/>
      </c>
      <c r="S998" s="8">
        <f>IFERROR(IF(INDEX(Tbl_KPIMaster[Direction],MATCH($G998,Tbl_KPIMaster[KPI],0))="Lower is Better",IF($J998&lt;=$I998,"Green",IF($J998&lt;=$I998+IF($I998=0,$K998,$I998*$K998),"Amber","Red")),IF($J998&gt;=$I998,"Green",IF($J998&gt;=$I998-IF($I998=0,$K998,$I998*$K998),"Amber","Red"))),"")</f>
        <v/>
      </c>
      <c r="T998" s="10" t="inlineStr"/>
    </row>
    <row r="999">
      <c r="A999" s="3" t="n">
        <v>46179</v>
      </c>
      <c r="B999" s="4">
        <f>IF($A999="","",TEXT($A999,"mmm-yyyy"))</f>
        <v/>
      </c>
      <c r="C999" s="4">
        <f>IF($A999="","","W"&amp;WEEKNUM($A999,2))</f>
        <v/>
      </c>
      <c r="D999" s="4">
        <f>IF($A999="","",TEXT($A999,"ddd"))</f>
        <v/>
      </c>
      <c r="E999" s="4" t="inlineStr">
        <is>
          <t>Cost</t>
        </is>
      </c>
      <c r="F999" s="4">
        <f>IFERROR(INDEX(Tbl_KPIMaster[Category],MATCH($G999,Tbl_KPIMaster[KPI],0)),"")</f>
        <v/>
      </c>
      <c r="G999" s="4" t="inlineStr">
        <is>
          <t>Cost per Unit</t>
        </is>
      </c>
      <c r="H999" s="4">
        <f>IFERROR(INDEX(Tbl_KPIMaster[Unit],MATCH($G999,Tbl_KPIMaster[KPI],0)),"")</f>
        <v/>
      </c>
      <c r="I999" s="5">
        <f>IFERROR(INDEX(Tbl_KPIMaster[Maximum Target],MATCH($G999,Tbl_KPIMaster[KPI],0)),"")</f>
        <v/>
      </c>
      <c r="J999" s="5" t="n">
        <v>43.13</v>
      </c>
      <c r="K999" s="4">
        <f>IFERROR(INDEX(Tbl_KPIMaster[Tolerance],MATCH($G999,Tbl_KPIMaster[KPI],0)),"")</f>
        <v/>
      </c>
      <c r="L999" s="4">
        <f>IFERROR(INDEX(Tbl_KPIMaster[Owner],MATCH($G999,Tbl_KPIMaster[KPI],0)),"")</f>
        <v/>
      </c>
      <c r="M999" s="6" t="inlineStr">
        <is>
          <t>Line changeover impact</t>
        </is>
      </c>
      <c r="N999" s="4" t="inlineStr"/>
      <c r="O999" s="4" t="inlineStr">
        <is>
          <t>Medium</t>
        </is>
      </c>
      <c r="P999" s="4" t="inlineStr">
        <is>
          <t>Closed</t>
        </is>
      </c>
      <c r="Q999" s="5">
        <f>IFERROR(IF(INDEX(Tbl_KPIMaster[Direction],MATCH($G999,Tbl_KPIMaster[KPI],0))="Lower is Better",IF($J999=0,1,IF($I999=0,0,$I999/$J999)),IF($I999=0,1,$J999/$I999)),0)</f>
        <v/>
      </c>
      <c r="R999" s="4">
        <f>IF(OR($I999="",$J999=""),"",$J999-$I999)</f>
        <v/>
      </c>
      <c r="S999" s="4">
        <f>IFERROR(IF(INDEX(Tbl_KPIMaster[Direction],MATCH($G999,Tbl_KPIMaster[KPI],0))="Lower is Better",IF($J999&lt;=$I999,"Green",IF($J999&lt;=$I999+IF($I999=0,$K999,$I999*$K999),"Amber","Red")),IF($J999&gt;=$I999,"Green",IF($J999&gt;=$I999-IF($I999=0,$K999,$I999*$K999),"Amber","Red"))),"")</f>
        <v/>
      </c>
      <c r="T999" s="6" t="inlineStr"/>
    </row>
    <row r="1000">
      <c r="A1000" s="7" t="n">
        <v>46179</v>
      </c>
      <c r="B1000" s="8">
        <f>IF($A1000="","",TEXT($A1000,"mmm-yyyy"))</f>
        <v/>
      </c>
      <c r="C1000" s="8">
        <f>IF($A1000="","","W"&amp;WEEKNUM($A1000,2))</f>
        <v/>
      </c>
      <c r="D1000" s="8">
        <f>IF($A1000="","",TEXT($A1000,"ddd"))</f>
        <v/>
      </c>
      <c r="E1000" s="8" t="inlineStr">
        <is>
          <t>Cost</t>
        </is>
      </c>
      <c r="F1000" s="8">
        <f>IFERROR(INDEX(Tbl_KPIMaster[Category],MATCH($G1000,Tbl_KPIMaster[KPI],0)),"")</f>
        <v/>
      </c>
      <c r="G1000" s="8" t="inlineStr">
        <is>
          <t>Budget Variance %</t>
        </is>
      </c>
      <c r="H1000" s="8">
        <f>IFERROR(INDEX(Tbl_KPIMaster[Unit],MATCH($G1000,Tbl_KPIMaster[KPI],0)),"")</f>
        <v/>
      </c>
      <c r="I1000" s="9">
        <f>IFERROR(INDEX(Tbl_KPIMaster[Maximum Target],MATCH($G1000,Tbl_KPIMaster[KPI],0)),"")</f>
        <v/>
      </c>
      <c r="J1000" s="9" t="n">
        <v>0</v>
      </c>
      <c r="K1000" s="8">
        <f>IFERROR(INDEX(Tbl_KPIMaster[Tolerance],MATCH($G1000,Tbl_KPIMaster[KPI],0)),"")</f>
        <v/>
      </c>
      <c r="L1000" s="8">
        <f>IFERROR(INDEX(Tbl_KPIMaster[Owner],MATCH($G1000,Tbl_KPIMaster[KPI],0)),"")</f>
        <v/>
      </c>
      <c r="M1000" s="10" t="inlineStr">
        <is>
          <t>Vendor delay</t>
        </is>
      </c>
      <c r="N1000" s="8" t="inlineStr">
        <is>
          <t>Procurement follow-up</t>
        </is>
      </c>
      <c r="O1000" s="8" t="inlineStr">
        <is>
          <t>High</t>
        </is>
      </c>
      <c r="P1000" s="8" t="inlineStr">
        <is>
          <t>Closed</t>
        </is>
      </c>
      <c r="Q1000" s="9">
        <f>IFERROR(IF(INDEX(Tbl_KPIMaster[Direction],MATCH($G1000,Tbl_KPIMaster[KPI],0))="Lower is Better",IF($J1000=0,1,IF($I1000=0,0,$I1000/$J1000)),IF($I1000=0,1,$J1000/$I1000)),0)</f>
        <v/>
      </c>
      <c r="R1000" s="8">
        <f>IF(OR($I1000="",$J1000=""),"",$J1000-$I1000)</f>
        <v/>
      </c>
      <c r="S1000" s="8">
        <f>IFERROR(IF(INDEX(Tbl_KPIMaster[Direction],MATCH($G1000,Tbl_KPIMaster[KPI],0))="Lower is Better",IF($J1000&lt;=$I1000,"Green",IF($J1000&lt;=$I1000+IF($I1000=0,$K1000,$I1000*$K1000),"Amber","Red")),IF($J1000&gt;=$I1000,"Green",IF($J1000&gt;=$I1000-IF($I1000=0,$K1000,$I1000*$K1000),"Amber","Red"))),"")</f>
        <v/>
      </c>
      <c r="T1000" s="10" t="inlineStr"/>
    </row>
    <row r="1001">
      <c r="A1001" s="3" t="n">
        <v>46179</v>
      </c>
      <c r="B1001" s="4">
        <f>IF($A1001="","",TEXT($A1001,"mmm-yyyy"))</f>
        <v/>
      </c>
      <c r="C1001" s="4">
        <f>IF($A1001="","","W"&amp;WEEKNUM($A1001,2))</f>
        <v/>
      </c>
      <c r="D1001" s="4">
        <f>IF($A1001="","",TEXT($A1001,"ddd"))</f>
        <v/>
      </c>
      <c r="E1001" s="4" t="inlineStr">
        <is>
          <t>Energy</t>
        </is>
      </c>
      <c r="F1001" s="4">
        <f>IFERROR(INDEX(Tbl_KPIMaster[Category],MATCH($G1001,Tbl_KPIMaster[KPI],0)),"")</f>
        <v/>
      </c>
      <c r="G1001" s="4" t="inlineStr">
        <is>
          <t>Energy Intensity (kWh/unit)</t>
        </is>
      </c>
      <c r="H1001" s="4">
        <f>IFERROR(INDEX(Tbl_KPIMaster[Unit],MATCH($G1001,Tbl_KPIMaster[KPI],0)),"")</f>
        <v/>
      </c>
      <c r="I1001" s="5">
        <f>IFERROR(INDEX(Tbl_KPIMaster[Maximum Target],MATCH($G1001,Tbl_KPIMaster[KPI],0)),"")</f>
        <v/>
      </c>
      <c r="J1001" s="5" t="n">
        <v>3.8</v>
      </c>
      <c r="K1001" s="4">
        <f>IFERROR(INDEX(Tbl_KPIMaster[Tolerance],MATCH($G1001,Tbl_KPIMaster[KPI],0)),"")</f>
        <v/>
      </c>
      <c r="L1001" s="4">
        <f>IFERROR(INDEX(Tbl_KPIMaster[Owner],MATCH($G1001,Tbl_KPIMaster[KPI],0)),"")</f>
        <v/>
      </c>
      <c r="M1001" s="6" t="inlineStr">
        <is>
          <t>Line changeover impact</t>
        </is>
      </c>
      <c r="N1001" s="4" t="inlineStr">
        <is>
          <t>Procurement follow-up</t>
        </is>
      </c>
      <c r="O1001" s="4" t="inlineStr">
        <is>
          <t>Medium</t>
        </is>
      </c>
      <c r="P1001" s="4" t="inlineStr">
        <is>
          <t>Closed</t>
        </is>
      </c>
      <c r="Q1001" s="5">
        <f>IFERROR(IF(INDEX(Tbl_KPIMaster[Direction],MATCH($G1001,Tbl_KPIMaster[KPI],0))="Lower is Better",IF($J1001=0,1,IF($I1001=0,0,$I1001/$J1001)),IF($I1001=0,1,$J1001/$I1001)),0)</f>
        <v/>
      </c>
      <c r="R1001" s="4">
        <f>IF(OR($I1001="",$J1001=""),"",$J1001-$I1001)</f>
        <v/>
      </c>
      <c r="S1001" s="4">
        <f>IFERROR(IF(INDEX(Tbl_KPIMaster[Direction],MATCH($G1001,Tbl_KPIMaster[KPI],0))="Lower is Better",IF($J1001&lt;=$I1001,"Green",IF($J1001&lt;=$I1001+IF($I1001=0,$K1001,$I1001*$K1001),"Amber","Red")),IF($J1001&gt;=$I1001,"Green",IF($J1001&gt;=$I1001-IF($I1001=0,$K1001,$I1001*$K1001),"Amber","Red"))),"")</f>
        <v/>
      </c>
      <c r="T1001" s="6" t="inlineStr"/>
    </row>
    <row r="1002">
      <c r="A1002" s="7" t="n">
        <v>46179</v>
      </c>
      <c r="B1002" s="8">
        <f>IF($A1002="","",TEXT($A1002,"mmm-yyyy"))</f>
        <v/>
      </c>
      <c r="C1002" s="8">
        <f>IF($A1002="","","W"&amp;WEEKNUM($A1002,2))</f>
        <v/>
      </c>
      <c r="D1002" s="8">
        <f>IF($A1002="","",TEXT($A1002,"ddd"))</f>
        <v/>
      </c>
      <c r="E1002" s="8" t="inlineStr">
        <is>
          <t>Energy</t>
        </is>
      </c>
      <c r="F1002" s="8">
        <f>IFERROR(INDEX(Tbl_KPIMaster[Category],MATCH($G1002,Tbl_KPIMaster[KPI],0)),"")</f>
        <v/>
      </c>
      <c r="G1002" s="8" t="inlineStr">
        <is>
          <t>Renewable Energy Share %</t>
        </is>
      </c>
      <c r="H1002" s="8">
        <f>IFERROR(INDEX(Tbl_KPIMaster[Unit],MATCH($G1002,Tbl_KPIMaster[KPI],0)),"")</f>
        <v/>
      </c>
      <c r="I1002" s="9">
        <f>IFERROR(INDEX(Tbl_KPIMaster[Maximum Target],MATCH($G1002,Tbl_KPIMaster[KPI],0)),"")</f>
        <v/>
      </c>
      <c r="J1002" s="9" t="n">
        <v>0.2267</v>
      </c>
      <c r="K1002" s="8">
        <f>IFERROR(INDEX(Tbl_KPIMaster[Tolerance],MATCH($G1002,Tbl_KPIMaster[KPI],0)),"")</f>
        <v/>
      </c>
      <c r="L1002" s="8">
        <f>IFERROR(INDEX(Tbl_KPIMaster[Owner],MATCH($G1002,Tbl_KPIMaster[KPI],0)),"")</f>
        <v/>
      </c>
      <c r="M1002" s="10" t="inlineStr"/>
      <c r="N1002" s="8" t="inlineStr"/>
      <c r="O1002" s="8" t="inlineStr">
        <is>
          <t>Low</t>
        </is>
      </c>
      <c r="P1002" s="8" t="inlineStr">
        <is>
          <t>In Progress</t>
        </is>
      </c>
      <c r="Q1002" s="9">
        <f>IFERROR(IF(INDEX(Tbl_KPIMaster[Direction],MATCH($G1002,Tbl_KPIMaster[KPI],0))="Lower is Better",IF($J1002=0,1,IF($I1002=0,0,$I1002/$J1002)),IF($I1002=0,1,$J1002/$I1002)),0)</f>
        <v/>
      </c>
      <c r="R1002" s="8">
        <f>IF(OR($I1002="",$J1002=""),"",$J1002-$I1002)</f>
        <v/>
      </c>
      <c r="S1002" s="8">
        <f>IFERROR(IF(INDEX(Tbl_KPIMaster[Direction],MATCH($G1002,Tbl_KPIMaster[KPI],0))="Lower is Better",IF($J1002&lt;=$I1002,"Green",IF($J1002&lt;=$I1002+IF($I1002=0,$K1002,$I1002*$K1002),"Amber","Red")),IF($J1002&gt;=$I1002,"Green",IF($J1002&gt;=$I1002-IF($I1002=0,$K1002,$I1002*$K1002),"Amber","Red"))),"")</f>
        <v/>
      </c>
      <c r="T1002" s="10" t="inlineStr"/>
    </row>
    <row r="1003">
      <c r="A1003" s="3" t="n">
        <v>46180</v>
      </c>
      <c r="B1003" s="4">
        <f>IF($A1003="","",TEXT($A1003,"mmm-yyyy"))</f>
        <v/>
      </c>
      <c r="C1003" s="4">
        <f>IF($A1003="","","W"&amp;WEEKNUM($A1003,2))</f>
        <v/>
      </c>
      <c r="D1003" s="4">
        <f>IF($A1003="","",TEXT($A1003,"ddd"))</f>
        <v/>
      </c>
      <c r="E1003" s="4" t="inlineStr">
        <is>
          <t>Safety</t>
        </is>
      </c>
      <c r="F1003" s="4">
        <f>IFERROR(INDEX(Tbl_KPIMaster[Category],MATCH($G1003,Tbl_KPIMaster[KPI],0)),"")</f>
        <v/>
      </c>
      <c r="G1003" s="4" t="inlineStr">
        <is>
          <t>Safety Incidents (LTI)</t>
        </is>
      </c>
      <c r="H1003" s="4">
        <f>IFERROR(INDEX(Tbl_KPIMaster[Unit],MATCH($G1003,Tbl_KPIMaster[KPI],0)),"")</f>
        <v/>
      </c>
      <c r="I1003" s="5">
        <f>IFERROR(INDEX(Tbl_KPIMaster[Maximum Target],MATCH($G1003,Tbl_KPIMaster[KPI],0)),"")</f>
        <v/>
      </c>
      <c r="J1003" s="5" t="n">
        <v>0</v>
      </c>
      <c r="K1003" s="4">
        <f>IFERROR(INDEX(Tbl_KPIMaster[Tolerance],MATCH($G1003,Tbl_KPIMaster[KPI],0)),"")</f>
        <v/>
      </c>
      <c r="L1003" s="4">
        <f>IFERROR(INDEX(Tbl_KPIMaster[Owner],MATCH($G1003,Tbl_KPIMaster[KPI],0)),"")</f>
        <v/>
      </c>
      <c r="M1003" s="6" t="inlineStr">
        <is>
          <t>Weather impact</t>
        </is>
      </c>
      <c r="N1003" s="4" t="inlineStr">
        <is>
          <t>Procurement follow-up</t>
        </is>
      </c>
      <c r="O1003" s="4" t="inlineStr">
        <is>
          <t>Low</t>
        </is>
      </c>
      <c r="P1003" s="4" t="inlineStr">
        <is>
          <t>In Progress</t>
        </is>
      </c>
      <c r="Q1003" s="5">
        <f>IFERROR(IF(INDEX(Tbl_KPIMaster[Direction],MATCH($G1003,Tbl_KPIMaster[KPI],0))="Lower is Better",IF($J1003=0,1,IF($I1003=0,0,$I1003/$J1003)),IF($I1003=0,1,$J1003/$I1003)),0)</f>
        <v/>
      </c>
      <c r="R1003" s="4">
        <f>IF(OR($I1003="",$J1003=""),"",$J1003-$I1003)</f>
        <v/>
      </c>
      <c r="S1003" s="4">
        <f>IFERROR(IF(INDEX(Tbl_KPIMaster[Direction],MATCH($G1003,Tbl_KPIMaster[KPI],0))="Lower is Better",IF($J1003&lt;=$I1003,"Green",IF($J1003&lt;=$I1003+IF($I1003=0,$K1003,$I1003*$K1003),"Amber","Red")),IF($J1003&gt;=$I1003,"Green",IF($J1003&gt;=$I1003-IF($I1003=0,$K1003,$I1003*$K1003),"Amber","Red"))),"")</f>
        <v/>
      </c>
      <c r="T1003" s="6" t="inlineStr"/>
    </row>
    <row r="1004">
      <c r="A1004" s="7" t="n">
        <v>46180</v>
      </c>
      <c r="B1004" s="8">
        <f>IF($A1004="","",TEXT($A1004,"mmm-yyyy"))</f>
        <v/>
      </c>
      <c r="C1004" s="8">
        <f>IF($A1004="","","W"&amp;WEEKNUM($A1004,2))</f>
        <v/>
      </c>
      <c r="D1004" s="8">
        <f>IF($A1004="","",TEXT($A1004,"ddd"))</f>
        <v/>
      </c>
      <c r="E1004" s="8" t="inlineStr">
        <is>
          <t>Safety</t>
        </is>
      </c>
      <c r="F1004" s="8">
        <f>IFERROR(INDEX(Tbl_KPIMaster[Category],MATCH($G1004,Tbl_KPIMaster[KPI],0)),"")</f>
        <v/>
      </c>
      <c r="G1004" s="8" t="inlineStr">
        <is>
          <t>Near Miss Reports</t>
        </is>
      </c>
      <c r="H1004" s="8">
        <f>IFERROR(INDEX(Tbl_KPIMaster[Unit],MATCH($G1004,Tbl_KPIMaster[KPI],0)),"")</f>
        <v/>
      </c>
      <c r="I1004" s="9">
        <f>IFERROR(INDEX(Tbl_KPIMaster[Maximum Target],MATCH($G1004,Tbl_KPIMaster[KPI],0)),"")</f>
        <v/>
      </c>
      <c r="J1004" s="9" t="n">
        <v>2</v>
      </c>
      <c r="K1004" s="8">
        <f>IFERROR(INDEX(Tbl_KPIMaster[Tolerance],MATCH($G1004,Tbl_KPIMaster[KPI],0)),"")</f>
        <v/>
      </c>
      <c r="L1004" s="8">
        <f>IFERROR(INDEX(Tbl_KPIMaster[Owner],MATCH($G1004,Tbl_KPIMaster[KPI],0)),"")</f>
        <v/>
      </c>
      <c r="M1004" s="10" t="inlineStr">
        <is>
          <t>Preventive check done</t>
        </is>
      </c>
      <c r="N1004" s="8" t="inlineStr">
        <is>
          <t>Management approval pending</t>
        </is>
      </c>
      <c r="O1004" s="8" t="inlineStr">
        <is>
          <t>Low</t>
        </is>
      </c>
      <c r="P1004" s="8" t="inlineStr">
        <is>
          <t>Closed</t>
        </is>
      </c>
      <c r="Q1004" s="9">
        <f>IFERROR(IF(INDEX(Tbl_KPIMaster[Direction],MATCH($G1004,Tbl_KPIMaster[KPI],0))="Lower is Better",IF($J1004=0,1,IF($I1004=0,0,$I1004/$J1004)),IF($I1004=0,1,$J1004/$I1004)),0)</f>
        <v/>
      </c>
      <c r="R1004" s="8">
        <f>IF(OR($I1004="",$J1004=""),"",$J1004-$I1004)</f>
        <v/>
      </c>
      <c r="S1004" s="8">
        <f>IFERROR(IF(INDEX(Tbl_KPIMaster[Direction],MATCH($G1004,Tbl_KPIMaster[KPI],0))="Lower is Better",IF($J1004&lt;=$I1004,"Green",IF($J1004&lt;=$I1004+IF($I1004=0,$K1004,$I1004*$K1004),"Amber","Red")),IF($J1004&gt;=$I1004,"Green",IF($J1004&gt;=$I1004-IF($I1004=0,$K1004,$I1004*$K1004),"Amber","Red"))),"")</f>
        <v/>
      </c>
      <c r="T1004" s="10" t="inlineStr"/>
    </row>
    <row r="1005">
      <c r="A1005" s="3" t="n">
        <v>46180</v>
      </c>
      <c r="B1005" s="4">
        <f>IF($A1005="","",TEXT($A1005,"mmm-yyyy"))</f>
        <v/>
      </c>
      <c r="C1005" s="4">
        <f>IF($A1005="","","W"&amp;WEEKNUM($A1005,2))</f>
        <v/>
      </c>
      <c r="D1005" s="4">
        <f>IF($A1005="","",TEXT($A1005,"ddd"))</f>
        <v/>
      </c>
      <c r="E1005" s="4" t="inlineStr">
        <is>
          <t>Production</t>
        </is>
      </c>
      <c r="F1005" s="4">
        <f>IFERROR(INDEX(Tbl_KPIMaster[Category],MATCH($G1005,Tbl_KPIMaster[KPI],0)),"")</f>
        <v/>
      </c>
      <c r="G1005" s="4" t="inlineStr">
        <is>
          <t>Production Output</t>
        </is>
      </c>
      <c r="H1005" s="4">
        <f>IFERROR(INDEX(Tbl_KPIMaster[Unit],MATCH($G1005,Tbl_KPIMaster[KPI],0)),"")</f>
        <v/>
      </c>
      <c r="I1005" s="5">
        <f>IFERROR(INDEX(Tbl_KPIMaster[Maximum Target],MATCH($G1005,Tbl_KPIMaster[KPI],0)),"")</f>
        <v/>
      </c>
      <c r="J1005" s="5" t="n">
        <v>765.84</v>
      </c>
      <c r="K1005" s="4">
        <f>IFERROR(INDEX(Tbl_KPIMaster[Tolerance],MATCH($G1005,Tbl_KPIMaster[KPI],0)),"")</f>
        <v/>
      </c>
      <c r="L1005" s="4">
        <f>IFERROR(INDEX(Tbl_KPIMaster[Owner],MATCH($G1005,Tbl_KPIMaster[KPI],0)),"")</f>
        <v/>
      </c>
      <c r="M1005" s="6" t="inlineStr">
        <is>
          <t>Within normal range</t>
        </is>
      </c>
      <c r="N1005" s="4" t="inlineStr"/>
      <c r="O1005" s="4" t="inlineStr">
        <is>
          <t>Low</t>
        </is>
      </c>
      <c r="P1005" s="4" t="inlineStr">
        <is>
          <t>Closed</t>
        </is>
      </c>
      <c r="Q1005" s="5">
        <f>IFERROR(IF(INDEX(Tbl_KPIMaster[Direction],MATCH($G1005,Tbl_KPIMaster[KPI],0))="Lower is Better",IF($J1005=0,1,IF($I1005=0,0,$I1005/$J1005)),IF($I1005=0,1,$J1005/$I1005)),0)</f>
        <v/>
      </c>
      <c r="R1005" s="4">
        <f>IF(OR($I1005="",$J1005=""),"",$J1005-$I1005)</f>
        <v/>
      </c>
      <c r="S1005" s="4">
        <f>IFERROR(IF(INDEX(Tbl_KPIMaster[Direction],MATCH($G1005,Tbl_KPIMaster[KPI],0))="Lower is Better",IF($J1005&lt;=$I1005,"Green",IF($J1005&lt;=$I1005+IF($I1005=0,$K1005,$I1005*$K1005),"Amber","Red")),IF($J1005&gt;=$I1005,"Green",IF($J1005&gt;=$I1005-IF($I1005=0,$K1005,$I1005*$K1005),"Amber","Red"))),"")</f>
        <v/>
      </c>
      <c r="T1005" s="6" t="inlineStr"/>
    </row>
    <row r="1006">
      <c r="A1006" s="7" t="n">
        <v>46180</v>
      </c>
      <c r="B1006" s="8">
        <f>IF($A1006="","",TEXT($A1006,"mmm-yyyy"))</f>
        <v/>
      </c>
      <c r="C1006" s="8">
        <f>IF($A1006="","","W"&amp;WEEKNUM($A1006,2))</f>
        <v/>
      </c>
      <c r="D1006" s="8">
        <f>IF($A1006="","",TEXT($A1006,"ddd"))</f>
        <v/>
      </c>
      <c r="E1006" s="8" t="inlineStr">
        <is>
          <t>Production</t>
        </is>
      </c>
      <c r="F1006" s="8">
        <f>IFERROR(INDEX(Tbl_KPIMaster[Category],MATCH($G1006,Tbl_KPIMaster[KPI],0)),"")</f>
        <v/>
      </c>
      <c r="G1006" s="8" t="inlineStr">
        <is>
          <t>OEE %</t>
        </is>
      </c>
      <c r="H1006" s="8">
        <f>IFERROR(INDEX(Tbl_KPIMaster[Unit],MATCH($G1006,Tbl_KPIMaster[KPI],0)),"")</f>
        <v/>
      </c>
      <c r="I1006" s="9">
        <f>IFERROR(INDEX(Tbl_KPIMaster[Maximum Target],MATCH($G1006,Tbl_KPIMaster[KPI],0)),"")</f>
        <v/>
      </c>
      <c r="J1006" s="9" t="n">
        <v>0.7833</v>
      </c>
      <c r="K1006" s="8">
        <f>IFERROR(INDEX(Tbl_KPIMaster[Tolerance],MATCH($G1006,Tbl_KPIMaster[KPI],0)),"")</f>
        <v/>
      </c>
      <c r="L1006" s="8">
        <f>IFERROR(INDEX(Tbl_KPIMaster[Owner],MATCH($G1006,Tbl_KPIMaster[KPI],0)),"")</f>
        <v/>
      </c>
      <c r="M1006" s="10" t="inlineStr">
        <is>
          <t>Line changeover impact</t>
        </is>
      </c>
      <c r="N1006" s="8" t="inlineStr"/>
      <c r="O1006" s="8" t="inlineStr">
        <is>
          <t>Medium</t>
        </is>
      </c>
      <c r="P1006" s="8" t="inlineStr">
        <is>
          <t>In Progress</t>
        </is>
      </c>
      <c r="Q1006" s="9">
        <f>IFERROR(IF(INDEX(Tbl_KPIMaster[Direction],MATCH($G1006,Tbl_KPIMaster[KPI],0))="Lower is Better",IF($J1006=0,1,IF($I1006=0,0,$I1006/$J1006)),IF($I1006=0,1,$J1006/$I1006)),0)</f>
        <v/>
      </c>
      <c r="R1006" s="8">
        <f>IF(OR($I1006="",$J1006=""),"",$J1006-$I1006)</f>
        <v/>
      </c>
      <c r="S1006" s="8">
        <f>IFERROR(IF(INDEX(Tbl_KPIMaster[Direction],MATCH($G1006,Tbl_KPIMaster[KPI],0))="Lower is Better",IF($J1006&lt;=$I1006,"Green",IF($J1006&lt;=$I1006+IF($I1006=0,$K1006,$I1006*$K1006),"Amber","Red")),IF($J1006&gt;=$I1006,"Green",IF($J1006&gt;=$I1006-IF($I1006=0,$K1006,$I1006*$K1006),"Amber","Red"))),"")</f>
        <v/>
      </c>
      <c r="T1006" s="10" t="inlineStr"/>
    </row>
    <row r="1007">
      <c r="A1007" s="3" t="n">
        <v>46180</v>
      </c>
      <c r="B1007" s="4">
        <f>IF($A1007="","",TEXT($A1007,"mmm-yyyy"))</f>
        <v/>
      </c>
      <c r="C1007" s="4">
        <f>IF($A1007="","","W"&amp;WEEKNUM($A1007,2))</f>
        <v/>
      </c>
      <c r="D1007" s="4">
        <f>IF($A1007="","",TEXT($A1007,"ddd"))</f>
        <v/>
      </c>
      <c r="E1007" s="4" t="inlineStr">
        <is>
          <t>Quality</t>
        </is>
      </c>
      <c r="F1007" s="4">
        <f>IFERROR(INDEX(Tbl_KPIMaster[Category],MATCH($G1007,Tbl_KPIMaster[KPI],0)),"")</f>
        <v/>
      </c>
      <c r="G1007" s="4" t="inlineStr">
        <is>
          <t>Defect Rate %</t>
        </is>
      </c>
      <c r="H1007" s="4">
        <f>IFERROR(INDEX(Tbl_KPIMaster[Unit],MATCH($G1007,Tbl_KPIMaster[KPI],0)),"")</f>
        <v/>
      </c>
      <c r="I1007" s="5">
        <f>IFERROR(INDEX(Tbl_KPIMaster[Maximum Target],MATCH($G1007,Tbl_KPIMaster[KPI],0)),"")</f>
        <v/>
      </c>
      <c r="J1007" s="5" t="n">
        <v>0</v>
      </c>
      <c r="K1007" s="4">
        <f>IFERROR(INDEX(Tbl_KPIMaster[Tolerance],MATCH($G1007,Tbl_KPIMaster[KPI],0)),"")</f>
        <v/>
      </c>
      <c r="L1007" s="4">
        <f>IFERROR(INDEX(Tbl_KPIMaster[Owner],MATCH($G1007,Tbl_KPIMaster[KPI],0)),"")</f>
        <v/>
      </c>
      <c r="M1007" s="6" t="inlineStr">
        <is>
          <t>New operator training effect</t>
        </is>
      </c>
      <c r="N1007" s="4" t="inlineStr"/>
      <c r="O1007" s="4" t="inlineStr">
        <is>
          <t>Medium</t>
        </is>
      </c>
      <c r="P1007" s="4" t="inlineStr">
        <is>
          <t>Closed</t>
        </is>
      </c>
      <c r="Q1007" s="5">
        <f>IFERROR(IF(INDEX(Tbl_KPIMaster[Direction],MATCH($G1007,Tbl_KPIMaster[KPI],0))="Lower is Better",IF($J1007=0,1,IF($I1007=0,0,$I1007/$J1007)),IF($I1007=0,1,$J1007/$I1007)),0)</f>
        <v/>
      </c>
      <c r="R1007" s="4">
        <f>IF(OR($I1007="",$J1007=""),"",$J1007-$I1007)</f>
        <v/>
      </c>
      <c r="S1007" s="4">
        <f>IFERROR(IF(INDEX(Tbl_KPIMaster[Direction],MATCH($G1007,Tbl_KPIMaster[KPI],0))="Lower is Better",IF($J1007&lt;=$I1007,"Green",IF($J1007&lt;=$I1007+IF($I1007=0,$K1007,$I1007*$K1007),"Amber","Red")),IF($J1007&gt;=$I1007,"Green",IF($J1007&gt;=$I1007-IF($I1007=0,$K1007,$I1007*$K1007),"Amber","Red"))),"")</f>
        <v/>
      </c>
      <c r="T1007" s="6" t="inlineStr"/>
    </row>
    <row r="1008">
      <c r="A1008" s="7" t="n">
        <v>46180</v>
      </c>
      <c r="B1008" s="8">
        <f>IF($A1008="","",TEXT($A1008,"mmm-yyyy"))</f>
        <v/>
      </c>
      <c r="C1008" s="8">
        <f>IF($A1008="","","W"&amp;WEEKNUM($A1008,2))</f>
        <v/>
      </c>
      <c r="D1008" s="8">
        <f>IF($A1008="","",TEXT($A1008,"ddd"))</f>
        <v/>
      </c>
      <c r="E1008" s="8" t="inlineStr">
        <is>
          <t>Quality</t>
        </is>
      </c>
      <c r="F1008" s="8">
        <f>IFERROR(INDEX(Tbl_KPIMaster[Category],MATCH($G1008,Tbl_KPIMaster[KPI],0)),"")</f>
        <v/>
      </c>
      <c r="G1008" s="8" t="inlineStr">
        <is>
          <t>Customer Complaints</t>
        </is>
      </c>
      <c r="H1008" s="8">
        <f>IFERROR(INDEX(Tbl_KPIMaster[Unit],MATCH($G1008,Tbl_KPIMaster[KPI],0)),"")</f>
        <v/>
      </c>
      <c r="I1008" s="9">
        <f>IFERROR(INDEX(Tbl_KPIMaster[Maximum Target],MATCH($G1008,Tbl_KPIMaster[KPI],0)),"")</f>
        <v/>
      </c>
      <c r="J1008" s="9" t="n">
        <v>1</v>
      </c>
      <c r="K1008" s="8">
        <f>IFERROR(INDEX(Tbl_KPIMaster[Tolerance],MATCH($G1008,Tbl_KPIMaster[KPI],0)),"")</f>
        <v/>
      </c>
      <c r="L1008" s="8">
        <f>IFERROR(INDEX(Tbl_KPIMaster[Owner],MATCH($G1008,Tbl_KPIMaster[KPI],0)),"")</f>
        <v/>
      </c>
      <c r="M1008" s="10" t="inlineStr">
        <is>
          <t>Awaiting spares</t>
        </is>
      </c>
      <c r="N1008" s="8" t="inlineStr"/>
      <c r="O1008" s="8" t="inlineStr">
        <is>
          <t>High</t>
        </is>
      </c>
      <c r="P1008" s="8" t="inlineStr">
        <is>
          <t>In Progress</t>
        </is>
      </c>
      <c r="Q1008" s="9">
        <f>IFERROR(IF(INDEX(Tbl_KPIMaster[Direction],MATCH($G1008,Tbl_KPIMaster[KPI],0))="Lower is Better",IF($J1008=0,1,IF($I1008=0,0,$I1008/$J1008)),IF($I1008=0,1,$J1008/$I1008)),0)</f>
        <v/>
      </c>
      <c r="R1008" s="8">
        <f>IF(OR($I1008="",$J1008=""),"",$J1008-$I1008)</f>
        <v/>
      </c>
      <c r="S1008" s="8">
        <f>IFERROR(IF(INDEX(Tbl_KPIMaster[Direction],MATCH($G1008,Tbl_KPIMaster[KPI],0))="Lower is Better",IF($J1008&lt;=$I1008,"Green",IF($J1008&lt;=$I1008+IF($I1008=0,$K1008,$I1008*$K1008),"Amber","Red")),IF($J1008&gt;=$I1008,"Green",IF($J1008&gt;=$I1008-IF($I1008=0,$K1008,$I1008*$K1008),"Amber","Red"))),"")</f>
        <v/>
      </c>
      <c r="T1008" s="10" t="inlineStr"/>
    </row>
    <row r="1009">
      <c r="A1009" s="3" t="n">
        <v>46180</v>
      </c>
      <c r="B1009" s="4">
        <f>IF($A1009="","",TEXT($A1009,"mmm-yyyy"))</f>
        <v/>
      </c>
      <c r="C1009" s="4">
        <f>IF($A1009="","","W"&amp;WEEKNUM($A1009,2))</f>
        <v/>
      </c>
      <c r="D1009" s="4">
        <f>IF($A1009="","",TEXT($A1009,"ddd"))</f>
        <v/>
      </c>
      <c r="E1009" s="4" t="inlineStr">
        <is>
          <t>Maintenance</t>
        </is>
      </c>
      <c r="F1009" s="4">
        <f>IFERROR(INDEX(Tbl_KPIMaster[Category],MATCH($G1009,Tbl_KPIMaster[KPI],0)),"")</f>
        <v/>
      </c>
      <c r="G1009" s="4" t="inlineStr">
        <is>
          <t>Unplanned Downtime</t>
        </is>
      </c>
      <c r="H1009" s="4">
        <f>IFERROR(INDEX(Tbl_KPIMaster[Unit],MATCH($G1009,Tbl_KPIMaster[KPI],0)),"")</f>
        <v/>
      </c>
      <c r="I1009" s="5">
        <f>IFERROR(INDEX(Tbl_KPIMaster[Maximum Target],MATCH($G1009,Tbl_KPIMaster[KPI],0)),"")</f>
        <v/>
      </c>
      <c r="J1009" s="5" t="n">
        <v>0</v>
      </c>
      <c r="K1009" s="4">
        <f>IFERROR(INDEX(Tbl_KPIMaster[Tolerance],MATCH($G1009,Tbl_KPIMaster[KPI],0)),"")</f>
        <v/>
      </c>
      <c r="L1009" s="4">
        <f>IFERROR(INDEX(Tbl_KPIMaster[Owner],MATCH($G1009,Tbl_KPIMaster[KPI],0)),"")</f>
        <v/>
      </c>
      <c r="M1009" s="6" t="inlineStr">
        <is>
          <t>Equipment breakdown</t>
        </is>
      </c>
      <c r="N1009" s="4" t="inlineStr">
        <is>
          <t>Management approval pending</t>
        </is>
      </c>
      <c r="O1009" s="4" t="inlineStr">
        <is>
          <t>High</t>
        </is>
      </c>
      <c r="P1009" s="4" t="inlineStr">
        <is>
          <t>Open</t>
        </is>
      </c>
      <c r="Q1009" s="5">
        <f>IFERROR(IF(INDEX(Tbl_KPIMaster[Direction],MATCH($G1009,Tbl_KPIMaster[KPI],0))="Lower is Better",IF($J1009=0,1,IF($I1009=0,0,$I1009/$J1009)),IF($I1009=0,1,$J1009/$I1009)),0)</f>
        <v/>
      </c>
      <c r="R1009" s="4">
        <f>IF(OR($I1009="",$J1009=""),"",$J1009-$I1009)</f>
        <v/>
      </c>
      <c r="S1009" s="4">
        <f>IFERROR(IF(INDEX(Tbl_KPIMaster[Direction],MATCH($G1009,Tbl_KPIMaster[KPI],0))="Lower is Better",IF($J1009&lt;=$I1009,"Green",IF($J1009&lt;=$I1009+IF($I1009=0,$K1009,$I1009*$K1009),"Amber","Red")),IF($J1009&gt;=$I1009,"Green",IF($J1009&gt;=$I1009-IF($I1009=0,$K1009,$I1009*$K1009),"Amber","Red"))),"")</f>
        <v/>
      </c>
      <c r="T1009" s="6" t="inlineStr"/>
    </row>
    <row r="1010">
      <c r="A1010" s="7" t="n">
        <v>46180</v>
      </c>
      <c r="B1010" s="8">
        <f>IF($A1010="","",TEXT($A1010,"mmm-yyyy"))</f>
        <v/>
      </c>
      <c r="C1010" s="8">
        <f>IF($A1010="","","W"&amp;WEEKNUM($A1010,2))</f>
        <v/>
      </c>
      <c r="D1010" s="8">
        <f>IF($A1010="","",TEXT($A1010,"ddd"))</f>
        <v/>
      </c>
      <c r="E1010" s="8" t="inlineStr">
        <is>
          <t>Maintenance</t>
        </is>
      </c>
      <c r="F1010" s="8">
        <f>IFERROR(INDEX(Tbl_KPIMaster[Category],MATCH($G1010,Tbl_KPIMaster[KPI],0)),"")</f>
        <v/>
      </c>
      <c r="G1010" s="8" t="inlineStr">
        <is>
          <t>PM Compliance %</t>
        </is>
      </c>
      <c r="H1010" s="8">
        <f>IFERROR(INDEX(Tbl_KPIMaster[Unit],MATCH($G1010,Tbl_KPIMaster[KPI],0)),"")</f>
        <v/>
      </c>
      <c r="I1010" s="9">
        <f>IFERROR(INDEX(Tbl_KPIMaster[Maximum Target],MATCH($G1010,Tbl_KPIMaster[KPI],0)),"")</f>
        <v/>
      </c>
      <c r="J1010" s="9" t="n">
        <v>0.8145</v>
      </c>
      <c r="K1010" s="8">
        <f>IFERROR(INDEX(Tbl_KPIMaster[Tolerance],MATCH($G1010,Tbl_KPIMaster[KPI],0)),"")</f>
        <v/>
      </c>
      <c r="L1010" s="8">
        <f>IFERROR(INDEX(Tbl_KPIMaster[Owner],MATCH($G1010,Tbl_KPIMaster[KPI],0)),"")</f>
        <v/>
      </c>
      <c r="M1010" s="10" t="inlineStr">
        <is>
          <t>Weather impact</t>
        </is>
      </c>
      <c r="N1010" s="8" t="inlineStr">
        <is>
          <t>Procurement follow-up</t>
        </is>
      </c>
      <c r="O1010" s="8" t="inlineStr">
        <is>
          <t>Low</t>
        </is>
      </c>
      <c r="P1010" s="8" t="inlineStr">
        <is>
          <t>Closed</t>
        </is>
      </c>
      <c r="Q1010" s="9">
        <f>IFERROR(IF(INDEX(Tbl_KPIMaster[Direction],MATCH($G1010,Tbl_KPIMaster[KPI],0))="Lower is Better",IF($J1010=0,1,IF($I1010=0,0,$I1010/$J1010)),IF($I1010=0,1,$J1010/$I1010)),0)</f>
        <v/>
      </c>
      <c r="R1010" s="8">
        <f>IF(OR($I1010="",$J1010=""),"",$J1010-$I1010)</f>
        <v/>
      </c>
      <c r="S1010" s="8">
        <f>IFERROR(IF(INDEX(Tbl_KPIMaster[Direction],MATCH($G1010,Tbl_KPIMaster[KPI],0))="Lower is Better",IF($J1010&lt;=$I1010,"Green",IF($J1010&lt;=$I1010+IF($I1010=0,$K1010,$I1010*$K1010),"Amber","Red")),IF($J1010&gt;=$I1010,"Green",IF($J1010&gt;=$I1010-IF($I1010=0,$K1010,$I1010*$K1010),"Amber","Red"))),"")</f>
        <v/>
      </c>
      <c r="T1010" s="10" t="inlineStr"/>
    </row>
    <row r="1011">
      <c r="A1011" s="3" t="n">
        <v>46180</v>
      </c>
      <c r="B1011" s="4">
        <f>IF($A1011="","",TEXT($A1011,"mmm-yyyy"))</f>
        <v/>
      </c>
      <c r="C1011" s="4">
        <f>IF($A1011="","","W"&amp;WEEKNUM($A1011,2))</f>
        <v/>
      </c>
      <c r="D1011" s="4">
        <f>IF($A1011="","",TEXT($A1011,"ddd"))</f>
        <v/>
      </c>
      <c r="E1011" s="4" t="inlineStr">
        <is>
          <t>Utilities</t>
        </is>
      </c>
      <c r="F1011" s="4">
        <f>IFERROR(INDEX(Tbl_KPIMaster[Category],MATCH($G1011,Tbl_KPIMaster[KPI],0)),"")</f>
        <v/>
      </c>
      <c r="G1011" s="4" t="inlineStr">
        <is>
          <t>Power Consumption</t>
        </is>
      </c>
      <c r="H1011" s="4">
        <f>IFERROR(INDEX(Tbl_KPIMaster[Unit],MATCH($G1011,Tbl_KPIMaster[KPI],0)),"")</f>
        <v/>
      </c>
      <c r="I1011" s="5">
        <f>IFERROR(INDEX(Tbl_KPIMaster[Maximum Target],MATCH($G1011,Tbl_KPIMaster[KPI],0)),"")</f>
        <v/>
      </c>
      <c r="J1011" s="5" t="n">
        <v>4276.07</v>
      </c>
      <c r="K1011" s="4">
        <f>IFERROR(INDEX(Tbl_KPIMaster[Tolerance],MATCH($G1011,Tbl_KPIMaster[KPI],0)),"")</f>
        <v/>
      </c>
      <c r="L1011" s="4">
        <f>IFERROR(INDEX(Tbl_KPIMaster[Owner],MATCH($G1011,Tbl_KPIMaster[KPI],0)),"")</f>
        <v/>
      </c>
      <c r="M1011" s="6" t="inlineStr"/>
      <c r="N1011" s="4" t="inlineStr">
        <is>
          <t>Management approval pending</t>
        </is>
      </c>
      <c r="O1011" s="4" t="inlineStr">
        <is>
          <t>Medium</t>
        </is>
      </c>
      <c r="P1011" s="4" t="inlineStr">
        <is>
          <t>Closed</t>
        </is>
      </c>
      <c r="Q1011" s="5">
        <f>IFERROR(IF(INDEX(Tbl_KPIMaster[Direction],MATCH($G1011,Tbl_KPIMaster[KPI],0))="Lower is Better",IF($J1011=0,1,IF($I1011=0,0,$I1011/$J1011)),IF($I1011=0,1,$J1011/$I1011)),0)</f>
        <v/>
      </c>
      <c r="R1011" s="4">
        <f>IF(OR($I1011="",$J1011=""),"",$J1011-$I1011)</f>
        <v/>
      </c>
      <c r="S1011" s="4">
        <f>IFERROR(IF(INDEX(Tbl_KPIMaster[Direction],MATCH($G1011,Tbl_KPIMaster[KPI],0))="Lower is Better",IF($J1011&lt;=$I1011,"Green",IF($J1011&lt;=$I1011+IF($I1011=0,$K1011,$I1011*$K1011),"Amber","Red")),IF($J1011&gt;=$I1011,"Green",IF($J1011&gt;=$I1011-IF($I1011=0,$K1011,$I1011*$K1011),"Amber","Red"))),"")</f>
        <v/>
      </c>
      <c r="T1011" s="6" t="inlineStr"/>
    </row>
    <row r="1012">
      <c r="A1012" s="7" t="n">
        <v>46180</v>
      </c>
      <c r="B1012" s="8">
        <f>IF($A1012="","",TEXT($A1012,"mmm-yyyy"))</f>
        <v/>
      </c>
      <c r="C1012" s="8">
        <f>IF($A1012="","","W"&amp;WEEKNUM($A1012,2))</f>
        <v/>
      </c>
      <c r="D1012" s="8">
        <f>IF($A1012="","",TEXT($A1012,"ddd"))</f>
        <v/>
      </c>
      <c r="E1012" s="8" t="inlineStr">
        <is>
          <t>Utilities</t>
        </is>
      </c>
      <c r="F1012" s="8">
        <f>IFERROR(INDEX(Tbl_KPIMaster[Category],MATCH($G1012,Tbl_KPIMaster[KPI],0)),"")</f>
        <v/>
      </c>
      <c r="G1012" s="8" t="inlineStr">
        <is>
          <t>Water Consumption</t>
        </is>
      </c>
      <c r="H1012" s="8">
        <f>IFERROR(INDEX(Tbl_KPIMaster[Unit],MATCH($G1012,Tbl_KPIMaster[KPI],0)),"")</f>
        <v/>
      </c>
      <c r="I1012" s="9">
        <f>IFERROR(INDEX(Tbl_KPIMaster[Maximum Target],MATCH($G1012,Tbl_KPIMaster[KPI],0)),"")</f>
        <v/>
      </c>
      <c r="J1012" s="9" t="n">
        <v>54.7</v>
      </c>
      <c r="K1012" s="8">
        <f>IFERROR(INDEX(Tbl_KPIMaster[Tolerance],MATCH($G1012,Tbl_KPIMaster[KPI],0)),"")</f>
        <v/>
      </c>
      <c r="L1012" s="8">
        <f>IFERROR(INDEX(Tbl_KPIMaster[Owner],MATCH($G1012,Tbl_KPIMaster[KPI],0)),"")</f>
        <v/>
      </c>
      <c r="M1012" s="10" t="inlineStr">
        <is>
          <t>Process improvement in progress</t>
        </is>
      </c>
      <c r="N1012" s="8" t="inlineStr">
        <is>
          <t>Procurement follow-up</t>
        </is>
      </c>
      <c r="O1012" s="8" t="inlineStr">
        <is>
          <t>Medium</t>
        </is>
      </c>
      <c r="P1012" s="8" t="inlineStr">
        <is>
          <t>Closed</t>
        </is>
      </c>
      <c r="Q1012" s="9">
        <f>IFERROR(IF(INDEX(Tbl_KPIMaster[Direction],MATCH($G1012,Tbl_KPIMaster[KPI],0))="Lower is Better",IF($J1012=0,1,IF($I1012=0,0,$I1012/$J1012)),IF($I1012=0,1,$J1012/$I1012)),0)</f>
        <v/>
      </c>
      <c r="R1012" s="8">
        <f>IF(OR($I1012="",$J1012=""),"",$J1012-$I1012)</f>
        <v/>
      </c>
      <c r="S1012" s="8">
        <f>IFERROR(IF(INDEX(Tbl_KPIMaster[Direction],MATCH($G1012,Tbl_KPIMaster[KPI],0))="Lower is Better",IF($J1012&lt;=$I1012,"Green",IF($J1012&lt;=$I1012+IF($I1012=0,$K1012,$I1012*$K1012),"Amber","Red")),IF($J1012&gt;=$I1012,"Green",IF($J1012&gt;=$I1012-IF($I1012=0,$K1012,$I1012*$K1012),"Amber","Red"))),"")</f>
        <v/>
      </c>
      <c r="T1012" s="10" t="inlineStr"/>
    </row>
    <row r="1013">
      <c r="A1013" s="3" t="n">
        <v>46180</v>
      </c>
      <c r="B1013" s="4">
        <f>IF($A1013="","",TEXT($A1013,"mmm-yyyy"))</f>
        <v/>
      </c>
      <c r="C1013" s="4">
        <f>IF($A1013="","","W"&amp;WEEKNUM($A1013,2))</f>
        <v/>
      </c>
      <c r="D1013" s="4">
        <f>IF($A1013="","",TEXT($A1013,"ddd"))</f>
        <v/>
      </c>
      <c r="E1013" s="4" t="inlineStr">
        <is>
          <t>Warehouse</t>
        </is>
      </c>
      <c r="F1013" s="4">
        <f>IFERROR(INDEX(Tbl_KPIMaster[Category],MATCH($G1013,Tbl_KPIMaster[KPI],0)),"")</f>
        <v/>
      </c>
      <c r="G1013" s="4" t="inlineStr">
        <is>
          <t>On-Time Dispatch %</t>
        </is>
      </c>
      <c r="H1013" s="4">
        <f>IFERROR(INDEX(Tbl_KPIMaster[Unit],MATCH($G1013,Tbl_KPIMaster[KPI],0)),"")</f>
        <v/>
      </c>
      <c r="I1013" s="5">
        <f>IFERROR(INDEX(Tbl_KPIMaster[Maximum Target],MATCH($G1013,Tbl_KPIMaster[KPI],0)),"")</f>
        <v/>
      </c>
      <c r="J1013" s="5" t="n">
        <v>1.0381</v>
      </c>
      <c r="K1013" s="4">
        <f>IFERROR(INDEX(Tbl_KPIMaster[Tolerance],MATCH($G1013,Tbl_KPIMaster[KPI],0)),"")</f>
        <v/>
      </c>
      <c r="L1013" s="4">
        <f>IFERROR(INDEX(Tbl_KPIMaster[Owner],MATCH($G1013,Tbl_KPIMaster[KPI],0)),"")</f>
        <v/>
      </c>
      <c r="M1013" s="6" t="inlineStr">
        <is>
          <t>Weather impact</t>
        </is>
      </c>
      <c r="N1013" s="4" t="inlineStr">
        <is>
          <t>Procurement follow-up</t>
        </is>
      </c>
      <c r="O1013" s="4" t="inlineStr">
        <is>
          <t>Low</t>
        </is>
      </c>
      <c r="P1013" s="4" t="inlineStr">
        <is>
          <t>Open</t>
        </is>
      </c>
      <c r="Q1013" s="5">
        <f>IFERROR(IF(INDEX(Tbl_KPIMaster[Direction],MATCH($G1013,Tbl_KPIMaster[KPI],0))="Lower is Better",IF($J1013=0,1,IF($I1013=0,0,$I1013/$J1013)),IF($I1013=0,1,$J1013/$I1013)),0)</f>
        <v/>
      </c>
      <c r="R1013" s="4">
        <f>IF(OR($I1013="",$J1013=""),"",$J1013-$I1013)</f>
        <v/>
      </c>
      <c r="S1013" s="4">
        <f>IFERROR(IF(INDEX(Tbl_KPIMaster[Direction],MATCH($G1013,Tbl_KPIMaster[KPI],0))="Lower is Better",IF($J1013&lt;=$I1013,"Green",IF($J1013&lt;=$I1013+IF($I1013=0,$K1013,$I1013*$K1013),"Amber","Red")),IF($J1013&gt;=$I1013,"Green",IF($J1013&gt;=$I1013-IF($I1013=0,$K1013,$I1013*$K1013),"Amber","Red"))),"")</f>
        <v/>
      </c>
      <c r="T1013" s="6" t="inlineStr"/>
    </row>
    <row r="1014">
      <c r="A1014" s="7" t="n">
        <v>46180</v>
      </c>
      <c r="B1014" s="8">
        <f>IF($A1014="","",TEXT($A1014,"mmm-yyyy"))</f>
        <v/>
      </c>
      <c r="C1014" s="8">
        <f>IF($A1014="","","W"&amp;WEEKNUM($A1014,2))</f>
        <v/>
      </c>
      <c r="D1014" s="8">
        <f>IF($A1014="","",TEXT($A1014,"ddd"))</f>
        <v/>
      </c>
      <c r="E1014" s="8" t="inlineStr">
        <is>
          <t>Warehouse</t>
        </is>
      </c>
      <c r="F1014" s="8">
        <f>IFERROR(INDEX(Tbl_KPIMaster[Category],MATCH($G1014,Tbl_KPIMaster[KPI],0)),"")</f>
        <v/>
      </c>
      <c r="G1014" s="8" t="inlineStr">
        <is>
          <t>Inventory Accuracy %</t>
        </is>
      </c>
      <c r="H1014" s="8">
        <f>IFERROR(INDEX(Tbl_KPIMaster[Unit],MATCH($G1014,Tbl_KPIMaster[KPI],0)),"")</f>
        <v/>
      </c>
      <c r="I1014" s="9">
        <f>IFERROR(INDEX(Tbl_KPIMaster[Maximum Target],MATCH($G1014,Tbl_KPIMaster[KPI],0)),"")</f>
        <v/>
      </c>
      <c r="J1014" s="9" t="n">
        <v>0.8993</v>
      </c>
      <c r="K1014" s="8">
        <f>IFERROR(INDEX(Tbl_KPIMaster[Tolerance],MATCH($G1014,Tbl_KPIMaster[KPI],0)),"")</f>
        <v/>
      </c>
      <c r="L1014" s="8">
        <f>IFERROR(INDEX(Tbl_KPIMaster[Owner],MATCH($G1014,Tbl_KPIMaster[KPI],0)),"")</f>
        <v/>
      </c>
      <c r="M1014" s="10" t="inlineStr">
        <is>
          <t>New operator training effect</t>
        </is>
      </c>
      <c r="N1014" s="8" t="inlineStr"/>
      <c r="O1014" s="8" t="inlineStr">
        <is>
          <t>Low</t>
        </is>
      </c>
      <c r="P1014" s="8" t="inlineStr">
        <is>
          <t>Closed</t>
        </is>
      </c>
      <c r="Q1014" s="9">
        <f>IFERROR(IF(INDEX(Tbl_KPIMaster[Direction],MATCH($G1014,Tbl_KPIMaster[KPI],0))="Lower is Better",IF($J1014=0,1,IF($I1014=0,0,$I1014/$J1014)),IF($I1014=0,1,$J1014/$I1014)),0)</f>
        <v/>
      </c>
      <c r="R1014" s="8">
        <f>IF(OR($I1014="",$J1014=""),"",$J1014-$I1014)</f>
        <v/>
      </c>
      <c r="S1014" s="8">
        <f>IFERROR(IF(INDEX(Tbl_KPIMaster[Direction],MATCH($G1014,Tbl_KPIMaster[KPI],0))="Lower is Better",IF($J1014&lt;=$I1014,"Green",IF($J1014&lt;=$I1014+IF($I1014=0,$K1014,$I1014*$K1014),"Amber","Red")),IF($J1014&gt;=$I1014,"Green",IF($J1014&gt;=$I1014-IF($I1014=0,$K1014,$I1014*$K1014),"Amber","Red"))),"")</f>
        <v/>
      </c>
      <c r="T1014" s="10" t="inlineStr"/>
    </row>
    <row r="1015">
      <c r="A1015" s="3" t="n">
        <v>46180</v>
      </c>
      <c r="B1015" s="4">
        <f>IF($A1015="","",TEXT($A1015,"mmm-yyyy"))</f>
        <v/>
      </c>
      <c r="C1015" s="4">
        <f>IF($A1015="","","W"&amp;WEEKNUM($A1015,2))</f>
        <v/>
      </c>
      <c r="D1015" s="4">
        <f>IF($A1015="","",TEXT($A1015,"ddd"))</f>
        <v/>
      </c>
      <c r="E1015" s="4" t="inlineStr">
        <is>
          <t>HR</t>
        </is>
      </c>
      <c r="F1015" s="4">
        <f>IFERROR(INDEX(Tbl_KPIMaster[Category],MATCH($G1015,Tbl_KPIMaster[KPI],0)),"")</f>
        <v/>
      </c>
      <c r="G1015" s="4" t="inlineStr">
        <is>
          <t>Absenteeism %</t>
        </is>
      </c>
      <c r="H1015" s="4">
        <f>IFERROR(INDEX(Tbl_KPIMaster[Unit],MATCH($G1015,Tbl_KPIMaster[KPI],0)),"")</f>
        <v/>
      </c>
      <c r="I1015" s="5">
        <f>IFERROR(INDEX(Tbl_KPIMaster[Maximum Target],MATCH($G1015,Tbl_KPIMaster[KPI],0)),"")</f>
        <v/>
      </c>
      <c r="J1015" s="5" t="n">
        <v>0.5528</v>
      </c>
      <c r="K1015" s="4">
        <f>IFERROR(INDEX(Tbl_KPIMaster[Tolerance],MATCH($G1015,Tbl_KPIMaster[KPI],0)),"")</f>
        <v/>
      </c>
      <c r="L1015" s="4">
        <f>IFERROR(INDEX(Tbl_KPIMaster[Owner],MATCH($G1015,Tbl_KPIMaster[KPI],0)),"")</f>
        <v/>
      </c>
      <c r="M1015" s="6" t="inlineStr">
        <is>
          <t>Process improvement in progress</t>
        </is>
      </c>
      <c r="N1015" s="4" t="inlineStr"/>
      <c r="O1015" s="4" t="inlineStr">
        <is>
          <t>Low</t>
        </is>
      </c>
      <c r="P1015" s="4" t="inlineStr">
        <is>
          <t>Closed</t>
        </is>
      </c>
      <c r="Q1015" s="5">
        <f>IFERROR(IF(INDEX(Tbl_KPIMaster[Direction],MATCH($G1015,Tbl_KPIMaster[KPI],0))="Lower is Better",IF($J1015=0,1,IF($I1015=0,0,$I1015/$J1015)),IF($I1015=0,1,$J1015/$I1015)),0)</f>
        <v/>
      </c>
      <c r="R1015" s="4">
        <f>IF(OR($I1015="",$J1015=""),"",$J1015-$I1015)</f>
        <v/>
      </c>
      <c r="S1015" s="4">
        <f>IFERROR(IF(INDEX(Tbl_KPIMaster[Direction],MATCH($G1015,Tbl_KPIMaster[KPI],0))="Lower is Better",IF($J1015&lt;=$I1015,"Green",IF($J1015&lt;=$I1015+IF($I1015=0,$K1015,$I1015*$K1015),"Amber","Red")),IF($J1015&gt;=$I1015,"Green",IF($J1015&gt;=$I1015-IF($I1015=0,$K1015,$I1015*$K1015),"Amber","Red"))),"")</f>
        <v/>
      </c>
      <c r="T1015" s="6" t="inlineStr"/>
    </row>
    <row r="1016">
      <c r="A1016" s="7" t="n">
        <v>46180</v>
      </c>
      <c r="B1016" s="8">
        <f>IF($A1016="","",TEXT($A1016,"mmm-yyyy"))</f>
        <v/>
      </c>
      <c r="C1016" s="8">
        <f>IF($A1016="","","W"&amp;WEEKNUM($A1016,2))</f>
        <v/>
      </c>
      <c r="D1016" s="8">
        <f>IF($A1016="","",TEXT($A1016,"ddd"))</f>
        <v/>
      </c>
      <c r="E1016" s="8" t="inlineStr">
        <is>
          <t>HR</t>
        </is>
      </c>
      <c r="F1016" s="8">
        <f>IFERROR(INDEX(Tbl_KPIMaster[Category],MATCH($G1016,Tbl_KPIMaster[KPI],0)),"")</f>
        <v/>
      </c>
      <c r="G1016" s="8" t="inlineStr">
        <is>
          <t>Training Hours</t>
        </is>
      </c>
      <c r="H1016" s="8">
        <f>IFERROR(INDEX(Tbl_KPIMaster[Unit],MATCH($G1016,Tbl_KPIMaster[KPI],0)),"")</f>
        <v/>
      </c>
      <c r="I1016" s="9">
        <f>IFERROR(INDEX(Tbl_KPIMaster[Maximum Target],MATCH($G1016,Tbl_KPIMaster[KPI],0)),"")</f>
        <v/>
      </c>
      <c r="J1016" s="9" t="n">
        <v>1.84</v>
      </c>
      <c r="K1016" s="8">
        <f>IFERROR(INDEX(Tbl_KPIMaster[Tolerance],MATCH($G1016,Tbl_KPIMaster[KPI],0)),"")</f>
        <v/>
      </c>
      <c r="L1016" s="8">
        <f>IFERROR(INDEX(Tbl_KPIMaster[Owner],MATCH($G1016,Tbl_KPIMaster[KPI],0)),"")</f>
        <v/>
      </c>
      <c r="M1016" s="10" t="inlineStr">
        <is>
          <t>Vendor delay</t>
        </is>
      </c>
      <c r="N1016" s="8" t="inlineStr">
        <is>
          <t>Engineering support needed</t>
        </is>
      </c>
      <c r="O1016" s="8" t="inlineStr">
        <is>
          <t>Low</t>
        </is>
      </c>
      <c r="P1016" s="8" t="inlineStr">
        <is>
          <t>Closed</t>
        </is>
      </c>
      <c r="Q1016" s="9">
        <f>IFERROR(IF(INDEX(Tbl_KPIMaster[Direction],MATCH($G1016,Tbl_KPIMaster[KPI],0))="Lower is Better",IF($J1016=0,1,IF($I1016=0,0,$I1016/$J1016)),IF($I1016=0,1,$J1016/$I1016)),0)</f>
        <v/>
      </c>
      <c r="R1016" s="8">
        <f>IF(OR($I1016="",$J1016=""),"",$J1016-$I1016)</f>
        <v/>
      </c>
      <c r="S1016" s="8">
        <f>IFERROR(IF(INDEX(Tbl_KPIMaster[Direction],MATCH($G1016,Tbl_KPIMaster[KPI],0))="Lower is Better",IF($J1016&lt;=$I1016,"Green",IF($J1016&lt;=$I1016+IF($I1016=0,$K1016,$I1016*$K1016),"Amber","Red")),IF($J1016&gt;=$I1016,"Green",IF($J1016&gt;=$I1016-IF($I1016=0,$K1016,$I1016*$K1016),"Amber","Red"))),"")</f>
        <v/>
      </c>
      <c r="T1016" s="10" t="inlineStr"/>
    </row>
    <row r="1017">
      <c r="A1017" s="3" t="n">
        <v>46180</v>
      </c>
      <c r="B1017" s="4">
        <f>IF($A1017="","",TEXT($A1017,"mmm-yyyy"))</f>
        <v/>
      </c>
      <c r="C1017" s="4">
        <f>IF($A1017="","","W"&amp;WEEKNUM($A1017,2))</f>
        <v/>
      </c>
      <c r="D1017" s="4">
        <f>IF($A1017="","",TEXT($A1017,"ddd"))</f>
        <v/>
      </c>
      <c r="E1017" s="4" t="inlineStr">
        <is>
          <t>Engineering</t>
        </is>
      </c>
      <c r="F1017" s="4">
        <f>IFERROR(INDEX(Tbl_KPIMaster[Category],MATCH($G1017,Tbl_KPIMaster[KPI],0)),"")</f>
        <v/>
      </c>
      <c r="G1017" s="4" t="inlineStr">
        <is>
          <t>Project Milestone Adherence %</t>
        </is>
      </c>
      <c r="H1017" s="4">
        <f>IFERROR(INDEX(Tbl_KPIMaster[Unit],MATCH($G1017,Tbl_KPIMaster[KPI],0)),"")</f>
        <v/>
      </c>
      <c r="I1017" s="5">
        <f>IFERROR(INDEX(Tbl_KPIMaster[Maximum Target],MATCH($G1017,Tbl_KPIMaster[KPI],0)),"")</f>
        <v/>
      </c>
      <c r="J1017" s="5" t="n">
        <v>1.0066</v>
      </c>
      <c r="K1017" s="4">
        <f>IFERROR(INDEX(Tbl_KPIMaster[Tolerance],MATCH($G1017,Tbl_KPIMaster[KPI],0)),"")</f>
        <v/>
      </c>
      <c r="L1017" s="4">
        <f>IFERROR(INDEX(Tbl_KPIMaster[Owner],MATCH($G1017,Tbl_KPIMaster[KPI],0)),"")</f>
        <v/>
      </c>
      <c r="M1017" s="6" t="inlineStr"/>
      <c r="N1017" s="4" t="inlineStr">
        <is>
          <t>Procurement follow-up</t>
        </is>
      </c>
      <c r="O1017" s="4" t="inlineStr">
        <is>
          <t>Low</t>
        </is>
      </c>
      <c r="P1017" s="4" t="inlineStr">
        <is>
          <t>Closed</t>
        </is>
      </c>
      <c r="Q1017" s="5">
        <f>IFERROR(IF(INDEX(Tbl_KPIMaster[Direction],MATCH($G1017,Tbl_KPIMaster[KPI],0))="Lower is Better",IF($J1017=0,1,IF($I1017=0,0,$I1017/$J1017)),IF($I1017=0,1,$J1017/$I1017)),0)</f>
        <v/>
      </c>
      <c r="R1017" s="4">
        <f>IF(OR($I1017="",$J1017=""),"",$J1017-$I1017)</f>
        <v/>
      </c>
      <c r="S1017" s="4">
        <f>IFERROR(IF(INDEX(Tbl_KPIMaster[Direction],MATCH($G1017,Tbl_KPIMaster[KPI],0))="Lower is Better",IF($J1017&lt;=$I1017,"Green",IF($J1017&lt;=$I1017+IF($I1017=0,$K1017,$I1017*$K1017),"Amber","Red")),IF($J1017&gt;=$I1017,"Green",IF($J1017&gt;=$I1017-IF($I1017=0,$K1017,$I1017*$K1017),"Amber","Red"))),"")</f>
        <v/>
      </c>
      <c r="T1017" s="6" t="inlineStr"/>
    </row>
    <row r="1018">
      <c r="A1018" s="7" t="n">
        <v>46180</v>
      </c>
      <c r="B1018" s="8">
        <f>IF($A1018="","",TEXT($A1018,"mmm-yyyy"))</f>
        <v/>
      </c>
      <c r="C1018" s="8">
        <f>IF($A1018="","","W"&amp;WEEKNUM($A1018,2))</f>
        <v/>
      </c>
      <c r="D1018" s="8">
        <f>IF($A1018="","",TEXT($A1018,"ddd"))</f>
        <v/>
      </c>
      <c r="E1018" s="8" t="inlineStr">
        <is>
          <t>Engineering</t>
        </is>
      </c>
      <c r="F1018" s="8">
        <f>IFERROR(INDEX(Tbl_KPIMaster[Category],MATCH($G1018,Tbl_KPIMaster[KPI],0)),"")</f>
        <v/>
      </c>
      <c r="G1018" s="8" t="inlineStr">
        <is>
          <t>Breakdown Resolution Time</t>
        </is>
      </c>
      <c r="H1018" s="8">
        <f>IFERROR(INDEX(Tbl_KPIMaster[Unit],MATCH($G1018,Tbl_KPIMaster[KPI],0)),"")</f>
        <v/>
      </c>
      <c r="I1018" s="9">
        <f>IFERROR(INDEX(Tbl_KPIMaster[Maximum Target],MATCH($G1018,Tbl_KPIMaster[KPI],0)),"")</f>
        <v/>
      </c>
      <c r="J1018" s="9" t="n">
        <v>0.28</v>
      </c>
      <c r="K1018" s="8">
        <f>IFERROR(INDEX(Tbl_KPIMaster[Tolerance],MATCH($G1018,Tbl_KPIMaster[KPI],0)),"")</f>
        <v/>
      </c>
      <c r="L1018" s="8">
        <f>IFERROR(INDEX(Tbl_KPIMaster[Owner],MATCH($G1018,Tbl_KPIMaster[KPI],0)),"")</f>
        <v/>
      </c>
      <c r="M1018" s="10" t="inlineStr">
        <is>
          <t>Process improvement in progress</t>
        </is>
      </c>
      <c r="N1018" s="8" t="inlineStr"/>
      <c r="O1018" s="8" t="inlineStr">
        <is>
          <t>Medium</t>
        </is>
      </c>
      <c r="P1018" s="8" t="inlineStr">
        <is>
          <t>Open</t>
        </is>
      </c>
      <c r="Q1018" s="9">
        <f>IFERROR(IF(INDEX(Tbl_KPIMaster[Direction],MATCH($G1018,Tbl_KPIMaster[KPI],0))="Lower is Better",IF($J1018=0,1,IF($I1018=0,0,$I1018/$J1018)),IF($I1018=0,1,$J1018/$I1018)),0)</f>
        <v/>
      </c>
      <c r="R1018" s="8">
        <f>IF(OR($I1018="",$J1018=""),"",$J1018-$I1018)</f>
        <v/>
      </c>
      <c r="S1018" s="8">
        <f>IFERROR(IF(INDEX(Tbl_KPIMaster[Direction],MATCH($G1018,Tbl_KPIMaster[KPI],0))="Lower is Better",IF($J1018&lt;=$I1018,"Green",IF($J1018&lt;=$I1018+IF($I1018=0,$K1018,$I1018*$K1018),"Amber","Red")),IF($J1018&gt;=$I1018,"Green",IF($J1018&gt;=$I1018-IF($I1018=0,$K1018,$I1018*$K1018),"Amber","Red"))),"")</f>
        <v/>
      </c>
      <c r="T1018" s="10" t="inlineStr"/>
    </row>
    <row r="1019">
      <c r="A1019" s="3" t="n">
        <v>46180</v>
      </c>
      <c r="B1019" s="4">
        <f>IF($A1019="","",TEXT($A1019,"mmm-yyyy"))</f>
        <v/>
      </c>
      <c r="C1019" s="4">
        <f>IF($A1019="","","W"&amp;WEEKNUM($A1019,2))</f>
        <v/>
      </c>
      <c r="D1019" s="4">
        <f>IF($A1019="","",TEXT($A1019,"ddd"))</f>
        <v/>
      </c>
      <c r="E1019" s="4" t="inlineStr">
        <is>
          <t>Cost</t>
        </is>
      </c>
      <c r="F1019" s="4">
        <f>IFERROR(INDEX(Tbl_KPIMaster[Category],MATCH($G1019,Tbl_KPIMaster[KPI],0)),"")</f>
        <v/>
      </c>
      <c r="G1019" s="4" t="inlineStr">
        <is>
          <t>Cost per Unit</t>
        </is>
      </c>
      <c r="H1019" s="4">
        <f>IFERROR(INDEX(Tbl_KPIMaster[Unit],MATCH($G1019,Tbl_KPIMaster[KPI],0)),"")</f>
        <v/>
      </c>
      <c r="I1019" s="5">
        <f>IFERROR(INDEX(Tbl_KPIMaster[Maximum Target],MATCH($G1019,Tbl_KPIMaster[KPI],0)),"")</f>
        <v/>
      </c>
      <c r="J1019" s="5" t="n">
        <v>48.21</v>
      </c>
      <c r="K1019" s="4">
        <f>IFERROR(INDEX(Tbl_KPIMaster[Tolerance],MATCH($G1019,Tbl_KPIMaster[KPI],0)),"")</f>
        <v/>
      </c>
      <c r="L1019" s="4">
        <f>IFERROR(INDEX(Tbl_KPIMaster[Owner],MATCH($G1019,Tbl_KPIMaster[KPI],0)),"")</f>
        <v/>
      </c>
      <c r="M1019" s="6" t="inlineStr">
        <is>
          <t>New operator training effect</t>
        </is>
      </c>
      <c r="N1019" s="4" t="inlineStr">
        <is>
          <t>Management approval pending</t>
        </is>
      </c>
      <c r="O1019" s="4" t="inlineStr">
        <is>
          <t>High</t>
        </is>
      </c>
      <c r="P1019" s="4" t="inlineStr">
        <is>
          <t>Closed</t>
        </is>
      </c>
      <c r="Q1019" s="5">
        <f>IFERROR(IF(INDEX(Tbl_KPIMaster[Direction],MATCH($G1019,Tbl_KPIMaster[KPI],0))="Lower is Better",IF($J1019=0,1,IF($I1019=0,0,$I1019/$J1019)),IF($I1019=0,1,$J1019/$I1019)),0)</f>
        <v/>
      </c>
      <c r="R1019" s="4">
        <f>IF(OR($I1019="",$J1019=""),"",$J1019-$I1019)</f>
        <v/>
      </c>
      <c r="S1019" s="4">
        <f>IFERROR(IF(INDEX(Tbl_KPIMaster[Direction],MATCH($G1019,Tbl_KPIMaster[KPI],0))="Lower is Better",IF($J1019&lt;=$I1019,"Green",IF($J1019&lt;=$I1019+IF($I1019=0,$K1019,$I1019*$K1019),"Amber","Red")),IF($J1019&gt;=$I1019,"Green",IF($J1019&gt;=$I1019-IF($I1019=0,$K1019,$I1019*$K1019),"Amber","Red"))),"")</f>
        <v/>
      </c>
      <c r="T1019" s="6" t="inlineStr"/>
    </row>
    <row r="1020">
      <c r="A1020" s="7" t="n">
        <v>46180</v>
      </c>
      <c r="B1020" s="8">
        <f>IF($A1020="","",TEXT($A1020,"mmm-yyyy"))</f>
        <v/>
      </c>
      <c r="C1020" s="8">
        <f>IF($A1020="","","W"&amp;WEEKNUM($A1020,2))</f>
        <v/>
      </c>
      <c r="D1020" s="8">
        <f>IF($A1020="","",TEXT($A1020,"ddd"))</f>
        <v/>
      </c>
      <c r="E1020" s="8" t="inlineStr">
        <is>
          <t>Cost</t>
        </is>
      </c>
      <c r="F1020" s="8">
        <f>IFERROR(INDEX(Tbl_KPIMaster[Category],MATCH($G1020,Tbl_KPIMaster[KPI],0)),"")</f>
        <v/>
      </c>
      <c r="G1020" s="8" t="inlineStr">
        <is>
          <t>Budget Variance %</t>
        </is>
      </c>
      <c r="H1020" s="8">
        <f>IFERROR(INDEX(Tbl_KPIMaster[Unit],MATCH($G1020,Tbl_KPIMaster[KPI],0)),"")</f>
        <v/>
      </c>
      <c r="I1020" s="9">
        <f>IFERROR(INDEX(Tbl_KPIMaster[Maximum Target],MATCH($G1020,Tbl_KPIMaster[KPI],0)),"")</f>
        <v/>
      </c>
      <c r="J1020" s="9" t="n">
        <v>1.1373</v>
      </c>
      <c r="K1020" s="8">
        <f>IFERROR(INDEX(Tbl_KPIMaster[Tolerance],MATCH($G1020,Tbl_KPIMaster[KPI],0)),"")</f>
        <v/>
      </c>
      <c r="L1020" s="8">
        <f>IFERROR(INDEX(Tbl_KPIMaster[Owner],MATCH($G1020,Tbl_KPIMaster[KPI],0)),"")</f>
        <v/>
      </c>
      <c r="M1020" s="10" t="inlineStr">
        <is>
          <t>Process improvement in progress</t>
        </is>
      </c>
      <c r="N1020" s="8" t="inlineStr"/>
      <c r="O1020" s="8" t="inlineStr">
        <is>
          <t>Low</t>
        </is>
      </c>
      <c r="P1020" s="8" t="inlineStr">
        <is>
          <t>Closed</t>
        </is>
      </c>
      <c r="Q1020" s="9">
        <f>IFERROR(IF(INDEX(Tbl_KPIMaster[Direction],MATCH($G1020,Tbl_KPIMaster[KPI],0))="Lower is Better",IF($J1020=0,1,IF($I1020=0,0,$I1020/$J1020)),IF($I1020=0,1,$J1020/$I1020)),0)</f>
        <v/>
      </c>
      <c r="R1020" s="8">
        <f>IF(OR($I1020="",$J1020=""),"",$J1020-$I1020)</f>
        <v/>
      </c>
      <c r="S1020" s="8">
        <f>IFERROR(IF(INDEX(Tbl_KPIMaster[Direction],MATCH($G1020,Tbl_KPIMaster[KPI],0))="Lower is Better",IF($J1020&lt;=$I1020,"Green",IF($J1020&lt;=$I1020+IF($I1020=0,$K1020,$I1020*$K1020),"Amber","Red")),IF($J1020&gt;=$I1020,"Green",IF($J1020&gt;=$I1020-IF($I1020=0,$K1020,$I1020*$K1020),"Amber","Red"))),"")</f>
        <v/>
      </c>
      <c r="T1020" s="10" t="inlineStr"/>
    </row>
    <row r="1021">
      <c r="A1021" s="3" t="n">
        <v>46180</v>
      </c>
      <c r="B1021" s="4">
        <f>IF($A1021="","",TEXT($A1021,"mmm-yyyy"))</f>
        <v/>
      </c>
      <c r="C1021" s="4">
        <f>IF($A1021="","","W"&amp;WEEKNUM($A1021,2))</f>
        <v/>
      </c>
      <c r="D1021" s="4">
        <f>IF($A1021="","",TEXT($A1021,"ddd"))</f>
        <v/>
      </c>
      <c r="E1021" s="4" t="inlineStr">
        <is>
          <t>Energy</t>
        </is>
      </c>
      <c r="F1021" s="4">
        <f>IFERROR(INDEX(Tbl_KPIMaster[Category],MATCH($G1021,Tbl_KPIMaster[KPI],0)),"")</f>
        <v/>
      </c>
      <c r="G1021" s="4" t="inlineStr">
        <is>
          <t>Energy Intensity (kWh/unit)</t>
        </is>
      </c>
      <c r="H1021" s="4">
        <f>IFERROR(INDEX(Tbl_KPIMaster[Unit],MATCH($G1021,Tbl_KPIMaster[KPI],0)),"")</f>
        <v/>
      </c>
      <c r="I1021" s="5">
        <f>IFERROR(INDEX(Tbl_KPIMaster[Maximum Target],MATCH($G1021,Tbl_KPIMaster[KPI],0)),"")</f>
        <v/>
      </c>
      <c r="J1021" s="5" t="n">
        <v>4.14</v>
      </c>
      <c r="K1021" s="4">
        <f>IFERROR(INDEX(Tbl_KPIMaster[Tolerance],MATCH($G1021,Tbl_KPIMaster[KPI],0)),"")</f>
        <v/>
      </c>
      <c r="L1021" s="4">
        <f>IFERROR(INDEX(Tbl_KPIMaster[Owner],MATCH($G1021,Tbl_KPIMaster[KPI],0)),"")</f>
        <v/>
      </c>
      <c r="M1021" s="6" t="inlineStr">
        <is>
          <t>New operator training effect</t>
        </is>
      </c>
      <c r="N1021" s="4" t="inlineStr"/>
      <c r="O1021" s="4" t="inlineStr">
        <is>
          <t>High</t>
        </is>
      </c>
      <c r="P1021" s="4" t="inlineStr">
        <is>
          <t>Closed</t>
        </is>
      </c>
      <c r="Q1021" s="5">
        <f>IFERROR(IF(INDEX(Tbl_KPIMaster[Direction],MATCH($G1021,Tbl_KPIMaster[KPI],0))="Lower is Better",IF($J1021=0,1,IF($I1021=0,0,$I1021/$J1021)),IF($I1021=0,1,$J1021/$I1021)),0)</f>
        <v/>
      </c>
      <c r="R1021" s="4">
        <f>IF(OR($I1021="",$J1021=""),"",$J1021-$I1021)</f>
        <v/>
      </c>
      <c r="S1021" s="4">
        <f>IFERROR(IF(INDEX(Tbl_KPIMaster[Direction],MATCH($G1021,Tbl_KPIMaster[KPI],0))="Lower is Better",IF($J1021&lt;=$I1021,"Green",IF($J1021&lt;=$I1021+IF($I1021=0,$K1021,$I1021*$K1021),"Amber","Red")),IF($J1021&gt;=$I1021,"Green",IF($J1021&gt;=$I1021-IF($I1021=0,$K1021,$I1021*$K1021),"Amber","Red"))),"")</f>
        <v/>
      </c>
      <c r="T1021" s="6" t="inlineStr"/>
    </row>
    <row r="1022">
      <c r="A1022" s="7" t="n">
        <v>46180</v>
      </c>
      <c r="B1022" s="8">
        <f>IF($A1022="","",TEXT($A1022,"mmm-yyyy"))</f>
        <v/>
      </c>
      <c r="C1022" s="8">
        <f>IF($A1022="","","W"&amp;WEEKNUM($A1022,2))</f>
        <v/>
      </c>
      <c r="D1022" s="8">
        <f>IF($A1022="","",TEXT($A1022,"ddd"))</f>
        <v/>
      </c>
      <c r="E1022" s="8" t="inlineStr">
        <is>
          <t>Energy</t>
        </is>
      </c>
      <c r="F1022" s="8">
        <f>IFERROR(INDEX(Tbl_KPIMaster[Category],MATCH($G1022,Tbl_KPIMaster[KPI],0)),"")</f>
        <v/>
      </c>
      <c r="G1022" s="8" t="inlineStr">
        <is>
          <t>Renewable Energy Share %</t>
        </is>
      </c>
      <c r="H1022" s="8">
        <f>IFERROR(INDEX(Tbl_KPIMaster[Unit],MATCH($G1022,Tbl_KPIMaster[KPI],0)),"")</f>
        <v/>
      </c>
      <c r="I1022" s="9">
        <f>IFERROR(INDEX(Tbl_KPIMaster[Maximum Target],MATCH($G1022,Tbl_KPIMaster[KPI],0)),"")</f>
        <v/>
      </c>
      <c r="J1022" s="9" t="n">
        <v>0.2721</v>
      </c>
      <c r="K1022" s="8">
        <f>IFERROR(INDEX(Tbl_KPIMaster[Tolerance],MATCH($G1022,Tbl_KPIMaster[KPI],0)),"")</f>
        <v/>
      </c>
      <c r="L1022" s="8">
        <f>IFERROR(INDEX(Tbl_KPIMaster[Owner],MATCH($G1022,Tbl_KPIMaster[KPI],0)),"")</f>
        <v/>
      </c>
      <c r="M1022" s="10" t="inlineStr">
        <is>
          <t>Weather impact</t>
        </is>
      </c>
      <c r="N1022" s="8" t="inlineStr"/>
      <c r="O1022" s="8" t="inlineStr">
        <is>
          <t>Medium</t>
        </is>
      </c>
      <c r="P1022" s="8" t="inlineStr">
        <is>
          <t>Closed</t>
        </is>
      </c>
      <c r="Q1022" s="9">
        <f>IFERROR(IF(INDEX(Tbl_KPIMaster[Direction],MATCH($G1022,Tbl_KPIMaster[KPI],0))="Lower is Better",IF($J1022=0,1,IF($I1022=0,0,$I1022/$J1022)),IF($I1022=0,1,$J1022/$I1022)),0)</f>
        <v/>
      </c>
      <c r="R1022" s="8">
        <f>IF(OR($I1022="",$J1022=""),"",$J1022-$I1022)</f>
        <v/>
      </c>
      <c r="S1022" s="8">
        <f>IFERROR(IF(INDEX(Tbl_KPIMaster[Direction],MATCH($G1022,Tbl_KPIMaster[KPI],0))="Lower is Better",IF($J1022&lt;=$I1022,"Green",IF($J1022&lt;=$I1022+IF($I1022=0,$K1022,$I1022*$K1022),"Amber","Red")),IF($J1022&gt;=$I1022,"Green",IF($J1022&gt;=$I1022-IF($I1022=0,$K1022,$I1022*$K1022),"Amber","Red"))),"")</f>
        <v/>
      </c>
      <c r="T1022" s="10" t="inlineStr"/>
    </row>
    <row r="1023">
      <c r="A1023" s="3" t="n">
        <v>46181</v>
      </c>
      <c r="B1023" s="4">
        <f>IF($A1023="","",TEXT($A1023,"mmm-yyyy"))</f>
        <v/>
      </c>
      <c r="C1023" s="4">
        <f>IF($A1023="","","W"&amp;WEEKNUM($A1023,2))</f>
        <v/>
      </c>
      <c r="D1023" s="4">
        <f>IF($A1023="","",TEXT($A1023,"ddd"))</f>
        <v/>
      </c>
      <c r="E1023" s="4" t="inlineStr">
        <is>
          <t>Safety</t>
        </is>
      </c>
      <c r="F1023" s="4">
        <f>IFERROR(INDEX(Tbl_KPIMaster[Category],MATCH($G1023,Tbl_KPIMaster[KPI],0)),"")</f>
        <v/>
      </c>
      <c r="G1023" s="4" t="inlineStr">
        <is>
          <t>Safety Incidents (LTI)</t>
        </is>
      </c>
      <c r="H1023" s="4">
        <f>IFERROR(INDEX(Tbl_KPIMaster[Unit],MATCH($G1023,Tbl_KPIMaster[KPI],0)),"")</f>
        <v/>
      </c>
      <c r="I1023" s="5">
        <f>IFERROR(INDEX(Tbl_KPIMaster[Maximum Target],MATCH($G1023,Tbl_KPIMaster[KPI],0)),"")</f>
        <v/>
      </c>
      <c r="J1023" s="5" t="n">
        <v>0</v>
      </c>
      <c r="K1023" s="4">
        <f>IFERROR(INDEX(Tbl_KPIMaster[Tolerance],MATCH($G1023,Tbl_KPIMaster[KPI],0)),"")</f>
        <v/>
      </c>
      <c r="L1023" s="4">
        <f>IFERROR(INDEX(Tbl_KPIMaster[Owner],MATCH($G1023,Tbl_KPIMaster[KPI],0)),"")</f>
        <v/>
      </c>
      <c r="M1023" s="6" t="inlineStr">
        <is>
          <t>Within normal range</t>
        </is>
      </c>
      <c r="N1023" s="4" t="inlineStr">
        <is>
          <t>Management approval pending</t>
        </is>
      </c>
      <c r="O1023" s="4" t="inlineStr">
        <is>
          <t>Low</t>
        </is>
      </c>
      <c r="P1023" s="4" t="inlineStr">
        <is>
          <t>Closed</t>
        </is>
      </c>
      <c r="Q1023" s="5">
        <f>IFERROR(IF(INDEX(Tbl_KPIMaster[Direction],MATCH($G1023,Tbl_KPIMaster[KPI],0))="Lower is Better",IF($J1023=0,1,IF($I1023=0,0,$I1023/$J1023)),IF($I1023=0,1,$J1023/$I1023)),0)</f>
        <v/>
      </c>
      <c r="R1023" s="4">
        <f>IF(OR($I1023="",$J1023=""),"",$J1023-$I1023)</f>
        <v/>
      </c>
      <c r="S1023" s="4">
        <f>IFERROR(IF(INDEX(Tbl_KPIMaster[Direction],MATCH($G1023,Tbl_KPIMaster[KPI],0))="Lower is Better",IF($J1023&lt;=$I1023,"Green",IF($J1023&lt;=$I1023+IF($I1023=0,$K1023,$I1023*$K1023),"Amber","Red")),IF($J1023&gt;=$I1023,"Green",IF($J1023&gt;=$I1023-IF($I1023=0,$K1023,$I1023*$K1023),"Amber","Red"))),"")</f>
        <v/>
      </c>
      <c r="T1023" s="6" t="inlineStr"/>
    </row>
    <row r="1024">
      <c r="A1024" s="7" t="n">
        <v>46181</v>
      </c>
      <c r="B1024" s="8">
        <f>IF($A1024="","",TEXT($A1024,"mmm-yyyy"))</f>
        <v/>
      </c>
      <c r="C1024" s="8">
        <f>IF($A1024="","","W"&amp;WEEKNUM($A1024,2))</f>
        <v/>
      </c>
      <c r="D1024" s="8">
        <f>IF($A1024="","",TEXT($A1024,"ddd"))</f>
        <v/>
      </c>
      <c r="E1024" s="8" t="inlineStr">
        <is>
          <t>Safety</t>
        </is>
      </c>
      <c r="F1024" s="8">
        <f>IFERROR(INDEX(Tbl_KPIMaster[Category],MATCH($G1024,Tbl_KPIMaster[KPI],0)),"")</f>
        <v/>
      </c>
      <c r="G1024" s="8" t="inlineStr">
        <is>
          <t>Near Miss Reports</t>
        </is>
      </c>
      <c r="H1024" s="8">
        <f>IFERROR(INDEX(Tbl_KPIMaster[Unit],MATCH($G1024,Tbl_KPIMaster[KPI],0)),"")</f>
        <v/>
      </c>
      <c r="I1024" s="9">
        <f>IFERROR(INDEX(Tbl_KPIMaster[Maximum Target],MATCH($G1024,Tbl_KPIMaster[KPI],0)),"")</f>
        <v/>
      </c>
      <c r="J1024" s="9" t="n">
        <v>2</v>
      </c>
      <c r="K1024" s="8">
        <f>IFERROR(INDEX(Tbl_KPIMaster[Tolerance],MATCH($G1024,Tbl_KPIMaster[KPI],0)),"")</f>
        <v/>
      </c>
      <c r="L1024" s="8">
        <f>IFERROR(INDEX(Tbl_KPIMaster[Owner],MATCH($G1024,Tbl_KPIMaster[KPI],0)),"")</f>
        <v/>
      </c>
      <c r="M1024" s="10" t="inlineStr">
        <is>
          <t>Line changeover impact</t>
        </is>
      </c>
      <c r="N1024" s="8" t="inlineStr">
        <is>
          <t>Procurement follow-up</t>
        </is>
      </c>
      <c r="O1024" s="8" t="inlineStr">
        <is>
          <t>High</t>
        </is>
      </c>
      <c r="P1024" s="8" t="inlineStr">
        <is>
          <t>Closed</t>
        </is>
      </c>
      <c r="Q1024" s="9">
        <f>IFERROR(IF(INDEX(Tbl_KPIMaster[Direction],MATCH($G1024,Tbl_KPIMaster[KPI],0))="Lower is Better",IF($J1024=0,1,IF($I1024=0,0,$I1024/$J1024)),IF($I1024=0,1,$J1024/$I1024)),0)</f>
        <v/>
      </c>
      <c r="R1024" s="8">
        <f>IF(OR($I1024="",$J1024=""),"",$J1024-$I1024)</f>
        <v/>
      </c>
      <c r="S1024" s="8">
        <f>IFERROR(IF(INDEX(Tbl_KPIMaster[Direction],MATCH($G1024,Tbl_KPIMaster[KPI],0))="Lower is Better",IF($J1024&lt;=$I1024,"Green",IF($J1024&lt;=$I1024+IF($I1024=0,$K1024,$I1024*$K1024),"Amber","Red")),IF($J1024&gt;=$I1024,"Green",IF($J1024&gt;=$I1024-IF($I1024=0,$K1024,$I1024*$K1024),"Amber","Red"))),"")</f>
        <v/>
      </c>
      <c r="T1024" s="10" t="inlineStr"/>
    </row>
    <row r="1025">
      <c r="A1025" s="3" t="n">
        <v>46181</v>
      </c>
      <c r="B1025" s="4">
        <f>IF($A1025="","",TEXT($A1025,"mmm-yyyy"))</f>
        <v/>
      </c>
      <c r="C1025" s="4">
        <f>IF($A1025="","","W"&amp;WEEKNUM($A1025,2))</f>
        <v/>
      </c>
      <c r="D1025" s="4">
        <f>IF($A1025="","",TEXT($A1025,"ddd"))</f>
        <v/>
      </c>
      <c r="E1025" s="4" t="inlineStr">
        <is>
          <t>Production</t>
        </is>
      </c>
      <c r="F1025" s="4">
        <f>IFERROR(INDEX(Tbl_KPIMaster[Category],MATCH($G1025,Tbl_KPIMaster[KPI],0)),"")</f>
        <v/>
      </c>
      <c r="G1025" s="4" t="inlineStr">
        <is>
          <t>Production Output</t>
        </is>
      </c>
      <c r="H1025" s="4">
        <f>IFERROR(INDEX(Tbl_KPIMaster[Unit],MATCH($G1025,Tbl_KPIMaster[KPI],0)),"")</f>
        <v/>
      </c>
      <c r="I1025" s="5">
        <f>IFERROR(INDEX(Tbl_KPIMaster[Maximum Target],MATCH($G1025,Tbl_KPIMaster[KPI],0)),"")</f>
        <v/>
      </c>
      <c r="J1025" s="5" t="n">
        <v>872.16</v>
      </c>
      <c r="K1025" s="4">
        <f>IFERROR(INDEX(Tbl_KPIMaster[Tolerance],MATCH($G1025,Tbl_KPIMaster[KPI],0)),"")</f>
        <v/>
      </c>
      <c r="L1025" s="4">
        <f>IFERROR(INDEX(Tbl_KPIMaster[Owner],MATCH($G1025,Tbl_KPIMaster[KPI],0)),"")</f>
        <v/>
      </c>
      <c r="M1025" s="6" t="inlineStr">
        <is>
          <t>Awaiting spares</t>
        </is>
      </c>
      <c r="N1025" s="4" t="inlineStr">
        <is>
          <t>Procurement follow-up</t>
        </is>
      </c>
      <c r="O1025" s="4" t="inlineStr">
        <is>
          <t>Low</t>
        </is>
      </c>
      <c r="P1025" s="4" t="inlineStr">
        <is>
          <t>Closed</t>
        </is>
      </c>
      <c r="Q1025" s="5">
        <f>IFERROR(IF(INDEX(Tbl_KPIMaster[Direction],MATCH($G1025,Tbl_KPIMaster[KPI],0))="Lower is Better",IF($J1025=0,1,IF($I1025=0,0,$I1025/$J1025)),IF($I1025=0,1,$J1025/$I1025)),0)</f>
        <v/>
      </c>
      <c r="R1025" s="4">
        <f>IF(OR($I1025="",$J1025=""),"",$J1025-$I1025)</f>
        <v/>
      </c>
      <c r="S1025" s="4">
        <f>IFERROR(IF(INDEX(Tbl_KPIMaster[Direction],MATCH($G1025,Tbl_KPIMaster[KPI],0))="Lower is Better",IF($J1025&lt;=$I1025,"Green",IF($J1025&lt;=$I1025+IF($I1025=0,$K1025,$I1025*$K1025),"Amber","Red")),IF($J1025&gt;=$I1025,"Green",IF($J1025&gt;=$I1025-IF($I1025=0,$K1025,$I1025*$K1025),"Amber","Red"))),"")</f>
        <v/>
      </c>
      <c r="T1025" s="6" t="inlineStr"/>
    </row>
    <row r="1026">
      <c r="A1026" s="7" t="n">
        <v>46181</v>
      </c>
      <c r="B1026" s="8">
        <f>IF($A1026="","",TEXT($A1026,"mmm-yyyy"))</f>
        <v/>
      </c>
      <c r="C1026" s="8">
        <f>IF($A1026="","","W"&amp;WEEKNUM($A1026,2))</f>
        <v/>
      </c>
      <c r="D1026" s="8">
        <f>IF($A1026="","",TEXT($A1026,"ddd"))</f>
        <v/>
      </c>
      <c r="E1026" s="8" t="inlineStr">
        <is>
          <t>Production</t>
        </is>
      </c>
      <c r="F1026" s="8">
        <f>IFERROR(INDEX(Tbl_KPIMaster[Category],MATCH($G1026,Tbl_KPIMaster[KPI],0)),"")</f>
        <v/>
      </c>
      <c r="G1026" s="8" t="inlineStr">
        <is>
          <t>OEE %</t>
        </is>
      </c>
      <c r="H1026" s="8">
        <f>IFERROR(INDEX(Tbl_KPIMaster[Unit],MATCH($G1026,Tbl_KPIMaster[KPI],0)),"")</f>
        <v/>
      </c>
      <c r="I1026" s="9">
        <f>IFERROR(INDEX(Tbl_KPIMaster[Maximum Target],MATCH($G1026,Tbl_KPIMaster[KPI],0)),"")</f>
        <v/>
      </c>
      <c r="J1026" s="9" t="n">
        <v>0.8079</v>
      </c>
      <c r="K1026" s="8">
        <f>IFERROR(INDEX(Tbl_KPIMaster[Tolerance],MATCH($G1026,Tbl_KPIMaster[KPI],0)),"")</f>
        <v/>
      </c>
      <c r="L1026" s="8">
        <f>IFERROR(INDEX(Tbl_KPIMaster[Owner],MATCH($G1026,Tbl_KPIMaster[KPI],0)),"")</f>
        <v/>
      </c>
      <c r="M1026" s="10" t="inlineStr">
        <is>
          <t>Line changeover impact</t>
        </is>
      </c>
      <c r="N1026" s="8" t="inlineStr"/>
      <c r="O1026" s="8" t="inlineStr">
        <is>
          <t>Low</t>
        </is>
      </c>
      <c r="P1026" s="8" t="inlineStr">
        <is>
          <t>Closed</t>
        </is>
      </c>
      <c r="Q1026" s="9">
        <f>IFERROR(IF(INDEX(Tbl_KPIMaster[Direction],MATCH($G1026,Tbl_KPIMaster[KPI],0))="Lower is Better",IF($J1026=0,1,IF($I1026=0,0,$I1026/$J1026)),IF($I1026=0,1,$J1026/$I1026)),0)</f>
        <v/>
      </c>
      <c r="R1026" s="8">
        <f>IF(OR($I1026="",$J1026=""),"",$J1026-$I1026)</f>
        <v/>
      </c>
      <c r="S1026" s="8">
        <f>IFERROR(IF(INDEX(Tbl_KPIMaster[Direction],MATCH($G1026,Tbl_KPIMaster[KPI],0))="Lower is Better",IF($J1026&lt;=$I1026,"Green",IF($J1026&lt;=$I1026+IF($I1026=0,$K1026,$I1026*$K1026),"Amber","Red")),IF($J1026&gt;=$I1026,"Green",IF($J1026&gt;=$I1026-IF($I1026=0,$K1026,$I1026*$K1026),"Amber","Red"))),"")</f>
        <v/>
      </c>
      <c r="T1026" s="10" t="inlineStr"/>
    </row>
    <row r="1027">
      <c r="A1027" s="3" t="n">
        <v>46181</v>
      </c>
      <c r="B1027" s="4">
        <f>IF($A1027="","",TEXT($A1027,"mmm-yyyy"))</f>
        <v/>
      </c>
      <c r="C1027" s="4">
        <f>IF($A1027="","","W"&amp;WEEKNUM($A1027,2))</f>
        <v/>
      </c>
      <c r="D1027" s="4">
        <f>IF($A1027="","",TEXT($A1027,"ddd"))</f>
        <v/>
      </c>
      <c r="E1027" s="4" t="inlineStr">
        <is>
          <t>Quality</t>
        </is>
      </c>
      <c r="F1027" s="4">
        <f>IFERROR(INDEX(Tbl_KPIMaster[Category],MATCH($G1027,Tbl_KPIMaster[KPI],0)),"")</f>
        <v/>
      </c>
      <c r="G1027" s="4" t="inlineStr">
        <is>
          <t>Defect Rate %</t>
        </is>
      </c>
      <c r="H1027" s="4">
        <f>IFERROR(INDEX(Tbl_KPIMaster[Unit],MATCH($G1027,Tbl_KPIMaster[KPI],0)),"")</f>
        <v/>
      </c>
      <c r="I1027" s="5">
        <f>IFERROR(INDEX(Tbl_KPIMaster[Maximum Target],MATCH($G1027,Tbl_KPIMaster[KPI],0)),"")</f>
        <v/>
      </c>
      <c r="J1027" s="5" t="n">
        <v>0.0847</v>
      </c>
      <c r="K1027" s="4">
        <f>IFERROR(INDEX(Tbl_KPIMaster[Tolerance],MATCH($G1027,Tbl_KPIMaster[KPI],0)),"")</f>
        <v/>
      </c>
      <c r="L1027" s="4">
        <f>IFERROR(INDEX(Tbl_KPIMaster[Owner],MATCH($G1027,Tbl_KPIMaster[KPI],0)),"")</f>
        <v/>
      </c>
      <c r="M1027" s="6" t="inlineStr">
        <is>
          <t>Preventive check done</t>
        </is>
      </c>
      <c r="N1027" s="4" t="inlineStr">
        <is>
          <t>Engineering support needed</t>
        </is>
      </c>
      <c r="O1027" s="4" t="inlineStr">
        <is>
          <t>Low</t>
        </is>
      </c>
      <c r="P1027" s="4" t="inlineStr">
        <is>
          <t>Closed</t>
        </is>
      </c>
      <c r="Q1027" s="5">
        <f>IFERROR(IF(INDEX(Tbl_KPIMaster[Direction],MATCH($G1027,Tbl_KPIMaster[KPI],0))="Lower is Better",IF($J1027=0,1,IF($I1027=0,0,$I1027/$J1027)),IF($I1027=0,1,$J1027/$I1027)),0)</f>
        <v/>
      </c>
      <c r="R1027" s="4">
        <f>IF(OR($I1027="",$J1027=""),"",$J1027-$I1027)</f>
        <v/>
      </c>
      <c r="S1027" s="4">
        <f>IFERROR(IF(INDEX(Tbl_KPIMaster[Direction],MATCH($G1027,Tbl_KPIMaster[KPI],0))="Lower is Better",IF($J1027&lt;=$I1027,"Green",IF($J1027&lt;=$I1027+IF($I1027=0,$K1027,$I1027*$K1027),"Amber","Red")),IF($J1027&gt;=$I1027,"Green",IF($J1027&gt;=$I1027-IF($I1027=0,$K1027,$I1027*$K1027),"Amber","Red"))),"")</f>
        <v/>
      </c>
      <c r="T1027" s="6" t="inlineStr"/>
    </row>
    <row r="1028">
      <c r="A1028" s="7" t="n">
        <v>46181</v>
      </c>
      <c r="B1028" s="8">
        <f>IF($A1028="","",TEXT($A1028,"mmm-yyyy"))</f>
        <v/>
      </c>
      <c r="C1028" s="8">
        <f>IF($A1028="","","W"&amp;WEEKNUM($A1028,2))</f>
        <v/>
      </c>
      <c r="D1028" s="8">
        <f>IF($A1028="","",TEXT($A1028,"ddd"))</f>
        <v/>
      </c>
      <c r="E1028" s="8" t="inlineStr">
        <is>
          <t>Quality</t>
        </is>
      </c>
      <c r="F1028" s="8">
        <f>IFERROR(INDEX(Tbl_KPIMaster[Category],MATCH($G1028,Tbl_KPIMaster[KPI],0)),"")</f>
        <v/>
      </c>
      <c r="G1028" s="8" t="inlineStr">
        <is>
          <t>Customer Complaints</t>
        </is>
      </c>
      <c r="H1028" s="8">
        <f>IFERROR(INDEX(Tbl_KPIMaster[Unit],MATCH($G1028,Tbl_KPIMaster[KPI],0)),"")</f>
        <v/>
      </c>
      <c r="I1028" s="9">
        <f>IFERROR(INDEX(Tbl_KPIMaster[Maximum Target],MATCH($G1028,Tbl_KPIMaster[KPI],0)),"")</f>
        <v/>
      </c>
      <c r="J1028" s="9" t="n">
        <v>0</v>
      </c>
      <c r="K1028" s="8">
        <f>IFERROR(INDEX(Tbl_KPIMaster[Tolerance],MATCH($G1028,Tbl_KPIMaster[KPI],0)),"")</f>
        <v/>
      </c>
      <c r="L1028" s="8">
        <f>IFERROR(INDEX(Tbl_KPIMaster[Owner],MATCH($G1028,Tbl_KPIMaster[KPI],0)),"")</f>
        <v/>
      </c>
      <c r="M1028" s="10" t="inlineStr">
        <is>
          <t>Equipment breakdown</t>
        </is>
      </c>
      <c r="N1028" s="8" t="inlineStr">
        <is>
          <t>Engineering support needed</t>
        </is>
      </c>
      <c r="O1028" s="8" t="inlineStr">
        <is>
          <t>Low</t>
        </is>
      </c>
      <c r="P1028" s="8" t="inlineStr">
        <is>
          <t>In Progress</t>
        </is>
      </c>
      <c r="Q1028" s="9">
        <f>IFERROR(IF(INDEX(Tbl_KPIMaster[Direction],MATCH($G1028,Tbl_KPIMaster[KPI],0))="Lower is Better",IF($J1028=0,1,IF($I1028=0,0,$I1028/$J1028)),IF($I1028=0,1,$J1028/$I1028)),0)</f>
        <v/>
      </c>
      <c r="R1028" s="8">
        <f>IF(OR($I1028="",$J1028=""),"",$J1028-$I1028)</f>
        <v/>
      </c>
      <c r="S1028" s="8">
        <f>IFERROR(IF(INDEX(Tbl_KPIMaster[Direction],MATCH($G1028,Tbl_KPIMaster[KPI],0))="Lower is Better",IF($J1028&lt;=$I1028,"Green",IF($J1028&lt;=$I1028+IF($I1028=0,$K1028,$I1028*$K1028),"Amber","Red")),IF($J1028&gt;=$I1028,"Green",IF($J1028&gt;=$I1028-IF($I1028=0,$K1028,$I1028*$K1028),"Amber","Red"))),"")</f>
        <v/>
      </c>
      <c r="T1028" s="10" t="inlineStr"/>
    </row>
    <row r="1029">
      <c r="A1029" s="3" t="n">
        <v>46181</v>
      </c>
      <c r="B1029" s="4">
        <f>IF($A1029="","",TEXT($A1029,"mmm-yyyy"))</f>
        <v/>
      </c>
      <c r="C1029" s="4">
        <f>IF($A1029="","","W"&amp;WEEKNUM($A1029,2))</f>
        <v/>
      </c>
      <c r="D1029" s="4">
        <f>IF($A1029="","",TEXT($A1029,"ddd"))</f>
        <v/>
      </c>
      <c r="E1029" s="4" t="inlineStr">
        <is>
          <t>Maintenance</t>
        </is>
      </c>
      <c r="F1029" s="4">
        <f>IFERROR(INDEX(Tbl_KPIMaster[Category],MATCH($G1029,Tbl_KPIMaster[KPI],0)),"")</f>
        <v/>
      </c>
      <c r="G1029" s="4" t="inlineStr">
        <is>
          <t>Unplanned Downtime</t>
        </is>
      </c>
      <c r="H1029" s="4">
        <f>IFERROR(INDEX(Tbl_KPIMaster[Unit],MATCH($G1029,Tbl_KPIMaster[KPI],0)),"")</f>
        <v/>
      </c>
      <c r="I1029" s="5">
        <f>IFERROR(INDEX(Tbl_KPIMaster[Maximum Target],MATCH($G1029,Tbl_KPIMaster[KPI],0)),"")</f>
        <v/>
      </c>
      <c r="J1029" s="5" t="n">
        <v>1.46</v>
      </c>
      <c r="K1029" s="4">
        <f>IFERROR(INDEX(Tbl_KPIMaster[Tolerance],MATCH($G1029,Tbl_KPIMaster[KPI],0)),"")</f>
        <v/>
      </c>
      <c r="L1029" s="4">
        <f>IFERROR(INDEX(Tbl_KPIMaster[Owner],MATCH($G1029,Tbl_KPIMaster[KPI],0)),"")</f>
        <v/>
      </c>
      <c r="M1029" s="6" t="inlineStr">
        <is>
          <t>Preventive check done</t>
        </is>
      </c>
      <c r="N1029" s="4" t="inlineStr"/>
      <c r="O1029" s="4" t="inlineStr">
        <is>
          <t>Low</t>
        </is>
      </c>
      <c r="P1029" s="4" t="inlineStr">
        <is>
          <t>Open</t>
        </is>
      </c>
      <c r="Q1029" s="5">
        <f>IFERROR(IF(INDEX(Tbl_KPIMaster[Direction],MATCH($G1029,Tbl_KPIMaster[KPI],0))="Lower is Better",IF($J1029=0,1,IF($I1029=0,0,$I1029/$J1029)),IF($I1029=0,1,$J1029/$I1029)),0)</f>
        <v/>
      </c>
      <c r="R1029" s="4">
        <f>IF(OR($I1029="",$J1029=""),"",$J1029-$I1029)</f>
        <v/>
      </c>
      <c r="S1029" s="4">
        <f>IFERROR(IF(INDEX(Tbl_KPIMaster[Direction],MATCH($G1029,Tbl_KPIMaster[KPI],0))="Lower is Better",IF($J1029&lt;=$I1029,"Green",IF($J1029&lt;=$I1029+IF($I1029=0,$K1029,$I1029*$K1029),"Amber","Red")),IF($J1029&gt;=$I1029,"Green",IF($J1029&gt;=$I1029-IF($I1029=0,$K1029,$I1029*$K1029),"Amber","Red"))),"")</f>
        <v/>
      </c>
      <c r="T1029" s="6" t="inlineStr"/>
    </row>
    <row r="1030">
      <c r="A1030" s="7" t="n">
        <v>46181</v>
      </c>
      <c r="B1030" s="8">
        <f>IF($A1030="","",TEXT($A1030,"mmm-yyyy"))</f>
        <v/>
      </c>
      <c r="C1030" s="8">
        <f>IF($A1030="","","W"&amp;WEEKNUM($A1030,2))</f>
        <v/>
      </c>
      <c r="D1030" s="8">
        <f>IF($A1030="","",TEXT($A1030,"ddd"))</f>
        <v/>
      </c>
      <c r="E1030" s="8" t="inlineStr">
        <is>
          <t>Maintenance</t>
        </is>
      </c>
      <c r="F1030" s="8">
        <f>IFERROR(INDEX(Tbl_KPIMaster[Category],MATCH($G1030,Tbl_KPIMaster[KPI],0)),"")</f>
        <v/>
      </c>
      <c r="G1030" s="8" t="inlineStr">
        <is>
          <t>PM Compliance %</t>
        </is>
      </c>
      <c r="H1030" s="8">
        <f>IFERROR(INDEX(Tbl_KPIMaster[Unit],MATCH($G1030,Tbl_KPIMaster[KPI],0)),"")</f>
        <v/>
      </c>
      <c r="I1030" s="9">
        <f>IFERROR(INDEX(Tbl_KPIMaster[Maximum Target],MATCH($G1030,Tbl_KPIMaster[KPI],0)),"")</f>
        <v/>
      </c>
      <c r="J1030" s="9" t="n">
        <v>1.3177</v>
      </c>
      <c r="K1030" s="8">
        <f>IFERROR(INDEX(Tbl_KPIMaster[Tolerance],MATCH($G1030,Tbl_KPIMaster[KPI],0)),"")</f>
        <v/>
      </c>
      <c r="L1030" s="8">
        <f>IFERROR(INDEX(Tbl_KPIMaster[Owner],MATCH($G1030,Tbl_KPIMaster[KPI],0)),"")</f>
        <v/>
      </c>
      <c r="M1030" s="10" t="inlineStr">
        <is>
          <t>Within normal range</t>
        </is>
      </c>
      <c r="N1030" s="8" t="inlineStr"/>
      <c r="O1030" s="8" t="inlineStr">
        <is>
          <t>Medium</t>
        </is>
      </c>
      <c r="P1030" s="8" t="inlineStr">
        <is>
          <t>Closed</t>
        </is>
      </c>
      <c r="Q1030" s="9">
        <f>IFERROR(IF(INDEX(Tbl_KPIMaster[Direction],MATCH($G1030,Tbl_KPIMaster[KPI],0))="Lower is Better",IF($J1030=0,1,IF($I1030=0,0,$I1030/$J1030)),IF($I1030=0,1,$J1030/$I1030)),0)</f>
        <v/>
      </c>
      <c r="R1030" s="8">
        <f>IF(OR($I1030="",$J1030=""),"",$J1030-$I1030)</f>
        <v/>
      </c>
      <c r="S1030" s="8">
        <f>IFERROR(IF(INDEX(Tbl_KPIMaster[Direction],MATCH($G1030,Tbl_KPIMaster[KPI],0))="Lower is Better",IF($J1030&lt;=$I1030,"Green",IF($J1030&lt;=$I1030+IF($I1030=0,$K1030,$I1030*$K1030),"Amber","Red")),IF($J1030&gt;=$I1030,"Green",IF($J1030&gt;=$I1030-IF($I1030=0,$K1030,$I1030*$K1030),"Amber","Red"))),"")</f>
        <v/>
      </c>
      <c r="T1030" s="10" t="inlineStr"/>
    </row>
    <row r="1031">
      <c r="A1031" s="3" t="n">
        <v>46181</v>
      </c>
      <c r="B1031" s="4">
        <f>IF($A1031="","",TEXT($A1031,"mmm-yyyy"))</f>
        <v/>
      </c>
      <c r="C1031" s="4">
        <f>IF($A1031="","","W"&amp;WEEKNUM($A1031,2))</f>
        <v/>
      </c>
      <c r="D1031" s="4">
        <f>IF($A1031="","",TEXT($A1031,"ddd"))</f>
        <v/>
      </c>
      <c r="E1031" s="4" t="inlineStr">
        <is>
          <t>Utilities</t>
        </is>
      </c>
      <c r="F1031" s="4">
        <f>IFERROR(INDEX(Tbl_KPIMaster[Category],MATCH($G1031,Tbl_KPIMaster[KPI],0)),"")</f>
        <v/>
      </c>
      <c r="G1031" s="4" t="inlineStr">
        <is>
          <t>Power Consumption</t>
        </is>
      </c>
      <c r="H1031" s="4">
        <f>IFERROR(INDEX(Tbl_KPIMaster[Unit],MATCH($G1031,Tbl_KPIMaster[KPI],0)),"")</f>
        <v/>
      </c>
      <c r="I1031" s="5">
        <f>IFERROR(INDEX(Tbl_KPIMaster[Maximum Target],MATCH($G1031,Tbl_KPIMaster[KPI],0)),"")</f>
        <v/>
      </c>
      <c r="J1031" s="5" t="n">
        <v>3742.69</v>
      </c>
      <c r="K1031" s="4">
        <f>IFERROR(INDEX(Tbl_KPIMaster[Tolerance],MATCH($G1031,Tbl_KPIMaster[KPI],0)),"")</f>
        <v/>
      </c>
      <c r="L1031" s="4">
        <f>IFERROR(INDEX(Tbl_KPIMaster[Owner],MATCH($G1031,Tbl_KPIMaster[KPI],0)),"")</f>
        <v/>
      </c>
      <c r="M1031" s="6" t="inlineStr">
        <is>
          <t>Within normal range</t>
        </is>
      </c>
      <c r="N1031" s="4" t="inlineStr">
        <is>
          <t>Engineering support needed</t>
        </is>
      </c>
      <c r="O1031" s="4" t="inlineStr">
        <is>
          <t>Low</t>
        </is>
      </c>
      <c r="P1031" s="4" t="inlineStr">
        <is>
          <t>Closed</t>
        </is>
      </c>
      <c r="Q1031" s="5">
        <f>IFERROR(IF(INDEX(Tbl_KPIMaster[Direction],MATCH($G1031,Tbl_KPIMaster[KPI],0))="Lower is Better",IF($J1031=0,1,IF($I1031=0,0,$I1031/$J1031)),IF($I1031=0,1,$J1031/$I1031)),0)</f>
        <v/>
      </c>
      <c r="R1031" s="4">
        <f>IF(OR($I1031="",$J1031=""),"",$J1031-$I1031)</f>
        <v/>
      </c>
      <c r="S1031" s="4">
        <f>IFERROR(IF(INDEX(Tbl_KPIMaster[Direction],MATCH($G1031,Tbl_KPIMaster[KPI],0))="Lower is Better",IF($J1031&lt;=$I1031,"Green",IF($J1031&lt;=$I1031+IF($I1031=0,$K1031,$I1031*$K1031),"Amber","Red")),IF($J1031&gt;=$I1031,"Green",IF($J1031&gt;=$I1031-IF($I1031=0,$K1031,$I1031*$K1031),"Amber","Red"))),"")</f>
        <v/>
      </c>
      <c r="T1031" s="6" t="inlineStr"/>
    </row>
    <row r="1032">
      <c r="A1032" s="7" t="n">
        <v>46181</v>
      </c>
      <c r="B1032" s="8">
        <f>IF($A1032="","",TEXT($A1032,"mmm-yyyy"))</f>
        <v/>
      </c>
      <c r="C1032" s="8">
        <f>IF($A1032="","","W"&amp;WEEKNUM($A1032,2))</f>
        <v/>
      </c>
      <c r="D1032" s="8">
        <f>IF($A1032="","",TEXT($A1032,"ddd"))</f>
        <v/>
      </c>
      <c r="E1032" s="8" t="inlineStr">
        <is>
          <t>Utilities</t>
        </is>
      </c>
      <c r="F1032" s="8">
        <f>IFERROR(INDEX(Tbl_KPIMaster[Category],MATCH($G1032,Tbl_KPIMaster[KPI],0)),"")</f>
        <v/>
      </c>
      <c r="G1032" s="8" t="inlineStr">
        <is>
          <t>Water Consumption</t>
        </is>
      </c>
      <c r="H1032" s="8">
        <f>IFERROR(INDEX(Tbl_KPIMaster[Unit],MATCH($G1032,Tbl_KPIMaster[KPI],0)),"")</f>
        <v/>
      </c>
      <c r="I1032" s="9">
        <f>IFERROR(INDEX(Tbl_KPIMaster[Maximum Target],MATCH($G1032,Tbl_KPIMaster[KPI],0)),"")</f>
        <v/>
      </c>
      <c r="J1032" s="9" t="n">
        <v>47.52</v>
      </c>
      <c r="K1032" s="8">
        <f>IFERROR(INDEX(Tbl_KPIMaster[Tolerance],MATCH($G1032,Tbl_KPIMaster[KPI],0)),"")</f>
        <v/>
      </c>
      <c r="L1032" s="8">
        <f>IFERROR(INDEX(Tbl_KPIMaster[Owner],MATCH($G1032,Tbl_KPIMaster[KPI],0)),"")</f>
        <v/>
      </c>
      <c r="M1032" s="10" t="inlineStr">
        <is>
          <t>New operator training effect</t>
        </is>
      </c>
      <c r="N1032" s="8" t="inlineStr"/>
      <c r="O1032" s="8" t="inlineStr">
        <is>
          <t>Medium</t>
        </is>
      </c>
      <c r="P1032" s="8" t="inlineStr">
        <is>
          <t>Closed</t>
        </is>
      </c>
      <c r="Q1032" s="9">
        <f>IFERROR(IF(INDEX(Tbl_KPIMaster[Direction],MATCH($G1032,Tbl_KPIMaster[KPI],0))="Lower is Better",IF($J1032=0,1,IF($I1032=0,0,$I1032/$J1032)),IF($I1032=0,1,$J1032/$I1032)),0)</f>
        <v/>
      </c>
      <c r="R1032" s="8">
        <f>IF(OR($I1032="",$J1032=""),"",$J1032-$I1032)</f>
        <v/>
      </c>
      <c r="S1032" s="8">
        <f>IFERROR(IF(INDEX(Tbl_KPIMaster[Direction],MATCH($G1032,Tbl_KPIMaster[KPI],0))="Lower is Better",IF($J1032&lt;=$I1032,"Green",IF($J1032&lt;=$I1032+IF($I1032=0,$K1032,$I1032*$K1032),"Amber","Red")),IF($J1032&gt;=$I1032,"Green",IF($J1032&gt;=$I1032-IF($I1032=0,$K1032,$I1032*$K1032),"Amber","Red"))),"")</f>
        <v/>
      </c>
      <c r="T1032" s="10" t="inlineStr"/>
    </row>
    <row r="1033">
      <c r="A1033" s="3" t="n">
        <v>46181</v>
      </c>
      <c r="B1033" s="4">
        <f>IF($A1033="","",TEXT($A1033,"mmm-yyyy"))</f>
        <v/>
      </c>
      <c r="C1033" s="4">
        <f>IF($A1033="","","W"&amp;WEEKNUM($A1033,2))</f>
        <v/>
      </c>
      <c r="D1033" s="4">
        <f>IF($A1033="","",TEXT($A1033,"ddd"))</f>
        <v/>
      </c>
      <c r="E1033" s="4" t="inlineStr">
        <is>
          <t>Warehouse</t>
        </is>
      </c>
      <c r="F1033" s="4">
        <f>IFERROR(INDEX(Tbl_KPIMaster[Category],MATCH($G1033,Tbl_KPIMaster[KPI],0)),"")</f>
        <v/>
      </c>
      <c r="G1033" s="4" t="inlineStr">
        <is>
          <t>On-Time Dispatch %</t>
        </is>
      </c>
      <c r="H1033" s="4">
        <f>IFERROR(INDEX(Tbl_KPIMaster[Unit],MATCH($G1033,Tbl_KPIMaster[KPI],0)),"")</f>
        <v/>
      </c>
      <c r="I1033" s="5">
        <f>IFERROR(INDEX(Tbl_KPIMaster[Maximum Target],MATCH($G1033,Tbl_KPIMaster[KPI],0)),"")</f>
        <v/>
      </c>
      <c r="J1033" s="5" t="n">
        <v>0.9984</v>
      </c>
      <c r="K1033" s="4">
        <f>IFERROR(INDEX(Tbl_KPIMaster[Tolerance],MATCH($G1033,Tbl_KPIMaster[KPI],0)),"")</f>
        <v/>
      </c>
      <c r="L1033" s="4">
        <f>IFERROR(INDEX(Tbl_KPIMaster[Owner],MATCH($G1033,Tbl_KPIMaster[KPI],0)),"")</f>
        <v/>
      </c>
      <c r="M1033" s="6" t="inlineStr">
        <is>
          <t>Equipment breakdown</t>
        </is>
      </c>
      <c r="N1033" s="4" t="inlineStr"/>
      <c r="O1033" s="4" t="inlineStr">
        <is>
          <t>Medium</t>
        </is>
      </c>
      <c r="P1033" s="4" t="inlineStr">
        <is>
          <t>Closed</t>
        </is>
      </c>
      <c r="Q1033" s="5">
        <f>IFERROR(IF(INDEX(Tbl_KPIMaster[Direction],MATCH($G1033,Tbl_KPIMaster[KPI],0))="Lower is Better",IF($J1033=0,1,IF($I1033=0,0,$I1033/$J1033)),IF($I1033=0,1,$J1033/$I1033)),0)</f>
        <v/>
      </c>
      <c r="R1033" s="4">
        <f>IF(OR($I1033="",$J1033=""),"",$J1033-$I1033)</f>
        <v/>
      </c>
      <c r="S1033" s="4">
        <f>IFERROR(IF(INDEX(Tbl_KPIMaster[Direction],MATCH($G1033,Tbl_KPIMaster[KPI],0))="Lower is Better",IF($J1033&lt;=$I1033,"Green",IF($J1033&lt;=$I1033+IF($I1033=0,$K1033,$I1033*$K1033),"Amber","Red")),IF($J1033&gt;=$I1033,"Green",IF($J1033&gt;=$I1033-IF($I1033=0,$K1033,$I1033*$K1033),"Amber","Red"))),"")</f>
        <v/>
      </c>
      <c r="T1033" s="6" t="inlineStr"/>
    </row>
    <row r="1034">
      <c r="A1034" s="7" t="n">
        <v>46181</v>
      </c>
      <c r="B1034" s="8">
        <f>IF($A1034="","",TEXT($A1034,"mmm-yyyy"))</f>
        <v/>
      </c>
      <c r="C1034" s="8">
        <f>IF($A1034="","","W"&amp;WEEKNUM($A1034,2))</f>
        <v/>
      </c>
      <c r="D1034" s="8">
        <f>IF($A1034="","",TEXT($A1034,"ddd"))</f>
        <v/>
      </c>
      <c r="E1034" s="8" t="inlineStr">
        <is>
          <t>Warehouse</t>
        </is>
      </c>
      <c r="F1034" s="8">
        <f>IFERROR(INDEX(Tbl_KPIMaster[Category],MATCH($G1034,Tbl_KPIMaster[KPI],0)),"")</f>
        <v/>
      </c>
      <c r="G1034" s="8" t="inlineStr">
        <is>
          <t>Inventory Accuracy %</t>
        </is>
      </c>
      <c r="H1034" s="8">
        <f>IFERROR(INDEX(Tbl_KPIMaster[Unit],MATCH($G1034,Tbl_KPIMaster[KPI],0)),"")</f>
        <v/>
      </c>
      <c r="I1034" s="9">
        <f>IFERROR(INDEX(Tbl_KPIMaster[Maximum Target],MATCH($G1034,Tbl_KPIMaster[KPI],0)),"")</f>
        <v/>
      </c>
      <c r="J1034" s="9" t="n">
        <v>0.8663999999999999</v>
      </c>
      <c r="K1034" s="8">
        <f>IFERROR(INDEX(Tbl_KPIMaster[Tolerance],MATCH($G1034,Tbl_KPIMaster[KPI],0)),"")</f>
        <v/>
      </c>
      <c r="L1034" s="8">
        <f>IFERROR(INDEX(Tbl_KPIMaster[Owner],MATCH($G1034,Tbl_KPIMaster[KPI],0)),"")</f>
        <v/>
      </c>
      <c r="M1034" s="10" t="inlineStr">
        <is>
          <t>New operator training effect</t>
        </is>
      </c>
      <c r="N1034" s="8" t="inlineStr">
        <is>
          <t>Engineering support needed</t>
        </is>
      </c>
      <c r="O1034" s="8" t="inlineStr">
        <is>
          <t>Medium</t>
        </is>
      </c>
      <c r="P1034" s="8" t="inlineStr">
        <is>
          <t>Closed</t>
        </is>
      </c>
      <c r="Q1034" s="9">
        <f>IFERROR(IF(INDEX(Tbl_KPIMaster[Direction],MATCH($G1034,Tbl_KPIMaster[KPI],0))="Lower is Better",IF($J1034=0,1,IF($I1034=0,0,$I1034/$J1034)),IF($I1034=0,1,$J1034/$I1034)),0)</f>
        <v/>
      </c>
      <c r="R1034" s="8">
        <f>IF(OR($I1034="",$J1034=""),"",$J1034-$I1034)</f>
        <v/>
      </c>
      <c r="S1034" s="8">
        <f>IFERROR(IF(INDEX(Tbl_KPIMaster[Direction],MATCH($G1034,Tbl_KPIMaster[KPI],0))="Lower is Better",IF($J1034&lt;=$I1034,"Green",IF($J1034&lt;=$I1034+IF($I1034=0,$K1034,$I1034*$K1034),"Amber","Red")),IF($J1034&gt;=$I1034,"Green",IF($J1034&gt;=$I1034-IF($I1034=0,$K1034,$I1034*$K1034),"Amber","Red"))),"")</f>
        <v/>
      </c>
      <c r="T1034" s="10" t="inlineStr"/>
    </row>
    <row r="1035">
      <c r="A1035" s="3" t="n">
        <v>46181</v>
      </c>
      <c r="B1035" s="4">
        <f>IF($A1035="","",TEXT($A1035,"mmm-yyyy"))</f>
        <v/>
      </c>
      <c r="C1035" s="4">
        <f>IF($A1035="","","W"&amp;WEEKNUM($A1035,2))</f>
        <v/>
      </c>
      <c r="D1035" s="4">
        <f>IF($A1035="","",TEXT($A1035,"ddd"))</f>
        <v/>
      </c>
      <c r="E1035" s="4" t="inlineStr">
        <is>
          <t>HR</t>
        </is>
      </c>
      <c r="F1035" s="4">
        <f>IFERROR(INDEX(Tbl_KPIMaster[Category],MATCH($G1035,Tbl_KPIMaster[KPI],0)),"")</f>
        <v/>
      </c>
      <c r="G1035" s="4" t="inlineStr">
        <is>
          <t>Absenteeism %</t>
        </is>
      </c>
      <c r="H1035" s="4">
        <f>IFERROR(INDEX(Tbl_KPIMaster[Unit],MATCH($G1035,Tbl_KPIMaster[KPI],0)),"")</f>
        <v/>
      </c>
      <c r="I1035" s="5">
        <f>IFERROR(INDEX(Tbl_KPIMaster[Maximum Target],MATCH($G1035,Tbl_KPIMaster[KPI],0)),"")</f>
        <v/>
      </c>
      <c r="J1035" s="5" t="n">
        <v>0</v>
      </c>
      <c r="K1035" s="4">
        <f>IFERROR(INDEX(Tbl_KPIMaster[Tolerance],MATCH($G1035,Tbl_KPIMaster[KPI],0)),"")</f>
        <v/>
      </c>
      <c r="L1035" s="4">
        <f>IFERROR(INDEX(Tbl_KPIMaster[Owner],MATCH($G1035,Tbl_KPIMaster[KPI],0)),"")</f>
        <v/>
      </c>
      <c r="M1035" s="6" t="inlineStr">
        <is>
          <t>Awaiting spares</t>
        </is>
      </c>
      <c r="N1035" s="4" t="inlineStr"/>
      <c r="O1035" s="4" t="inlineStr">
        <is>
          <t>Medium</t>
        </is>
      </c>
      <c r="P1035" s="4" t="inlineStr">
        <is>
          <t>Open</t>
        </is>
      </c>
      <c r="Q1035" s="5">
        <f>IFERROR(IF(INDEX(Tbl_KPIMaster[Direction],MATCH($G1035,Tbl_KPIMaster[KPI],0))="Lower is Better",IF($J1035=0,1,IF($I1035=0,0,$I1035/$J1035)),IF($I1035=0,1,$J1035/$I1035)),0)</f>
        <v/>
      </c>
      <c r="R1035" s="4">
        <f>IF(OR($I1035="",$J1035=""),"",$J1035-$I1035)</f>
        <v/>
      </c>
      <c r="S1035" s="4">
        <f>IFERROR(IF(INDEX(Tbl_KPIMaster[Direction],MATCH($G1035,Tbl_KPIMaster[KPI],0))="Lower is Better",IF($J1035&lt;=$I1035,"Green",IF($J1035&lt;=$I1035+IF($I1035=0,$K1035,$I1035*$K1035),"Amber","Red")),IF($J1035&gt;=$I1035,"Green",IF($J1035&gt;=$I1035-IF($I1035=0,$K1035,$I1035*$K1035),"Amber","Red"))),"")</f>
        <v/>
      </c>
      <c r="T1035" s="6" t="inlineStr"/>
    </row>
    <row r="1036">
      <c r="A1036" s="7" t="n">
        <v>46181</v>
      </c>
      <c r="B1036" s="8">
        <f>IF($A1036="","",TEXT($A1036,"mmm-yyyy"))</f>
        <v/>
      </c>
      <c r="C1036" s="8">
        <f>IF($A1036="","","W"&amp;WEEKNUM($A1036,2))</f>
        <v/>
      </c>
      <c r="D1036" s="8">
        <f>IF($A1036="","",TEXT($A1036,"ddd"))</f>
        <v/>
      </c>
      <c r="E1036" s="8" t="inlineStr">
        <is>
          <t>HR</t>
        </is>
      </c>
      <c r="F1036" s="8">
        <f>IFERROR(INDEX(Tbl_KPIMaster[Category],MATCH($G1036,Tbl_KPIMaster[KPI],0)),"")</f>
        <v/>
      </c>
      <c r="G1036" s="8" t="inlineStr">
        <is>
          <t>Training Hours</t>
        </is>
      </c>
      <c r="H1036" s="8">
        <f>IFERROR(INDEX(Tbl_KPIMaster[Unit],MATCH($G1036,Tbl_KPIMaster[KPI],0)),"")</f>
        <v/>
      </c>
      <c r="I1036" s="9">
        <f>IFERROR(INDEX(Tbl_KPIMaster[Maximum Target],MATCH($G1036,Tbl_KPIMaster[KPI],0)),"")</f>
        <v/>
      </c>
      <c r="J1036" s="9" t="n">
        <v>2.29</v>
      </c>
      <c r="K1036" s="8">
        <f>IFERROR(INDEX(Tbl_KPIMaster[Tolerance],MATCH($G1036,Tbl_KPIMaster[KPI],0)),"")</f>
        <v/>
      </c>
      <c r="L1036" s="8">
        <f>IFERROR(INDEX(Tbl_KPIMaster[Owner],MATCH($G1036,Tbl_KPIMaster[KPI],0)),"")</f>
        <v/>
      </c>
      <c r="M1036" s="10" t="inlineStr">
        <is>
          <t>Process improvement in progress</t>
        </is>
      </c>
      <c r="N1036" s="8" t="inlineStr">
        <is>
          <t>Engineering support needed</t>
        </is>
      </c>
      <c r="O1036" s="8" t="inlineStr">
        <is>
          <t>Low</t>
        </is>
      </c>
      <c r="P1036" s="8" t="inlineStr">
        <is>
          <t>Closed</t>
        </is>
      </c>
      <c r="Q1036" s="9">
        <f>IFERROR(IF(INDEX(Tbl_KPIMaster[Direction],MATCH($G1036,Tbl_KPIMaster[KPI],0))="Lower is Better",IF($J1036=0,1,IF($I1036=0,0,$I1036/$J1036)),IF($I1036=0,1,$J1036/$I1036)),0)</f>
        <v/>
      </c>
      <c r="R1036" s="8">
        <f>IF(OR($I1036="",$J1036=""),"",$J1036-$I1036)</f>
        <v/>
      </c>
      <c r="S1036" s="8">
        <f>IFERROR(IF(INDEX(Tbl_KPIMaster[Direction],MATCH($G1036,Tbl_KPIMaster[KPI],0))="Lower is Better",IF($J1036&lt;=$I1036,"Green",IF($J1036&lt;=$I1036+IF($I1036=0,$K1036,$I1036*$K1036),"Amber","Red")),IF($J1036&gt;=$I1036,"Green",IF($J1036&gt;=$I1036-IF($I1036=0,$K1036,$I1036*$K1036),"Amber","Red"))),"")</f>
        <v/>
      </c>
      <c r="T1036" s="10" t="inlineStr"/>
    </row>
    <row r="1037">
      <c r="A1037" s="3" t="n">
        <v>46181</v>
      </c>
      <c r="B1037" s="4">
        <f>IF($A1037="","",TEXT($A1037,"mmm-yyyy"))</f>
        <v/>
      </c>
      <c r="C1037" s="4">
        <f>IF($A1037="","","W"&amp;WEEKNUM($A1037,2))</f>
        <v/>
      </c>
      <c r="D1037" s="4">
        <f>IF($A1037="","",TEXT($A1037,"ddd"))</f>
        <v/>
      </c>
      <c r="E1037" s="4" t="inlineStr">
        <is>
          <t>Engineering</t>
        </is>
      </c>
      <c r="F1037" s="4">
        <f>IFERROR(INDEX(Tbl_KPIMaster[Category],MATCH($G1037,Tbl_KPIMaster[KPI],0)),"")</f>
        <v/>
      </c>
      <c r="G1037" s="4" t="inlineStr">
        <is>
          <t>Project Milestone Adherence %</t>
        </is>
      </c>
      <c r="H1037" s="4">
        <f>IFERROR(INDEX(Tbl_KPIMaster[Unit],MATCH($G1037,Tbl_KPIMaster[KPI],0)),"")</f>
        <v/>
      </c>
      <c r="I1037" s="5">
        <f>IFERROR(INDEX(Tbl_KPIMaster[Maximum Target],MATCH($G1037,Tbl_KPIMaster[KPI],0)),"")</f>
        <v/>
      </c>
      <c r="J1037" s="5" t="n">
        <v>0.8225</v>
      </c>
      <c r="K1037" s="4">
        <f>IFERROR(INDEX(Tbl_KPIMaster[Tolerance],MATCH($G1037,Tbl_KPIMaster[KPI],0)),"")</f>
        <v/>
      </c>
      <c r="L1037" s="4">
        <f>IFERROR(INDEX(Tbl_KPIMaster[Owner],MATCH($G1037,Tbl_KPIMaster[KPI],0)),"")</f>
        <v/>
      </c>
      <c r="M1037" s="6" t="inlineStr">
        <is>
          <t>Weather impact</t>
        </is>
      </c>
      <c r="N1037" s="4" t="inlineStr"/>
      <c r="O1037" s="4" t="inlineStr">
        <is>
          <t>High</t>
        </is>
      </c>
      <c r="P1037" s="4" t="inlineStr">
        <is>
          <t>In Progress</t>
        </is>
      </c>
      <c r="Q1037" s="5">
        <f>IFERROR(IF(INDEX(Tbl_KPIMaster[Direction],MATCH($G1037,Tbl_KPIMaster[KPI],0))="Lower is Better",IF($J1037=0,1,IF($I1037=0,0,$I1037/$J1037)),IF($I1037=0,1,$J1037/$I1037)),0)</f>
        <v/>
      </c>
      <c r="R1037" s="4">
        <f>IF(OR($I1037="",$J1037=""),"",$J1037-$I1037)</f>
        <v/>
      </c>
      <c r="S1037" s="4">
        <f>IFERROR(IF(INDEX(Tbl_KPIMaster[Direction],MATCH($G1037,Tbl_KPIMaster[KPI],0))="Lower is Better",IF($J1037&lt;=$I1037,"Green",IF($J1037&lt;=$I1037+IF($I1037=0,$K1037,$I1037*$K1037),"Amber","Red")),IF($J1037&gt;=$I1037,"Green",IF($J1037&gt;=$I1037-IF($I1037=0,$K1037,$I1037*$K1037),"Amber","Red"))),"")</f>
        <v/>
      </c>
      <c r="T1037" s="6" t="inlineStr"/>
    </row>
    <row r="1038">
      <c r="A1038" s="7" t="n">
        <v>46181</v>
      </c>
      <c r="B1038" s="8">
        <f>IF($A1038="","",TEXT($A1038,"mmm-yyyy"))</f>
        <v/>
      </c>
      <c r="C1038" s="8">
        <f>IF($A1038="","","W"&amp;WEEKNUM($A1038,2))</f>
        <v/>
      </c>
      <c r="D1038" s="8">
        <f>IF($A1038="","",TEXT($A1038,"ddd"))</f>
        <v/>
      </c>
      <c r="E1038" s="8" t="inlineStr">
        <is>
          <t>Engineering</t>
        </is>
      </c>
      <c r="F1038" s="8">
        <f>IFERROR(INDEX(Tbl_KPIMaster[Category],MATCH($G1038,Tbl_KPIMaster[KPI],0)),"")</f>
        <v/>
      </c>
      <c r="G1038" s="8" t="inlineStr">
        <is>
          <t>Breakdown Resolution Time</t>
        </is>
      </c>
      <c r="H1038" s="8">
        <f>IFERROR(INDEX(Tbl_KPIMaster[Unit],MATCH($G1038,Tbl_KPIMaster[KPI],0)),"")</f>
        <v/>
      </c>
      <c r="I1038" s="9">
        <f>IFERROR(INDEX(Tbl_KPIMaster[Maximum Target],MATCH($G1038,Tbl_KPIMaster[KPI],0)),"")</f>
        <v/>
      </c>
      <c r="J1038" s="9" t="n">
        <v>0</v>
      </c>
      <c r="K1038" s="8">
        <f>IFERROR(INDEX(Tbl_KPIMaster[Tolerance],MATCH($G1038,Tbl_KPIMaster[KPI],0)),"")</f>
        <v/>
      </c>
      <c r="L1038" s="8">
        <f>IFERROR(INDEX(Tbl_KPIMaster[Owner],MATCH($G1038,Tbl_KPIMaster[KPI],0)),"")</f>
        <v/>
      </c>
      <c r="M1038" s="10" t="inlineStr">
        <is>
          <t>Preventive check done</t>
        </is>
      </c>
      <c r="N1038" s="8" t="inlineStr">
        <is>
          <t>Management approval pending</t>
        </is>
      </c>
      <c r="O1038" s="8" t="inlineStr">
        <is>
          <t>Low</t>
        </is>
      </c>
      <c r="P1038" s="8" t="inlineStr">
        <is>
          <t>Closed</t>
        </is>
      </c>
      <c r="Q1038" s="9">
        <f>IFERROR(IF(INDEX(Tbl_KPIMaster[Direction],MATCH($G1038,Tbl_KPIMaster[KPI],0))="Lower is Better",IF($J1038=0,1,IF($I1038=0,0,$I1038/$J1038)),IF($I1038=0,1,$J1038/$I1038)),0)</f>
        <v/>
      </c>
      <c r="R1038" s="8">
        <f>IF(OR($I1038="",$J1038=""),"",$J1038-$I1038)</f>
        <v/>
      </c>
      <c r="S1038" s="8">
        <f>IFERROR(IF(INDEX(Tbl_KPIMaster[Direction],MATCH($G1038,Tbl_KPIMaster[KPI],0))="Lower is Better",IF($J1038&lt;=$I1038,"Green",IF($J1038&lt;=$I1038+IF($I1038=0,$K1038,$I1038*$K1038),"Amber","Red")),IF($J1038&gt;=$I1038,"Green",IF($J1038&gt;=$I1038-IF($I1038=0,$K1038,$I1038*$K1038),"Amber","Red"))),"")</f>
        <v/>
      </c>
      <c r="T1038" s="10" t="inlineStr"/>
    </row>
    <row r="1039">
      <c r="A1039" s="3" t="n">
        <v>46181</v>
      </c>
      <c r="B1039" s="4">
        <f>IF($A1039="","",TEXT($A1039,"mmm-yyyy"))</f>
        <v/>
      </c>
      <c r="C1039" s="4">
        <f>IF($A1039="","","W"&amp;WEEKNUM($A1039,2))</f>
        <v/>
      </c>
      <c r="D1039" s="4">
        <f>IF($A1039="","",TEXT($A1039,"ddd"))</f>
        <v/>
      </c>
      <c r="E1039" s="4" t="inlineStr">
        <is>
          <t>Cost</t>
        </is>
      </c>
      <c r="F1039" s="4">
        <f>IFERROR(INDEX(Tbl_KPIMaster[Category],MATCH($G1039,Tbl_KPIMaster[KPI],0)),"")</f>
        <v/>
      </c>
      <c r="G1039" s="4" t="inlineStr">
        <is>
          <t>Cost per Unit</t>
        </is>
      </c>
      <c r="H1039" s="4">
        <f>IFERROR(INDEX(Tbl_KPIMaster[Unit],MATCH($G1039,Tbl_KPIMaster[KPI],0)),"")</f>
        <v/>
      </c>
      <c r="I1039" s="5">
        <f>IFERROR(INDEX(Tbl_KPIMaster[Maximum Target],MATCH($G1039,Tbl_KPIMaster[KPI],0)),"")</f>
        <v/>
      </c>
      <c r="J1039" s="5" t="n">
        <v>36.59</v>
      </c>
      <c r="K1039" s="4">
        <f>IFERROR(INDEX(Tbl_KPIMaster[Tolerance],MATCH($G1039,Tbl_KPIMaster[KPI],0)),"")</f>
        <v/>
      </c>
      <c r="L1039" s="4">
        <f>IFERROR(INDEX(Tbl_KPIMaster[Owner],MATCH($G1039,Tbl_KPIMaster[KPI],0)),"")</f>
        <v/>
      </c>
      <c r="M1039" s="6" t="inlineStr">
        <is>
          <t>Within normal range</t>
        </is>
      </c>
      <c r="N1039" s="4" t="inlineStr">
        <is>
          <t>Procurement follow-up</t>
        </is>
      </c>
      <c r="O1039" s="4" t="inlineStr">
        <is>
          <t>Medium</t>
        </is>
      </c>
      <c r="P1039" s="4" t="inlineStr">
        <is>
          <t>Open</t>
        </is>
      </c>
      <c r="Q1039" s="5">
        <f>IFERROR(IF(INDEX(Tbl_KPIMaster[Direction],MATCH($G1039,Tbl_KPIMaster[KPI],0))="Lower is Better",IF($J1039=0,1,IF($I1039=0,0,$I1039/$J1039)),IF($I1039=0,1,$J1039/$I1039)),0)</f>
        <v/>
      </c>
      <c r="R1039" s="4">
        <f>IF(OR($I1039="",$J1039=""),"",$J1039-$I1039)</f>
        <v/>
      </c>
      <c r="S1039" s="4">
        <f>IFERROR(IF(INDEX(Tbl_KPIMaster[Direction],MATCH($G1039,Tbl_KPIMaster[KPI],0))="Lower is Better",IF($J1039&lt;=$I1039,"Green",IF($J1039&lt;=$I1039+IF($I1039=0,$K1039,$I1039*$K1039),"Amber","Red")),IF($J1039&gt;=$I1039,"Green",IF($J1039&gt;=$I1039-IF($I1039=0,$K1039,$I1039*$K1039),"Amber","Red"))),"")</f>
        <v/>
      </c>
      <c r="T1039" s="6" t="inlineStr"/>
    </row>
    <row r="1040">
      <c r="A1040" s="7" t="n">
        <v>46181</v>
      </c>
      <c r="B1040" s="8">
        <f>IF($A1040="","",TEXT($A1040,"mmm-yyyy"))</f>
        <v/>
      </c>
      <c r="C1040" s="8">
        <f>IF($A1040="","","W"&amp;WEEKNUM($A1040,2))</f>
        <v/>
      </c>
      <c r="D1040" s="8">
        <f>IF($A1040="","",TEXT($A1040,"ddd"))</f>
        <v/>
      </c>
      <c r="E1040" s="8" t="inlineStr">
        <is>
          <t>Cost</t>
        </is>
      </c>
      <c r="F1040" s="8">
        <f>IFERROR(INDEX(Tbl_KPIMaster[Category],MATCH($G1040,Tbl_KPIMaster[KPI],0)),"")</f>
        <v/>
      </c>
      <c r="G1040" s="8" t="inlineStr">
        <is>
          <t>Budget Variance %</t>
        </is>
      </c>
      <c r="H1040" s="8">
        <f>IFERROR(INDEX(Tbl_KPIMaster[Unit],MATCH($G1040,Tbl_KPIMaster[KPI],0)),"")</f>
        <v/>
      </c>
      <c r="I1040" s="9">
        <f>IFERROR(INDEX(Tbl_KPIMaster[Maximum Target],MATCH($G1040,Tbl_KPIMaster[KPI],0)),"")</f>
        <v/>
      </c>
      <c r="J1040" s="9" t="n">
        <v>0.3752</v>
      </c>
      <c r="K1040" s="8">
        <f>IFERROR(INDEX(Tbl_KPIMaster[Tolerance],MATCH($G1040,Tbl_KPIMaster[KPI],0)),"")</f>
        <v/>
      </c>
      <c r="L1040" s="8">
        <f>IFERROR(INDEX(Tbl_KPIMaster[Owner],MATCH($G1040,Tbl_KPIMaster[KPI],0)),"")</f>
        <v/>
      </c>
      <c r="M1040" s="10" t="inlineStr">
        <is>
          <t>Preventive check done</t>
        </is>
      </c>
      <c r="N1040" s="8" t="inlineStr">
        <is>
          <t>Procurement follow-up</t>
        </is>
      </c>
      <c r="O1040" s="8" t="inlineStr">
        <is>
          <t>Medium</t>
        </is>
      </c>
      <c r="P1040" s="8" t="inlineStr">
        <is>
          <t>Open</t>
        </is>
      </c>
      <c r="Q1040" s="9">
        <f>IFERROR(IF(INDEX(Tbl_KPIMaster[Direction],MATCH($G1040,Tbl_KPIMaster[KPI],0))="Lower is Better",IF($J1040=0,1,IF($I1040=0,0,$I1040/$J1040)),IF($I1040=0,1,$J1040/$I1040)),0)</f>
        <v/>
      </c>
      <c r="R1040" s="8">
        <f>IF(OR($I1040="",$J1040=""),"",$J1040-$I1040)</f>
        <v/>
      </c>
      <c r="S1040" s="8">
        <f>IFERROR(IF(INDEX(Tbl_KPIMaster[Direction],MATCH($G1040,Tbl_KPIMaster[KPI],0))="Lower is Better",IF($J1040&lt;=$I1040,"Green",IF($J1040&lt;=$I1040+IF($I1040=0,$K1040,$I1040*$K1040),"Amber","Red")),IF($J1040&gt;=$I1040,"Green",IF($J1040&gt;=$I1040-IF($I1040=0,$K1040,$I1040*$K1040),"Amber","Red"))),"")</f>
        <v/>
      </c>
      <c r="T1040" s="10" t="inlineStr"/>
    </row>
    <row r="1041">
      <c r="A1041" s="3" t="n">
        <v>46181</v>
      </c>
      <c r="B1041" s="4">
        <f>IF($A1041="","",TEXT($A1041,"mmm-yyyy"))</f>
        <v/>
      </c>
      <c r="C1041" s="4">
        <f>IF($A1041="","","W"&amp;WEEKNUM($A1041,2))</f>
        <v/>
      </c>
      <c r="D1041" s="4">
        <f>IF($A1041="","",TEXT($A1041,"ddd"))</f>
        <v/>
      </c>
      <c r="E1041" s="4" t="inlineStr">
        <is>
          <t>Energy</t>
        </is>
      </c>
      <c r="F1041" s="4">
        <f>IFERROR(INDEX(Tbl_KPIMaster[Category],MATCH($G1041,Tbl_KPIMaster[KPI],0)),"")</f>
        <v/>
      </c>
      <c r="G1041" s="4" t="inlineStr">
        <is>
          <t>Energy Intensity (kWh/unit)</t>
        </is>
      </c>
      <c r="H1041" s="4">
        <f>IFERROR(INDEX(Tbl_KPIMaster[Unit],MATCH($G1041,Tbl_KPIMaster[KPI],0)),"")</f>
        <v/>
      </c>
      <c r="I1041" s="5">
        <f>IFERROR(INDEX(Tbl_KPIMaster[Maximum Target],MATCH($G1041,Tbl_KPIMaster[KPI],0)),"")</f>
        <v/>
      </c>
      <c r="J1041" s="5" t="n">
        <v>4.23</v>
      </c>
      <c r="K1041" s="4">
        <f>IFERROR(INDEX(Tbl_KPIMaster[Tolerance],MATCH($G1041,Tbl_KPIMaster[KPI],0)),"")</f>
        <v/>
      </c>
      <c r="L1041" s="4">
        <f>IFERROR(INDEX(Tbl_KPIMaster[Owner],MATCH($G1041,Tbl_KPIMaster[KPI],0)),"")</f>
        <v/>
      </c>
      <c r="M1041" s="6" t="inlineStr">
        <is>
          <t>Line changeover impact</t>
        </is>
      </c>
      <c r="N1041" s="4" t="inlineStr"/>
      <c r="O1041" s="4" t="inlineStr">
        <is>
          <t>High</t>
        </is>
      </c>
      <c r="P1041" s="4" t="inlineStr">
        <is>
          <t>Closed</t>
        </is>
      </c>
      <c r="Q1041" s="5">
        <f>IFERROR(IF(INDEX(Tbl_KPIMaster[Direction],MATCH($G1041,Tbl_KPIMaster[KPI],0))="Lower is Better",IF($J1041=0,1,IF($I1041=0,0,$I1041/$J1041)),IF($I1041=0,1,$J1041/$I1041)),0)</f>
        <v/>
      </c>
      <c r="R1041" s="4">
        <f>IF(OR($I1041="",$J1041=""),"",$J1041-$I1041)</f>
        <v/>
      </c>
      <c r="S1041" s="4">
        <f>IFERROR(IF(INDEX(Tbl_KPIMaster[Direction],MATCH($G1041,Tbl_KPIMaster[KPI],0))="Lower is Better",IF($J1041&lt;=$I1041,"Green",IF($J1041&lt;=$I1041+IF($I1041=0,$K1041,$I1041*$K1041),"Amber","Red")),IF($J1041&gt;=$I1041,"Green",IF($J1041&gt;=$I1041-IF($I1041=0,$K1041,$I1041*$K1041),"Amber","Red"))),"")</f>
        <v/>
      </c>
      <c r="T1041" s="6" t="inlineStr"/>
    </row>
    <row r="1042">
      <c r="A1042" s="7" t="n">
        <v>46181</v>
      </c>
      <c r="B1042" s="8">
        <f>IF($A1042="","",TEXT($A1042,"mmm-yyyy"))</f>
        <v/>
      </c>
      <c r="C1042" s="8">
        <f>IF($A1042="","","W"&amp;WEEKNUM($A1042,2))</f>
        <v/>
      </c>
      <c r="D1042" s="8">
        <f>IF($A1042="","",TEXT($A1042,"ddd"))</f>
        <v/>
      </c>
      <c r="E1042" s="8" t="inlineStr">
        <is>
          <t>Energy</t>
        </is>
      </c>
      <c r="F1042" s="8">
        <f>IFERROR(INDEX(Tbl_KPIMaster[Category],MATCH($G1042,Tbl_KPIMaster[KPI],0)),"")</f>
        <v/>
      </c>
      <c r="G1042" s="8" t="inlineStr">
        <is>
          <t>Renewable Energy Share %</t>
        </is>
      </c>
      <c r="H1042" s="8">
        <f>IFERROR(INDEX(Tbl_KPIMaster[Unit],MATCH($G1042,Tbl_KPIMaster[KPI],0)),"")</f>
        <v/>
      </c>
      <c r="I1042" s="9">
        <f>IFERROR(INDEX(Tbl_KPIMaster[Maximum Target],MATCH($G1042,Tbl_KPIMaster[KPI],0)),"")</f>
        <v/>
      </c>
      <c r="J1042" s="9" t="n">
        <v>0.2685</v>
      </c>
      <c r="K1042" s="8">
        <f>IFERROR(INDEX(Tbl_KPIMaster[Tolerance],MATCH($G1042,Tbl_KPIMaster[KPI],0)),"")</f>
        <v/>
      </c>
      <c r="L1042" s="8">
        <f>IFERROR(INDEX(Tbl_KPIMaster[Owner],MATCH($G1042,Tbl_KPIMaster[KPI],0)),"")</f>
        <v/>
      </c>
      <c r="M1042" s="10" t="inlineStr">
        <is>
          <t>Within normal range</t>
        </is>
      </c>
      <c r="N1042" s="8" t="inlineStr">
        <is>
          <t>Procurement follow-up</t>
        </is>
      </c>
      <c r="O1042" s="8" t="inlineStr">
        <is>
          <t>Medium</t>
        </is>
      </c>
      <c r="P1042" s="8" t="inlineStr">
        <is>
          <t>Open</t>
        </is>
      </c>
      <c r="Q1042" s="9">
        <f>IFERROR(IF(INDEX(Tbl_KPIMaster[Direction],MATCH($G1042,Tbl_KPIMaster[KPI],0))="Lower is Better",IF($J1042=0,1,IF($I1042=0,0,$I1042/$J1042)),IF($I1042=0,1,$J1042/$I1042)),0)</f>
        <v/>
      </c>
      <c r="R1042" s="8">
        <f>IF(OR($I1042="",$J1042=""),"",$J1042-$I1042)</f>
        <v/>
      </c>
      <c r="S1042" s="8">
        <f>IFERROR(IF(INDEX(Tbl_KPIMaster[Direction],MATCH($G1042,Tbl_KPIMaster[KPI],0))="Lower is Better",IF($J1042&lt;=$I1042,"Green",IF($J1042&lt;=$I1042+IF($I1042=0,$K1042,$I1042*$K1042),"Amber","Red")),IF($J1042&gt;=$I1042,"Green",IF($J1042&gt;=$I1042-IF($I1042=0,$K1042,$I1042*$K1042),"Amber","Red"))),"")</f>
        <v/>
      </c>
      <c r="T1042" s="10" t="inlineStr"/>
    </row>
    <row r="1043">
      <c r="A1043" s="3" t="n">
        <v>46182</v>
      </c>
      <c r="B1043" s="4">
        <f>IF($A1043="","",TEXT($A1043,"mmm-yyyy"))</f>
        <v/>
      </c>
      <c r="C1043" s="4">
        <f>IF($A1043="","","W"&amp;WEEKNUM($A1043,2))</f>
        <v/>
      </c>
      <c r="D1043" s="4">
        <f>IF($A1043="","",TEXT($A1043,"ddd"))</f>
        <v/>
      </c>
      <c r="E1043" s="4" t="inlineStr">
        <is>
          <t>Safety</t>
        </is>
      </c>
      <c r="F1043" s="4">
        <f>IFERROR(INDEX(Tbl_KPIMaster[Category],MATCH($G1043,Tbl_KPIMaster[KPI],0)),"")</f>
        <v/>
      </c>
      <c r="G1043" s="4" t="inlineStr">
        <is>
          <t>Safety Incidents (LTI)</t>
        </is>
      </c>
      <c r="H1043" s="4">
        <f>IFERROR(INDEX(Tbl_KPIMaster[Unit],MATCH($G1043,Tbl_KPIMaster[KPI],0)),"")</f>
        <v/>
      </c>
      <c r="I1043" s="5">
        <f>IFERROR(INDEX(Tbl_KPIMaster[Maximum Target],MATCH($G1043,Tbl_KPIMaster[KPI],0)),"")</f>
        <v/>
      </c>
      <c r="J1043" s="5" t="n">
        <v>0</v>
      </c>
      <c r="K1043" s="4">
        <f>IFERROR(INDEX(Tbl_KPIMaster[Tolerance],MATCH($G1043,Tbl_KPIMaster[KPI],0)),"")</f>
        <v/>
      </c>
      <c r="L1043" s="4">
        <f>IFERROR(INDEX(Tbl_KPIMaster[Owner],MATCH($G1043,Tbl_KPIMaster[KPI],0)),"")</f>
        <v/>
      </c>
      <c r="M1043" s="6" t="inlineStr">
        <is>
          <t>Weather impact</t>
        </is>
      </c>
      <c r="N1043" s="4" t="inlineStr"/>
      <c r="O1043" s="4" t="inlineStr">
        <is>
          <t>Low</t>
        </is>
      </c>
      <c r="P1043" s="4" t="inlineStr">
        <is>
          <t>In Progress</t>
        </is>
      </c>
      <c r="Q1043" s="5">
        <f>IFERROR(IF(INDEX(Tbl_KPIMaster[Direction],MATCH($G1043,Tbl_KPIMaster[KPI],0))="Lower is Better",IF($J1043=0,1,IF($I1043=0,0,$I1043/$J1043)),IF($I1043=0,1,$J1043/$I1043)),0)</f>
        <v/>
      </c>
      <c r="R1043" s="4">
        <f>IF(OR($I1043="",$J1043=""),"",$J1043-$I1043)</f>
        <v/>
      </c>
      <c r="S1043" s="4">
        <f>IFERROR(IF(INDEX(Tbl_KPIMaster[Direction],MATCH($G1043,Tbl_KPIMaster[KPI],0))="Lower is Better",IF($J1043&lt;=$I1043,"Green",IF($J1043&lt;=$I1043+IF($I1043=0,$K1043,$I1043*$K1043),"Amber","Red")),IF($J1043&gt;=$I1043,"Green",IF($J1043&gt;=$I1043-IF($I1043=0,$K1043,$I1043*$K1043),"Amber","Red"))),"")</f>
        <v/>
      </c>
      <c r="T1043" s="6" t="inlineStr"/>
    </row>
    <row r="1044">
      <c r="A1044" s="7" t="n">
        <v>46182</v>
      </c>
      <c r="B1044" s="8">
        <f>IF($A1044="","",TEXT($A1044,"mmm-yyyy"))</f>
        <v/>
      </c>
      <c r="C1044" s="8">
        <f>IF($A1044="","","W"&amp;WEEKNUM($A1044,2))</f>
        <v/>
      </c>
      <c r="D1044" s="8">
        <f>IF($A1044="","",TEXT($A1044,"ddd"))</f>
        <v/>
      </c>
      <c r="E1044" s="8" t="inlineStr">
        <is>
          <t>Safety</t>
        </is>
      </c>
      <c r="F1044" s="8">
        <f>IFERROR(INDEX(Tbl_KPIMaster[Category],MATCH($G1044,Tbl_KPIMaster[KPI],0)),"")</f>
        <v/>
      </c>
      <c r="G1044" s="8" t="inlineStr">
        <is>
          <t>Near Miss Reports</t>
        </is>
      </c>
      <c r="H1044" s="8">
        <f>IFERROR(INDEX(Tbl_KPIMaster[Unit],MATCH($G1044,Tbl_KPIMaster[KPI],0)),"")</f>
        <v/>
      </c>
      <c r="I1044" s="9">
        <f>IFERROR(INDEX(Tbl_KPIMaster[Maximum Target],MATCH($G1044,Tbl_KPIMaster[KPI],0)),"")</f>
        <v/>
      </c>
      <c r="J1044" s="9" t="n">
        <v>2</v>
      </c>
      <c r="K1044" s="8">
        <f>IFERROR(INDEX(Tbl_KPIMaster[Tolerance],MATCH($G1044,Tbl_KPIMaster[KPI],0)),"")</f>
        <v/>
      </c>
      <c r="L1044" s="8">
        <f>IFERROR(INDEX(Tbl_KPIMaster[Owner],MATCH($G1044,Tbl_KPIMaster[KPI],0)),"")</f>
        <v/>
      </c>
      <c r="M1044" s="10" t="inlineStr">
        <is>
          <t>Vendor delay</t>
        </is>
      </c>
      <c r="N1044" s="8" t="inlineStr"/>
      <c r="O1044" s="8" t="inlineStr">
        <is>
          <t>Low</t>
        </is>
      </c>
      <c r="P1044" s="8" t="inlineStr">
        <is>
          <t>Closed</t>
        </is>
      </c>
      <c r="Q1044" s="9">
        <f>IFERROR(IF(INDEX(Tbl_KPIMaster[Direction],MATCH($G1044,Tbl_KPIMaster[KPI],0))="Lower is Better",IF($J1044=0,1,IF($I1044=0,0,$I1044/$J1044)),IF($I1044=0,1,$J1044/$I1044)),0)</f>
        <v/>
      </c>
      <c r="R1044" s="8">
        <f>IF(OR($I1044="",$J1044=""),"",$J1044-$I1044)</f>
        <v/>
      </c>
      <c r="S1044" s="8">
        <f>IFERROR(IF(INDEX(Tbl_KPIMaster[Direction],MATCH($G1044,Tbl_KPIMaster[KPI],0))="Lower is Better",IF($J1044&lt;=$I1044,"Green",IF($J1044&lt;=$I1044+IF($I1044=0,$K1044,$I1044*$K1044),"Amber","Red")),IF($J1044&gt;=$I1044,"Green",IF($J1044&gt;=$I1044-IF($I1044=0,$K1044,$I1044*$K1044),"Amber","Red"))),"")</f>
        <v/>
      </c>
      <c r="T1044" s="10" t="inlineStr"/>
    </row>
    <row r="1045">
      <c r="A1045" s="3" t="n">
        <v>46182</v>
      </c>
      <c r="B1045" s="4">
        <f>IF($A1045="","",TEXT($A1045,"mmm-yyyy"))</f>
        <v/>
      </c>
      <c r="C1045" s="4">
        <f>IF($A1045="","","W"&amp;WEEKNUM($A1045,2))</f>
        <v/>
      </c>
      <c r="D1045" s="4">
        <f>IF($A1045="","",TEXT($A1045,"ddd"))</f>
        <v/>
      </c>
      <c r="E1045" s="4" t="inlineStr">
        <is>
          <t>Production</t>
        </is>
      </c>
      <c r="F1045" s="4">
        <f>IFERROR(INDEX(Tbl_KPIMaster[Category],MATCH($G1045,Tbl_KPIMaster[KPI],0)),"")</f>
        <v/>
      </c>
      <c r="G1045" s="4" t="inlineStr">
        <is>
          <t>Production Output</t>
        </is>
      </c>
      <c r="H1045" s="4">
        <f>IFERROR(INDEX(Tbl_KPIMaster[Unit],MATCH($G1045,Tbl_KPIMaster[KPI],0)),"")</f>
        <v/>
      </c>
      <c r="I1045" s="5">
        <f>IFERROR(INDEX(Tbl_KPIMaster[Maximum Target],MATCH($G1045,Tbl_KPIMaster[KPI],0)),"")</f>
        <v/>
      </c>
      <c r="J1045" s="5" t="n">
        <v>1070.6</v>
      </c>
      <c r="K1045" s="4">
        <f>IFERROR(INDEX(Tbl_KPIMaster[Tolerance],MATCH($G1045,Tbl_KPIMaster[KPI],0)),"")</f>
        <v/>
      </c>
      <c r="L1045" s="4">
        <f>IFERROR(INDEX(Tbl_KPIMaster[Owner],MATCH($G1045,Tbl_KPIMaster[KPI],0)),"")</f>
        <v/>
      </c>
      <c r="M1045" s="6" t="inlineStr">
        <is>
          <t>Equipment breakdown</t>
        </is>
      </c>
      <c r="N1045" s="4" t="inlineStr">
        <is>
          <t>Engineering support needed</t>
        </is>
      </c>
      <c r="O1045" s="4" t="inlineStr">
        <is>
          <t>Low</t>
        </is>
      </c>
      <c r="P1045" s="4" t="inlineStr">
        <is>
          <t>Closed</t>
        </is>
      </c>
      <c r="Q1045" s="5">
        <f>IFERROR(IF(INDEX(Tbl_KPIMaster[Direction],MATCH($G1045,Tbl_KPIMaster[KPI],0))="Lower is Better",IF($J1045=0,1,IF($I1045=0,0,$I1045/$J1045)),IF($I1045=0,1,$J1045/$I1045)),0)</f>
        <v/>
      </c>
      <c r="R1045" s="4">
        <f>IF(OR($I1045="",$J1045=""),"",$J1045-$I1045)</f>
        <v/>
      </c>
      <c r="S1045" s="4">
        <f>IFERROR(IF(INDEX(Tbl_KPIMaster[Direction],MATCH($G1045,Tbl_KPIMaster[KPI],0))="Lower is Better",IF($J1045&lt;=$I1045,"Green",IF($J1045&lt;=$I1045+IF($I1045=0,$K1045,$I1045*$K1045),"Amber","Red")),IF($J1045&gt;=$I1045,"Green",IF($J1045&gt;=$I1045-IF($I1045=0,$K1045,$I1045*$K1045),"Amber","Red"))),"")</f>
        <v/>
      </c>
      <c r="T1045" s="6" t="inlineStr"/>
    </row>
    <row r="1046">
      <c r="A1046" s="7" t="n">
        <v>46182</v>
      </c>
      <c r="B1046" s="8">
        <f>IF($A1046="","",TEXT($A1046,"mmm-yyyy"))</f>
        <v/>
      </c>
      <c r="C1046" s="8">
        <f>IF($A1046="","","W"&amp;WEEKNUM($A1046,2))</f>
        <v/>
      </c>
      <c r="D1046" s="8">
        <f>IF($A1046="","",TEXT($A1046,"ddd"))</f>
        <v/>
      </c>
      <c r="E1046" s="8" t="inlineStr">
        <is>
          <t>Production</t>
        </is>
      </c>
      <c r="F1046" s="8">
        <f>IFERROR(INDEX(Tbl_KPIMaster[Category],MATCH($G1046,Tbl_KPIMaster[KPI],0)),"")</f>
        <v/>
      </c>
      <c r="G1046" s="8" t="inlineStr">
        <is>
          <t>OEE %</t>
        </is>
      </c>
      <c r="H1046" s="8">
        <f>IFERROR(INDEX(Tbl_KPIMaster[Unit],MATCH($G1046,Tbl_KPIMaster[KPI],0)),"")</f>
        <v/>
      </c>
      <c r="I1046" s="9">
        <f>IFERROR(INDEX(Tbl_KPIMaster[Maximum Target],MATCH($G1046,Tbl_KPIMaster[KPI],0)),"")</f>
        <v/>
      </c>
      <c r="J1046" s="9" t="n">
        <v>0.7461</v>
      </c>
      <c r="K1046" s="8">
        <f>IFERROR(INDEX(Tbl_KPIMaster[Tolerance],MATCH($G1046,Tbl_KPIMaster[KPI],0)),"")</f>
        <v/>
      </c>
      <c r="L1046" s="8">
        <f>IFERROR(INDEX(Tbl_KPIMaster[Owner],MATCH($G1046,Tbl_KPIMaster[KPI],0)),"")</f>
        <v/>
      </c>
      <c r="M1046" s="10" t="inlineStr">
        <is>
          <t>Awaiting spares</t>
        </is>
      </c>
      <c r="N1046" s="8" t="inlineStr">
        <is>
          <t>Engineering support needed</t>
        </is>
      </c>
      <c r="O1046" s="8" t="inlineStr">
        <is>
          <t>Medium</t>
        </is>
      </c>
      <c r="P1046" s="8" t="inlineStr">
        <is>
          <t>Closed</t>
        </is>
      </c>
      <c r="Q1046" s="9">
        <f>IFERROR(IF(INDEX(Tbl_KPIMaster[Direction],MATCH($G1046,Tbl_KPIMaster[KPI],0))="Lower is Better",IF($J1046=0,1,IF($I1046=0,0,$I1046/$J1046)),IF($I1046=0,1,$J1046/$I1046)),0)</f>
        <v/>
      </c>
      <c r="R1046" s="8">
        <f>IF(OR($I1046="",$J1046=""),"",$J1046-$I1046)</f>
        <v/>
      </c>
      <c r="S1046" s="8">
        <f>IFERROR(IF(INDEX(Tbl_KPIMaster[Direction],MATCH($G1046,Tbl_KPIMaster[KPI],0))="Lower is Better",IF($J1046&lt;=$I1046,"Green",IF($J1046&lt;=$I1046+IF($I1046=0,$K1046,$I1046*$K1046),"Amber","Red")),IF($J1046&gt;=$I1046,"Green",IF($J1046&gt;=$I1046-IF($I1046=0,$K1046,$I1046*$K1046),"Amber","Red"))),"")</f>
        <v/>
      </c>
      <c r="T1046" s="10" t="inlineStr"/>
    </row>
    <row r="1047">
      <c r="A1047" s="3" t="n">
        <v>46182</v>
      </c>
      <c r="B1047" s="4">
        <f>IF($A1047="","",TEXT($A1047,"mmm-yyyy"))</f>
        <v/>
      </c>
      <c r="C1047" s="4">
        <f>IF($A1047="","","W"&amp;WEEKNUM($A1047,2))</f>
        <v/>
      </c>
      <c r="D1047" s="4">
        <f>IF($A1047="","",TEXT($A1047,"ddd"))</f>
        <v/>
      </c>
      <c r="E1047" s="4" t="inlineStr">
        <is>
          <t>Quality</t>
        </is>
      </c>
      <c r="F1047" s="4">
        <f>IFERROR(INDEX(Tbl_KPIMaster[Category],MATCH($G1047,Tbl_KPIMaster[KPI],0)),"")</f>
        <v/>
      </c>
      <c r="G1047" s="4" t="inlineStr">
        <is>
          <t>Defect Rate %</t>
        </is>
      </c>
      <c r="H1047" s="4">
        <f>IFERROR(INDEX(Tbl_KPIMaster[Unit],MATCH($G1047,Tbl_KPIMaster[KPI],0)),"")</f>
        <v/>
      </c>
      <c r="I1047" s="5">
        <f>IFERROR(INDEX(Tbl_KPIMaster[Maximum Target],MATCH($G1047,Tbl_KPIMaster[KPI],0)),"")</f>
        <v/>
      </c>
      <c r="J1047" s="5" t="n">
        <v>0</v>
      </c>
      <c r="K1047" s="4">
        <f>IFERROR(INDEX(Tbl_KPIMaster[Tolerance],MATCH($G1047,Tbl_KPIMaster[KPI],0)),"")</f>
        <v/>
      </c>
      <c r="L1047" s="4">
        <f>IFERROR(INDEX(Tbl_KPIMaster[Owner],MATCH($G1047,Tbl_KPIMaster[KPI],0)),"")</f>
        <v/>
      </c>
      <c r="M1047" s="6" t="inlineStr">
        <is>
          <t>Within normal range</t>
        </is>
      </c>
      <c r="N1047" s="4" t="inlineStr"/>
      <c r="O1047" s="4" t="inlineStr">
        <is>
          <t>Low</t>
        </is>
      </c>
      <c r="P1047" s="4" t="inlineStr">
        <is>
          <t>Closed</t>
        </is>
      </c>
      <c r="Q1047" s="5">
        <f>IFERROR(IF(INDEX(Tbl_KPIMaster[Direction],MATCH($G1047,Tbl_KPIMaster[KPI],0))="Lower is Better",IF($J1047=0,1,IF($I1047=0,0,$I1047/$J1047)),IF($I1047=0,1,$J1047/$I1047)),0)</f>
        <v/>
      </c>
      <c r="R1047" s="4">
        <f>IF(OR($I1047="",$J1047=""),"",$J1047-$I1047)</f>
        <v/>
      </c>
      <c r="S1047" s="4">
        <f>IFERROR(IF(INDEX(Tbl_KPIMaster[Direction],MATCH($G1047,Tbl_KPIMaster[KPI],0))="Lower is Better",IF($J1047&lt;=$I1047,"Green",IF($J1047&lt;=$I1047+IF($I1047=0,$K1047,$I1047*$K1047),"Amber","Red")),IF($J1047&gt;=$I1047,"Green",IF($J1047&gt;=$I1047-IF($I1047=0,$K1047,$I1047*$K1047),"Amber","Red"))),"")</f>
        <v/>
      </c>
      <c r="T1047" s="6" t="inlineStr"/>
    </row>
    <row r="1048">
      <c r="A1048" s="7" t="n">
        <v>46182</v>
      </c>
      <c r="B1048" s="8">
        <f>IF($A1048="","",TEXT($A1048,"mmm-yyyy"))</f>
        <v/>
      </c>
      <c r="C1048" s="8">
        <f>IF($A1048="","","W"&amp;WEEKNUM($A1048,2))</f>
        <v/>
      </c>
      <c r="D1048" s="8">
        <f>IF($A1048="","",TEXT($A1048,"ddd"))</f>
        <v/>
      </c>
      <c r="E1048" s="8" t="inlineStr">
        <is>
          <t>Quality</t>
        </is>
      </c>
      <c r="F1048" s="8">
        <f>IFERROR(INDEX(Tbl_KPIMaster[Category],MATCH($G1048,Tbl_KPIMaster[KPI],0)),"")</f>
        <v/>
      </c>
      <c r="G1048" s="8" t="inlineStr">
        <is>
          <t>Customer Complaints</t>
        </is>
      </c>
      <c r="H1048" s="8">
        <f>IFERROR(INDEX(Tbl_KPIMaster[Unit],MATCH($G1048,Tbl_KPIMaster[KPI],0)),"")</f>
        <v/>
      </c>
      <c r="I1048" s="9">
        <f>IFERROR(INDEX(Tbl_KPIMaster[Maximum Target],MATCH($G1048,Tbl_KPIMaster[KPI],0)),"")</f>
        <v/>
      </c>
      <c r="J1048" s="9" t="n">
        <v>2</v>
      </c>
      <c r="K1048" s="8">
        <f>IFERROR(INDEX(Tbl_KPIMaster[Tolerance],MATCH($G1048,Tbl_KPIMaster[KPI],0)),"")</f>
        <v/>
      </c>
      <c r="L1048" s="8">
        <f>IFERROR(INDEX(Tbl_KPIMaster[Owner],MATCH($G1048,Tbl_KPIMaster[KPI],0)),"")</f>
        <v/>
      </c>
      <c r="M1048" s="10" t="inlineStr">
        <is>
          <t>Weather impact</t>
        </is>
      </c>
      <c r="N1048" s="8" t="inlineStr"/>
      <c r="O1048" s="8" t="inlineStr">
        <is>
          <t>Low</t>
        </is>
      </c>
      <c r="P1048" s="8" t="inlineStr">
        <is>
          <t>Closed</t>
        </is>
      </c>
      <c r="Q1048" s="9">
        <f>IFERROR(IF(INDEX(Tbl_KPIMaster[Direction],MATCH($G1048,Tbl_KPIMaster[KPI],0))="Lower is Better",IF($J1048=0,1,IF($I1048=0,0,$I1048/$J1048)),IF($I1048=0,1,$J1048/$I1048)),0)</f>
        <v/>
      </c>
      <c r="R1048" s="8">
        <f>IF(OR($I1048="",$J1048=""),"",$J1048-$I1048)</f>
        <v/>
      </c>
      <c r="S1048" s="8">
        <f>IFERROR(IF(INDEX(Tbl_KPIMaster[Direction],MATCH($G1048,Tbl_KPIMaster[KPI],0))="Lower is Better",IF($J1048&lt;=$I1048,"Green",IF($J1048&lt;=$I1048+IF($I1048=0,$K1048,$I1048*$K1048),"Amber","Red")),IF($J1048&gt;=$I1048,"Green",IF($J1048&gt;=$I1048-IF($I1048=0,$K1048,$I1048*$K1048),"Amber","Red"))),"")</f>
        <v/>
      </c>
      <c r="T1048" s="10" t="inlineStr"/>
    </row>
    <row r="1049">
      <c r="A1049" s="3" t="n">
        <v>46182</v>
      </c>
      <c r="B1049" s="4">
        <f>IF($A1049="","",TEXT($A1049,"mmm-yyyy"))</f>
        <v/>
      </c>
      <c r="C1049" s="4">
        <f>IF($A1049="","","W"&amp;WEEKNUM($A1049,2))</f>
        <v/>
      </c>
      <c r="D1049" s="4">
        <f>IF($A1049="","",TEXT($A1049,"ddd"))</f>
        <v/>
      </c>
      <c r="E1049" s="4" t="inlineStr">
        <is>
          <t>Maintenance</t>
        </is>
      </c>
      <c r="F1049" s="4">
        <f>IFERROR(INDEX(Tbl_KPIMaster[Category],MATCH($G1049,Tbl_KPIMaster[KPI],0)),"")</f>
        <v/>
      </c>
      <c r="G1049" s="4" t="inlineStr">
        <is>
          <t>Unplanned Downtime</t>
        </is>
      </c>
      <c r="H1049" s="4">
        <f>IFERROR(INDEX(Tbl_KPIMaster[Unit],MATCH($G1049,Tbl_KPIMaster[KPI],0)),"")</f>
        <v/>
      </c>
      <c r="I1049" s="5">
        <f>IFERROR(INDEX(Tbl_KPIMaster[Maximum Target],MATCH($G1049,Tbl_KPIMaster[KPI],0)),"")</f>
        <v/>
      </c>
      <c r="J1049" s="5" t="n">
        <v>0</v>
      </c>
      <c r="K1049" s="4">
        <f>IFERROR(INDEX(Tbl_KPIMaster[Tolerance],MATCH($G1049,Tbl_KPIMaster[KPI],0)),"")</f>
        <v/>
      </c>
      <c r="L1049" s="4">
        <f>IFERROR(INDEX(Tbl_KPIMaster[Owner],MATCH($G1049,Tbl_KPIMaster[KPI],0)),"")</f>
        <v/>
      </c>
      <c r="M1049" s="6" t="inlineStr">
        <is>
          <t>Line changeover impact</t>
        </is>
      </c>
      <c r="N1049" s="4" t="inlineStr">
        <is>
          <t>Procurement follow-up</t>
        </is>
      </c>
      <c r="O1049" s="4" t="inlineStr">
        <is>
          <t>Low</t>
        </is>
      </c>
      <c r="P1049" s="4" t="inlineStr">
        <is>
          <t>Closed</t>
        </is>
      </c>
      <c r="Q1049" s="5">
        <f>IFERROR(IF(INDEX(Tbl_KPIMaster[Direction],MATCH($G1049,Tbl_KPIMaster[KPI],0))="Lower is Better",IF($J1049=0,1,IF($I1049=0,0,$I1049/$J1049)),IF($I1049=0,1,$J1049/$I1049)),0)</f>
        <v/>
      </c>
      <c r="R1049" s="4">
        <f>IF(OR($I1049="",$J1049=""),"",$J1049-$I1049)</f>
        <v/>
      </c>
      <c r="S1049" s="4">
        <f>IFERROR(IF(INDEX(Tbl_KPIMaster[Direction],MATCH($G1049,Tbl_KPIMaster[KPI],0))="Lower is Better",IF($J1049&lt;=$I1049,"Green",IF($J1049&lt;=$I1049+IF($I1049=0,$K1049,$I1049*$K1049),"Amber","Red")),IF($J1049&gt;=$I1049,"Green",IF($J1049&gt;=$I1049-IF($I1049=0,$K1049,$I1049*$K1049),"Amber","Red"))),"")</f>
        <v/>
      </c>
      <c r="T1049" s="6" t="inlineStr"/>
    </row>
    <row r="1050">
      <c r="A1050" s="7" t="n">
        <v>46182</v>
      </c>
      <c r="B1050" s="8">
        <f>IF($A1050="","",TEXT($A1050,"mmm-yyyy"))</f>
        <v/>
      </c>
      <c r="C1050" s="8">
        <f>IF($A1050="","","W"&amp;WEEKNUM($A1050,2))</f>
        <v/>
      </c>
      <c r="D1050" s="8">
        <f>IF($A1050="","",TEXT($A1050,"ddd"))</f>
        <v/>
      </c>
      <c r="E1050" s="8" t="inlineStr">
        <is>
          <t>Maintenance</t>
        </is>
      </c>
      <c r="F1050" s="8">
        <f>IFERROR(INDEX(Tbl_KPIMaster[Category],MATCH($G1050,Tbl_KPIMaster[KPI],0)),"")</f>
        <v/>
      </c>
      <c r="G1050" s="8" t="inlineStr">
        <is>
          <t>PM Compliance %</t>
        </is>
      </c>
      <c r="H1050" s="8">
        <f>IFERROR(INDEX(Tbl_KPIMaster[Unit],MATCH($G1050,Tbl_KPIMaster[KPI],0)),"")</f>
        <v/>
      </c>
      <c r="I1050" s="9">
        <f>IFERROR(INDEX(Tbl_KPIMaster[Maximum Target],MATCH($G1050,Tbl_KPIMaster[KPI],0)),"")</f>
        <v/>
      </c>
      <c r="J1050" s="9" t="n">
        <v>1.0043</v>
      </c>
      <c r="K1050" s="8">
        <f>IFERROR(INDEX(Tbl_KPIMaster[Tolerance],MATCH($G1050,Tbl_KPIMaster[KPI],0)),"")</f>
        <v/>
      </c>
      <c r="L1050" s="8">
        <f>IFERROR(INDEX(Tbl_KPIMaster[Owner],MATCH($G1050,Tbl_KPIMaster[KPI],0)),"")</f>
        <v/>
      </c>
      <c r="M1050" s="10" t="inlineStr">
        <is>
          <t>Preventive check done</t>
        </is>
      </c>
      <c r="N1050" s="8" t="inlineStr"/>
      <c r="O1050" s="8" t="inlineStr">
        <is>
          <t>Low</t>
        </is>
      </c>
      <c r="P1050" s="8" t="inlineStr">
        <is>
          <t>In Progress</t>
        </is>
      </c>
      <c r="Q1050" s="9">
        <f>IFERROR(IF(INDEX(Tbl_KPIMaster[Direction],MATCH($G1050,Tbl_KPIMaster[KPI],0))="Lower is Better",IF($J1050=0,1,IF($I1050=0,0,$I1050/$J1050)),IF($I1050=0,1,$J1050/$I1050)),0)</f>
        <v/>
      </c>
      <c r="R1050" s="8">
        <f>IF(OR($I1050="",$J1050=""),"",$J1050-$I1050)</f>
        <v/>
      </c>
      <c r="S1050" s="8">
        <f>IFERROR(IF(INDEX(Tbl_KPIMaster[Direction],MATCH($G1050,Tbl_KPIMaster[KPI],0))="Lower is Better",IF($J1050&lt;=$I1050,"Green",IF($J1050&lt;=$I1050+IF($I1050=0,$K1050,$I1050*$K1050),"Amber","Red")),IF($J1050&gt;=$I1050,"Green",IF($J1050&gt;=$I1050-IF($I1050=0,$K1050,$I1050*$K1050),"Amber","Red"))),"")</f>
        <v/>
      </c>
      <c r="T1050" s="10" t="inlineStr"/>
    </row>
    <row r="1051">
      <c r="A1051" s="3" t="n">
        <v>46182</v>
      </c>
      <c r="B1051" s="4">
        <f>IF($A1051="","",TEXT($A1051,"mmm-yyyy"))</f>
        <v/>
      </c>
      <c r="C1051" s="4">
        <f>IF($A1051="","","W"&amp;WEEKNUM($A1051,2))</f>
        <v/>
      </c>
      <c r="D1051" s="4">
        <f>IF($A1051="","",TEXT($A1051,"ddd"))</f>
        <v/>
      </c>
      <c r="E1051" s="4" t="inlineStr">
        <is>
          <t>Utilities</t>
        </is>
      </c>
      <c r="F1051" s="4">
        <f>IFERROR(INDEX(Tbl_KPIMaster[Category],MATCH($G1051,Tbl_KPIMaster[KPI],0)),"")</f>
        <v/>
      </c>
      <c r="G1051" s="4" t="inlineStr">
        <is>
          <t>Power Consumption</t>
        </is>
      </c>
      <c r="H1051" s="4">
        <f>IFERROR(INDEX(Tbl_KPIMaster[Unit],MATCH($G1051,Tbl_KPIMaster[KPI],0)),"")</f>
        <v/>
      </c>
      <c r="I1051" s="5">
        <f>IFERROR(INDEX(Tbl_KPIMaster[Maximum Target],MATCH($G1051,Tbl_KPIMaster[KPI],0)),"")</f>
        <v/>
      </c>
      <c r="J1051" s="5" t="n">
        <v>3896.96</v>
      </c>
      <c r="K1051" s="4">
        <f>IFERROR(INDEX(Tbl_KPIMaster[Tolerance],MATCH($G1051,Tbl_KPIMaster[KPI],0)),"")</f>
        <v/>
      </c>
      <c r="L1051" s="4">
        <f>IFERROR(INDEX(Tbl_KPIMaster[Owner],MATCH($G1051,Tbl_KPIMaster[KPI],0)),"")</f>
        <v/>
      </c>
      <c r="M1051" s="6" t="inlineStr"/>
      <c r="N1051" s="4" t="inlineStr"/>
      <c r="O1051" s="4" t="inlineStr">
        <is>
          <t>Low</t>
        </is>
      </c>
      <c r="P1051" s="4" t="inlineStr">
        <is>
          <t>In Progress</t>
        </is>
      </c>
      <c r="Q1051" s="5">
        <f>IFERROR(IF(INDEX(Tbl_KPIMaster[Direction],MATCH($G1051,Tbl_KPIMaster[KPI],0))="Lower is Better",IF($J1051=0,1,IF($I1051=0,0,$I1051/$J1051)),IF($I1051=0,1,$J1051/$I1051)),0)</f>
        <v/>
      </c>
      <c r="R1051" s="4">
        <f>IF(OR($I1051="",$J1051=""),"",$J1051-$I1051)</f>
        <v/>
      </c>
      <c r="S1051" s="4">
        <f>IFERROR(IF(INDEX(Tbl_KPIMaster[Direction],MATCH($G1051,Tbl_KPIMaster[KPI],0))="Lower is Better",IF($J1051&lt;=$I1051,"Green",IF($J1051&lt;=$I1051+IF($I1051=0,$K1051,$I1051*$K1051),"Amber","Red")),IF($J1051&gt;=$I1051,"Green",IF($J1051&gt;=$I1051-IF($I1051=0,$K1051,$I1051*$K1051),"Amber","Red"))),"")</f>
        <v/>
      </c>
      <c r="T1051" s="6" t="inlineStr"/>
    </row>
    <row r="1052">
      <c r="A1052" s="7" t="n">
        <v>46182</v>
      </c>
      <c r="B1052" s="8">
        <f>IF($A1052="","",TEXT($A1052,"mmm-yyyy"))</f>
        <v/>
      </c>
      <c r="C1052" s="8">
        <f>IF($A1052="","","W"&amp;WEEKNUM($A1052,2))</f>
        <v/>
      </c>
      <c r="D1052" s="8">
        <f>IF($A1052="","",TEXT($A1052,"ddd"))</f>
        <v/>
      </c>
      <c r="E1052" s="8" t="inlineStr">
        <is>
          <t>Utilities</t>
        </is>
      </c>
      <c r="F1052" s="8">
        <f>IFERROR(INDEX(Tbl_KPIMaster[Category],MATCH($G1052,Tbl_KPIMaster[KPI],0)),"")</f>
        <v/>
      </c>
      <c r="G1052" s="8" t="inlineStr">
        <is>
          <t>Water Consumption</t>
        </is>
      </c>
      <c r="H1052" s="8">
        <f>IFERROR(INDEX(Tbl_KPIMaster[Unit],MATCH($G1052,Tbl_KPIMaster[KPI],0)),"")</f>
        <v/>
      </c>
      <c r="I1052" s="9">
        <f>IFERROR(INDEX(Tbl_KPIMaster[Maximum Target],MATCH($G1052,Tbl_KPIMaster[KPI],0)),"")</f>
        <v/>
      </c>
      <c r="J1052" s="9" t="n">
        <v>43.17</v>
      </c>
      <c r="K1052" s="8">
        <f>IFERROR(INDEX(Tbl_KPIMaster[Tolerance],MATCH($G1052,Tbl_KPIMaster[KPI],0)),"")</f>
        <v/>
      </c>
      <c r="L1052" s="8">
        <f>IFERROR(INDEX(Tbl_KPIMaster[Owner],MATCH($G1052,Tbl_KPIMaster[KPI],0)),"")</f>
        <v/>
      </c>
      <c r="M1052" s="10" t="inlineStr">
        <is>
          <t>Vendor delay</t>
        </is>
      </c>
      <c r="N1052" s="8" t="inlineStr"/>
      <c r="O1052" s="8" t="inlineStr">
        <is>
          <t>Medium</t>
        </is>
      </c>
      <c r="P1052" s="8" t="inlineStr">
        <is>
          <t>Closed</t>
        </is>
      </c>
      <c r="Q1052" s="9">
        <f>IFERROR(IF(INDEX(Tbl_KPIMaster[Direction],MATCH($G1052,Tbl_KPIMaster[KPI],0))="Lower is Better",IF($J1052=0,1,IF($I1052=0,0,$I1052/$J1052)),IF($I1052=0,1,$J1052/$I1052)),0)</f>
        <v/>
      </c>
      <c r="R1052" s="8">
        <f>IF(OR($I1052="",$J1052=""),"",$J1052-$I1052)</f>
        <v/>
      </c>
      <c r="S1052" s="8">
        <f>IFERROR(IF(INDEX(Tbl_KPIMaster[Direction],MATCH($G1052,Tbl_KPIMaster[KPI],0))="Lower is Better",IF($J1052&lt;=$I1052,"Green",IF($J1052&lt;=$I1052+IF($I1052=0,$K1052,$I1052*$K1052),"Amber","Red")),IF($J1052&gt;=$I1052,"Green",IF($J1052&gt;=$I1052-IF($I1052=0,$K1052,$I1052*$K1052),"Amber","Red"))),"")</f>
        <v/>
      </c>
      <c r="T1052" s="10" t="inlineStr"/>
    </row>
    <row r="1053">
      <c r="A1053" s="3" t="n">
        <v>46182</v>
      </c>
      <c r="B1053" s="4">
        <f>IF($A1053="","",TEXT($A1053,"mmm-yyyy"))</f>
        <v/>
      </c>
      <c r="C1053" s="4">
        <f>IF($A1053="","","W"&amp;WEEKNUM($A1053,2))</f>
        <v/>
      </c>
      <c r="D1053" s="4">
        <f>IF($A1053="","",TEXT($A1053,"ddd"))</f>
        <v/>
      </c>
      <c r="E1053" s="4" t="inlineStr">
        <is>
          <t>Warehouse</t>
        </is>
      </c>
      <c r="F1053" s="4">
        <f>IFERROR(INDEX(Tbl_KPIMaster[Category],MATCH($G1053,Tbl_KPIMaster[KPI],0)),"")</f>
        <v/>
      </c>
      <c r="G1053" s="4" t="inlineStr">
        <is>
          <t>On-Time Dispatch %</t>
        </is>
      </c>
      <c r="H1053" s="4">
        <f>IFERROR(INDEX(Tbl_KPIMaster[Unit],MATCH($G1053,Tbl_KPIMaster[KPI],0)),"")</f>
        <v/>
      </c>
      <c r="I1053" s="5">
        <f>IFERROR(INDEX(Tbl_KPIMaster[Maximum Target],MATCH($G1053,Tbl_KPIMaster[KPI],0)),"")</f>
        <v/>
      </c>
      <c r="J1053" s="5" t="n">
        <v>0.9543</v>
      </c>
      <c r="K1053" s="4">
        <f>IFERROR(INDEX(Tbl_KPIMaster[Tolerance],MATCH($G1053,Tbl_KPIMaster[KPI],0)),"")</f>
        <v/>
      </c>
      <c r="L1053" s="4">
        <f>IFERROR(INDEX(Tbl_KPIMaster[Owner],MATCH($G1053,Tbl_KPIMaster[KPI],0)),"")</f>
        <v/>
      </c>
      <c r="M1053" s="6" t="inlineStr">
        <is>
          <t>Line changeover impact</t>
        </is>
      </c>
      <c r="N1053" s="4" t="inlineStr"/>
      <c r="O1053" s="4" t="inlineStr">
        <is>
          <t>Low</t>
        </is>
      </c>
      <c r="P1053" s="4" t="inlineStr">
        <is>
          <t>In Progress</t>
        </is>
      </c>
      <c r="Q1053" s="5">
        <f>IFERROR(IF(INDEX(Tbl_KPIMaster[Direction],MATCH($G1053,Tbl_KPIMaster[KPI],0))="Lower is Better",IF($J1053=0,1,IF($I1053=0,0,$I1053/$J1053)),IF($I1053=0,1,$J1053/$I1053)),0)</f>
        <v/>
      </c>
      <c r="R1053" s="4">
        <f>IF(OR($I1053="",$J1053=""),"",$J1053-$I1053)</f>
        <v/>
      </c>
      <c r="S1053" s="4">
        <f>IFERROR(IF(INDEX(Tbl_KPIMaster[Direction],MATCH($G1053,Tbl_KPIMaster[KPI],0))="Lower is Better",IF($J1053&lt;=$I1053,"Green",IF($J1053&lt;=$I1053+IF($I1053=0,$K1053,$I1053*$K1053),"Amber","Red")),IF($J1053&gt;=$I1053,"Green",IF($J1053&gt;=$I1053-IF($I1053=0,$K1053,$I1053*$K1053),"Amber","Red"))),"")</f>
        <v/>
      </c>
      <c r="T1053" s="6" t="inlineStr"/>
    </row>
    <row r="1054">
      <c r="A1054" s="7" t="n">
        <v>46182</v>
      </c>
      <c r="B1054" s="8">
        <f>IF($A1054="","",TEXT($A1054,"mmm-yyyy"))</f>
        <v/>
      </c>
      <c r="C1054" s="8">
        <f>IF($A1054="","","W"&amp;WEEKNUM($A1054,2))</f>
        <v/>
      </c>
      <c r="D1054" s="8">
        <f>IF($A1054="","",TEXT($A1054,"ddd"))</f>
        <v/>
      </c>
      <c r="E1054" s="8" t="inlineStr">
        <is>
          <t>Warehouse</t>
        </is>
      </c>
      <c r="F1054" s="8">
        <f>IFERROR(INDEX(Tbl_KPIMaster[Category],MATCH($G1054,Tbl_KPIMaster[KPI],0)),"")</f>
        <v/>
      </c>
      <c r="G1054" s="8" t="inlineStr">
        <is>
          <t>Inventory Accuracy %</t>
        </is>
      </c>
      <c r="H1054" s="8">
        <f>IFERROR(INDEX(Tbl_KPIMaster[Unit],MATCH($G1054,Tbl_KPIMaster[KPI],0)),"")</f>
        <v/>
      </c>
      <c r="I1054" s="9">
        <f>IFERROR(INDEX(Tbl_KPIMaster[Maximum Target],MATCH($G1054,Tbl_KPIMaster[KPI],0)),"")</f>
        <v/>
      </c>
      <c r="J1054" s="9" t="n">
        <v>0.9482</v>
      </c>
      <c r="K1054" s="8">
        <f>IFERROR(INDEX(Tbl_KPIMaster[Tolerance],MATCH($G1054,Tbl_KPIMaster[KPI],0)),"")</f>
        <v/>
      </c>
      <c r="L1054" s="8">
        <f>IFERROR(INDEX(Tbl_KPIMaster[Owner],MATCH($G1054,Tbl_KPIMaster[KPI],0)),"")</f>
        <v/>
      </c>
      <c r="M1054" s="10" t="inlineStr">
        <is>
          <t>Preventive check done</t>
        </is>
      </c>
      <c r="N1054" s="8" t="inlineStr">
        <is>
          <t>Engineering support needed</t>
        </is>
      </c>
      <c r="O1054" s="8" t="inlineStr">
        <is>
          <t>High</t>
        </is>
      </c>
      <c r="P1054" s="8" t="inlineStr">
        <is>
          <t>In Progress</t>
        </is>
      </c>
      <c r="Q1054" s="9">
        <f>IFERROR(IF(INDEX(Tbl_KPIMaster[Direction],MATCH($G1054,Tbl_KPIMaster[KPI],0))="Lower is Better",IF($J1054=0,1,IF($I1054=0,0,$I1054/$J1054)),IF($I1054=0,1,$J1054/$I1054)),0)</f>
        <v/>
      </c>
      <c r="R1054" s="8">
        <f>IF(OR($I1054="",$J1054=""),"",$J1054-$I1054)</f>
        <v/>
      </c>
      <c r="S1054" s="8">
        <f>IFERROR(IF(INDEX(Tbl_KPIMaster[Direction],MATCH($G1054,Tbl_KPIMaster[KPI],0))="Lower is Better",IF($J1054&lt;=$I1054,"Green",IF($J1054&lt;=$I1054+IF($I1054=0,$K1054,$I1054*$K1054),"Amber","Red")),IF($J1054&gt;=$I1054,"Green",IF($J1054&gt;=$I1054-IF($I1054=0,$K1054,$I1054*$K1054),"Amber","Red"))),"")</f>
        <v/>
      </c>
      <c r="T1054" s="10" t="inlineStr"/>
    </row>
    <row r="1055">
      <c r="A1055" s="3" t="n">
        <v>46182</v>
      </c>
      <c r="B1055" s="4">
        <f>IF($A1055="","",TEXT($A1055,"mmm-yyyy"))</f>
        <v/>
      </c>
      <c r="C1055" s="4">
        <f>IF($A1055="","","W"&amp;WEEKNUM($A1055,2))</f>
        <v/>
      </c>
      <c r="D1055" s="4">
        <f>IF($A1055="","",TEXT($A1055,"ddd"))</f>
        <v/>
      </c>
      <c r="E1055" s="4" t="inlineStr">
        <is>
          <t>HR</t>
        </is>
      </c>
      <c r="F1055" s="4">
        <f>IFERROR(INDEX(Tbl_KPIMaster[Category],MATCH($G1055,Tbl_KPIMaster[KPI],0)),"")</f>
        <v/>
      </c>
      <c r="G1055" s="4" t="inlineStr">
        <is>
          <t>Absenteeism %</t>
        </is>
      </c>
      <c r="H1055" s="4">
        <f>IFERROR(INDEX(Tbl_KPIMaster[Unit],MATCH($G1055,Tbl_KPIMaster[KPI],0)),"")</f>
        <v/>
      </c>
      <c r="I1055" s="5">
        <f>IFERROR(INDEX(Tbl_KPIMaster[Maximum Target],MATCH($G1055,Tbl_KPIMaster[KPI],0)),"")</f>
        <v/>
      </c>
      <c r="J1055" s="5" t="n">
        <v>0.6991000000000001</v>
      </c>
      <c r="K1055" s="4">
        <f>IFERROR(INDEX(Tbl_KPIMaster[Tolerance],MATCH($G1055,Tbl_KPIMaster[KPI],0)),"")</f>
        <v/>
      </c>
      <c r="L1055" s="4">
        <f>IFERROR(INDEX(Tbl_KPIMaster[Owner],MATCH($G1055,Tbl_KPIMaster[KPI],0)),"")</f>
        <v/>
      </c>
      <c r="M1055" s="6" t="inlineStr">
        <is>
          <t>Within normal range</t>
        </is>
      </c>
      <c r="N1055" s="4" t="inlineStr"/>
      <c r="O1055" s="4" t="inlineStr">
        <is>
          <t>Low</t>
        </is>
      </c>
      <c r="P1055" s="4" t="inlineStr">
        <is>
          <t>Closed</t>
        </is>
      </c>
      <c r="Q1055" s="5">
        <f>IFERROR(IF(INDEX(Tbl_KPIMaster[Direction],MATCH($G1055,Tbl_KPIMaster[KPI],0))="Lower is Better",IF($J1055=0,1,IF($I1055=0,0,$I1055/$J1055)),IF($I1055=0,1,$J1055/$I1055)),0)</f>
        <v/>
      </c>
      <c r="R1055" s="4">
        <f>IF(OR($I1055="",$J1055=""),"",$J1055-$I1055)</f>
        <v/>
      </c>
      <c r="S1055" s="4">
        <f>IFERROR(IF(INDEX(Tbl_KPIMaster[Direction],MATCH($G1055,Tbl_KPIMaster[KPI],0))="Lower is Better",IF($J1055&lt;=$I1055,"Green",IF($J1055&lt;=$I1055+IF($I1055=0,$K1055,$I1055*$K1055),"Amber","Red")),IF($J1055&gt;=$I1055,"Green",IF($J1055&gt;=$I1055-IF($I1055=0,$K1055,$I1055*$K1055),"Amber","Red"))),"")</f>
        <v/>
      </c>
      <c r="T1055" s="6" t="inlineStr"/>
    </row>
    <row r="1056">
      <c r="A1056" s="7" t="n">
        <v>46182</v>
      </c>
      <c r="B1056" s="8">
        <f>IF($A1056="","",TEXT($A1056,"mmm-yyyy"))</f>
        <v/>
      </c>
      <c r="C1056" s="8">
        <f>IF($A1056="","","W"&amp;WEEKNUM($A1056,2))</f>
        <v/>
      </c>
      <c r="D1056" s="8">
        <f>IF($A1056="","",TEXT($A1056,"ddd"))</f>
        <v/>
      </c>
      <c r="E1056" s="8" t="inlineStr">
        <is>
          <t>HR</t>
        </is>
      </c>
      <c r="F1056" s="8">
        <f>IFERROR(INDEX(Tbl_KPIMaster[Category],MATCH($G1056,Tbl_KPIMaster[KPI],0)),"")</f>
        <v/>
      </c>
      <c r="G1056" s="8" t="inlineStr">
        <is>
          <t>Training Hours</t>
        </is>
      </c>
      <c r="H1056" s="8">
        <f>IFERROR(INDEX(Tbl_KPIMaster[Unit],MATCH($G1056,Tbl_KPIMaster[KPI],0)),"")</f>
        <v/>
      </c>
      <c r="I1056" s="9">
        <f>IFERROR(INDEX(Tbl_KPIMaster[Maximum Target],MATCH($G1056,Tbl_KPIMaster[KPI],0)),"")</f>
        <v/>
      </c>
      <c r="J1056" s="9" t="n">
        <v>1.88</v>
      </c>
      <c r="K1056" s="8">
        <f>IFERROR(INDEX(Tbl_KPIMaster[Tolerance],MATCH($G1056,Tbl_KPIMaster[KPI],0)),"")</f>
        <v/>
      </c>
      <c r="L1056" s="8">
        <f>IFERROR(INDEX(Tbl_KPIMaster[Owner],MATCH($G1056,Tbl_KPIMaster[KPI],0)),"")</f>
        <v/>
      </c>
      <c r="M1056" s="10" t="inlineStr">
        <is>
          <t>Manpower shortage</t>
        </is>
      </c>
      <c r="N1056" s="8" t="inlineStr">
        <is>
          <t>Engineering support needed</t>
        </is>
      </c>
      <c r="O1056" s="8" t="inlineStr">
        <is>
          <t>Medium</t>
        </is>
      </c>
      <c r="P1056" s="8" t="inlineStr">
        <is>
          <t>Closed</t>
        </is>
      </c>
      <c r="Q1056" s="9">
        <f>IFERROR(IF(INDEX(Tbl_KPIMaster[Direction],MATCH($G1056,Tbl_KPIMaster[KPI],0))="Lower is Better",IF($J1056=0,1,IF($I1056=0,0,$I1056/$J1056)),IF($I1056=0,1,$J1056/$I1056)),0)</f>
        <v/>
      </c>
      <c r="R1056" s="8">
        <f>IF(OR($I1056="",$J1056=""),"",$J1056-$I1056)</f>
        <v/>
      </c>
      <c r="S1056" s="8">
        <f>IFERROR(IF(INDEX(Tbl_KPIMaster[Direction],MATCH($G1056,Tbl_KPIMaster[KPI],0))="Lower is Better",IF($J1056&lt;=$I1056,"Green",IF($J1056&lt;=$I1056+IF($I1056=0,$K1056,$I1056*$K1056),"Amber","Red")),IF($J1056&gt;=$I1056,"Green",IF($J1056&gt;=$I1056-IF($I1056=0,$K1056,$I1056*$K1056),"Amber","Red"))),"")</f>
        <v/>
      </c>
      <c r="T1056" s="10" t="inlineStr"/>
    </row>
    <row r="1057">
      <c r="A1057" s="3" t="n">
        <v>46182</v>
      </c>
      <c r="B1057" s="4">
        <f>IF($A1057="","",TEXT($A1057,"mmm-yyyy"))</f>
        <v/>
      </c>
      <c r="C1057" s="4">
        <f>IF($A1057="","","W"&amp;WEEKNUM($A1057,2))</f>
        <v/>
      </c>
      <c r="D1057" s="4">
        <f>IF($A1057="","",TEXT($A1057,"ddd"))</f>
        <v/>
      </c>
      <c r="E1057" s="4" t="inlineStr">
        <is>
          <t>Engineering</t>
        </is>
      </c>
      <c r="F1057" s="4">
        <f>IFERROR(INDEX(Tbl_KPIMaster[Category],MATCH($G1057,Tbl_KPIMaster[KPI],0)),"")</f>
        <v/>
      </c>
      <c r="G1057" s="4" t="inlineStr">
        <is>
          <t>Project Milestone Adherence %</t>
        </is>
      </c>
      <c r="H1057" s="4">
        <f>IFERROR(INDEX(Tbl_KPIMaster[Unit],MATCH($G1057,Tbl_KPIMaster[KPI],0)),"")</f>
        <v/>
      </c>
      <c r="I1057" s="5">
        <f>IFERROR(INDEX(Tbl_KPIMaster[Maximum Target],MATCH($G1057,Tbl_KPIMaster[KPI],0)),"")</f>
        <v/>
      </c>
      <c r="J1057" s="5" t="n">
        <v>0.9954</v>
      </c>
      <c r="K1057" s="4">
        <f>IFERROR(INDEX(Tbl_KPIMaster[Tolerance],MATCH($G1057,Tbl_KPIMaster[KPI],0)),"")</f>
        <v/>
      </c>
      <c r="L1057" s="4">
        <f>IFERROR(INDEX(Tbl_KPIMaster[Owner],MATCH($G1057,Tbl_KPIMaster[KPI],0)),"")</f>
        <v/>
      </c>
      <c r="M1057" s="6" t="inlineStr">
        <is>
          <t>Line changeover impact</t>
        </is>
      </c>
      <c r="N1057" s="4" t="inlineStr"/>
      <c r="O1057" s="4" t="inlineStr">
        <is>
          <t>Low</t>
        </is>
      </c>
      <c r="P1057" s="4" t="inlineStr">
        <is>
          <t>Closed</t>
        </is>
      </c>
      <c r="Q1057" s="5">
        <f>IFERROR(IF(INDEX(Tbl_KPIMaster[Direction],MATCH($G1057,Tbl_KPIMaster[KPI],0))="Lower is Better",IF($J1057=0,1,IF($I1057=0,0,$I1057/$J1057)),IF($I1057=0,1,$J1057/$I1057)),0)</f>
        <v/>
      </c>
      <c r="R1057" s="4">
        <f>IF(OR($I1057="",$J1057=""),"",$J1057-$I1057)</f>
        <v/>
      </c>
      <c r="S1057" s="4">
        <f>IFERROR(IF(INDEX(Tbl_KPIMaster[Direction],MATCH($G1057,Tbl_KPIMaster[KPI],0))="Lower is Better",IF($J1057&lt;=$I1057,"Green",IF($J1057&lt;=$I1057+IF($I1057=0,$K1057,$I1057*$K1057),"Amber","Red")),IF($J1057&gt;=$I1057,"Green",IF($J1057&gt;=$I1057-IF($I1057=0,$K1057,$I1057*$K1057),"Amber","Red"))),"")</f>
        <v/>
      </c>
      <c r="T1057" s="6" t="inlineStr"/>
    </row>
    <row r="1058">
      <c r="A1058" s="7" t="n">
        <v>46182</v>
      </c>
      <c r="B1058" s="8">
        <f>IF($A1058="","",TEXT($A1058,"mmm-yyyy"))</f>
        <v/>
      </c>
      <c r="C1058" s="8">
        <f>IF($A1058="","","W"&amp;WEEKNUM($A1058,2))</f>
        <v/>
      </c>
      <c r="D1058" s="8">
        <f>IF($A1058="","",TEXT($A1058,"ddd"))</f>
        <v/>
      </c>
      <c r="E1058" s="8" t="inlineStr">
        <is>
          <t>Engineering</t>
        </is>
      </c>
      <c r="F1058" s="8">
        <f>IFERROR(INDEX(Tbl_KPIMaster[Category],MATCH($G1058,Tbl_KPIMaster[KPI],0)),"")</f>
        <v/>
      </c>
      <c r="G1058" s="8" t="inlineStr">
        <is>
          <t>Breakdown Resolution Time</t>
        </is>
      </c>
      <c r="H1058" s="8">
        <f>IFERROR(INDEX(Tbl_KPIMaster[Unit],MATCH($G1058,Tbl_KPIMaster[KPI],0)),"")</f>
        <v/>
      </c>
      <c r="I1058" s="9">
        <f>IFERROR(INDEX(Tbl_KPIMaster[Maximum Target],MATCH($G1058,Tbl_KPIMaster[KPI],0)),"")</f>
        <v/>
      </c>
      <c r="J1058" s="9" t="n">
        <v>0</v>
      </c>
      <c r="K1058" s="8">
        <f>IFERROR(INDEX(Tbl_KPIMaster[Tolerance],MATCH($G1058,Tbl_KPIMaster[KPI],0)),"")</f>
        <v/>
      </c>
      <c r="L1058" s="8">
        <f>IFERROR(INDEX(Tbl_KPIMaster[Owner],MATCH($G1058,Tbl_KPIMaster[KPI],0)),"")</f>
        <v/>
      </c>
      <c r="M1058" s="10" t="inlineStr">
        <is>
          <t>Process improvement in progress</t>
        </is>
      </c>
      <c r="N1058" s="8" t="inlineStr"/>
      <c r="O1058" s="8" t="inlineStr">
        <is>
          <t>Low</t>
        </is>
      </c>
      <c r="P1058" s="8" t="inlineStr">
        <is>
          <t>Closed</t>
        </is>
      </c>
      <c r="Q1058" s="9">
        <f>IFERROR(IF(INDEX(Tbl_KPIMaster[Direction],MATCH($G1058,Tbl_KPIMaster[KPI],0))="Lower is Better",IF($J1058=0,1,IF($I1058=0,0,$I1058/$J1058)),IF($I1058=0,1,$J1058/$I1058)),0)</f>
        <v/>
      </c>
      <c r="R1058" s="8">
        <f>IF(OR($I1058="",$J1058=""),"",$J1058-$I1058)</f>
        <v/>
      </c>
      <c r="S1058" s="8">
        <f>IFERROR(IF(INDEX(Tbl_KPIMaster[Direction],MATCH($G1058,Tbl_KPIMaster[KPI],0))="Lower is Better",IF($J1058&lt;=$I1058,"Green",IF($J1058&lt;=$I1058+IF($I1058=0,$K1058,$I1058*$K1058),"Amber","Red")),IF($J1058&gt;=$I1058,"Green",IF($J1058&gt;=$I1058-IF($I1058=0,$K1058,$I1058*$K1058),"Amber","Red"))),"")</f>
        <v/>
      </c>
      <c r="T1058" s="10" t="inlineStr"/>
    </row>
    <row r="1059">
      <c r="A1059" s="3" t="n">
        <v>46182</v>
      </c>
      <c r="B1059" s="4">
        <f>IF($A1059="","",TEXT($A1059,"mmm-yyyy"))</f>
        <v/>
      </c>
      <c r="C1059" s="4">
        <f>IF($A1059="","","W"&amp;WEEKNUM($A1059,2))</f>
        <v/>
      </c>
      <c r="D1059" s="4">
        <f>IF($A1059="","",TEXT($A1059,"ddd"))</f>
        <v/>
      </c>
      <c r="E1059" s="4" t="inlineStr">
        <is>
          <t>Cost</t>
        </is>
      </c>
      <c r="F1059" s="4">
        <f>IFERROR(INDEX(Tbl_KPIMaster[Category],MATCH($G1059,Tbl_KPIMaster[KPI],0)),"")</f>
        <v/>
      </c>
      <c r="G1059" s="4" t="inlineStr">
        <is>
          <t>Cost per Unit</t>
        </is>
      </c>
      <c r="H1059" s="4">
        <f>IFERROR(INDEX(Tbl_KPIMaster[Unit],MATCH($G1059,Tbl_KPIMaster[KPI],0)),"")</f>
        <v/>
      </c>
      <c r="I1059" s="5">
        <f>IFERROR(INDEX(Tbl_KPIMaster[Maximum Target],MATCH($G1059,Tbl_KPIMaster[KPI],0)),"")</f>
        <v/>
      </c>
      <c r="J1059" s="5" t="n">
        <v>51.59</v>
      </c>
      <c r="K1059" s="4">
        <f>IFERROR(INDEX(Tbl_KPIMaster[Tolerance],MATCH($G1059,Tbl_KPIMaster[KPI],0)),"")</f>
        <v/>
      </c>
      <c r="L1059" s="4">
        <f>IFERROR(INDEX(Tbl_KPIMaster[Owner],MATCH($G1059,Tbl_KPIMaster[KPI],0)),"")</f>
        <v/>
      </c>
      <c r="M1059" s="6" t="inlineStr">
        <is>
          <t>Manpower shortage</t>
        </is>
      </c>
      <c r="N1059" s="4" t="inlineStr"/>
      <c r="O1059" s="4" t="inlineStr">
        <is>
          <t>Low</t>
        </is>
      </c>
      <c r="P1059" s="4" t="inlineStr">
        <is>
          <t>In Progress</t>
        </is>
      </c>
      <c r="Q1059" s="5">
        <f>IFERROR(IF(INDEX(Tbl_KPIMaster[Direction],MATCH($G1059,Tbl_KPIMaster[KPI],0))="Lower is Better",IF($J1059=0,1,IF($I1059=0,0,$I1059/$J1059)),IF($I1059=0,1,$J1059/$I1059)),0)</f>
        <v/>
      </c>
      <c r="R1059" s="4">
        <f>IF(OR($I1059="",$J1059=""),"",$J1059-$I1059)</f>
        <v/>
      </c>
      <c r="S1059" s="4">
        <f>IFERROR(IF(INDEX(Tbl_KPIMaster[Direction],MATCH($G1059,Tbl_KPIMaster[KPI],0))="Lower is Better",IF($J1059&lt;=$I1059,"Green",IF($J1059&lt;=$I1059+IF($I1059=0,$K1059,$I1059*$K1059),"Amber","Red")),IF($J1059&gt;=$I1059,"Green",IF($J1059&gt;=$I1059-IF($I1059=0,$K1059,$I1059*$K1059),"Amber","Red"))),"")</f>
        <v/>
      </c>
      <c r="T1059" s="6" t="inlineStr"/>
    </row>
    <row r="1060">
      <c r="A1060" s="7" t="n">
        <v>46182</v>
      </c>
      <c r="B1060" s="8">
        <f>IF($A1060="","",TEXT($A1060,"mmm-yyyy"))</f>
        <v/>
      </c>
      <c r="C1060" s="8">
        <f>IF($A1060="","","W"&amp;WEEKNUM($A1060,2))</f>
        <v/>
      </c>
      <c r="D1060" s="8">
        <f>IF($A1060="","",TEXT($A1060,"ddd"))</f>
        <v/>
      </c>
      <c r="E1060" s="8" t="inlineStr">
        <is>
          <t>Cost</t>
        </is>
      </c>
      <c r="F1060" s="8">
        <f>IFERROR(INDEX(Tbl_KPIMaster[Category],MATCH($G1060,Tbl_KPIMaster[KPI],0)),"")</f>
        <v/>
      </c>
      <c r="G1060" s="8" t="inlineStr">
        <is>
          <t>Budget Variance %</t>
        </is>
      </c>
      <c r="H1060" s="8">
        <f>IFERROR(INDEX(Tbl_KPIMaster[Unit],MATCH($G1060,Tbl_KPIMaster[KPI],0)),"")</f>
        <v/>
      </c>
      <c r="I1060" s="9">
        <f>IFERROR(INDEX(Tbl_KPIMaster[Maximum Target],MATCH($G1060,Tbl_KPIMaster[KPI],0)),"")</f>
        <v/>
      </c>
      <c r="J1060" s="9" t="n">
        <v>0</v>
      </c>
      <c r="K1060" s="8">
        <f>IFERROR(INDEX(Tbl_KPIMaster[Tolerance],MATCH($G1060,Tbl_KPIMaster[KPI],0)),"")</f>
        <v/>
      </c>
      <c r="L1060" s="8">
        <f>IFERROR(INDEX(Tbl_KPIMaster[Owner],MATCH($G1060,Tbl_KPIMaster[KPI],0)),"")</f>
        <v/>
      </c>
      <c r="M1060" s="10" t="inlineStr"/>
      <c r="N1060" s="8" t="inlineStr"/>
      <c r="O1060" s="8" t="inlineStr">
        <is>
          <t>Low</t>
        </is>
      </c>
      <c r="P1060" s="8" t="inlineStr">
        <is>
          <t>Closed</t>
        </is>
      </c>
      <c r="Q1060" s="9">
        <f>IFERROR(IF(INDEX(Tbl_KPIMaster[Direction],MATCH($G1060,Tbl_KPIMaster[KPI],0))="Lower is Better",IF($J1060=0,1,IF($I1060=0,0,$I1060/$J1060)),IF($I1060=0,1,$J1060/$I1060)),0)</f>
        <v/>
      </c>
      <c r="R1060" s="8">
        <f>IF(OR($I1060="",$J1060=""),"",$J1060-$I1060)</f>
        <v/>
      </c>
      <c r="S1060" s="8">
        <f>IFERROR(IF(INDEX(Tbl_KPIMaster[Direction],MATCH($G1060,Tbl_KPIMaster[KPI],0))="Lower is Better",IF($J1060&lt;=$I1060,"Green",IF($J1060&lt;=$I1060+IF($I1060=0,$K1060,$I1060*$K1060),"Amber","Red")),IF($J1060&gt;=$I1060,"Green",IF($J1060&gt;=$I1060-IF($I1060=0,$K1060,$I1060*$K1060),"Amber","Red"))),"")</f>
        <v/>
      </c>
      <c r="T1060" s="10" t="inlineStr"/>
    </row>
    <row r="1061">
      <c r="A1061" s="3" t="n">
        <v>46182</v>
      </c>
      <c r="B1061" s="4">
        <f>IF($A1061="","",TEXT($A1061,"mmm-yyyy"))</f>
        <v/>
      </c>
      <c r="C1061" s="4">
        <f>IF($A1061="","","W"&amp;WEEKNUM($A1061,2))</f>
        <v/>
      </c>
      <c r="D1061" s="4">
        <f>IF($A1061="","",TEXT($A1061,"ddd"))</f>
        <v/>
      </c>
      <c r="E1061" s="4" t="inlineStr">
        <is>
          <t>Energy</t>
        </is>
      </c>
      <c r="F1061" s="4">
        <f>IFERROR(INDEX(Tbl_KPIMaster[Category],MATCH($G1061,Tbl_KPIMaster[KPI],0)),"")</f>
        <v/>
      </c>
      <c r="G1061" s="4" t="inlineStr">
        <is>
          <t>Energy Intensity (kWh/unit)</t>
        </is>
      </c>
      <c r="H1061" s="4">
        <f>IFERROR(INDEX(Tbl_KPIMaster[Unit],MATCH($G1061,Tbl_KPIMaster[KPI],0)),"")</f>
        <v/>
      </c>
      <c r="I1061" s="5">
        <f>IFERROR(INDEX(Tbl_KPIMaster[Maximum Target],MATCH($G1061,Tbl_KPIMaster[KPI],0)),"")</f>
        <v/>
      </c>
      <c r="J1061" s="5" t="n">
        <v>3.59</v>
      </c>
      <c r="K1061" s="4">
        <f>IFERROR(INDEX(Tbl_KPIMaster[Tolerance],MATCH($G1061,Tbl_KPIMaster[KPI],0)),"")</f>
        <v/>
      </c>
      <c r="L1061" s="4">
        <f>IFERROR(INDEX(Tbl_KPIMaster[Owner],MATCH($G1061,Tbl_KPIMaster[KPI],0)),"")</f>
        <v/>
      </c>
      <c r="M1061" s="6" t="inlineStr">
        <is>
          <t>Vendor delay</t>
        </is>
      </c>
      <c r="N1061" s="4" t="inlineStr"/>
      <c r="O1061" s="4" t="inlineStr">
        <is>
          <t>Medium</t>
        </is>
      </c>
      <c r="P1061" s="4" t="inlineStr">
        <is>
          <t>Closed</t>
        </is>
      </c>
      <c r="Q1061" s="5">
        <f>IFERROR(IF(INDEX(Tbl_KPIMaster[Direction],MATCH($G1061,Tbl_KPIMaster[KPI],0))="Lower is Better",IF($J1061=0,1,IF($I1061=0,0,$I1061/$J1061)),IF($I1061=0,1,$J1061/$I1061)),0)</f>
        <v/>
      </c>
      <c r="R1061" s="4">
        <f>IF(OR($I1061="",$J1061=""),"",$J1061-$I1061)</f>
        <v/>
      </c>
      <c r="S1061" s="4">
        <f>IFERROR(IF(INDEX(Tbl_KPIMaster[Direction],MATCH($G1061,Tbl_KPIMaster[KPI],0))="Lower is Better",IF($J1061&lt;=$I1061,"Green",IF($J1061&lt;=$I1061+IF($I1061=0,$K1061,$I1061*$K1061),"Amber","Red")),IF($J1061&gt;=$I1061,"Green",IF($J1061&gt;=$I1061-IF($I1061=0,$K1061,$I1061*$K1061),"Amber","Red"))),"")</f>
        <v/>
      </c>
      <c r="T1061" s="6" t="inlineStr"/>
    </row>
    <row r="1062">
      <c r="A1062" s="7" t="n">
        <v>46182</v>
      </c>
      <c r="B1062" s="8">
        <f>IF($A1062="","",TEXT($A1062,"mmm-yyyy"))</f>
        <v/>
      </c>
      <c r="C1062" s="8">
        <f>IF($A1062="","","W"&amp;WEEKNUM($A1062,2))</f>
        <v/>
      </c>
      <c r="D1062" s="8">
        <f>IF($A1062="","",TEXT($A1062,"ddd"))</f>
        <v/>
      </c>
      <c r="E1062" s="8" t="inlineStr">
        <is>
          <t>Energy</t>
        </is>
      </c>
      <c r="F1062" s="8">
        <f>IFERROR(INDEX(Tbl_KPIMaster[Category],MATCH($G1062,Tbl_KPIMaster[KPI],0)),"")</f>
        <v/>
      </c>
      <c r="G1062" s="8" t="inlineStr">
        <is>
          <t>Renewable Energy Share %</t>
        </is>
      </c>
      <c r="H1062" s="8">
        <f>IFERROR(INDEX(Tbl_KPIMaster[Unit],MATCH($G1062,Tbl_KPIMaster[KPI],0)),"")</f>
        <v/>
      </c>
      <c r="I1062" s="9">
        <f>IFERROR(INDEX(Tbl_KPIMaster[Maximum Target],MATCH($G1062,Tbl_KPIMaster[KPI],0)),"")</f>
        <v/>
      </c>
      <c r="J1062" s="9" t="n">
        <v>0.227</v>
      </c>
      <c r="K1062" s="8">
        <f>IFERROR(INDEX(Tbl_KPIMaster[Tolerance],MATCH($G1062,Tbl_KPIMaster[KPI],0)),"")</f>
        <v/>
      </c>
      <c r="L1062" s="8">
        <f>IFERROR(INDEX(Tbl_KPIMaster[Owner],MATCH($G1062,Tbl_KPIMaster[KPI],0)),"")</f>
        <v/>
      </c>
      <c r="M1062" s="10" t="inlineStr"/>
      <c r="N1062" s="8" t="inlineStr">
        <is>
          <t>Procurement follow-up</t>
        </is>
      </c>
      <c r="O1062" s="8" t="inlineStr">
        <is>
          <t>Low</t>
        </is>
      </c>
      <c r="P1062" s="8" t="inlineStr">
        <is>
          <t>In Progress</t>
        </is>
      </c>
      <c r="Q1062" s="9">
        <f>IFERROR(IF(INDEX(Tbl_KPIMaster[Direction],MATCH($G1062,Tbl_KPIMaster[KPI],0))="Lower is Better",IF($J1062=0,1,IF($I1062=0,0,$I1062/$J1062)),IF($I1062=0,1,$J1062/$I1062)),0)</f>
        <v/>
      </c>
      <c r="R1062" s="8">
        <f>IF(OR($I1062="",$J1062=""),"",$J1062-$I1062)</f>
        <v/>
      </c>
      <c r="S1062" s="8">
        <f>IFERROR(IF(INDEX(Tbl_KPIMaster[Direction],MATCH($G1062,Tbl_KPIMaster[KPI],0))="Lower is Better",IF($J1062&lt;=$I1062,"Green",IF($J1062&lt;=$I1062+IF($I1062=0,$K1062,$I1062*$K1062),"Amber","Red")),IF($J1062&gt;=$I1062,"Green",IF($J1062&gt;=$I1062-IF($I1062=0,$K1062,$I1062*$K1062),"Amber","Red"))),"")</f>
        <v/>
      </c>
      <c r="T1062" s="10" t="inlineStr"/>
    </row>
    <row r="1063">
      <c r="A1063" s="3" t="n">
        <v>46183</v>
      </c>
      <c r="B1063" s="4">
        <f>IF($A1063="","",TEXT($A1063,"mmm-yyyy"))</f>
        <v/>
      </c>
      <c r="C1063" s="4">
        <f>IF($A1063="","","W"&amp;WEEKNUM($A1063,2))</f>
        <v/>
      </c>
      <c r="D1063" s="4">
        <f>IF($A1063="","",TEXT($A1063,"ddd"))</f>
        <v/>
      </c>
      <c r="E1063" s="4" t="inlineStr">
        <is>
          <t>Safety</t>
        </is>
      </c>
      <c r="F1063" s="4">
        <f>IFERROR(INDEX(Tbl_KPIMaster[Category],MATCH($G1063,Tbl_KPIMaster[KPI],0)),"")</f>
        <v/>
      </c>
      <c r="G1063" s="4" t="inlineStr">
        <is>
          <t>Safety Incidents (LTI)</t>
        </is>
      </c>
      <c r="H1063" s="4">
        <f>IFERROR(INDEX(Tbl_KPIMaster[Unit],MATCH($G1063,Tbl_KPIMaster[KPI],0)),"")</f>
        <v/>
      </c>
      <c r="I1063" s="5">
        <f>IFERROR(INDEX(Tbl_KPIMaster[Maximum Target],MATCH($G1063,Tbl_KPIMaster[KPI],0)),"")</f>
        <v/>
      </c>
      <c r="J1063" s="5" t="n">
        <v>0</v>
      </c>
      <c r="K1063" s="4">
        <f>IFERROR(INDEX(Tbl_KPIMaster[Tolerance],MATCH($G1063,Tbl_KPIMaster[KPI],0)),"")</f>
        <v/>
      </c>
      <c r="L1063" s="4">
        <f>IFERROR(INDEX(Tbl_KPIMaster[Owner],MATCH($G1063,Tbl_KPIMaster[KPI],0)),"")</f>
        <v/>
      </c>
      <c r="M1063" s="6" t="inlineStr">
        <is>
          <t>Awaiting spares</t>
        </is>
      </c>
      <c r="N1063" s="4" t="inlineStr">
        <is>
          <t>Procurement follow-up</t>
        </is>
      </c>
      <c r="O1063" s="4" t="inlineStr">
        <is>
          <t>High</t>
        </is>
      </c>
      <c r="P1063" s="4" t="inlineStr">
        <is>
          <t>Open</t>
        </is>
      </c>
      <c r="Q1063" s="5">
        <f>IFERROR(IF(INDEX(Tbl_KPIMaster[Direction],MATCH($G1063,Tbl_KPIMaster[KPI],0))="Lower is Better",IF($J1063=0,1,IF($I1063=0,0,$I1063/$J1063)),IF($I1063=0,1,$J1063/$I1063)),0)</f>
        <v/>
      </c>
      <c r="R1063" s="4">
        <f>IF(OR($I1063="",$J1063=""),"",$J1063-$I1063)</f>
        <v/>
      </c>
      <c r="S1063" s="4">
        <f>IFERROR(IF(INDEX(Tbl_KPIMaster[Direction],MATCH($G1063,Tbl_KPIMaster[KPI],0))="Lower is Better",IF($J1063&lt;=$I1063,"Green",IF($J1063&lt;=$I1063+IF($I1063=0,$K1063,$I1063*$K1063),"Amber","Red")),IF($J1063&gt;=$I1063,"Green",IF($J1063&gt;=$I1063-IF($I1063=0,$K1063,$I1063*$K1063),"Amber","Red"))),"")</f>
        <v/>
      </c>
      <c r="T1063" s="6" t="inlineStr"/>
    </row>
    <row r="1064">
      <c r="A1064" s="7" t="n">
        <v>46183</v>
      </c>
      <c r="B1064" s="8">
        <f>IF($A1064="","",TEXT($A1064,"mmm-yyyy"))</f>
        <v/>
      </c>
      <c r="C1064" s="8">
        <f>IF($A1064="","","W"&amp;WEEKNUM($A1064,2))</f>
        <v/>
      </c>
      <c r="D1064" s="8">
        <f>IF($A1064="","",TEXT($A1064,"ddd"))</f>
        <v/>
      </c>
      <c r="E1064" s="8" t="inlineStr">
        <is>
          <t>Safety</t>
        </is>
      </c>
      <c r="F1064" s="8">
        <f>IFERROR(INDEX(Tbl_KPIMaster[Category],MATCH($G1064,Tbl_KPIMaster[KPI],0)),"")</f>
        <v/>
      </c>
      <c r="G1064" s="8" t="inlineStr">
        <is>
          <t>Near Miss Reports</t>
        </is>
      </c>
      <c r="H1064" s="8">
        <f>IFERROR(INDEX(Tbl_KPIMaster[Unit],MATCH($G1064,Tbl_KPIMaster[KPI],0)),"")</f>
        <v/>
      </c>
      <c r="I1064" s="9">
        <f>IFERROR(INDEX(Tbl_KPIMaster[Maximum Target],MATCH($G1064,Tbl_KPIMaster[KPI],0)),"")</f>
        <v/>
      </c>
      <c r="J1064" s="9" t="n">
        <v>2</v>
      </c>
      <c r="K1064" s="8">
        <f>IFERROR(INDEX(Tbl_KPIMaster[Tolerance],MATCH($G1064,Tbl_KPIMaster[KPI],0)),"")</f>
        <v/>
      </c>
      <c r="L1064" s="8">
        <f>IFERROR(INDEX(Tbl_KPIMaster[Owner],MATCH($G1064,Tbl_KPIMaster[KPI],0)),"")</f>
        <v/>
      </c>
      <c r="M1064" s="10" t="inlineStr">
        <is>
          <t>Weather impact</t>
        </is>
      </c>
      <c r="N1064" s="8" t="inlineStr">
        <is>
          <t>Engineering support needed</t>
        </is>
      </c>
      <c r="O1064" s="8" t="inlineStr">
        <is>
          <t>High</t>
        </is>
      </c>
      <c r="P1064" s="8" t="inlineStr">
        <is>
          <t>Closed</t>
        </is>
      </c>
      <c r="Q1064" s="9">
        <f>IFERROR(IF(INDEX(Tbl_KPIMaster[Direction],MATCH($G1064,Tbl_KPIMaster[KPI],0))="Lower is Better",IF($J1064=0,1,IF($I1064=0,0,$I1064/$J1064)),IF($I1064=0,1,$J1064/$I1064)),0)</f>
        <v/>
      </c>
      <c r="R1064" s="8">
        <f>IF(OR($I1064="",$J1064=""),"",$J1064-$I1064)</f>
        <v/>
      </c>
      <c r="S1064" s="8">
        <f>IFERROR(IF(INDEX(Tbl_KPIMaster[Direction],MATCH($G1064,Tbl_KPIMaster[KPI],0))="Lower is Better",IF($J1064&lt;=$I1064,"Green",IF($J1064&lt;=$I1064+IF($I1064=0,$K1064,$I1064*$K1064),"Amber","Red")),IF($J1064&gt;=$I1064,"Green",IF($J1064&gt;=$I1064-IF($I1064=0,$K1064,$I1064*$K1064),"Amber","Red"))),"")</f>
        <v/>
      </c>
      <c r="T1064" s="10" t="inlineStr"/>
    </row>
    <row r="1065">
      <c r="A1065" s="3" t="n">
        <v>46183</v>
      </c>
      <c r="B1065" s="4">
        <f>IF($A1065="","",TEXT($A1065,"mmm-yyyy"))</f>
        <v/>
      </c>
      <c r="C1065" s="4">
        <f>IF($A1065="","","W"&amp;WEEKNUM($A1065,2))</f>
        <v/>
      </c>
      <c r="D1065" s="4">
        <f>IF($A1065="","",TEXT($A1065,"ddd"))</f>
        <v/>
      </c>
      <c r="E1065" s="4" t="inlineStr">
        <is>
          <t>Production</t>
        </is>
      </c>
      <c r="F1065" s="4">
        <f>IFERROR(INDEX(Tbl_KPIMaster[Category],MATCH($G1065,Tbl_KPIMaster[KPI],0)),"")</f>
        <v/>
      </c>
      <c r="G1065" s="4" t="inlineStr">
        <is>
          <t>Production Output</t>
        </is>
      </c>
      <c r="H1065" s="4">
        <f>IFERROR(INDEX(Tbl_KPIMaster[Unit],MATCH($G1065,Tbl_KPIMaster[KPI],0)),"")</f>
        <v/>
      </c>
      <c r="I1065" s="5">
        <f>IFERROR(INDEX(Tbl_KPIMaster[Maximum Target],MATCH($G1065,Tbl_KPIMaster[KPI],0)),"")</f>
        <v/>
      </c>
      <c r="J1065" s="5" t="n">
        <v>1022.09</v>
      </c>
      <c r="K1065" s="4">
        <f>IFERROR(INDEX(Tbl_KPIMaster[Tolerance],MATCH($G1065,Tbl_KPIMaster[KPI],0)),"")</f>
        <v/>
      </c>
      <c r="L1065" s="4">
        <f>IFERROR(INDEX(Tbl_KPIMaster[Owner],MATCH($G1065,Tbl_KPIMaster[KPI],0)),"")</f>
        <v/>
      </c>
      <c r="M1065" s="6" t="inlineStr">
        <is>
          <t>Within normal range</t>
        </is>
      </c>
      <c r="N1065" s="4" t="inlineStr"/>
      <c r="O1065" s="4" t="inlineStr">
        <is>
          <t>High</t>
        </is>
      </c>
      <c r="P1065" s="4" t="inlineStr">
        <is>
          <t>In Progress</t>
        </is>
      </c>
      <c r="Q1065" s="5">
        <f>IFERROR(IF(INDEX(Tbl_KPIMaster[Direction],MATCH($G1065,Tbl_KPIMaster[KPI],0))="Lower is Better",IF($J1065=0,1,IF($I1065=0,0,$I1065/$J1065)),IF($I1065=0,1,$J1065/$I1065)),0)</f>
        <v/>
      </c>
      <c r="R1065" s="4">
        <f>IF(OR($I1065="",$J1065=""),"",$J1065-$I1065)</f>
        <v/>
      </c>
      <c r="S1065" s="4">
        <f>IFERROR(IF(INDEX(Tbl_KPIMaster[Direction],MATCH($G1065,Tbl_KPIMaster[KPI],0))="Lower is Better",IF($J1065&lt;=$I1065,"Green",IF($J1065&lt;=$I1065+IF($I1065=0,$K1065,$I1065*$K1065),"Amber","Red")),IF($J1065&gt;=$I1065,"Green",IF($J1065&gt;=$I1065-IF($I1065=0,$K1065,$I1065*$K1065),"Amber","Red"))),"")</f>
        <v/>
      </c>
      <c r="T1065" s="6" t="inlineStr"/>
    </row>
    <row r="1066">
      <c r="A1066" s="7" t="n">
        <v>46183</v>
      </c>
      <c r="B1066" s="8">
        <f>IF($A1066="","",TEXT($A1066,"mmm-yyyy"))</f>
        <v/>
      </c>
      <c r="C1066" s="8">
        <f>IF($A1066="","","W"&amp;WEEKNUM($A1066,2))</f>
        <v/>
      </c>
      <c r="D1066" s="8">
        <f>IF($A1066="","",TEXT($A1066,"ddd"))</f>
        <v/>
      </c>
      <c r="E1066" s="8" t="inlineStr">
        <is>
          <t>Production</t>
        </is>
      </c>
      <c r="F1066" s="8">
        <f>IFERROR(INDEX(Tbl_KPIMaster[Category],MATCH($G1066,Tbl_KPIMaster[KPI],0)),"")</f>
        <v/>
      </c>
      <c r="G1066" s="8" t="inlineStr">
        <is>
          <t>OEE %</t>
        </is>
      </c>
      <c r="H1066" s="8">
        <f>IFERROR(INDEX(Tbl_KPIMaster[Unit],MATCH($G1066,Tbl_KPIMaster[KPI],0)),"")</f>
        <v/>
      </c>
      <c r="I1066" s="9">
        <f>IFERROR(INDEX(Tbl_KPIMaster[Maximum Target],MATCH($G1066,Tbl_KPIMaster[KPI],0)),"")</f>
        <v/>
      </c>
      <c r="J1066" s="9" t="n">
        <v>0.8473000000000001</v>
      </c>
      <c r="K1066" s="8">
        <f>IFERROR(INDEX(Tbl_KPIMaster[Tolerance],MATCH($G1066,Tbl_KPIMaster[KPI],0)),"")</f>
        <v/>
      </c>
      <c r="L1066" s="8">
        <f>IFERROR(INDEX(Tbl_KPIMaster[Owner],MATCH($G1066,Tbl_KPIMaster[KPI],0)),"")</f>
        <v/>
      </c>
      <c r="M1066" s="10" t="inlineStr">
        <is>
          <t>Equipment breakdown</t>
        </is>
      </c>
      <c r="N1066" s="8" t="inlineStr"/>
      <c r="O1066" s="8" t="inlineStr">
        <is>
          <t>Medium</t>
        </is>
      </c>
      <c r="P1066" s="8" t="inlineStr">
        <is>
          <t>Closed</t>
        </is>
      </c>
      <c r="Q1066" s="9">
        <f>IFERROR(IF(INDEX(Tbl_KPIMaster[Direction],MATCH($G1066,Tbl_KPIMaster[KPI],0))="Lower is Better",IF($J1066=0,1,IF($I1066=0,0,$I1066/$J1066)),IF($I1066=0,1,$J1066/$I1066)),0)</f>
        <v/>
      </c>
      <c r="R1066" s="8">
        <f>IF(OR($I1066="",$J1066=""),"",$J1066-$I1066)</f>
        <v/>
      </c>
      <c r="S1066" s="8">
        <f>IFERROR(IF(INDEX(Tbl_KPIMaster[Direction],MATCH($G1066,Tbl_KPIMaster[KPI],0))="Lower is Better",IF($J1066&lt;=$I1066,"Green",IF($J1066&lt;=$I1066+IF($I1066=0,$K1066,$I1066*$K1066),"Amber","Red")),IF($J1066&gt;=$I1066,"Green",IF($J1066&gt;=$I1066-IF($I1066=0,$K1066,$I1066*$K1066),"Amber","Red"))),"")</f>
        <v/>
      </c>
      <c r="T1066" s="10" t="inlineStr"/>
    </row>
    <row r="1067">
      <c r="A1067" s="3" t="n">
        <v>46183</v>
      </c>
      <c r="B1067" s="4">
        <f>IF($A1067="","",TEXT($A1067,"mmm-yyyy"))</f>
        <v/>
      </c>
      <c r="C1067" s="4">
        <f>IF($A1067="","","W"&amp;WEEKNUM($A1067,2))</f>
        <v/>
      </c>
      <c r="D1067" s="4">
        <f>IF($A1067="","",TEXT($A1067,"ddd"))</f>
        <v/>
      </c>
      <c r="E1067" s="4" t="inlineStr">
        <is>
          <t>Quality</t>
        </is>
      </c>
      <c r="F1067" s="4">
        <f>IFERROR(INDEX(Tbl_KPIMaster[Category],MATCH($G1067,Tbl_KPIMaster[KPI],0)),"")</f>
        <v/>
      </c>
      <c r="G1067" s="4" t="inlineStr">
        <is>
          <t>Defect Rate %</t>
        </is>
      </c>
      <c r="H1067" s="4">
        <f>IFERROR(INDEX(Tbl_KPIMaster[Unit],MATCH($G1067,Tbl_KPIMaster[KPI],0)),"")</f>
        <v/>
      </c>
      <c r="I1067" s="5">
        <f>IFERROR(INDEX(Tbl_KPIMaster[Maximum Target],MATCH($G1067,Tbl_KPIMaster[KPI],0)),"")</f>
        <v/>
      </c>
      <c r="J1067" s="5" t="n">
        <v>0.379</v>
      </c>
      <c r="K1067" s="4">
        <f>IFERROR(INDEX(Tbl_KPIMaster[Tolerance],MATCH($G1067,Tbl_KPIMaster[KPI],0)),"")</f>
        <v/>
      </c>
      <c r="L1067" s="4">
        <f>IFERROR(INDEX(Tbl_KPIMaster[Owner],MATCH($G1067,Tbl_KPIMaster[KPI],0)),"")</f>
        <v/>
      </c>
      <c r="M1067" s="6" t="inlineStr">
        <is>
          <t>Within normal range</t>
        </is>
      </c>
      <c r="N1067" s="4" t="inlineStr">
        <is>
          <t>Engineering support needed</t>
        </is>
      </c>
      <c r="O1067" s="4" t="inlineStr">
        <is>
          <t>Low</t>
        </is>
      </c>
      <c r="P1067" s="4" t="inlineStr">
        <is>
          <t>Closed</t>
        </is>
      </c>
      <c r="Q1067" s="5">
        <f>IFERROR(IF(INDEX(Tbl_KPIMaster[Direction],MATCH($G1067,Tbl_KPIMaster[KPI],0))="Lower is Better",IF($J1067=0,1,IF($I1067=0,0,$I1067/$J1067)),IF($I1067=0,1,$J1067/$I1067)),0)</f>
        <v/>
      </c>
      <c r="R1067" s="4">
        <f>IF(OR($I1067="",$J1067=""),"",$J1067-$I1067)</f>
        <v/>
      </c>
      <c r="S1067" s="4">
        <f>IFERROR(IF(INDEX(Tbl_KPIMaster[Direction],MATCH($G1067,Tbl_KPIMaster[KPI],0))="Lower is Better",IF($J1067&lt;=$I1067,"Green",IF($J1067&lt;=$I1067+IF($I1067=0,$K1067,$I1067*$K1067),"Amber","Red")),IF($J1067&gt;=$I1067,"Green",IF($J1067&gt;=$I1067-IF($I1067=0,$K1067,$I1067*$K1067),"Amber","Red"))),"")</f>
        <v/>
      </c>
      <c r="T1067" s="6" t="inlineStr"/>
    </row>
    <row r="1068">
      <c r="A1068" s="7" t="n">
        <v>46183</v>
      </c>
      <c r="B1068" s="8">
        <f>IF($A1068="","",TEXT($A1068,"mmm-yyyy"))</f>
        <v/>
      </c>
      <c r="C1068" s="8">
        <f>IF($A1068="","","W"&amp;WEEKNUM($A1068,2))</f>
        <v/>
      </c>
      <c r="D1068" s="8">
        <f>IF($A1068="","",TEXT($A1068,"ddd"))</f>
        <v/>
      </c>
      <c r="E1068" s="8" t="inlineStr">
        <is>
          <t>Quality</t>
        </is>
      </c>
      <c r="F1068" s="8">
        <f>IFERROR(INDEX(Tbl_KPIMaster[Category],MATCH($G1068,Tbl_KPIMaster[KPI],0)),"")</f>
        <v/>
      </c>
      <c r="G1068" s="8" t="inlineStr">
        <is>
          <t>Customer Complaints</t>
        </is>
      </c>
      <c r="H1068" s="8">
        <f>IFERROR(INDEX(Tbl_KPIMaster[Unit],MATCH($G1068,Tbl_KPIMaster[KPI],0)),"")</f>
        <v/>
      </c>
      <c r="I1068" s="9">
        <f>IFERROR(INDEX(Tbl_KPIMaster[Maximum Target],MATCH($G1068,Tbl_KPIMaster[KPI],0)),"")</f>
        <v/>
      </c>
      <c r="J1068" s="9" t="n">
        <v>5</v>
      </c>
      <c r="K1068" s="8">
        <f>IFERROR(INDEX(Tbl_KPIMaster[Tolerance],MATCH($G1068,Tbl_KPIMaster[KPI],0)),"")</f>
        <v/>
      </c>
      <c r="L1068" s="8">
        <f>IFERROR(INDEX(Tbl_KPIMaster[Owner],MATCH($G1068,Tbl_KPIMaster[KPI],0)),"")</f>
        <v/>
      </c>
      <c r="M1068" s="10" t="inlineStr"/>
      <c r="N1068" s="8" t="inlineStr">
        <is>
          <t>Engineering support needed</t>
        </is>
      </c>
      <c r="O1068" s="8" t="inlineStr">
        <is>
          <t>High</t>
        </is>
      </c>
      <c r="P1068" s="8" t="inlineStr">
        <is>
          <t>In Progress</t>
        </is>
      </c>
      <c r="Q1068" s="9">
        <f>IFERROR(IF(INDEX(Tbl_KPIMaster[Direction],MATCH($G1068,Tbl_KPIMaster[KPI],0))="Lower is Better",IF($J1068=0,1,IF($I1068=0,0,$I1068/$J1068)),IF($I1068=0,1,$J1068/$I1068)),0)</f>
        <v/>
      </c>
      <c r="R1068" s="8">
        <f>IF(OR($I1068="",$J1068=""),"",$J1068-$I1068)</f>
        <v/>
      </c>
      <c r="S1068" s="8">
        <f>IFERROR(IF(INDEX(Tbl_KPIMaster[Direction],MATCH($G1068,Tbl_KPIMaster[KPI],0))="Lower is Better",IF($J1068&lt;=$I1068,"Green",IF($J1068&lt;=$I1068+IF($I1068=0,$K1068,$I1068*$K1068),"Amber","Red")),IF($J1068&gt;=$I1068,"Green",IF($J1068&gt;=$I1068-IF($I1068=0,$K1068,$I1068*$K1068),"Amber","Red"))),"")</f>
        <v/>
      </c>
      <c r="T1068" s="10" t="inlineStr"/>
    </row>
    <row r="1069">
      <c r="A1069" s="3" t="n">
        <v>46183</v>
      </c>
      <c r="B1069" s="4">
        <f>IF($A1069="","",TEXT($A1069,"mmm-yyyy"))</f>
        <v/>
      </c>
      <c r="C1069" s="4">
        <f>IF($A1069="","","W"&amp;WEEKNUM($A1069,2))</f>
        <v/>
      </c>
      <c r="D1069" s="4">
        <f>IF($A1069="","",TEXT($A1069,"ddd"))</f>
        <v/>
      </c>
      <c r="E1069" s="4" t="inlineStr">
        <is>
          <t>Maintenance</t>
        </is>
      </c>
      <c r="F1069" s="4">
        <f>IFERROR(INDEX(Tbl_KPIMaster[Category],MATCH($G1069,Tbl_KPIMaster[KPI],0)),"")</f>
        <v/>
      </c>
      <c r="G1069" s="4" t="inlineStr">
        <is>
          <t>Unplanned Downtime</t>
        </is>
      </c>
      <c r="H1069" s="4">
        <f>IFERROR(INDEX(Tbl_KPIMaster[Unit],MATCH($G1069,Tbl_KPIMaster[KPI],0)),"")</f>
        <v/>
      </c>
      <c r="I1069" s="5">
        <f>IFERROR(INDEX(Tbl_KPIMaster[Maximum Target],MATCH($G1069,Tbl_KPIMaster[KPI],0)),"")</f>
        <v/>
      </c>
      <c r="J1069" s="5" t="n">
        <v>0.48</v>
      </c>
      <c r="K1069" s="4">
        <f>IFERROR(INDEX(Tbl_KPIMaster[Tolerance],MATCH($G1069,Tbl_KPIMaster[KPI],0)),"")</f>
        <v/>
      </c>
      <c r="L1069" s="4">
        <f>IFERROR(INDEX(Tbl_KPIMaster[Owner],MATCH($G1069,Tbl_KPIMaster[KPI],0)),"")</f>
        <v/>
      </c>
      <c r="M1069" s="6" t="inlineStr">
        <is>
          <t>Manpower shortage</t>
        </is>
      </c>
      <c r="N1069" s="4" t="inlineStr">
        <is>
          <t>Procurement follow-up</t>
        </is>
      </c>
      <c r="O1069" s="4" t="inlineStr">
        <is>
          <t>High</t>
        </is>
      </c>
      <c r="P1069" s="4" t="inlineStr">
        <is>
          <t>Closed</t>
        </is>
      </c>
      <c r="Q1069" s="5">
        <f>IFERROR(IF(INDEX(Tbl_KPIMaster[Direction],MATCH($G1069,Tbl_KPIMaster[KPI],0))="Lower is Better",IF($J1069=0,1,IF($I1069=0,0,$I1069/$J1069)),IF($I1069=0,1,$J1069/$I1069)),0)</f>
        <v/>
      </c>
      <c r="R1069" s="4">
        <f>IF(OR($I1069="",$J1069=""),"",$J1069-$I1069)</f>
        <v/>
      </c>
      <c r="S1069" s="4">
        <f>IFERROR(IF(INDEX(Tbl_KPIMaster[Direction],MATCH($G1069,Tbl_KPIMaster[KPI],0))="Lower is Better",IF($J1069&lt;=$I1069,"Green",IF($J1069&lt;=$I1069+IF($I1069=0,$K1069,$I1069*$K1069),"Amber","Red")),IF($J1069&gt;=$I1069,"Green",IF($J1069&gt;=$I1069-IF($I1069=0,$K1069,$I1069*$K1069),"Amber","Red"))),"")</f>
        <v/>
      </c>
      <c r="T1069" s="6" t="inlineStr"/>
    </row>
    <row r="1070">
      <c r="A1070" s="7" t="n">
        <v>46183</v>
      </c>
      <c r="B1070" s="8">
        <f>IF($A1070="","",TEXT($A1070,"mmm-yyyy"))</f>
        <v/>
      </c>
      <c r="C1070" s="8">
        <f>IF($A1070="","","W"&amp;WEEKNUM($A1070,2))</f>
        <v/>
      </c>
      <c r="D1070" s="8">
        <f>IF($A1070="","",TEXT($A1070,"ddd"))</f>
        <v/>
      </c>
      <c r="E1070" s="8" t="inlineStr">
        <is>
          <t>Maintenance</t>
        </is>
      </c>
      <c r="F1070" s="8">
        <f>IFERROR(INDEX(Tbl_KPIMaster[Category],MATCH($G1070,Tbl_KPIMaster[KPI],0)),"")</f>
        <v/>
      </c>
      <c r="G1070" s="8" t="inlineStr">
        <is>
          <t>PM Compliance %</t>
        </is>
      </c>
      <c r="H1070" s="8">
        <f>IFERROR(INDEX(Tbl_KPIMaster[Unit],MATCH($G1070,Tbl_KPIMaster[KPI],0)),"")</f>
        <v/>
      </c>
      <c r="I1070" s="9">
        <f>IFERROR(INDEX(Tbl_KPIMaster[Maximum Target],MATCH($G1070,Tbl_KPIMaster[KPI],0)),"")</f>
        <v/>
      </c>
      <c r="J1070" s="9" t="n">
        <v>1.0631</v>
      </c>
      <c r="K1070" s="8">
        <f>IFERROR(INDEX(Tbl_KPIMaster[Tolerance],MATCH($G1070,Tbl_KPIMaster[KPI],0)),"")</f>
        <v/>
      </c>
      <c r="L1070" s="8">
        <f>IFERROR(INDEX(Tbl_KPIMaster[Owner],MATCH($G1070,Tbl_KPIMaster[KPI],0)),"")</f>
        <v/>
      </c>
      <c r="M1070" s="10" t="inlineStr">
        <is>
          <t>Vendor delay</t>
        </is>
      </c>
      <c r="N1070" s="8" t="inlineStr">
        <is>
          <t>Management approval pending</t>
        </is>
      </c>
      <c r="O1070" s="8" t="inlineStr">
        <is>
          <t>Medium</t>
        </is>
      </c>
      <c r="P1070" s="8" t="inlineStr">
        <is>
          <t>Closed</t>
        </is>
      </c>
      <c r="Q1070" s="9">
        <f>IFERROR(IF(INDEX(Tbl_KPIMaster[Direction],MATCH($G1070,Tbl_KPIMaster[KPI],0))="Lower is Better",IF($J1070=0,1,IF($I1070=0,0,$I1070/$J1070)),IF($I1070=0,1,$J1070/$I1070)),0)</f>
        <v/>
      </c>
      <c r="R1070" s="8">
        <f>IF(OR($I1070="",$J1070=""),"",$J1070-$I1070)</f>
        <v/>
      </c>
      <c r="S1070" s="8">
        <f>IFERROR(IF(INDEX(Tbl_KPIMaster[Direction],MATCH($G1070,Tbl_KPIMaster[KPI],0))="Lower is Better",IF($J1070&lt;=$I1070,"Green",IF($J1070&lt;=$I1070+IF($I1070=0,$K1070,$I1070*$K1070),"Amber","Red")),IF($J1070&gt;=$I1070,"Green",IF($J1070&gt;=$I1070-IF($I1070=0,$K1070,$I1070*$K1070),"Amber","Red"))),"")</f>
        <v/>
      </c>
      <c r="T1070" s="10" t="inlineStr"/>
    </row>
    <row r="1071">
      <c r="A1071" s="3" t="n">
        <v>46183</v>
      </c>
      <c r="B1071" s="4">
        <f>IF($A1071="","",TEXT($A1071,"mmm-yyyy"))</f>
        <v/>
      </c>
      <c r="C1071" s="4">
        <f>IF($A1071="","","W"&amp;WEEKNUM($A1071,2))</f>
        <v/>
      </c>
      <c r="D1071" s="4">
        <f>IF($A1071="","",TEXT($A1071,"ddd"))</f>
        <v/>
      </c>
      <c r="E1071" s="4" t="inlineStr">
        <is>
          <t>Utilities</t>
        </is>
      </c>
      <c r="F1071" s="4">
        <f>IFERROR(INDEX(Tbl_KPIMaster[Category],MATCH($G1071,Tbl_KPIMaster[KPI],0)),"")</f>
        <v/>
      </c>
      <c r="G1071" s="4" t="inlineStr">
        <is>
          <t>Power Consumption</t>
        </is>
      </c>
      <c r="H1071" s="4">
        <f>IFERROR(INDEX(Tbl_KPIMaster[Unit],MATCH($G1071,Tbl_KPIMaster[KPI],0)),"")</f>
        <v/>
      </c>
      <c r="I1071" s="5">
        <f>IFERROR(INDEX(Tbl_KPIMaster[Maximum Target],MATCH($G1071,Tbl_KPIMaster[KPI],0)),"")</f>
        <v/>
      </c>
      <c r="J1071" s="5" t="n">
        <v>3947.56</v>
      </c>
      <c r="K1071" s="4">
        <f>IFERROR(INDEX(Tbl_KPIMaster[Tolerance],MATCH($G1071,Tbl_KPIMaster[KPI],0)),"")</f>
        <v/>
      </c>
      <c r="L1071" s="4">
        <f>IFERROR(INDEX(Tbl_KPIMaster[Owner],MATCH($G1071,Tbl_KPIMaster[KPI],0)),"")</f>
        <v/>
      </c>
      <c r="M1071" s="6" t="inlineStr">
        <is>
          <t>Line changeover impact</t>
        </is>
      </c>
      <c r="N1071" s="4" t="inlineStr">
        <is>
          <t>Engineering support needed</t>
        </is>
      </c>
      <c r="O1071" s="4" t="inlineStr">
        <is>
          <t>Medium</t>
        </is>
      </c>
      <c r="P1071" s="4" t="inlineStr">
        <is>
          <t>In Progress</t>
        </is>
      </c>
      <c r="Q1071" s="5">
        <f>IFERROR(IF(INDEX(Tbl_KPIMaster[Direction],MATCH($G1071,Tbl_KPIMaster[KPI],0))="Lower is Better",IF($J1071=0,1,IF($I1071=0,0,$I1071/$J1071)),IF($I1071=0,1,$J1071/$I1071)),0)</f>
        <v/>
      </c>
      <c r="R1071" s="4">
        <f>IF(OR($I1071="",$J1071=""),"",$J1071-$I1071)</f>
        <v/>
      </c>
      <c r="S1071" s="4">
        <f>IFERROR(IF(INDEX(Tbl_KPIMaster[Direction],MATCH($G1071,Tbl_KPIMaster[KPI],0))="Lower is Better",IF($J1071&lt;=$I1071,"Green",IF($J1071&lt;=$I1071+IF($I1071=0,$K1071,$I1071*$K1071),"Amber","Red")),IF($J1071&gt;=$I1071,"Green",IF($J1071&gt;=$I1071-IF($I1071=0,$K1071,$I1071*$K1071),"Amber","Red"))),"")</f>
        <v/>
      </c>
      <c r="T1071" s="6" t="inlineStr"/>
    </row>
    <row r="1072">
      <c r="A1072" s="7" t="n">
        <v>46183</v>
      </c>
      <c r="B1072" s="8">
        <f>IF($A1072="","",TEXT($A1072,"mmm-yyyy"))</f>
        <v/>
      </c>
      <c r="C1072" s="8">
        <f>IF($A1072="","","W"&amp;WEEKNUM($A1072,2))</f>
        <v/>
      </c>
      <c r="D1072" s="8">
        <f>IF($A1072="","",TEXT($A1072,"ddd"))</f>
        <v/>
      </c>
      <c r="E1072" s="8" t="inlineStr">
        <is>
          <t>Utilities</t>
        </is>
      </c>
      <c r="F1072" s="8">
        <f>IFERROR(INDEX(Tbl_KPIMaster[Category],MATCH($G1072,Tbl_KPIMaster[KPI],0)),"")</f>
        <v/>
      </c>
      <c r="G1072" s="8" t="inlineStr">
        <is>
          <t>Water Consumption</t>
        </is>
      </c>
      <c r="H1072" s="8">
        <f>IFERROR(INDEX(Tbl_KPIMaster[Unit],MATCH($G1072,Tbl_KPIMaster[KPI],0)),"")</f>
        <v/>
      </c>
      <c r="I1072" s="9">
        <f>IFERROR(INDEX(Tbl_KPIMaster[Maximum Target],MATCH($G1072,Tbl_KPIMaster[KPI],0)),"")</f>
        <v/>
      </c>
      <c r="J1072" s="9" t="n">
        <v>56</v>
      </c>
      <c r="K1072" s="8">
        <f>IFERROR(INDEX(Tbl_KPIMaster[Tolerance],MATCH($G1072,Tbl_KPIMaster[KPI],0)),"")</f>
        <v/>
      </c>
      <c r="L1072" s="8">
        <f>IFERROR(INDEX(Tbl_KPIMaster[Owner],MATCH($G1072,Tbl_KPIMaster[KPI],0)),"")</f>
        <v/>
      </c>
      <c r="M1072" s="10" t="inlineStr">
        <is>
          <t>Weather impact</t>
        </is>
      </c>
      <c r="N1072" s="8" t="inlineStr"/>
      <c r="O1072" s="8" t="inlineStr">
        <is>
          <t>High</t>
        </is>
      </c>
      <c r="P1072" s="8" t="inlineStr">
        <is>
          <t>Closed</t>
        </is>
      </c>
      <c r="Q1072" s="9">
        <f>IFERROR(IF(INDEX(Tbl_KPIMaster[Direction],MATCH($G1072,Tbl_KPIMaster[KPI],0))="Lower is Better",IF($J1072=0,1,IF($I1072=0,0,$I1072/$J1072)),IF($I1072=0,1,$J1072/$I1072)),0)</f>
        <v/>
      </c>
      <c r="R1072" s="8">
        <f>IF(OR($I1072="",$J1072=""),"",$J1072-$I1072)</f>
        <v/>
      </c>
      <c r="S1072" s="8">
        <f>IFERROR(IF(INDEX(Tbl_KPIMaster[Direction],MATCH($G1072,Tbl_KPIMaster[KPI],0))="Lower is Better",IF($J1072&lt;=$I1072,"Green",IF($J1072&lt;=$I1072+IF($I1072=0,$K1072,$I1072*$K1072),"Amber","Red")),IF($J1072&gt;=$I1072,"Green",IF($J1072&gt;=$I1072-IF($I1072=0,$K1072,$I1072*$K1072),"Amber","Red"))),"")</f>
        <v/>
      </c>
      <c r="T1072" s="10" t="inlineStr"/>
    </row>
    <row r="1073">
      <c r="A1073" s="3" t="n">
        <v>46183</v>
      </c>
      <c r="B1073" s="4">
        <f>IF($A1073="","",TEXT($A1073,"mmm-yyyy"))</f>
        <v/>
      </c>
      <c r="C1073" s="4">
        <f>IF($A1073="","","W"&amp;WEEKNUM($A1073,2))</f>
        <v/>
      </c>
      <c r="D1073" s="4">
        <f>IF($A1073="","",TEXT($A1073,"ddd"))</f>
        <v/>
      </c>
      <c r="E1073" s="4" t="inlineStr">
        <is>
          <t>Warehouse</t>
        </is>
      </c>
      <c r="F1073" s="4">
        <f>IFERROR(INDEX(Tbl_KPIMaster[Category],MATCH($G1073,Tbl_KPIMaster[KPI],0)),"")</f>
        <v/>
      </c>
      <c r="G1073" s="4" t="inlineStr">
        <is>
          <t>On-Time Dispatch %</t>
        </is>
      </c>
      <c r="H1073" s="4">
        <f>IFERROR(INDEX(Tbl_KPIMaster[Unit],MATCH($G1073,Tbl_KPIMaster[KPI],0)),"")</f>
        <v/>
      </c>
      <c r="I1073" s="5">
        <f>IFERROR(INDEX(Tbl_KPIMaster[Maximum Target],MATCH($G1073,Tbl_KPIMaster[KPI],0)),"")</f>
        <v/>
      </c>
      <c r="J1073" s="5" t="n">
        <v>0.6516</v>
      </c>
      <c r="K1073" s="4">
        <f>IFERROR(INDEX(Tbl_KPIMaster[Tolerance],MATCH($G1073,Tbl_KPIMaster[KPI],0)),"")</f>
        <v/>
      </c>
      <c r="L1073" s="4">
        <f>IFERROR(INDEX(Tbl_KPIMaster[Owner],MATCH($G1073,Tbl_KPIMaster[KPI],0)),"")</f>
        <v/>
      </c>
      <c r="M1073" s="6" t="inlineStr">
        <is>
          <t>Weather impact</t>
        </is>
      </c>
      <c r="N1073" s="4" t="inlineStr"/>
      <c r="O1073" s="4" t="inlineStr">
        <is>
          <t>High</t>
        </is>
      </c>
      <c r="P1073" s="4" t="inlineStr">
        <is>
          <t>In Progress</t>
        </is>
      </c>
      <c r="Q1073" s="5">
        <f>IFERROR(IF(INDEX(Tbl_KPIMaster[Direction],MATCH($G1073,Tbl_KPIMaster[KPI],0))="Lower is Better",IF($J1073=0,1,IF($I1073=0,0,$I1073/$J1073)),IF($I1073=0,1,$J1073/$I1073)),0)</f>
        <v/>
      </c>
      <c r="R1073" s="4">
        <f>IF(OR($I1073="",$J1073=""),"",$J1073-$I1073)</f>
        <v/>
      </c>
      <c r="S1073" s="4">
        <f>IFERROR(IF(INDEX(Tbl_KPIMaster[Direction],MATCH($G1073,Tbl_KPIMaster[KPI],0))="Lower is Better",IF($J1073&lt;=$I1073,"Green",IF($J1073&lt;=$I1073+IF($I1073=0,$K1073,$I1073*$K1073),"Amber","Red")),IF($J1073&gt;=$I1073,"Green",IF($J1073&gt;=$I1073-IF($I1073=0,$K1073,$I1073*$K1073),"Amber","Red"))),"")</f>
        <v/>
      </c>
      <c r="T1073" s="6" t="inlineStr"/>
    </row>
    <row r="1074">
      <c r="A1074" s="7" t="n">
        <v>46183</v>
      </c>
      <c r="B1074" s="8">
        <f>IF($A1074="","",TEXT($A1074,"mmm-yyyy"))</f>
        <v/>
      </c>
      <c r="C1074" s="8">
        <f>IF($A1074="","","W"&amp;WEEKNUM($A1074,2))</f>
        <v/>
      </c>
      <c r="D1074" s="8">
        <f>IF($A1074="","",TEXT($A1074,"ddd"))</f>
        <v/>
      </c>
      <c r="E1074" s="8" t="inlineStr">
        <is>
          <t>Warehouse</t>
        </is>
      </c>
      <c r="F1074" s="8">
        <f>IFERROR(INDEX(Tbl_KPIMaster[Category],MATCH($G1074,Tbl_KPIMaster[KPI],0)),"")</f>
        <v/>
      </c>
      <c r="G1074" s="8" t="inlineStr">
        <is>
          <t>Inventory Accuracy %</t>
        </is>
      </c>
      <c r="H1074" s="8">
        <f>IFERROR(INDEX(Tbl_KPIMaster[Unit],MATCH($G1074,Tbl_KPIMaster[KPI],0)),"")</f>
        <v/>
      </c>
      <c r="I1074" s="9">
        <f>IFERROR(INDEX(Tbl_KPIMaster[Maximum Target],MATCH($G1074,Tbl_KPIMaster[KPI],0)),"")</f>
        <v/>
      </c>
      <c r="J1074" s="9" t="n">
        <v>0.8379</v>
      </c>
      <c r="K1074" s="8">
        <f>IFERROR(INDEX(Tbl_KPIMaster[Tolerance],MATCH($G1074,Tbl_KPIMaster[KPI],0)),"")</f>
        <v/>
      </c>
      <c r="L1074" s="8">
        <f>IFERROR(INDEX(Tbl_KPIMaster[Owner],MATCH($G1074,Tbl_KPIMaster[KPI],0)),"")</f>
        <v/>
      </c>
      <c r="M1074" s="10" t="inlineStr"/>
      <c r="N1074" s="8" t="inlineStr"/>
      <c r="O1074" s="8" t="inlineStr">
        <is>
          <t>High</t>
        </is>
      </c>
      <c r="P1074" s="8" t="inlineStr">
        <is>
          <t>Open</t>
        </is>
      </c>
      <c r="Q1074" s="9">
        <f>IFERROR(IF(INDEX(Tbl_KPIMaster[Direction],MATCH($G1074,Tbl_KPIMaster[KPI],0))="Lower is Better",IF($J1074=0,1,IF($I1074=0,0,$I1074/$J1074)),IF($I1074=0,1,$J1074/$I1074)),0)</f>
        <v/>
      </c>
      <c r="R1074" s="8">
        <f>IF(OR($I1074="",$J1074=""),"",$J1074-$I1074)</f>
        <v/>
      </c>
      <c r="S1074" s="8">
        <f>IFERROR(IF(INDEX(Tbl_KPIMaster[Direction],MATCH($G1074,Tbl_KPIMaster[KPI],0))="Lower is Better",IF($J1074&lt;=$I1074,"Green",IF($J1074&lt;=$I1074+IF($I1074=0,$K1074,$I1074*$K1074),"Amber","Red")),IF($J1074&gt;=$I1074,"Green",IF($J1074&gt;=$I1074-IF($I1074=0,$K1074,$I1074*$K1074),"Amber","Red"))),"")</f>
        <v/>
      </c>
      <c r="T1074" s="10" t="inlineStr"/>
    </row>
    <row r="1075">
      <c r="A1075" s="3" t="n">
        <v>46183</v>
      </c>
      <c r="B1075" s="4">
        <f>IF($A1075="","",TEXT($A1075,"mmm-yyyy"))</f>
        <v/>
      </c>
      <c r="C1075" s="4">
        <f>IF($A1075="","","W"&amp;WEEKNUM($A1075,2))</f>
        <v/>
      </c>
      <c r="D1075" s="4">
        <f>IF($A1075="","",TEXT($A1075,"ddd"))</f>
        <v/>
      </c>
      <c r="E1075" s="4" t="inlineStr">
        <is>
          <t>HR</t>
        </is>
      </c>
      <c r="F1075" s="4">
        <f>IFERROR(INDEX(Tbl_KPIMaster[Category],MATCH($G1075,Tbl_KPIMaster[KPI],0)),"")</f>
        <v/>
      </c>
      <c r="G1075" s="4" t="inlineStr">
        <is>
          <t>Absenteeism %</t>
        </is>
      </c>
      <c r="H1075" s="4">
        <f>IFERROR(INDEX(Tbl_KPIMaster[Unit],MATCH($G1075,Tbl_KPIMaster[KPI],0)),"")</f>
        <v/>
      </c>
      <c r="I1075" s="5">
        <f>IFERROR(INDEX(Tbl_KPIMaster[Maximum Target],MATCH($G1075,Tbl_KPIMaster[KPI],0)),"")</f>
        <v/>
      </c>
      <c r="J1075" s="5" t="n">
        <v>0.4201</v>
      </c>
      <c r="K1075" s="4">
        <f>IFERROR(INDEX(Tbl_KPIMaster[Tolerance],MATCH($G1075,Tbl_KPIMaster[KPI],0)),"")</f>
        <v/>
      </c>
      <c r="L1075" s="4">
        <f>IFERROR(INDEX(Tbl_KPIMaster[Owner],MATCH($G1075,Tbl_KPIMaster[KPI],0)),"")</f>
        <v/>
      </c>
      <c r="M1075" s="6" t="inlineStr">
        <is>
          <t>Preventive check done</t>
        </is>
      </c>
      <c r="N1075" s="4" t="inlineStr"/>
      <c r="O1075" s="4" t="inlineStr">
        <is>
          <t>Medium</t>
        </is>
      </c>
      <c r="P1075" s="4" t="inlineStr">
        <is>
          <t>Closed</t>
        </is>
      </c>
      <c r="Q1075" s="5">
        <f>IFERROR(IF(INDEX(Tbl_KPIMaster[Direction],MATCH($G1075,Tbl_KPIMaster[KPI],0))="Lower is Better",IF($J1075=0,1,IF($I1075=0,0,$I1075/$J1075)),IF($I1075=0,1,$J1075/$I1075)),0)</f>
        <v/>
      </c>
      <c r="R1075" s="4">
        <f>IF(OR($I1075="",$J1075=""),"",$J1075-$I1075)</f>
        <v/>
      </c>
      <c r="S1075" s="4">
        <f>IFERROR(IF(INDEX(Tbl_KPIMaster[Direction],MATCH($G1075,Tbl_KPIMaster[KPI],0))="Lower is Better",IF($J1075&lt;=$I1075,"Green",IF($J1075&lt;=$I1075+IF($I1075=0,$K1075,$I1075*$K1075),"Amber","Red")),IF($J1075&gt;=$I1075,"Green",IF($J1075&gt;=$I1075-IF($I1075=0,$K1075,$I1075*$K1075),"Amber","Red"))),"")</f>
        <v/>
      </c>
      <c r="T1075" s="6" t="inlineStr"/>
    </row>
    <row r="1076">
      <c r="A1076" s="7" t="n">
        <v>46183</v>
      </c>
      <c r="B1076" s="8">
        <f>IF($A1076="","",TEXT($A1076,"mmm-yyyy"))</f>
        <v/>
      </c>
      <c r="C1076" s="8">
        <f>IF($A1076="","","W"&amp;WEEKNUM($A1076,2))</f>
        <v/>
      </c>
      <c r="D1076" s="8">
        <f>IF($A1076="","",TEXT($A1076,"ddd"))</f>
        <v/>
      </c>
      <c r="E1076" s="8" t="inlineStr">
        <is>
          <t>HR</t>
        </is>
      </c>
      <c r="F1076" s="8">
        <f>IFERROR(INDEX(Tbl_KPIMaster[Category],MATCH($G1076,Tbl_KPIMaster[KPI],0)),"")</f>
        <v/>
      </c>
      <c r="G1076" s="8" t="inlineStr">
        <is>
          <t>Training Hours</t>
        </is>
      </c>
      <c r="H1076" s="8">
        <f>IFERROR(INDEX(Tbl_KPIMaster[Unit],MATCH($G1076,Tbl_KPIMaster[KPI],0)),"")</f>
        <v/>
      </c>
      <c r="I1076" s="9">
        <f>IFERROR(INDEX(Tbl_KPIMaster[Maximum Target],MATCH($G1076,Tbl_KPIMaster[KPI],0)),"")</f>
        <v/>
      </c>
      <c r="J1076" s="9" t="n">
        <v>1.71</v>
      </c>
      <c r="K1076" s="8">
        <f>IFERROR(INDEX(Tbl_KPIMaster[Tolerance],MATCH($G1076,Tbl_KPIMaster[KPI],0)),"")</f>
        <v/>
      </c>
      <c r="L1076" s="8">
        <f>IFERROR(INDEX(Tbl_KPIMaster[Owner],MATCH($G1076,Tbl_KPIMaster[KPI],0)),"")</f>
        <v/>
      </c>
      <c r="M1076" s="10" t="inlineStr">
        <is>
          <t>Manpower shortage</t>
        </is>
      </c>
      <c r="N1076" s="8" t="inlineStr">
        <is>
          <t>Engineering support needed</t>
        </is>
      </c>
      <c r="O1076" s="8" t="inlineStr">
        <is>
          <t>High</t>
        </is>
      </c>
      <c r="P1076" s="8" t="inlineStr">
        <is>
          <t>Closed</t>
        </is>
      </c>
      <c r="Q1076" s="9">
        <f>IFERROR(IF(INDEX(Tbl_KPIMaster[Direction],MATCH($G1076,Tbl_KPIMaster[KPI],0))="Lower is Better",IF($J1076=0,1,IF($I1076=0,0,$I1076/$J1076)),IF($I1076=0,1,$J1076/$I1076)),0)</f>
        <v/>
      </c>
      <c r="R1076" s="8">
        <f>IF(OR($I1076="",$J1076=""),"",$J1076-$I1076)</f>
        <v/>
      </c>
      <c r="S1076" s="8">
        <f>IFERROR(IF(INDEX(Tbl_KPIMaster[Direction],MATCH($G1076,Tbl_KPIMaster[KPI],0))="Lower is Better",IF($J1076&lt;=$I1076,"Green",IF($J1076&lt;=$I1076+IF($I1076=0,$K1076,$I1076*$K1076),"Amber","Red")),IF($J1076&gt;=$I1076,"Green",IF($J1076&gt;=$I1076-IF($I1076=0,$K1076,$I1076*$K1076),"Amber","Red"))),"")</f>
        <v/>
      </c>
      <c r="T1076" s="10" t="inlineStr"/>
    </row>
    <row r="1077">
      <c r="A1077" s="3" t="n">
        <v>46183</v>
      </c>
      <c r="B1077" s="4">
        <f>IF($A1077="","",TEXT($A1077,"mmm-yyyy"))</f>
        <v/>
      </c>
      <c r="C1077" s="4">
        <f>IF($A1077="","","W"&amp;WEEKNUM($A1077,2))</f>
        <v/>
      </c>
      <c r="D1077" s="4">
        <f>IF($A1077="","",TEXT($A1077,"ddd"))</f>
        <v/>
      </c>
      <c r="E1077" s="4" t="inlineStr">
        <is>
          <t>Engineering</t>
        </is>
      </c>
      <c r="F1077" s="4">
        <f>IFERROR(INDEX(Tbl_KPIMaster[Category],MATCH($G1077,Tbl_KPIMaster[KPI],0)),"")</f>
        <v/>
      </c>
      <c r="G1077" s="4" t="inlineStr">
        <is>
          <t>Project Milestone Adherence %</t>
        </is>
      </c>
      <c r="H1077" s="4">
        <f>IFERROR(INDEX(Tbl_KPIMaster[Unit],MATCH($G1077,Tbl_KPIMaster[KPI],0)),"")</f>
        <v/>
      </c>
      <c r="I1077" s="5">
        <f>IFERROR(INDEX(Tbl_KPIMaster[Maximum Target],MATCH($G1077,Tbl_KPIMaster[KPI],0)),"")</f>
        <v/>
      </c>
      <c r="J1077" s="5" t="n">
        <v>1.0427</v>
      </c>
      <c r="K1077" s="4">
        <f>IFERROR(INDEX(Tbl_KPIMaster[Tolerance],MATCH($G1077,Tbl_KPIMaster[KPI],0)),"")</f>
        <v/>
      </c>
      <c r="L1077" s="4">
        <f>IFERROR(INDEX(Tbl_KPIMaster[Owner],MATCH($G1077,Tbl_KPIMaster[KPI],0)),"")</f>
        <v/>
      </c>
      <c r="M1077" s="6" t="inlineStr">
        <is>
          <t>Vendor delay</t>
        </is>
      </c>
      <c r="N1077" s="4" t="inlineStr">
        <is>
          <t>Management approval pending</t>
        </is>
      </c>
      <c r="O1077" s="4" t="inlineStr">
        <is>
          <t>High</t>
        </is>
      </c>
      <c r="P1077" s="4" t="inlineStr">
        <is>
          <t>Open</t>
        </is>
      </c>
      <c r="Q1077" s="5">
        <f>IFERROR(IF(INDEX(Tbl_KPIMaster[Direction],MATCH($G1077,Tbl_KPIMaster[KPI],0))="Lower is Better",IF($J1077=0,1,IF($I1077=0,0,$I1077/$J1077)),IF($I1077=0,1,$J1077/$I1077)),0)</f>
        <v/>
      </c>
      <c r="R1077" s="4">
        <f>IF(OR($I1077="",$J1077=""),"",$J1077-$I1077)</f>
        <v/>
      </c>
      <c r="S1077" s="4">
        <f>IFERROR(IF(INDEX(Tbl_KPIMaster[Direction],MATCH($G1077,Tbl_KPIMaster[KPI],0))="Lower is Better",IF($J1077&lt;=$I1077,"Green",IF($J1077&lt;=$I1077+IF($I1077=0,$K1077,$I1077*$K1077),"Amber","Red")),IF($J1077&gt;=$I1077,"Green",IF($J1077&gt;=$I1077-IF($I1077=0,$K1077,$I1077*$K1077),"Amber","Red"))),"")</f>
        <v/>
      </c>
      <c r="T1077" s="6" t="inlineStr"/>
    </row>
    <row r="1078">
      <c r="A1078" s="7" t="n">
        <v>46183</v>
      </c>
      <c r="B1078" s="8">
        <f>IF($A1078="","",TEXT($A1078,"mmm-yyyy"))</f>
        <v/>
      </c>
      <c r="C1078" s="8">
        <f>IF($A1078="","","W"&amp;WEEKNUM($A1078,2))</f>
        <v/>
      </c>
      <c r="D1078" s="8">
        <f>IF($A1078="","",TEXT($A1078,"ddd"))</f>
        <v/>
      </c>
      <c r="E1078" s="8" t="inlineStr">
        <is>
          <t>Engineering</t>
        </is>
      </c>
      <c r="F1078" s="8">
        <f>IFERROR(INDEX(Tbl_KPIMaster[Category],MATCH($G1078,Tbl_KPIMaster[KPI],0)),"")</f>
        <v/>
      </c>
      <c r="G1078" s="8" t="inlineStr">
        <is>
          <t>Breakdown Resolution Time</t>
        </is>
      </c>
      <c r="H1078" s="8">
        <f>IFERROR(INDEX(Tbl_KPIMaster[Unit],MATCH($G1078,Tbl_KPIMaster[KPI],0)),"")</f>
        <v/>
      </c>
      <c r="I1078" s="9">
        <f>IFERROR(INDEX(Tbl_KPIMaster[Maximum Target],MATCH($G1078,Tbl_KPIMaster[KPI],0)),"")</f>
        <v/>
      </c>
      <c r="J1078" s="9" t="n">
        <v>0.27</v>
      </c>
      <c r="K1078" s="8">
        <f>IFERROR(INDEX(Tbl_KPIMaster[Tolerance],MATCH($G1078,Tbl_KPIMaster[KPI],0)),"")</f>
        <v/>
      </c>
      <c r="L1078" s="8">
        <f>IFERROR(INDEX(Tbl_KPIMaster[Owner],MATCH($G1078,Tbl_KPIMaster[KPI],0)),"")</f>
        <v/>
      </c>
      <c r="M1078" s="10" t="inlineStr">
        <is>
          <t>Within normal range</t>
        </is>
      </c>
      <c r="N1078" s="8" t="inlineStr"/>
      <c r="O1078" s="8" t="inlineStr">
        <is>
          <t>Medium</t>
        </is>
      </c>
      <c r="P1078" s="8" t="inlineStr">
        <is>
          <t>Closed</t>
        </is>
      </c>
      <c r="Q1078" s="9">
        <f>IFERROR(IF(INDEX(Tbl_KPIMaster[Direction],MATCH($G1078,Tbl_KPIMaster[KPI],0))="Lower is Better",IF($J1078=0,1,IF($I1078=0,0,$I1078/$J1078)),IF($I1078=0,1,$J1078/$I1078)),0)</f>
        <v/>
      </c>
      <c r="R1078" s="8">
        <f>IF(OR($I1078="",$J1078=""),"",$J1078-$I1078)</f>
        <v/>
      </c>
      <c r="S1078" s="8">
        <f>IFERROR(IF(INDEX(Tbl_KPIMaster[Direction],MATCH($G1078,Tbl_KPIMaster[KPI],0))="Lower is Better",IF($J1078&lt;=$I1078,"Green",IF($J1078&lt;=$I1078+IF($I1078=0,$K1078,$I1078*$K1078),"Amber","Red")),IF($J1078&gt;=$I1078,"Green",IF($J1078&gt;=$I1078-IF($I1078=0,$K1078,$I1078*$K1078),"Amber","Red"))),"")</f>
        <v/>
      </c>
      <c r="T1078" s="10" t="inlineStr"/>
    </row>
    <row r="1079">
      <c r="A1079" s="3" t="n">
        <v>46183</v>
      </c>
      <c r="B1079" s="4">
        <f>IF($A1079="","",TEXT($A1079,"mmm-yyyy"))</f>
        <v/>
      </c>
      <c r="C1079" s="4">
        <f>IF($A1079="","","W"&amp;WEEKNUM($A1079,2))</f>
        <v/>
      </c>
      <c r="D1079" s="4">
        <f>IF($A1079="","",TEXT($A1079,"ddd"))</f>
        <v/>
      </c>
      <c r="E1079" s="4" t="inlineStr">
        <is>
          <t>Cost</t>
        </is>
      </c>
      <c r="F1079" s="4">
        <f>IFERROR(INDEX(Tbl_KPIMaster[Category],MATCH($G1079,Tbl_KPIMaster[KPI],0)),"")</f>
        <v/>
      </c>
      <c r="G1079" s="4" t="inlineStr">
        <is>
          <t>Cost per Unit</t>
        </is>
      </c>
      <c r="H1079" s="4">
        <f>IFERROR(INDEX(Tbl_KPIMaster[Unit],MATCH($G1079,Tbl_KPIMaster[KPI],0)),"")</f>
        <v/>
      </c>
      <c r="I1079" s="5">
        <f>IFERROR(INDEX(Tbl_KPIMaster[Maximum Target],MATCH($G1079,Tbl_KPIMaster[KPI],0)),"")</f>
        <v/>
      </c>
      <c r="J1079" s="5" t="n">
        <v>47.35</v>
      </c>
      <c r="K1079" s="4">
        <f>IFERROR(INDEX(Tbl_KPIMaster[Tolerance],MATCH($G1079,Tbl_KPIMaster[KPI],0)),"")</f>
        <v/>
      </c>
      <c r="L1079" s="4">
        <f>IFERROR(INDEX(Tbl_KPIMaster[Owner],MATCH($G1079,Tbl_KPIMaster[KPI],0)),"")</f>
        <v/>
      </c>
      <c r="M1079" s="6" t="inlineStr">
        <is>
          <t>New operator training effect</t>
        </is>
      </c>
      <c r="N1079" s="4" t="inlineStr">
        <is>
          <t>Engineering support needed</t>
        </is>
      </c>
      <c r="O1079" s="4" t="inlineStr">
        <is>
          <t>Medium</t>
        </is>
      </c>
      <c r="P1079" s="4" t="inlineStr">
        <is>
          <t>Open</t>
        </is>
      </c>
      <c r="Q1079" s="5">
        <f>IFERROR(IF(INDEX(Tbl_KPIMaster[Direction],MATCH($G1079,Tbl_KPIMaster[KPI],0))="Lower is Better",IF($J1079=0,1,IF($I1079=0,0,$I1079/$J1079)),IF($I1079=0,1,$J1079/$I1079)),0)</f>
        <v/>
      </c>
      <c r="R1079" s="4">
        <f>IF(OR($I1079="",$J1079=""),"",$J1079-$I1079)</f>
        <v/>
      </c>
      <c r="S1079" s="4">
        <f>IFERROR(IF(INDEX(Tbl_KPIMaster[Direction],MATCH($G1079,Tbl_KPIMaster[KPI],0))="Lower is Better",IF($J1079&lt;=$I1079,"Green",IF($J1079&lt;=$I1079+IF($I1079=0,$K1079,$I1079*$K1079),"Amber","Red")),IF($J1079&gt;=$I1079,"Green",IF($J1079&gt;=$I1079-IF($I1079=0,$K1079,$I1079*$K1079),"Amber","Red"))),"")</f>
        <v/>
      </c>
      <c r="T1079" s="6" t="inlineStr"/>
    </row>
    <row r="1080">
      <c r="A1080" s="7" t="n">
        <v>46183</v>
      </c>
      <c r="B1080" s="8">
        <f>IF($A1080="","",TEXT($A1080,"mmm-yyyy"))</f>
        <v/>
      </c>
      <c r="C1080" s="8">
        <f>IF($A1080="","","W"&amp;WEEKNUM($A1080,2))</f>
        <v/>
      </c>
      <c r="D1080" s="8">
        <f>IF($A1080="","",TEXT($A1080,"ddd"))</f>
        <v/>
      </c>
      <c r="E1080" s="8" t="inlineStr">
        <is>
          <t>Cost</t>
        </is>
      </c>
      <c r="F1080" s="8">
        <f>IFERROR(INDEX(Tbl_KPIMaster[Category],MATCH($G1080,Tbl_KPIMaster[KPI],0)),"")</f>
        <v/>
      </c>
      <c r="G1080" s="8" t="inlineStr">
        <is>
          <t>Budget Variance %</t>
        </is>
      </c>
      <c r="H1080" s="8">
        <f>IFERROR(INDEX(Tbl_KPIMaster[Unit],MATCH($G1080,Tbl_KPIMaster[KPI],0)),"")</f>
        <v/>
      </c>
      <c r="I1080" s="9">
        <f>IFERROR(INDEX(Tbl_KPIMaster[Maximum Target],MATCH($G1080,Tbl_KPIMaster[KPI],0)),"")</f>
        <v/>
      </c>
      <c r="J1080" s="9" t="n">
        <v>0.0182</v>
      </c>
      <c r="K1080" s="8">
        <f>IFERROR(INDEX(Tbl_KPIMaster[Tolerance],MATCH($G1080,Tbl_KPIMaster[KPI],0)),"")</f>
        <v/>
      </c>
      <c r="L1080" s="8">
        <f>IFERROR(INDEX(Tbl_KPIMaster[Owner],MATCH($G1080,Tbl_KPIMaster[KPI],0)),"")</f>
        <v/>
      </c>
      <c r="M1080" s="10" t="inlineStr"/>
      <c r="N1080" s="8" t="inlineStr">
        <is>
          <t>Management approval pending</t>
        </is>
      </c>
      <c r="O1080" s="8" t="inlineStr">
        <is>
          <t>Low</t>
        </is>
      </c>
      <c r="P1080" s="8" t="inlineStr">
        <is>
          <t>Closed</t>
        </is>
      </c>
      <c r="Q1080" s="9">
        <f>IFERROR(IF(INDEX(Tbl_KPIMaster[Direction],MATCH($G1080,Tbl_KPIMaster[KPI],0))="Lower is Better",IF($J1080=0,1,IF($I1080=0,0,$I1080/$J1080)),IF($I1080=0,1,$J1080/$I1080)),0)</f>
        <v/>
      </c>
      <c r="R1080" s="8">
        <f>IF(OR($I1080="",$J1080=""),"",$J1080-$I1080)</f>
        <v/>
      </c>
      <c r="S1080" s="8">
        <f>IFERROR(IF(INDEX(Tbl_KPIMaster[Direction],MATCH($G1080,Tbl_KPIMaster[KPI],0))="Lower is Better",IF($J1080&lt;=$I1080,"Green",IF($J1080&lt;=$I1080+IF($I1080=0,$K1080,$I1080*$K1080),"Amber","Red")),IF($J1080&gt;=$I1080,"Green",IF($J1080&gt;=$I1080-IF($I1080=0,$K1080,$I1080*$K1080),"Amber","Red"))),"")</f>
        <v/>
      </c>
      <c r="T1080" s="10" t="inlineStr"/>
    </row>
    <row r="1081">
      <c r="A1081" s="3" t="n">
        <v>46183</v>
      </c>
      <c r="B1081" s="4">
        <f>IF($A1081="","",TEXT($A1081,"mmm-yyyy"))</f>
        <v/>
      </c>
      <c r="C1081" s="4">
        <f>IF($A1081="","","W"&amp;WEEKNUM($A1081,2))</f>
        <v/>
      </c>
      <c r="D1081" s="4">
        <f>IF($A1081="","",TEXT($A1081,"ddd"))</f>
        <v/>
      </c>
      <c r="E1081" s="4" t="inlineStr">
        <is>
          <t>Energy</t>
        </is>
      </c>
      <c r="F1081" s="4">
        <f>IFERROR(INDEX(Tbl_KPIMaster[Category],MATCH($G1081,Tbl_KPIMaster[KPI],0)),"")</f>
        <v/>
      </c>
      <c r="G1081" s="4" t="inlineStr">
        <is>
          <t>Energy Intensity (kWh/unit)</t>
        </is>
      </c>
      <c r="H1081" s="4">
        <f>IFERROR(INDEX(Tbl_KPIMaster[Unit],MATCH($G1081,Tbl_KPIMaster[KPI],0)),"")</f>
        <v/>
      </c>
      <c r="I1081" s="5">
        <f>IFERROR(INDEX(Tbl_KPIMaster[Maximum Target],MATCH($G1081,Tbl_KPIMaster[KPI],0)),"")</f>
        <v/>
      </c>
      <c r="J1081" s="5" t="n">
        <v>4.13</v>
      </c>
      <c r="K1081" s="4">
        <f>IFERROR(INDEX(Tbl_KPIMaster[Tolerance],MATCH($G1081,Tbl_KPIMaster[KPI],0)),"")</f>
        <v/>
      </c>
      <c r="L1081" s="4">
        <f>IFERROR(INDEX(Tbl_KPIMaster[Owner],MATCH($G1081,Tbl_KPIMaster[KPI],0)),"")</f>
        <v/>
      </c>
      <c r="M1081" s="6" t="inlineStr"/>
      <c r="N1081" s="4" t="inlineStr">
        <is>
          <t>Engineering support needed</t>
        </is>
      </c>
      <c r="O1081" s="4" t="inlineStr">
        <is>
          <t>Medium</t>
        </is>
      </c>
      <c r="P1081" s="4" t="inlineStr">
        <is>
          <t>Closed</t>
        </is>
      </c>
      <c r="Q1081" s="5">
        <f>IFERROR(IF(INDEX(Tbl_KPIMaster[Direction],MATCH($G1081,Tbl_KPIMaster[KPI],0))="Lower is Better",IF($J1081=0,1,IF($I1081=0,0,$I1081/$J1081)),IF($I1081=0,1,$J1081/$I1081)),0)</f>
        <v/>
      </c>
      <c r="R1081" s="4">
        <f>IF(OR($I1081="",$J1081=""),"",$J1081-$I1081)</f>
        <v/>
      </c>
      <c r="S1081" s="4">
        <f>IFERROR(IF(INDEX(Tbl_KPIMaster[Direction],MATCH($G1081,Tbl_KPIMaster[KPI],0))="Lower is Better",IF($J1081&lt;=$I1081,"Green",IF($J1081&lt;=$I1081+IF($I1081=0,$K1081,$I1081*$K1081),"Amber","Red")),IF($J1081&gt;=$I1081,"Green",IF($J1081&gt;=$I1081-IF($I1081=0,$K1081,$I1081*$K1081),"Amber","Red"))),"")</f>
        <v/>
      </c>
      <c r="T1081" s="6" t="inlineStr"/>
    </row>
    <row r="1082">
      <c r="A1082" s="7" t="n">
        <v>46183</v>
      </c>
      <c r="B1082" s="8">
        <f>IF($A1082="","",TEXT($A1082,"mmm-yyyy"))</f>
        <v/>
      </c>
      <c r="C1082" s="8">
        <f>IF($A1082="","","W"&amp;WEEKNUM($A1082,2))</f>
        <v/>
      </c>
      <c r="D1082" s="8">
        <f>IF($A1082="","",TEXT($A1082,"ddd"))</f>
        <v/>
      </c>
      <c r="E1082" s="8" t="inlineStr">
        <is>
          <t>Energy</t>
        </is>
      </c>
      <c r="F1082" s="8">
        <f>IFERROR(INDEX(Tbl_KPIMaster[Category],MATCH($G1082,Tbl_KPIMaster[KPI],0)),"")</f>
        <v/>
      </c>
      <c r="G1082" s="8" t="inlineStr">
        <is>
          <t>Renewable Energy Share %</t>
        </is>
      </c>
      <c r="H1082" s="8">
        <f>IFERROR(INDEX(Tbl_KPIMaster[Unit],MATCH($G1082,Tbl_KPIMaster[KPI],0)),"")</f>
        <v/>
      </c>
      <c r="I1082" s="9">
        <f>IFERROR(INDEX(Tbl_KPIMaster[Maximum Target],MATCH($G1082,Tbl_KPIMaster[KPI],0)),"")</f>
        <v/>
      </c>
      <c r="J1082" s="9" t="n">
        <v>0.2121</v>
      </c>
      <c r="K1082" s="8">
        <f>IFERROR(INDEX(Tbl_KPIMaster[Tolerance],MATCH($G1082,Tbl_KPIMaster[KPI],0)),"")</f>
        <v/>
      </c>
      <c r="L1082" s="8">
        <f>IFERROR(INDEX(Tbl_KPIMaster[Owner],MATCH($G1082,Tbl_KPIMaster[KPI],0)),"")</f>
        <v/>
      </c>
      <c r="M1082" s="10" t="inlineStr">
        <is>
          <t>Process improvement in progress</t>
        </is>
      </c>
      <c r="N1082" s="8" t="inlineStr">
        <is>
          <t>Procurement follow-up</t>
        </is>
      </c>
      <c r="O1082" s="8" t="inlineStr">
        <is>
          <t>Low</t>
        </is>
      </c>
      <c r="P1082" s="8" t="inlineStr">
        <is>
          <t>Closed</t>
        </is>
      </c>
      <c r="Q1082" s="9">
        <f>IFERROR(IF(INDEX(Tbl_KPIMaster[Direction],MATCH($G1082,Tbl_KPIMaster[KPI],0))="Lower is Better",IF($J1082=0,1,IF($I1082=0,0,$I1082/$J1082)),IF($I1082=0,1,$J1082/$I1082)),0)</f>
        <v/>
      </c>
      <c r="R1082" s="8">
        <f>IF(OR($I1082="",$J1082=""),"",$J1082-$I1082)</f>
        <v/>
      </c>
      <c r="S1082" s="8">
        <f>IFERROR(IF(INDEX(Tbl_KPIMaster[Direction],MATCH($G1082,Tbl_KPIMaster[KPI],0))="Lower is Better",IF($J1082&lt;=$I1082,"Green",IF($J1082&lt;=$I1082+IF($I1082=0,$K1082,$I1082*$K1082),"Amber","Red")),IF($J1082&gt;=$I1082,"Green",IF($J1082&gt;=$I1082-IF($I1082=0,$K1082,$I1082*$K1082),"Amber","Red"))),"")</f>
        <v/>
      </c>
      <c r="T1082" s="10" t="inlineStr"/>
    </row>
    <row r="1083">
      <c r="A1083" s="3" t="n">
        <v>46184</v>
      </c>
      <c r="B1083" s="4">
        <f>IF($A1083="","",TEXT($A1083,"mmm-yyyy"))</f>
        <v/>
      </c>
      <c r="C1083" s="4">
        <f>IF($A1083="","","W"&amp;WEEKNUM($A1083,2))</f>
        <v/>
      </c>
      <c r="D1083" s="4">
        <f>IF($A1083="","",TEXT($A1083,"ddd"))</f>
        <v/>
      </c>
      <c r="E1083" s="4" t="inlineStr">
        <is>
          <t>Safety</t>
        </is>
      </c>
      <c r="F1083" s="4">
        <f>IFERROR(INDEX(Tbl_KPIMaster[Category],MATCH($G1083,Tbl_KPIMaster[KPI],0)),"")</f>
        <v/>
      </c>
      <c r="G1083" s="4" t="inlineStr">
        <is>
          <t>Safety Incidents (LTI)</t>
        </is>
      </c>
      <c r="H1083" s="4">
        <f>IFERROR(INDEX(Tbl_KPIMaster[Unit],MATCH($G1083,Tbl_KPIMaster[KPI],0)),"")</f>
        <v/>
      </c>
      <c r="I1083" s="5">
        <f>IFERROR(INDEX(Tbl_KPIMaster[Maximum Target],MATCH($G1083,Tbl_KPIMaster[KPI],0)),"")</f>
        <v/>
      </c>
      <c r="J1083" s="5" t="n">
        <v>1</v>
      </c>
      <c r="K1083" s="4">
        <f>IFERROR(INDEX(Tbl_KPIMaster[Tolerance],MATCH($G1083,Tbl_KPIMaster[KPI],0)),"")</f>
        <v/>
      </c>
      <c r="L1083" s="4">
        <f>IFERROR(INDEX(Tbl_KPIMaster[Owner],MATCH($G1083,Tbl_KPIMaster[KPI],0)),"")</f>
        <v/>
      </c>
      <c r="M1083" s="6" t="inlineStr">
        <is>
          <t>Within normal range</t>
        </is>
      </c>
      <c r="N1083" s="4" t="inlineStr"/>
      <c r="O1083" s="4" t="inlineStr">
        <is>
          <t>Low</t>
        </is>
      </c>
      <c r="P1083" s="4" t="inlineStr">
        <is>
          <t>In Progress</t>
        </is>
      </c>
      <c r="Q1083" s="5">
        <f>IFERROR(IF(INDEX(Tbl_KPIMaster[Direction],MATCH($G1083,Tbl_KPIMaster[KPI],0))="Lower is Better",IF($J1083=0,1,IF($I1083=0,0,$I1083/$J1083)),IF($I1083=0,1,$J1083/$I1083)),0)</f>
        <v/>
      </c>
      <c r="R1083" s="4">
        <f>IF(OR($I1083="",$J1083=""),"",$J1083-$I1083)</f>
        <v/>
      </c>
      <c r="S1083" s="4">
        <f>IFERROR(IF(INDEX(Tbl_KPIMaster[Direction],MATCH($G1083,Tbl_KPIMaster[KPI],0))="Lower is Better",IF($J1083&lt;=$I1083,"Green",IF($J1083&lt;=$I1083+IF($I1083=0,$K1083,$I1083*$K1083),"Amber","Red")),IF($J1083&gt;=$I1083,"Green",IF($J1083&gt;=$I1083-IF($I1083=0,$K1083,$I1083*$K1083),"Amber","Red"))),"")</f>
        <v/>
      </c>
      <c r="T1083" s="6" t="inlineStr"/>
    </row>
    <row r="1084">
      <c r="A1084" s="7" t="n">
        <v>46184</v>
      </c>
      <c r="B1084" s="8">
        <f>IF($A1084="","",TEXT($A1084,"mmm-yyyy"))</f>
        <v/>
      </c>
      <c r="C1084" s="8">
        <f>IF($A1084="","","W"&amp;WEEKNUM($A1084,2))</f>
        <v/>
      </c>
      <c r="D1084" s="8">
        <f>IF($A1084="","",TEXT($A1084,"ddd"))</f>
        <v/>
      </c>
      <c r="E1084" s="8" t="inlineStr">
        <is>
          <t>Safety</t>
        </is>
      </c>
      <c r="F1084" s="8">
        <f>IFERROR(INDEX(Tbl_KPIMaster[Category],MATCH($G1084,Tbl_KPIMaster[KPI],0)),"")</f>
        <v/>
      </c>
      <c r="G1084" s="8" t="inlineStr">
        <is>
          <t>Near Miss Reports</t>
        </is>
      </c>
      <c r="H1084" s="8">
        <f>IFERROR(INDEX(Tbl_KPIMaster[Unit],MATCH($G1084,Tbl_KPIMaster[KPI],0)),"")</f>
        <v/>
      </c>
      <c r="I1084" s="9">
        <f>IFERROR(INDEX(Tbl_KPIMaster[Maximum Target],MATCH($G1084,Tbl_KPIMaster[KPI],0)),"")</f>
        <v/>
      </c>
      <c r="J1084" s="9" t="n">
        <v>2</v>
      </c>
      <c r="K1084" s="8">
        <f>IFERROR(INDEX(Tbl_KPIMaster[Tolerance],MATCH($G1084,Tbl_KPIMaster[KPI],0)),"")</f>
        <v/>
      </c>
      <c r="L1084" s="8">
        <f>IFERROR(INDEX(Tbl_KPIMaster[Owner],MATCH($G1084,Tbl_KPIMaster[KPI],0)),"")</f>
        <v/>
      </c>
      <c r="M1084" s="10" t="inlineStr">
        <is>
          <t>New operator training effect</t>
        </is>
      </c>
      <c r="N1084" s="8" t="inlineStr"/>
      <c r="O1084" s="8" t="inlineStr">
        <is>
          <t>Low</t>
        </is>
      </c>
      <c r="P1084" s="8" t="inlineStr">
        <is>
          <t>Closed</t>
        </is>
      </c>
      <c r="Q1084" s="9">
        <f>IFERROR(IF(INDEX(Tbl_KPIMaster[Direction],MATCH($G1084,Tbl_KPIMaster[KPI],0))="Lower is Better",IF($J1084=0,1,IF($I1084=0,0,$I1084/$J1084)),IF($I1084=0,1,$J1084/$I1084)),0)</f>
        <v/>
      </c>
      <c r="R1084" s="8">
        <f>IF(OR($I1084="",$J1084=""),"",$J1084-$I1084)</f>
        <v/>
      </c>
      <c r="S1084" s="8">
        <f>IFERROR(IF(INDEX(Tbl_KPIMaster[Direction],MATCH($G1084,Tbl_KPIMaster[KPI],0))="Lower is Better",IF($J1084&lt;=$I1084,"Green",IF($J1084&lt;=$I1084+IF($I1084=0,$K1084,$I1084*$K1084),"Amber","Red")),IF($J1084&gt;=$I1084,"Green",IF($J1084&gt;=$I1084-IF($I1084=0,$K1084,$I1084*$K1084),"Amber","Red"))),"")</f>
        <v/>
      </c>
      <c r="T1084" s="10" t="inlineStr"/>
    </row>
    <row r="1085">
      <c r="A1085" s="3" t="n">
        <v>46184</v>
      </c>
      <c r="B1085" s="4">
        <f>IF($A1085="","",TEXT($A1085,"mmm-yyyy"))</f>
        <v/>
      </c>
      <c r="C1085" s="4">
        <f>IF($A1085="","","W"&amp;WEEKNUM($A1085,2))</f>
        <v/>
      </c>
      <c r="D1085" s="4">
        <f>IF($A1085="","",TEXT($A1085,"ddd"))</f>
        <v/>
      </c>
      <c r="E1085" s="4" t="inlineStr">
        <is>
          <t>Production</t>
        </is>
      </c>
      <c r="F1085" s="4">
        <f>IFERROR(INDEX(Tbl_KPIMaster[Category],MATCH($G1085,Tbl_KPIMaster[KPI],0)),"")</f>
        <v/>
      </c>
      <c r="G1085" s="4" t="inlineStr">
        <is>
          <t>Production Output</t>
        </is>
      </c>
      <c r="H1085" s="4">
        <f>IFERROR(INDEX(Tbl_KPIMaster[Unit],MATCH($G1085,Tbl_KPIMaster[KPI],0)),"")</f>
        <v/>
      </c>
      <c r="I1085" s="5">
        <f>IFERROR(INDEX(Tbl_KPIMaster[Maximum Target],MATCH($G1085,Tbl_KPIMaster[KPI],0)),"")</f>
        <v/>
      </c>
      <c r="J1085" s="5" t="n">
        <v>1103.69</v>
      </c>
      <c r="K1085" s="4">
        <f>IFERROR(INDEX(Tbl_KPIMaster[Tolerance],MATCH($G1085,Tbl_KPIMaster[KPI],0)),"")</f>
        <v/>
      </c>
      <c r="L1085" s="4">
        <f>IFERROR(INDEX(Tbl_KPIMaster[Owner],MATCH($G1085,Tbl_KPIMaster[KPI],0)),"")</f>
        <v/>
      </c>
      <c r="M1085" s="6" t="inlineStr">
        <is>
          <t>Preventive check done</t>
        </is>
      </c>
      <c r="N1085" s="4" t="inlineStr">
        <is>
          <t>Management approval pending</t>
        </is>
      </c>
      <c r="O1085" s="4" t="inlineStr">
        <is>
          <t>High</t>
        </is>
      </c>
      <c r="P1085" s="4" t="inlineStr">
        <is>
          <t>Closed</t>
        </is>
      </c>
      <c r="Q1085" s="5">
        <f>IFERROR(IF(INDEX(Tbl_KPIMaster[Direction],MATCH($G1085,Tbl_KPIMaster[KPI],0))="Lower is Better",IF($J1085=0,1,IF($I1085=0,0,$I1085/$J1085)),IF($I1085=0,1,$J1085/$I1085)),0)</f>
        <v/>
      </c>
      <c r="R1085" s="4">
        <f>IF(OR($I1085="",$J1085=""),"",$J1085-$I1085)</f>
        <v/>
      </c>
      <c r="S1085" s="4">
        <f>IFERROR(IF(INDEX(Tbl_KPIMaster[Direction],MATCH($G1085,Tbl_KPIMaster[KPI],0))="Lower is Better",IF($J1085&lt;=$I1085,"Green",IF($J1085&lt;=$I1085+IF($I1085=0,$K1085,$I1085*$K1085),"Amber","Red")),IF($J1085&gt;=$I1085,"Green",IF($J1085&gt;=$I1085-IF($I1085=0,$K1085,$I1085*$K1085),"Amber","Red"))),"")</f>
        <v/>
      </c>
      <c r="T1085" s="6" t="inlineStr"/>
    </row>
    <row r="1086">
      <c r="A1086" s="7" t="n">
        <v>46184</v>
      </c>
      <c r="B1086" s="8">
        <f>IF($A1086="","",TEXT($A1086,"mmm-yyyy"))</f>
        <v/>
      </c>
      <c r="C1086" s="8">
        <f>IF($A1086="","","W"&amp;WEEKNUM($A1086,2))</f>
        <v/>
      </c>
      <c r="D1086" s="8">
        <f>IF($A1086="","",TEXT($A1086,"ddd"))</f>
        <v/>
      </c>
      <c r="E1086" s="8" t="inlineStr">
        <is>
          <t>Production</t>
        </is>
      </c>
      <c r="F1086" s="8">
        <f>IFERROR(INDEX(Tbl_KPIMaster[Category],MATCH($G1086,Tbl_KPIMaster[KPI],0)),"")</f>
        <v/>
      </c>
      <c r="G1086" s="8" t="inlineStr">
        <is>
          <t>OEE %</t>
        </is>
      </c>
      <c r="H1086" s="8">
        <f>IFERROR(INDEX(Tbl_KPIMaster[Unit],MATCH($G1086,Tbl_KPIMaster[KPI],0)),"")</f>
        <v/>
      </c>
      <c r="I1086" s="9">
        <f>IFERROR(INDEX(Tbl_KPIMaster[Maximum Target],MATCH($G1086,Tbl_KPIMaster[KPI],0)),"")</f>
        <v/>
      </c>
      <c r="J1086" s="9" t="n">
        <v>0.7748</v>
      </c>
      <c r="K1086" s="8">
        <f>IFERROR(INDEX(Tbl_KPIMaster[Tolerance],MATCH($G1086,Tbl_KPIMaster[KPI],0)),"")</f>
        <v/>
      </c>
      <c r="L1086" s="8">
        <f>IFERROR(INDEX(Tbl_KPIMaster[Owner],MATCH($G1086,Tbl_KPIMaster[KPI],0)),"")</f>
        <v/>
      </c>
      <c r="M1086" s="10" t="inlineStr">
        <is>
          <t>Line changeover impact</t>
        </is>
      </c>
      <c r="N1086" s="8" t="inlineStr">
        <is>
          <t>Procurement follow-up</t>
        </is>
      </c>
      <c r="O1086" s="8" t="inlineStr">
        <is>
          <t>Medium</t>
        </is>
      </c>
      <c r="P1086" s="8" t="inlineStr">
        <is>
          <t>In Progress</t>
        </is>
      </c>
      <c r="Q1086" s="9">
        <f>IFERROR(IF(INDEX(Tbl_KPIMaster[Direction],MATCH($G1086,Tbl_KPIMaster[KPI],0))="Lower is Better",IF($J1086=0,1,IF($I1086=0,0,$I1086/$J1086)),IF($I1086=0,1,$J1086/$I1086)),0)</f>
        <v/>
      </c>
      <c r="R1086" s="8">
        <f>IF(OR($I1086="",$J1086=""),"",$J1086-$I1086)</f>
        <v/>
      </c>
      <c r="S1086" s="8">
        <f>IFERROR(IF(INDEX(Tbl_KPIMaster[Direction],MATCH($G1086,Tbl_KPIMaster[KPI],0))="Lower is Better",IF($J1086&lt;=$I1086,"Green",IF($J1086&lt;=$I1086+IF($I1086=0,$K1086,$I1086*$K1086),"Amber","Red")),IF($J1086&gt;=$I1086,"Green",IF($J1086&gt;=$I1086-IF($I1086=0,$K1086,$I1086*$K1086),"Amber","Red"))),"")</f>
        <v/>
      </c>
      <c r="T1086" s="10" t="inlineStr"/>
    </row>
    <row r="1087">
      <c r="A1087" s="3" t="n">
        <v>46184</v>
      </c>
      <c r="B1087" s="4">
        <f>IF($A1087="","",TEXT($A1087,"mmm-yyyy"))</f>
        <v/>
      </c>
      <c r="C1087" s="4">
        <f>IF($A1087="","","W"&amp;WEEKNUM($A1087,2))</f>
        <v/>
      </c>
      <c r="D1087" s="4">
        <f>IF($A1087="","",TEXT($A1087,"ddd"))</f>
        <v/>
      </c>
      <c r="E1087" s="4" t="inlineStr">
        <is>
          <t>Quality</t>
        </is>
      </c>
      <c r="F1087" s="4">
        <f>IFERROR(INDEX(Tbl_KPIMaster[Category],MATCH($G1087,Tbl_KPIMaster[KPI],0)),"")</f>
        <v/>
      </c>
      <c r="G1087" s="4" t="inlineStr">
        <is>
          <t>Defect Rate %</t>
        </is>
      </c>
      <c r="H1087" s="4">
        <f>IFERROR(INDEX(Tbl_KPIMaster[Unit],MATCH($G1087,Tbl_KPIMaster[KPI],0)),"")</f>
        <v/>
      </c>
      <c r="I1087" s="5">
        <f>IFERROR(INDEX(Tbl_KPIMaster[Maximum Target],MATCH($G1087,Tbl_KPIMaster[KPI],0)),"")</f>
        <v/>
      </c>
      <c r="J1087" s="5" t="n">
        <v>2.391</v>
      </c>
      <c r="K1087" s="4">
        <f>IFERROR(INDEX(Tbl_KPIMaster[Tolerance],MATCH($G1087,Tbl_KPIMaster[KPI],0)),"")</f>
        <v/>
      </c>
      <c r="L1087" s="4">
        <f>IFERROR(INDEX(Tbl_KPIMaster[Owner],MATCH($G1087,Tbl_KPIMaster[KPI],0)),"")</f>
        <v/>
      </c>
      <c r="M1087" s="6" t="inlineStr">
        <is>
          <t>Manpower shortage</t>
        </is>
      </c>
      <c r="N1087" s="4" t="inlineStr"/>
      <c r="O1087" s="4" t="inlineStr">
        <is>
          <t>High</t>
        </is>
      </c>
      <c r="P1087" s="4" t="inlineStr">
        <is>
          <t>In Progress</t>
        </is>
      </c>
      <c r="Q1087" s="5">
        <f>IFERROR(IF(INDEX(Tbl_KPIMaster[Direction],MATCH($G1087,Tbl_KPIMaster[KPI],0))="Lower is Better",IF($J1087=0,1,IF($I1087=0,0,$I1087/$J1087)),IF($I1087=0,1,$J1087/$I1087)),0)</f>
        <v/>
      </c>
      <c r="R1087" s="4">
        <f>IF(OR($I1087="",$J1087=""),"",$J1087-$I1087)</f>
        <v/>
      </c>
      <c r="S1087" s="4">
        <f>IFERROR(IF(INDEX(Tbl_KPIMaster[Direction],MATCH($G1087,Tbl_KPIMaster[KPI],0))="Lower is Better",IF($J1087&lt;=$I1087,"Green",IF($J1087&lt;=$I1087+IF($I1087=0,$K1087,$I1087*$K1087),"Amber","Red")),IF($J1087&gt;=$I1087,"Green",IF($J1087&gt;=$I1087-IF($I1087=0,$K1087,$I1087*$K1087),"Amber","Red"))),"")</f>
        <v/>
      </c>
      <c r="T1087" s="6" t="inlineStr"/>
    </row>
    <row r="1088">
      <c r="A1088" s="7" t="n">
        <v>46184</v>
      </c>
      <c r="B1088" s="8">
        <f>IF($A1088="","",TEXT($A1088,"mmm-yyyy"))</f>
        <v/>
      </c>
      <c r="C1088" s="8">
        <f>IF($A1088="","","W"&amp;WEEKNUM($A1088,2))</f>
        <v/>
      </c>
      <c r="D1088" s="8">
        <f>IF($A1088="","",TEXT($A1088,"ddd"))</f>
        <v/>
      </c>
      <c r="E1088" s="8" t="inlineStr">
        <is>
          <t>Quality</t>
        </is>
      </c>
      <c r="F1088" s="8">
        <f>IFERROR(INDEX(Tbl_KPIMaster[Category],MATCH($G1088,Tbl_KPIMaster[KPI],0)),"")</f>
        <v/>
      </c>
      <c r="G1088" s="8" t="inlineStr">
        <is>
          <t>Customer Complaints</t>
        </is>
      </c>
      <c r="H1088" s="8">
        <f>IFERROR(INDEX(Tbl_KPIMaster[Unit],MATCH($G1088,Tbl_KPIMaster[KPI],0)),"")</f>
        <v/>
      </c>
      <c r="I1088" s="9">
        <f>IFERROR(INDEX(Tbl_KPIMaster[Maximum Target],MATCH($G1088,Tbl_KPIMaster[KPI],0)),"")</f>
        <v/>
      </c>
      <c r="J1088" s="9" t="n">
        <v>0</v>
      </c>
      <c r="K1088" s="8">
        <f>IFERROR(INDEX(Tbl_KPIMaster[Tolerance],MATCH($G1088,Tbl_KPIMaster[KPI],0)),"")</f>
        <v/>
      </c>
      <c r="L1088" s="8">
        <f>IFERROR(INDEX(Tbl_KPIMaster[Owner],MATCH($G1088,Tbl_KPIMaster[KPI],0)),"")</f>
        <v/>
      </c>
      <c r="M1088" s="10" t="inlineStr">
        <is>
          <t>Within normal range</t>
        </is>
      </c>
      <c r="N1088" s="8" t="inlineStr"/>
      <c r="O1088" s="8" t="inlineStr">
        <is>
          <t>Low</t>
        </is>
      </c>
      <c r="P1088" s="8" t="inlineStr">
        <is>
          <t>Open</t>
        </is>
      </c>
      <c r="Q1088" s="9">
        <f>IFERROR(IF(INDEX(Tbl_KPIMaster[Direction],MATCH($G1088,Tbl_KPIMaster[KPI],0))="Lower is Better",IF($J1088=0,1,IF($I1088=0,0,$I1088/$J1088)),IF($I1088=0,1,$J1088/$I1088)),0)</f>
        <v/>
      </c>
      <c r="R1088" s="8">
        <f>IF(OR($I1088="",$J1088=""),"",$J1088-$I1088)</f>
        <v/>
      </c>
      <c r="S1088" s="8">
        <f>IFERROR(IF(INDEX(Tbl_KPIMaster[Direction],MATCH($G1088,Tbl_KPIMaster[KPI],0))="Lower is Better",IF($J1088&lt;=$I1088,"Green",IF($J1088&lt;=$I1088+IF($I1088=0,$K1088,$I1088*$K1088),"Amber","Red")),IF($J1088&gt;=$I1088,"Green",IF($J1088&gt;=$I1088-IF($I1088=0,$K1088,$I1088*$K1088),"Amber","Red"))),"")</f>
        <v/>
      </c>
      <c r="T1088" s="10" t="inlineStr"/>
    </row>
    <row r="1089">
      <c r="A1089" s="3" t="n">
        <v>46184</v>
      </c>
      <c r="B1089" s="4">
        <f>IF($A1089="","",TEXT($A1089,"mmm-yyyy"))</f>
        <v/>
      </c>
      <c r="C1089" s="4">
        <f>IF($A1089="","","W"&amp;WEEKNUM($A1089,2))</f>
        <v/>
      </c>
      <c r="D1089" s="4">
        <f>IF($A1089="","",TEXT($A1089,"ddd"))</f>
        <v/>
      </c>
      <c r="E1089" s="4" t="inlineStr">
        <is>
          <t>Maintenance</t>
        </is>
      </c>
      <c r="F1089" s="4">
        <f>IFERROR(INDEX(Tbl_KPIMaster[Category],MATCH($G1089,Tbl_KPIMaster[KPI],0)),"")</f>
        <v/>
      </c>
      <c r="G1089" s="4" t="inlineStr">
        <is>
          <t>Unplanned Downtime</t>
        </is>
      </c>
      <c r="H1089" s="4">
        <f>IFERROR(INDEX(Tbl_KPIMaster[Unit],MATCH($G1089,Tbl_KPIMaster[KPI],0)),"")</f>
        <v/>
      </c>
      <c r="I1089" s="5">
        <f>IFERROR(INDEX(Tbl_KPIMaster[Maximum Target],MATCH($G1089,Tbl_KPIMaster[KPI],0)),"")</f>
        <v/>
      </c>
      <c r="J1089" s="5" t="n">
        <v>0.98</v>
      </c>
      <c r="K1089" s="4">
        <f>IFERROR(INDEX(Tbl_KPIMaster[Tolerance],MATCH($G1089,Tbl_KPIMaster[KPI],0)),"")</f>
        <v/>
      </c>
      <c r="L1089" s="4">
        <f>IFERROR(INDEX(Tbl_KPIMaster[Owner],MATCH($G1089,Tbl_KPIMaster[KPI],0)),"")</f>
        <v/>
      </c>
      <c r="M1089" s="6" t="inlineStr">
        <is>
          <t>Equipment breakdown</t>
        </is>
      </c>
      <c r="N1089" s="4" t="inlineStr"/>
      <c r="O1089" s="4" t="inlineStr">
        <is>
          <t>Low</t>
        </is>
      </c>
      <c r="P1089" s="4" t="inlineStr">
        <is>
          <t>In Progress</t>
        </is>
      </c>
      <c r="Q1089" s="5">
        <f>IFERROR(IF(INDEX(Tbl_KPIMaster[Direction],MATCH($G1089,Tbl_KPIMaster[KPI],0))="Lower is Better",IF($J1089=0,1,IF($I1089=0,0,$I1089/$J1089)),IF($I1089=0,1,$J1089/$I1089)),0)</f>
        <v/>
      </c>
      <c r="R1089" s="4">
        <f>IF(OR($I1089="",$J1089=""),"",$J1089-$I1089)</f>
        <v/>
      </c>
      <c r="S1089" s="4">
        <f>IFERROR(IF(INDEX(Tbl_KPIMaster[Direction],MATCH($G1089,Tbl_KPIMaster[KPI],0))="Lower is Better",IF($J1089&lt;=$I1089,"Green",IF($J1089&lt;=$I1089+IF($I1089=0,$K1089,$I1089*$K1089),"Amber","Red")),IF($J1089&gt;=$I1089,"Green",IF($J1089&gt;=$I1089-IF($I1089=0,$K1089,$I1089*$K1089),"Amber","Red"))),"")</f>
        <v/>
      </c>
      <c r="T1089" s="6" t="inlineStr"/>
    </row>
    <row r="1090">
      <c r="A1090" s="7" t="n">
        <v>46184</v>
      </c>
      <c r="B1090" s="8">
        <f>IF($A1090="","",TEXT($A1090,"mmm-yyyy"))</f>
        <v/>
      </c>
      <c r="C1090" s="8">
        <f>IF($A1090="","","W"&amp;WEEKNUM($A1090,2))</f>
        <v/>
      </c>
      <c r="D1090" s="8">
        <f>IF($A1090="","",TEXT($A1090,"ddd"))</f>
        <v/>
      </c>
      <c r="E1090" s="8" t="inlineStr">
        <is>
          <t>Maintenance</t>
        </is>
      </c>
      <c r="F1090" s="8">
        <f>IFERROR(INDEX(Tbl_KPIMaster[Category],MATCH($G1090,Tbl_KPIMaster[KPI],0)),"")</f>
        <v/>
      </c>
      <c r="G1090" s="8" t="inlineStr">
        <is>
          <t>PM Compliance %</t>
        </is>
      </c>
      <c r="H1090" s="8">
        <f>IFERROR(INDEX(Tbl_KPIMaster[Unit],MATCH($G1090,Tbl_KPIMaster[KPI],0)),"")</f>
        <v/>
      </c>
      <c r="I1090" s="9">
        <f>IFERROR(INDEX(Tbl_KPIMaster[Maximum Target],MATCH($G1090,Tbl_KPIMaster[KPI],0)),"")</f>
        <v/>
      </c>
      <c r="J1090" s="9" t="n">
        <v>0.9549</v>
      </c>
      <c r="K1090" s="8">
        <f>IFERROR(INDEX(Tbl_KPIMaster[Tolerance],MATCH($G1090,Tbl_KPIMaster[KPI],0)),"")</f>
        <v/>
      </c>
      <c r="L1090" s="8">
        <f>IFERROR(INDEX(Tbl_KPIMaster[Owner],MATCH($G1090,Tbl_KPIMaster[KPI],0)),"")</f>
        <v/>
      </c>
      <c r="M1090" s="10" t="inlineStr"/>
      <c r="N1090" s="8" t="inlineStr">
        <is>
          <t>Engineering support needed</t>
        </is>
      </c>
      <c r="O1090" s="8" t="inlineStr">
        <is>
          <t>Low</t>
        </is>
      </c>
      <c r="P1090" s="8" t="inlineStr">
        <is>
          <t>Closed</t>
        </is>
      </c>
      <c r="Q1090" s="9">
        <f>IFERROR(IF(INDEX(Tbl_KPIMaster[Direction],MATCH($G1090,Tbl_KPIMaster[KPI],0))="Lower is Better",IF($J1090=0,1,IF($I1090=0,0,$I1090/$J1090)),IF($I1090=0,1,$J1090/$I1090)),0)</f>
        <v/>
      </c>
      <c r="R1090" s="8">
        <f>IF(OR($I1090="",$J1090=""),"",$J1090-$I1090)</f>
        <v/>
      </c>
      <c r="S1090" s="8">
        <f>IFERROR(IF(INDEX(Tbl_KPIMaster[Direction],MATCH($G1090,Tbl_KPIMaster[KPI],0))="Lower is Better",IF($J1090&lt;=$I1090,"Green",IF($J1090&lt;=$I1090+IF($I1090=0,$K1090,$I1090*$K1090),"Amber","Red")),IF($J1090&gt;=$I1090,"Green",IF($J1090&gt;=$I1090-IF($I1090=0,$K1090,$I1090*$K1090),"Amber","Red"))),"")</f>
        <v/>
      </c>
      <c r="T1090" s="10" t="inlineStr"/>
    </row>
    <row r="1091">
      <c r="A1091" s="3" t="n">
        <v>46184</v>
      </c>
      <c r="B1091" s="4">
        <f>IF($A1091="","",TEXT($A1091,"mmm-yyyy"))</f>
        <v/>
      </c>
      <c r="C1091" s="4">
        <f>IF($A1091="","","W"&amp;WEEKNUM($A1091,2))</f>
        <v/>
      </c>
      <c r="D1091" s="4">
        <f>IF($A1091="","",TEXT($A1091,"ddd"))</f>
        <v/>
      </c>
      <c r="E1091" s="4" t="inlineStr">
        <is>
          <t>Utilities</t>
        </is>
      </c>
      <c r="F1091" s="4">
        <f>IFERROR(INDEX(Tbl_KPIMaster[Category],MATCH($G1091,Tbl_KPIMaster[KPI],0)),"")</f>
        <v/>
      </c>
      <c r="G1091" s="4" t="inlineStr">
        <is>
          <t>Power Consumption</t>
        </is>
      </c>
      <c r="H1091" s="4">
        <f>IFERROR(INDEX(Tbl_KPIMaster[Unit],MATCH($G1091,Tbl_KPIMaster[KPI],0)),"")</f>
        <v/>
      </c>
      <c r="I1091" s="5">
        <f>IFERROR(INDEX(Tbl_KPIMaster[Maximum Target],MATCH($G1091,Tbl_KPIMaster[KPI],0)),"")</f>
        <v/>
      </c>
      <c r="J1091" s="5" t="n">
        <v>4010.74</v>
      </c>
      <c r="K1091" s="4">
        <f>IFERROR(INDEX(Tbl_KPIMaster[Tolerance],MATCH($G1091,Tbl_KPIMaster[KPI],0)),"")</f>
        <v/>
      </c>
      <c r="L1091" s="4">
        <f>IFERROR(INDEX(Tbl_KPIMaster[Owner],MATCH($G1091,Tbl_KPIMaster[KPI],0)),"")</f>
        <v/>
      </c>
      <c r="M1091" s="6" t="inlineStr">
        <is>
          <t>Weather impact</t>
        </is>
      </c>
      <c r="N1091" s="4" t="inlineStr">
        <is>
          <t>Engineering support needed</t>
        </is>
      </c>
      <c r="O1091" s="4" t="inlineStr">
        <is>
          <t>Low</t>
        </is>
      </c>
      <c r="P1091" s="4" t="inlineStr">
        <is>
          <t>Closed</t>
        </is>
      </c>
      <c r="Q1091" s="5">
        <f>IFERROR(IF(INDEX(Tbl_KPIMaster[Direction],MATCH($G1091,Tbl_KPIMaster[KPI],0))="Lower is Better",IF($J1091=0,1,IF($I1091=0,0,$I1091/$J1091)),IF($I1091=0,1,$J1091/$I1091)),0)</f>
        <v/>
      </c>
      <c r="R1091" s="4">
        <f>IF(OR($I1091="",$J1091=""),"",$J1091-$I1091)</f>
        <v/>
      </c>
      <c r="S1091" s="4">
        <f>IFERROR(IF(INDEX(Tbl_KPIMaster[Direction],MATCH($G1091,Tbl_KPIMaster[KPI],0))="Lower is Better",IF($J1091&lt;=$I1091,"Green",IF($J1091&lt;=$I1091+IF($I1091=0,$K1091,$I1091*$K1091),"Amber","Red")),IF($J1091&gt;=$I1091,"Green",IF($J1091&gt;=$I1091-IF($I1091=0,$K1091,$I1091*$K1091),"Amber","Red"))),"")</f>
        <v/>
      </c>
      <c r="T1091" s="6" t="inlineStr"/>
    </row>
    <row r="1092">
      <c r="A1092" s="7" t="n">
        <v>46184</v>
      </c>
      <c r="B1092" s="8">
        <f>IF($A1092="","",TEXT($A1092,"mmm-yyyy"))</f>
        <v/>
      </c>
      <c r="C1092" s="8">
        <f>IF($A1092="","","W"&amp;WEEKNUM($A1092,2))</f>
        <v/>
      </c>
      <c r="D1092" s="8">
        <f>IF($A1092="","",TEXT($A1092,"ddd"))</f>
        <v/>
      </c>
      <c r="E1092" s="8" t="inlineStr">
        <is>
          <t>Utilities</t>
        </is>
      </c>
      <c r="F1092" s="8">
        <f>IFERROR(INDEX(Tbl_KPIMaster[Category],MATCH($G1092,Tbl_KPIMaster[KPI],0)),"")</f>
        <v/>
      </c>
      <c r="G1092" s="8" t="inlineStr">
        <is>
          <t>Water Consumption</t>
        </is>
      </c>
      <c r="H1092" s="8">
        <f>IFERROR(INDEX(Tbl_KPIMaster[Unit],MATCH($G1092,Tbl_KPIMaster[KPI],0)),"")</f>
        <v/>
      </c>
      <c r="I1092" s="9">
        <f>IFERROR(INDEX(Tbl_KPIMaster[Maximum Target],MATCH($G1092,Tbl_KPIMaster[KPI],0)),"")</f>
        <v/>
      </c>
      <c r="J1092" s="9" t="n">
        <v>40.52</v>
      </c>
      <c r="K1092" s="8">
        <f>IFERROR(INDEX(Tbl_KPIMaster[Tolerance],MATCH($G1092,Tbl_KPIMaster[KPI],0)),"")</f>
        <v/>
      </c>
      <c r="L1092" s="8">
        <f>IFERROR(INDEX(Tbl_KPIMaster[Owner],MATCH($G1092,Tbl_KPIMaster[KPI],0)),"")</f>
        <v/>
      </c>
      <c r="M1092" s="10" t="inlineStr">
        <is>
          <t>Equipment breakdown</t>
        </is>
      </c>
      <c r="N1092" s="8" t="inlineStr">
        <is>
          <t>Management approval pending</t>
        </is>
      </c>
      <c r="O1092" s="8" t="inlineStr">
        <is>
          <t>Medium</t>
        </is>
      </c>
      <c r="P1092" s="8" t="inlineStr">
        <is>
          <t>Closed</t>
        </is>
      </c>
      <c r="Q1092" s="9">
        <f>IFERROR(IF(INDEX(Tbl_KPIMaster[Direction],MATCH($G1092,Tbl_KPIMaster[KPI],0))="Lower is Better",IF($J1092=0,1,IF($I1092=0,0,$I1092/$J1092)),IF($I1092=0,1,$J1092/$I1092)),0)</f>
        <v/>
      </c>
      <c r="R1092" s="8">
        <f>IF(OR($I1092="",$J1092=""),"",$J1092-$I1092)</f>
        <v/>
      </c>
      <c r="S1092" s="8">
        <f>IFERROR(IF(INDEX(Tbl_KPIMaster[Direction],MATCH($G1092,Tbl_KPIMaster[KPI],0))="Lower is Better",IF($J1092&lt;=$I1092,"Green",IF($J1092&lt;=$I1092+IF($I1092=0,$K1092,$I1092*$K1092),"Amber","Red")),IF($J1092&gt;=$I1092,"Green",IF($J1092&gt;=$I1092-IF($I1092=0,$K1092,$I1092*$K1092),"Amber","Red"))),"")</f>
        <v/>
      </c>
      <c r="T1092" s="10" t="inlineStr"/>
    </row>
    <row r="1093">
      <c r="A1093" s="3" t="n">
        <v>46184</v>
      </c>
      <c r="B1093" s="4">
        <f>IF($A1093="","",TEXT($A1093,"mmm-yyyy"))</f>
        <v/>
      </c>
      <c r="C1093" s="4">
        <f>IF($A1093="","","W"&amp;WEEKNUM($A1093,2))</f>
        <v/>
      </c>
      <c r="D1093" s="4">
        <f>IF($A1093="","",TEXT($A1093,"ddd"))</f>
        <v/>
      </c>
      <c r="E1093" s="4" t="inlineStr">
        <is>
          <t>Warehouse</t>
        </is>
      </c>
      <c r="F1093" s="4">
        <f>IFERROR(INDEX(Tbl_KPIMaster[Category],MATCH($G1093,Tbl_KPIMaster[KPI],0)),"")</f>
        <v/>
      </c>
      <c r="G1093" s="4" t="inlineStr">
        <is>
          <t>On-Time Dispatch %</t>
        </is>
      </c>
      <c r="H1093" s="4">
        <f>IFERROR(INDEX(Tbl_KPIMaster[Unit],MATCH($G1093,Tbl_KPIMaster[KPI],0)),"")</f>
        <v/>
      </c>
      <c r="I1093" s="5">
        <f>IFERROR(INDEX(Tbl_KPIMaster[Maximum Target],MATCH($G1093,Tbl_KPIMaster[KPI],0)),"")</f>
        <v/>
      </c>
      <c r="J1093" s="5" t="n">
        <v>0.9344</v>
      </c>
      <c r="K1093" s="4">
        <f>IFERROR(INDEX(Tbl_KPIMaster[Tolerance],MATCH($G1093,Tbl_KPIMaster[KPI],0)),"")</f>
        <v/>
      </c>
      <c r="L1093" s="4">
        <f>IFERROR(INDEX(Tbl_KPIMaster[Owner],MATCH($G1093,Tbl_KPIMaster[KPI],0)),"")</f>
        <v/>
      </c>
      <c r="M1093" s="6" t="inlineStr">
        <is>
          <t>Line changeover impact</t>
        </is>
      </c>
      <c r="N1093" s="4" t="inlineStr">
        <is>
          <t>Procurement follow-up</t>
        </is>
      </c>
      <c r="O1093" s="4" t="inlineStr">
        <is>
          <t>Low</t>
        </is>
      </c>
      <c r="P1093" s="4" t="inlineStr">
        <is>
          <t>Closed</t>
        </is>
      </c>
      <c r="Q1093" s="5">
        <f>IFERROR(IF(INDEX(Tbl_KPIMaster[Direction],MATCH($G1093,Tbl_KPIMaster[KPI],0))="Lower is Better",IF($J1093=0,1,IF($I1093=0,0,$I1093/$J1093)),IF($I1093=0,1,$J1093/$I1093)),0)</f>
        <v/>
      </c>
      <c r="R1093" s="4">
        <f>IF(OR($I1093="",$J1093=""),"",$J1093-$I1093)</f>
        <v/>
      </c>
      <c r="S1093" s="4">
        <f>IFERROR(IF(INDEX(Tbl_KPIMaster[Direction],MATCH($G1093,Tbl_KPIMaster[KPI],0))="Lower is Better",IF($J1093&lt;=$I1093,"Green",IF($J1093&lt;=$I1093+IF($I1093=0,$K1093,$I1093*$K1093),"Amber","Red")),IF($J1093&gt;=$I1093,"Green",IF($J1093&gt;=$I1093-IF($I1093=0,$K1093,$I1093*$K1093),"Amber","Red"))),"")</f>
        <v/>
      </c>
      <c r="T1093" s="6" t="inlineStr"/>
    </row>
    <row r="1094">
      <c r="A1094" s="7" t="n">
        <v>46184</v>
      </c>
      <c r="B1094" s="8">
        <f>IF($A1094="","",TEXT($A1094,"mmm-yyyy"))</f>
        <v/>
      </c>
      <c r="C1094" s="8">
        <f>IF($A1094="","","W"&amp;WEEKNUM($A1094,2))</f>
        <v/>
      </c>
      <c r="D1094" s="8">
        <f>IF($A1094="","",TEXT($A1094,"ddd"))</f>
        <v/>
      </c>
      <c r="E1094" s="8" t="inlineStr">
        <is>
          <t>Warehouse</t>
        </is>
      </c>
      <c r="F1094" s="8">
        <f>IFERROR(INDEX(Tbl_KPIMaster[Category],MATCH($G1094,Tbl_KPIMaster[KPI],0)),"")</f>
        <v/>
      </c>
      <c r="G1094" s="8" t="inlineStr">
        <is>
          <t>Inventory Accuracy %</t>
        </is>
      </c>
      <c r="H1094" s="8">
        <f>IFERROR(INDEX(Tbl_KPIMaster[Unit],MATCH($G1094,Tbl_KPIMaster[KPI],0)),"")</f>
        <v/>
      </c>
      <c r="I1094" s="9">
        <f>IFERROR(INDEX(Tbl_KPIMaster[Maximum Target],MATCH($G1094,Tbl_KPIMaster[KPI],0)),"")</f>
        <v/>
      </c>
      <c r="J1094" s="9" t="n">
        <v>1.0544</v>
      </c>
      <c r="K1094" s="8">
        <f>IFERROR(INDEX(Tbl_KPIMaster[Tolerance],MATCH($G1094,Tbl_KPIMaster[KPI],0)),"")</f>
        <v/>
      </c>
      <c r="L1094" s="8">
        <f>IFERROR(INDEX(Tbl_KPIMaster[Owner],MATCH($G1094,Tbl_KPIMaster[KPI],0)),"")</f>
        <v/>
      </c>
      <c r="M1094" s="10" t="inlineStr">
        <is>
          <t>Preventive check done</t>
        </is>
      </c>
      <c r="N1094" s="8" t="inlineStr">
        <is>
          <t>Procurement follow-up</t>
        </is>
      </c>
      <c r="O1094" s="8" t="inlineStr">
        <is>
          <t>High</t>
        </is>
      </c>
      <c r="P1094" s="8" t="inlineStr">
        <is>
          <t>In Progress</t>
        </is>
      </c>
      <c r="Q1094" s="9">
        <f>IFERROR(IF(INDEX(Tbl_KPIMaster[Direction],MATCH($G1094,Tbl_KPIMaster[KPI],0))="Lower is Better",IF($J1094=0,1,IF($I1094=0,0,$I1094/$J1094)),IF($I1094=0,1,$J1094/$I1094)),0)</f>
        <v/>
      </c>
      <c r="R1094" s="8">
        <f>IF(OR($I1094="",$J1094=""),"",$J1094-$I1094)</f>
        <v/>
      </c>
      <c r="S1094" s="8">
        <f>IFERROR(IF(INDEX(Tbl_KPIMaster[Direction],MATCH($G1094,Tbl_KPIMaster[KPI],0))="Lower is Better",IF($J1094&lt;=$I1094,"Green",IF($J1094&lt;=$I1094+IF($I1094=0,$K1094,$I1094*$K1094),"Amber","Red")),IF($J1094&gt;=$I1094,"Green",IF($J1094&gt;=$I1094-IF($I1094=0,$K1094,$I1094*$K1094),"Amber","Red"))),"")</f>
        <v/>
      </c>
      <c r="T1094" s="10" t="inlineStr"/>
    </row>
    <row r="1095">
      <c r="A1095" s="3" t="n">
        <v>46184</v>
      </c>
      <c r="B1095" s="4">
        <f>IF($A1095="","",TEXT($A1095,"mmm-yyyy"))</f>
        <v/>
      </c>
      <c r="C1095" s="4">
        <f>IF($A1095="","","W"&amp;WEEKNUM($A1095,2))</f>
        <v/>
      </c>
      <c r="D1095" s="4">
        <f>IF($A1095="","",TEXT($A1095,"ddd"))</f>
        <v/>
      </c>
      <c r="E1095" s="4" t="inlineStr">
        <is>
          <t>HR</t>
        </is>
      </c>
      <c r="F1095" s="4">
        <f>IFERROR(INDEX(Tbl_KPIMaster[Category],MATCH($G1095,Tbl_KPIMaster[KPI],0)),"")</f>
        <v/>
      </c>
      <c r="G1095" s="4" t="inlineStr">
        <is>
          <t>Absenteeism %</t>
        </is>
      </c>
      <c r="H1095" s="4">
        <f>IFERROR(INDEX(Tbl_KPIMaster[Unit],MATCH($G1095,Tbl_KPIMaster[KPI],0)),"")</f>
        <v/>
      </c>
      <c r="I1095" s="5">
        <f>IFERROR(INDEX(Tbl_KPIMaster[Maximum Target],MATCH($G1095,Tbl_KPIMaster[KPI],0)),"")</f>
        <v/>
      </c>
      <c r="J1095" s="5" t="n">
        <v>0.3573</v>
      </c>
      <c r="K1095" s="4">
        <f>IFERROR(INDEX(Tbl_KPIMaster[Tolerance],MATCH($G1095,Tbl_KPIMaster[KPI],0)),"")</f>
        <v/>
      </c>
      <c r="L1095" s="4">
        <f>IFERROR(INDEX(Tbl_KPIMaster[Owner],MATCH($G1095,Tbl_KPIMaster[KPI],0)),"")</f>
        <v/>
      </c>
      <c r="M1095" s="6" t="inlineStr">
        <is>
          <t>Preventive check done</t>
        </is>
      </c>
      <c r="N1095" s="4" t="inlineStr"/>
      <c r="O1095" s="4" t="inlineStr">
        <is>
          <t>High</t>
        </is>
      </c>
      <c r="P1095" s="4" t="inlineStr">
        <is>
          <t>Closed</t>
        </is>
      </c>
      <c r="Q1095" s="5">
        <f>IFERROR(IF(INDEX(Tbl_KPIMaster[Direction],MATCH($G1095,Tbl_KPIMaster[KPI],0))="Lower is Better",IF($J1095=0,1,IF($I1095=0,0,$I1095/$J1095)),IF($I1095=0,1,$J1095/$I1095)),0)</f>
        <v/>
      </c>
      <c r="R1095" s="4">
        <f>IF(OR($I1095="",$J1095=""),"",$J1095-$I1095)</f>
        <v/>
      </c>
      <c r="S1095" s="4">
        <f>IFERROR(IF(INDEX(Tbl_KPIMaster[Direction],MATCH($G1095,Tbl_KPIMaster[KPI],0))="Lower is Better",IF($J1095&lt;=$I1095,"Green",IF($J1095&lt;=$I1095+IF($I1095=0,$K1095,$I1095*$K1095),"Amber","Red")),IF($J1095&gt;=$I1095,"Green",IF($J1095&gt;=$I1095-IF($I1095=0,$K1095,$I1095*$K1095),"Amber","Red"))),"")</f>
        <v/>
      </c>
      <c r="T1095" s="6" t="inlineStr"/>
    </row>
    <row r="1096">
      <c r="A1096" s="7" t="n">
        <v>46184</v>
      </c>
      <c r="B1096" s="8">
        <f>IF($A1096="","",TEXT($A1096,"mmm-yyyy"))</f>
        <v/>
      </c>
      <c r="C1096" s="8">
        <f>IF($A1096="","","W"&amp;WEEKNUM($A1096,2))</f>
        <v/>
      </c>
      <c r="D1096" s="8">
        <f>IF($A1096="","",TEXT($A1096,"ddd"))</f>
        <v/>
      </c>
      <c r="E1096" s="8" t="inlineStr">
        <is>
          <t>HR</t>
        </is>
      </c>
      <c r="F1096" s="8">
        <f>IFERROR(INDEX(Tbl_KPIMaster[Category],MATCH($G1096,Tbl_KPIMaster[KPI],0)),"")</f>
        <v/>
      </c>
      <c r="G1096" s="8" t="inlineStr">
        <is>
          <t>Training Hours</t>
        </is>
      </c>
      <c r="H1096" s="8">
        <f>IFERROR(INDEX(Tbl_KPIMaster[Unit],MATCH($G1096,Tbl_KPIMaster[KPI],0)),"")</f>
        <v/>
      </c>
      <c r="I1096" s="9">
        <f>IFERROR(INDEX(Tbl_KPIMaster[Maximum Target],MATCH($G1096,Tbl_KPIMaster[KPI],0)),"")</f>
        <v/>
      </c>
      <c r="J1096" s="9" t="n">
        <v>1.87</v>
      </c>
      <c r="K1096" s="8">
        <f>IFERROR(INDEX(Tbl_KPIMaster[Tolerance],MATCH($G1096,Tbl_KPIMaster[KPI],0)),"")</f>
        <v/>
      </c>
      <c r="L1096" s="8">
        <f>IFERROR(INDEX(Tbl_KPIMaster[Owner],MATCH($G1096,Tbl_KPIMaster[KPI],0)),"")</f>
        <v/>
      </c>
      <c r="M1096" s="10" t="inlineStr"/>
      <c r="N1096" s="8" t="inlineStr">
        <is>
          <t>Procurement follow-up</t>
        </is>
      </c>
      <c r="O1096" s="8" t="inlineStr">
        <is>
          <t>Medium</t>
        </is>
      </c>
      <c r="P1096" s="8" t="inlineStr">
        <is>
          <t>Open</t>
        </is>
      </c>
      <c r="Q1096" s="9">
        <f>IFERROR(IF(INDEX(Tbl_KPIMaster[Direction],MATCH($G1096,Tbl_KPIMaster[KPI],0))="Lower is Better",IF($J1096=0,1,IF($I1096=0,0,$I1096/$J1096)),IF($I1096=0,1,$J1096/$I1096)),0)</f>
        <v/>
      </c>
      <c r="R1096" s="8">
        <f>IF(OR($I1096="",$J1096=""),"",$J1096-$I1096)</f>
        <v/>
      </c>
      <c r="S1096" s="8">
        <f>IFERROR(IF(INDEX(Tbl_KPIMaster[Direction],MATCH($G1096,Tbl_KPIMaster[KPI],0))="Lower is Better",IF($J1096&lt;=$I1096,"Green",IF($J1096&lt;=$I1096+IF($I1096=0,$K1096,$I1096*$K1096),"Amber","Red")),IF($J1096&gt;=$I1096,"Green",IF($J1096&gt;=$I1096-IF($I1096=0,$K1096,$I1096*$K1096),"Amber","Red"))),"")</f>
        <v/>
      </c>
      <c r="T1096" s="10" t="inlineStr"/>
    </row>
    <row r="1097">
      <c r="A1097" s="3" t="n">
        <v>46184</v>
      </c>
      <c r="B1097" s="4">
        <f>IF($A1097="","",TEXT($A1097,"mmm-yyyy"))</f>
        <v/>
      </c>
      <c r="C1097" s="4">
        <f>IF($A1097="","","W"&amp;WEEKNUM($A1097,2))</f>
        <v/>
      </c>
      <c r="D1097" s="4">
        <f>IF($A1097="","",TEXT($A1097,"ddd"))</f>
        <v/>
      </c>
      <c r="E1097" s="4" t="inlineStr">
        <is>
          <t>Engineering</t>
        </is>
      </c>
      <c r="F1097" s="4">
        <f>IFERROR(INDEX(Tbl_KPIMaster[Category],MATCH($G1097,Tbl_KPIMaster[KPI],0)),"")</f>
        <v/>
      </c>
      <c r="G1097" s="4" t="inlineStr">
        <is>
          <t>Project Milestone Adherence %</t>
        </is>
      </c>
      <c r="H1097" s="4">
        <f>IFERROR(INDEX(Tbl_KPIMaster[Unit],MATCH($G1097,Tbl_KPIMaster[KPI],0)),"")</f>
        <v/>
      </c>
      <c r="I1097" s="5">
        <f>IFERROR(INDEX(Tbl_KPIMaster[Maximum Target],MATCH($G1097,Tbl_KPIMaster[KPI],0)),"")</f>
        <v/>
      </c>
      <c r="J1097" s="5" t="n">
        <v>1.1325</v>
      </c>
      <c r="K1097" s="4">
        <f>IFERROR(INDEX(Tbl_KPIMaster[Tolerance],MATCH($G1097,Tbl_KPIMaster[KPI],0)),"")</f>
        <v/>
      </c>
      <c r="L1097" s="4">
        <f>IFERROR(INDEX(Tbl_KPIMaster[Owner],MATCH($G1097,Tbl_KPIMaster[KPI],0)),"")</f>
        <v/>
      </c>
      <c r="M1097" s="6" t="inlineStr">
        <is>
          <t>New operator training effect</t>
        </is>
      </c>
      <c r="N1097" s="4" t="inlineStr"/>
      <c r="O1097" s="4" t="inlineStr">
        <is>
          <t>High</t>
        </is>
      </c>
      <c r="P1097" s="4" t="inlineStr">
        <is>
          <t>Open</t>
        </is>
      </c>
      <c r="Q1097" s="5">
        <f>IFERROR(IF(INDEX(Tbl_KPIMaster[Direction],MATCH($G1097,Tbl_KPIMaster[KPI],0))="Lower is Better",IF($J1097=0,1,IF($I1097=0,0,$I1097/$J1097)),IF($I1097=0,1,$J1097/$I1097)),0)</f>
        <v/>
      </c>
      <c r="R1097" s="4">
        <f>IF(OR($I1097="",$J1097=""),"",$J1097-$I1097)</f>
        <v/>
      </c>
      <c r="S1097" s="4">
        <f>IFERROR(IF(INDEX(Tbl_KPIMaster[Direction],MATCH($G1097,Tbl_KPIMaster[KPI],0))="Lower is Better",IF($J1097&lt;=$I1097,"Green",IF($J1097&lt;=$I1097+IF($I1097=0,$K1097,$I1097*$K1097),"Amber","Red")),IF($J1097&gt;=$I1097,"Green",IF($J1097&gt;=$I1097-IF($I1097=0,$K1097,$I1097*$K1097),"Amber","Red"))),"")</f>
        <v/>
      </c>
      <c r="T1097" s="6" t="inlineStr"/>
    </row>
    <row r="1098">
      <c r="A1098" s="7" t="n">
        <v>46184</v>
      </c>
      <c r="B1098" s="8">
        <f>IF($A1098="","",TEXT($A1098,"mmm-yyyy"))</f>
        <v/>
      </c>
      <c r="C1098" s="8">
        <f>IF($A1098="","","W"&amp;WEEKNUM($A1098,2))</f>
        <v/>
      </c>
      <c r="D1098" s="8">
        <f>IF($A1098="","",TEXT($A1098,"ddd"))</f>
        <v/>
      </c>
      <c r="E1098" s="8" t="inlineStr">
        <is>
          <t>Engineering</t>
        </is>
      </c>
      <c r="F1098" s="8">
        <f>IFERROR(INDEX(Tbl_KPIMaster[Category],MATCH($G1098,Tbl_KPIMaster[KPI],0)),"")</f>
        <v/>
      </c>
      <c r="G1098" s="8" t="inlineStr">
        <is>
          <t>Breakdown Resolution Time</t>
        </is>
      </c>
      <c r="H1098" s="8">
        <f>IFERROR(INDEX(Tbl_KPIMaster[Unit],MATCH($G1098,Tbl_KPIMaster[KPI],0)),"")</f>
        <v/>
      </c>
      <c r="I1098" s="9">
        <f>IFERROR(INDEX(Tbl_KPIMaster[Maximum Target],MATCH($G1098,Tbl_KPIMaster[KPI],0)),"")</f>
        <v/>
      </c>
      <c r="J1098" s="9" t="n">
        <v>0</v>
      </c>
      <c r="K1098" s="8">
        <f>IFERROR(INDEX(Tbl_KPIMaster[Tolerance],MATCH($G1098,Tbl_KPIMaster[KPI],0)),"")</f>
        <v/>
      </c>
      <c r="L1098" s="8">
        <f>IFERROR(INDEX(Tbl_KPIMaster[Owner],MATCH($G1098,Tbl_KPIMaster[KPI],0)),"")</f>
        <v/>
      </c>
      <c r="M1098" s="10" t="inlineStr"/>
      <c r="N1098" s="8" t="inlineStr"/>
      <c r="O1098" s="8" t="inlineStr">
        <is>
          <t>High</t>
        </is>
      </c>
      <c r="P1098" s="8" t="inlineStr">
        <is>
          <t>Closed</t>
        </is>
      </c>
      <c r="Q1098" s="9">
        <f>IFERROR(IF(INDEX(Tbl_KPIMaster[Direction],MATCH($G1098,Tbl_KPIMaster[KPI],0))="Lower is Better",IF($J1098=0,1,IF($I1098=0,0,$I1098/$J1098)),IF($I1098=0,1,$J1098/$I1098)),0)</f>
        <v/>
      </c>
      <c r="R1098" s="8">
        <f>IF(OR($I1098="",$J1098=""),"",$J1098-$I1098)</f>
        <v/>
      </c>
      <c r="S1098" s="8">
        <f>IFERROR(IF(INDEX(Tbl_KPIMaster[Direction],MATCH($G1098,Tbl_KPIMaster[KPI],0))="Lower is Better",IF($J1098&lt;=$I1098,"Green",IF($J1098&lt;=$I1098+IF($I1098=0,$K1098,$I1098*$K1098),"Amber","Red")),IF($J1098&gt;=$I1098,"Green",IF($J1098&gt;=$I1098-IF($I1098=0,$K1098,$I1098*$K1098),"Amber","Red"))),"")</f>
        <v/>
      </c>
      <c r="T1098" s="10" t="inlineStr"/>
    </row>
    <row r="1099">
      <c r="A1099" s="3" t="n">
        <v>46184</v>
      </c>
      <c r="B1099" s="4">
        <f>IF($A1099="","",TEXT($A1099,"mmm-yyyy"))</f>
        <v/>
      </c>
      <c r="C1099" s="4">
        <f>IF($A1099="","","W"&amp;WEEKNUM($A1099,2))</f>
        <v/>
      </c>
      <c r="D1099" s="4">
        <f>IF($A1099="","",TEXT($A1099,"ddd"))</f>
        <v/>
      </c>
      <c r="E1099" s="4" t="inlineStr">
        <is>
          <t>Cost</t>
        </is>
      </c>
      <c r="F1099" s="4">
        <f>IFERROR(INDEX(Tbl_KPIMaster[Category],MATCH($G1099,Tbl_KPIMaster[KPI],0)),"")</f>
        <v/>
      </c>
      <c r="G1099" s="4" t="inlineStr">
        <is>
          <t>Cost per Unit</t>
        </is>
      </c>
      <c r="H1099" s="4">
        <f>IFERROR(INDEX(Tbl_KPIMaster[Unit],MATCH($G1099,Tbl_KPIMaster[KPI],0)),"")</f>
        <v/>
      </c>
      <c r="I1099" s="5">
        <f>IFERROR(INDEX(Tbl_KPIMaster[Maximum Target],MATCH($G1099,Tbl_KPIMaster[KPI],0)),"")</f>
        <v/>
      </c>
      <c r="J1099" s="5" t="n">
        <v>44.86</v>
      </c>
      <c r="K1099" s="4">
        <f>IFERROR(INDEX(Tbl_KPIMaster[Tolerance],MATCH($G1099,Tbl_KPIMaster[KPI],0)),"")</f>
        <v/>
      </c>
      <c r="L1099" s="4">
        <f>IFERROR(INDEX(Tbl_KPIMaster[Owner],MATCH($G1099,Tbl_KPIMaster[KPI],0)),"")</f>
        <v/>
      </c>
      <c r="M1099" s="6" t="inlineStr">
        <is>
          <t>Process improvement in progress</t>
        </is>
      </c>
      <c r="N1099" s="4" t="inlineStr"/>
      <c r="O1099" s="4" t="inlineStr">
        <is>
          <t>Low</t>
        </is>
      </c>
      <c r="P1099" s="4" t="inlineStr">
        <is>
          <t>Closed</t>
        </is>
      </c>
      <c r="Q1099" s="5">
        <f>IFERROR(IF(INDEX(Tbl_KPIMaster[Direction],MATCH($G1099,Tbl_KPIMaster[KPI],0))="Lower is Better",IF($J1099=0,1,IF($I1099=0,0,$I1099/$J1099)),IF($I1099=0,1,$J1099/$I1099)),0)</f>
        <v/>
      </c>
      <c r="R1099" s="4">
        <f>IF(OR($I1099="",$J1099=""),"",$J1099-$I1099)</f>
        <v/>
      </c>
      <c r="S1099" s="4">
        <f>IFERROR(IF(INDEX(Tbl_KPIMaster[Direction],MATCH($G1099,Tbl_KPIMaster[KPI],0))="Lower is Better",IF($J1099&lt;=$I1099,"Green",IF($J1099&lt;=$I1099+IF($I1099=0,$K1099,$I1099*$K1099),"Amber","Red")),IF($J1099&gt;=$I1099,"Green",IF($J1099&gt;=$I1099-IF($I1099=0,$K1099,$I1099*$K1099),"Amber","Red"))),"")</f>
        <v/>
      </c>
      <c r="T1099" s="6" t="inlineStr"/>
    </row>
    <row r="1100">
      <c r="A1100" s="7" t="n">
        <v>46184</v>
      </c>
      <c r="B1100" s="8">
        <f>IF($A1100="","",TEXT($A1100,"mmm-yyyy"))</f>
        <v/>
      </c>
      <c r="C1100" s="8">
        <f>IF($A1100="","","W"&amp;WEEKNUM($A1100,2))</f>
        <v/>
      </c>
      <c r="D1100" s="8">
        <f>IF($A1100="","",TEXT($A1100,"ddd"))</f>
        <v/>
      </c>
      <c r="E1100" s="8" t="inlineStr">
        <is>
          <t>Cost</t>
        </is>
      </c>
      <c r="F1100" s="8">
        <f>IFERROR(INDEX(Tbl_KPIMaster[Category],MATCH($G1100,Tbl_KPIMaster[KPI],0)),"")</f>
        <v/>
      </c>
      <c r="G1100" s="8" t="inlineStr">
        <is>
          <t>Budget Variance %</t>
        </is>
      </c>
      <c r="H1100" s="8">
        <f>IFERROR(INDEX(Tbl_KPIMaster[Unit],MATCH($G1100,Tbl_KPIMaster[KPI],0)),"")</f>
        <v/>
      </c>
      <c r="I1100" s="9">
        <f>IFERROR(INDEX(Tbl_KPIMaster[Maximum Target],MATCH($G1100,Tbl_KPIMaster[KPI],0)),"")</f>
        <v/>
      </c>
      <c r="J1100" s="9" t="n">
        <v>0.1774</v>
      </c>
      <c r="K1100" s="8">
        <f>IFERROR(INDEX(Tbl_KPIMaster[Tolerance],MATCH($G1100,Tbl_KPIMaster[KPI],0)),"")</f>
        <v/>
      </c>
      <c r="L1100" s="8">
        <f>IFERROR(INDEX(Tbl_KPIMaster[Owner],MATCH($G1100,Tbl_KPIMaster[KPI],0)),"")</f>
        <v/>
      </c>
      <c r="M1100" s="10" t="inlineStr">
        <is>
          <t>New operator training effect</t>
        </is>
      </c>
      <c r="N1100" s="8" t="inlineStr"/>
      <c r="O1100" s="8" t="inlineStr">
        <is>
          <t>Medium</t>
        </is>
      </c>
      <c r="P1100" s="8" t="inlineStr">
        <is>
          <t>Closed</t>
        </is>
      </c>
      <c r="Q1100" s="9">
        <f>IFERROR(IF(INDEX(Tbl_KPIMaster[Direction],MATCH($G1100,Tbl_KPIMaster[KPI],0))="Lower is Better",IF($J1100=0,1,IF($I1100=0,0,$I1100/$J1100)),IF($I1100=0,1,$J1100/$I1100)),0)</f>
        <v/>
      </c>
      <c r="R1100" s="8">
        <f>IF(OR($I1100="",$J1100=""),"",$J1100-$I1100)</f>
        <v/>
      </c>
      <c r="S1100" s="8">
        <f>IFERROR(IF(INDEX(Tbl_KPIMaster[Direction],MATCH($G1100,Tbl_KPIMaster[KPI],0))="Lower is Better",IF($J1100&lt;=$I1100,"Green",IF($J1100&lt;=$I1100+IF($I1100=0,$K1100,$I1100*$K1100),"Amber","Red")),IF($J1100&gt;=$I1100,"Green",IF($J1100&gt;=$I1100-IF($I1100=0,$K1100,$I1100*$K1100),"Amber","Red"))),"")</f>
        <v/>
      </c>
      <c r="T1100" s="10" t="inlineStr"/>
    </row>
    <row r="1101">
      <c r="A1101" s="3" t="n">
        <v>46184</v>
      </c>
      <c r="B1101" s="4">
        <f>IF($A1101="","",TEXT($A1101,"mmm-yyyy"))</f>
        <v/>
      </c>
      <c r="C1101" s="4">
        <f>IF($A1101="","","W"&amp;WEEKNUM($A1101,2))</f>
        <v/>
      </c>
      <c r="D1101" s="4">
        <f>IF($A1101="","",TEXT($A1101,"ddd"))</f>
        <v/>
      </c>
      <c r="E1101" s="4" t="inlineStr">
        <is>
          <t>Energy</t>
        </is>
      </c>
      <c r="F1101" s="4">
        <f>IFERROR(INDEX(Tbl_KPIMaster[Category],MATCH($G1101,Tbl_KPIMaster[KPI],0)),"")</f>
        <v/>
      </c>
      <c r="G1101" s="4" t="inlineStr">
        <is>
          <t>Energy Intensity (kWh/unit)</t>
        </is>
      </c>
      <c r="H1101" s="4">
        <f>IFERROR(INDEX(Tbl_KPIMaster[Unit],MATCH($G1101,Tbl_KPIMaster[KPI],0)),"")</f>
        <v/>
      </c>
      <c r="I1101" s="5">
        <f>IFERROR(INDEX(Tbl_KPIMaster[Maximum Target],MATCH($G1101,Tbl_KPIMaster[KPI],0)),"")</f>
        <v/>
      </c>
      <c r="J1101" s="5" t="n">
        <v>4.14</v>
      </c>
      <c r="K1101" s="4">
        <f>IFERROR(INDEX(Tbl_KPIMaster[Tolerance],MATCH($G1101,Tbl_KPIMaster[KPI],0)),"")</f>
        <v/>
      </c>
      <c r="L1101" s="4">
        <f>IFERROR(INDEX(Tbl_KPIMaster[Owner],MATCH($G1101,Tbl_KPIMaster[KPI],0)),"")</f>
        <v/>
      </c>
      <c r="M1101" s="6" t="inlineStr">
        <is>
          <t>Manpower shortage</t>
        </is>
      </c>
      <c r="N1101" s="4" t="inlineStr"/>
      <c r="O1101" s="4" t="inlineStr">
        <is>
          <t>Low</t>
        </is>
      </c>
      <c r="P1101" s="4" t="inlineStr">
        <is>
          <t>Closed</t>
        </is>
      </c>
      <c r="Q1101" s="5">
        <f>IFERROR(IF(INDEX(Tbl_KPIMaster[Direction],MATCH($G1101,Tbl_KPIMaster[KPI],0))="Lower is Better",IF($J1101=0,1,IF($I1101=0,0,$I1101/$J1101)),IF($I1101=0,1,$J1101/$I1101)),0)</f>
        <v/>
      </c>
      <c r="R1101" s="4">
        <f>IF(OR($I1101="",$J1101=""),"",$J1101-$I1101)</f>
        <v/>
      </c>
      <c r="S1101" s="4">
        <f>IFERROR(IF(INDEX(Tbl_KPIMaster[Direction],MATCH($G1101,Tbl_KPIMaster[KPI],0))="Lower is Better",IF($J1101&lt;=$I1101,"Green",IF($J1101&lt;=$I1101+IF($I1101=0,$K1101,$I1101*$K1101),"Amber","Red")),IF($J1101&gt;=$I1101,"Green",IF($J1101&gt;=$I1101-IF($I1101=0,$K1101,$I1101*$K1101),"Amber","Red"))),"")</f>
        <v/>
      </c>
      <c r="T1101" s="6" t="inlineStr"/>
    </row>
    <row r="1102">
      <c r="A1102" s="7" t="n">
        <v>46184</v>
      </c>
      <c r="B1102" s="8">
        <f>IF($A1102="","",TEXT($A1102,"mmm-yyyy"))</f>
        <v/>
      </c>
      <c r="C1102" s="8">
        <f>IF($A1102="","","W"&amp;WEEKNUM($A1102,2))</f>
        <v/>
      </c>
      <c r="D1102" s="8">
        <f>IF($A1102="","",TEXT($A1102,"ddd"))</f>
        <v/>
      </c>
      <c r="E1102" s="8" t="inlineStr">
        <is>
          <t>Energy</t>
        </is>
      </c>
      <c r="F1102" s="8">
        <f>IFERROR(INDEX(Tbl_KPIMaster[Category],MATCH($G1102,Tbl_KPIMaster[KPI],0)),"")</f>
        <v/>
      </c>
      <c r="G1102" s="8" t="inlineStr">
        <is>
          <t>Renewable Energy Share %</t>
        </is>
      </c>
      <c r="H1102" s="8">
        <f>IFERROR(INDEX(Tbl_KPIMaster[Unit],MATCH($G1102,Tbl_KPIMaster[KPI],0)),"")</f>
        <v/>
      </c>
      <c r="I1102" s="9">
        <f>IFERROR(INDEX(Tbl_KPIMaster[Maximum Target],MATCH($G1102,Tbl_KPIMaster[KPI],0)),"")</f>
        <v/>
      </c>
      <c r="J1102" s="9" t="n">
        <v>0.1759</v>
      </c>
      <c r="K1102" s="8">
        <f>IFERROR(INDEX(Tbl_KPIMaster[Tolerance],MATCH($G1102,Tbl_KPIMaster[KPI],0)),"")</f>
        <v/>
      </c>
      <c r="L1102" s="8">
        <f>IFERROR(INDEX(Tbl_KPIMaster[Owner],MATCH($G1102,Tbl_KPIMaster[KPI],0)),"")</f>
        <v/>
      </c>
      <c r="M1102" s="10" t="inlineStr">
        <is>
          <t>New operator training effect</t>
        </is>
      </c>
      <c r="N1102" s="8" t="inlineStr"/>
      <c r="O1102" s="8" t="inlineStr">
        <is>
          <t>Low</t>
        </is>
      </c>
      <c r="P1102" s="8" t="inlineStr">
        <is>
          <t>Closed</t>
        </is>
      </c>
      <c r="Q1102" s="9">
        <f>IFERROR(IF(INDEX(Tbl_KPIMaster[Direction],MATCH($G1102,Tbl_KPIMaster[KPI],0))="Lower is Better",IF($J1102=0,1,IF($I1102=0,0,$I1102/$J1102)),IF($I1102=0,1,$J1102/$I1102)),0)</f>
        <v/>
      </c>
      <c r="R1102" s="8">
        <f>IF(OR($I1102="",$J1102=""),"",$J1102-$I1102)</f>
        <v/>
      </c>
      <c r="S1102" s="8">
        <f>IFERROR(IF(INDEX(Tbl_KPIMaster[Direction],MATCH($G1102,Tbl_KPIMaster[KPI],0))="Lower is Better",IF($J1102&lt;=$I1102,"Green",IF($J1102&lt;=$I1102+IF($I1102=0,$K1102,$I1102*$K1102),"Amber","Red")),IF($J1102&gt;=$I1102,"Green",IF($J1102&gt;=$I1102-IF($I1102=0,$K1102,$I1102*$K1102),"Amber","Red"))),"")</f>
        <v/>
      </c>
      <c r="T1102" s="10" t="inlineStr"/>
    </row>
    <row r="1103">
      <c r="A1103" s="3" t="n">
        <v>46185</v>
      </c>
      <c r="B1103" s="4">
        <f>IF($A1103="","",TEXT($A1103,"mmm-yyyy"))</f>
        <v/>
      </c>
      <c r="C1103" s="4">
        <f>IF($A1103="","","W"&amp;WEEKNUM($A1103,2))</f>
        <v/>
      </c>
      <c r="D1103" s="4">
        <f>IF($A1103="","",TEXT($A1103,"ddd"))</f>
        <v/>
      </c>
      <c r="E1103" s="4" t="inlineStr">
        <is>
          <t>Safety</t>
        </is>
      </c>
      <c r="F1103" s="4">
        <f>IFERROR(INDEX(Tbl_KPIMaster[Category],MATCH($G1103,Tbl_KPIMaster[KPI],0)),"")</f>
        <v/>
      </c>
      <c r="G1103" s="4" t="inlineStr">
        <is>
          <t>Safety Incidents (LTI)</t>
        </is>
      </c>
      <c r="H1103" s="4">
        <f>IFERROR(INDEX(Tbl_KPIMaster[Unit],MATCH($G1103,Tbl_KPIMaster[KPI],0)),"")</f>
        <v/>
      </c>
      <c r="I1103" s="5">
        <f>IFERROR(INDEX(Tbl_KPIMaster[Maximum Target],MATCH($G1103,Tbl_KPIMaster[KPI],0)),"")</f>
        <v/>
      </c>
      <c r="J1103" s="5" t="n">
        <v>1</v>
      </c>
      <c r="K1103" s="4">
        <f>IFERROR(INDEX(Tbl_KPIMaster[Tolerance],MATCH($G1103,Tbl_KPIMaster[KPI],0)),"")</f>
        <v/>
      </c>
      <c r="L1103" s="4">
        <f>IFERROR(INDEX(Tbl_KPIMaster[Owner],MATCH($G1103,Tbl_KPIMaster[KPI],0)),"")</f>
        <v/>
      </c>
      <c r="M1103" s="6" t="inlineStr">
        <is>
          <t>Line changeover impact</t>
        </is>
      </c>
      <c r="N1103" s="4" t="inlineStr">
        <is>
          <t>Procurement follow-up</t>
        </is>
      </c>
      <c r="O1103" s="4" t="inlineStr">
        <is>
          <t>High</t>
        </is>
      </c>
      <c r="P1103" s="4" t="inlineStr">
        <is>
          <t>In Progress</t>
        </is>
      </c>
      <c r="Q1103" s="5">
        <f>IFERROR(IF(INDEX(Tbl_KPIMaster[Direction],MATCH($G1103,Tbl_KPIMaster[KPI],0))="Lower is Better",IF($J1103=0,1,IF($I1103=0,0,$I1103/$J1103)),IF($I1103=0,1,$J1103/$I1103)),0)</f>
        <v/>
      </c>
      <c r="R1103" s="4">
        <f>IF(OR($I1103="",$J1103=""),"",$J1103-$I1103)</f>
        <v/>
      </c>
      <c r="S1103" s="4">
        <f>IFERROR(IF(INDEX(Tbl_KPIMaster[Direction],MATCH($G1103,Tbl_KPIMaster[KPI],0))="Lower is Better",IF($J1103&lt;=$I1103,"Green",IF($J1103&lt;=$I1103+IF($I1103=0,$K1103,$I1103*$K1103),"Amber","Red")),IF($J1103&gt;=$I1103,"Green",IF($J1103&gt;=$I1103-IF($I1103=0,$K1103,$I1103*$K1103),"Amber","Red"))),"")</f>
        <v/>
      </c>
      <c r="T1103" s="6" t="inlineStr"/>
    </row>
    <row r="1104">
      <c r="A1104" s="7" t="n">
        <v>46185</v>
      </c>
      <c r="B1104" s="8">
        <f>IF($A1104="","",TEXT($A1104,"mmm-yyyy"))</f>
        <v/>
      </c>
      <c r="C1104" s="8">
        <f>IF($A1104="","","W"&amp;WEEKNUM($A1104,2))</f>
        <v/>
      </c>
      <c r="D1104" s="8">
        <f>IF($A1104="","",TEXT($A1104,"ddd"))</f>
        <v/>
      </c>
      <c r="E1104" s="8" t="inlineStr">
        <is>
          <t>Safety</t>
        </is>
      </c>
      <c r="F1104" s="8">
        <f>IFERROR(INDEX(Tbl_KPIMaster[Category],MATCH($G1104,Tbl_KPIMaster[KPI],0)),"")</f>
        <v/>
      </c>
      <c r="G1104" s="8" t="inlineStr">
        <is>
          <t>Near Miss Reports</t>
        </is>
      </c>
      <c r="H1104" s="8">
        <f>IFERROR(INDEX(Tbl_KPIMaster[Unit],MATCH($G1104,Tbl_KPIMaster[KPI],0)),"")</f>
        <v/>
      </c>
      <c r="I1104" s="9">
        <f>IFERROR(INDEX(Tbl_KPIMaster[Maximum Target],MATCH($G1104,Tbl_KPIMaster[KPI],0)),"")</f>
        <v/>
      </c>
      <c r="J1104" s="9" t="n">
        <v>2</v>
      </c>
      <c r="K1104" s="8">
        <f>IFERROR(INDEX(Tbl_KPIMaster[Tolerance],MATCH($G1104,Tbl_KPIMaster[KPI],0)),"")</f>
        <v/>
      </c>
      <c r="L1104" s="8">
        <f>IFERROR(INDEX(Tbl_KPIMaster[Owner],MATCH($G1104,Tbl_KPIMaster[KPI],0)),"")</f>
        <v/>
      </c>
      <c r="M1104" s="10" t="inlineStr">
        <is>
          <t>Manpower shortage</t>
        </is>
      </c>
      <c r="N1104" s="8" t="inlineStr">
        <is>
          <t>Management approval pending</t>
        </is>
      </c>
      <c r="O1104" s="8" t="inlineStr">
        <is>
          <t>Low</t>
        </is>
      </c>
      <c r="P1104" s="8" t="inlineStr">
        <is>
          <t>Closed</t>
        </is>
      </c>
      <c r="Q1104" s="9">
        <f>IFERROR(IF(INDEX(Tbl_KPIMaster[Direction],MATCH($G1104,Tbl_KPIMaster[KPI],0))="Lower is Better",IF($J1104=0,1,IF($I1104=0,0,$I1104/$J1104)),IF($I1104=0,1,$J1104/$I1104)),0)</f>
        <v/>
      </c>
      <c r="R1104" s="8">
        <f>IF(OR($I1104="",$J1104=""),"",$J1104-$I1104)</f>
        <v/>
      </c>
      <c r="S1104" s="8">
        <f>IFERROR(IF(INDEX(Tbl_KPIMaster[Direction],MATCH($G1104,Tbl_KPIMaster[KPI],0))="Lower is Better",IF($J1104&lt;=$I1104,"Green",IF($J1104&lt;=$I1104+IF($I1104=0,$K1104,$I1104*$K1104),"Amber","Red")),IF($J1104&gt;=$I1104,"Green",IF($J1104&gt;=$I1104-IF($I1104=0,$K1104,$I1104*$K1104),"Amber","Red"))),"")</f>
        <v/>
      </c>
      <c r="T1104" s="10" t="inlineStr"/>
    </row>
    <row r="1105">
      <c r="A1105" s="3" t="n">
        <v>46185</v>
      </c>
      <c r="B1105" s="4">
        <f>IF($A1105="","",TEXT($A1105,"mmm-yyyy"))</f>
        <v/>
      </c>
      <c r="C1105" s="4">
        <f>IF($A1105="","","W"&amp;WEEKNUM($A1105,2))</f>
        <v/>
      </c>
      <c r="D1105" s="4">
        <f>IF($A1105="","",TEXT($A1105,"ddd"))</f>
        <v/>
      </c>
      <c r="E1105" s="4" t="inlineStr">
        <is>
          <t>Production</t>
        </is>
      </c>
      <c r="F1105" s="4">
        <f>IFERROR(INDEX(Tbl_KPIMaster[Category],MATCH($G1105,Tbl_KPIMaster[KPI],0)),"")</f>
        <v/>
      </c>
      <c r="G1105" s="4" t="inlineStr">
        <is>
          <t>Production Output</t>
        </is>
      </c>
      <c r="H1105" s="4">
        <f>IFERROR(INDEX(Tbl_KPIMaster[Unit],MATCH($G1105,Tbl_KPIMaster[KPI],0)),"")</f>
        <v/>
      </c>
      <c r="I1105" s="5">
        <f>IFERROR(INDEX(Tbl_KPIMaster[Maximum Target],MATCH($G1105,Tbl_KPIMaster[KPI],0)),"")</f>
        <v/>
      </c>
      <c r="J1105" s="5" t="n">
        <v>823.79</v>
      </c>
      <c r="K1105" s="4">
        <f>IFERROR(INDEX(Tbl_KPIMaster[Tolerance],MATCH($G1105,Tbl_KPIMaster[KPI],0)),"")</f>
        <v/>
      </c>
      <c r="L1105" s="4">
        <f>IFERROR(INDEX(Tbl_KPIMaster[Owner],MATCH($G1105,Tbl_KPIMaster[KPI],0)),"")</f>
        <v/>
      </c>
      <c r="M1105" s="6" t="inlineStr">
        <is>
          <t>Manpower shortage</t>
        </is>
      </c>
      <c r="N1105" s="4" t="inlineStr"/>
      <c r="O1105" s="4" t="inlineStr">
        <is>
          <t>Low</t>
        </is>
      </c>
      <c r="P1105" s="4" t="inlineStr">
        <is>
          <t>Closed</t>
        </is>
      </c>
      <c r="Q1105" s="5">
        <f>IFERROR(IF(INDEX(Tbl_KPIMaster[Direction],MATCH($G1105,Tbl_KPIMaster[KPI],0))="Lower is Better",IF($J1105=0,1,IF($I1105=0,0,$I1105/$J1105)),IF($I1105=0,1,$J1105/$I1105)),0)</f>
        <v/>
      </c>
      <c r="R1105" s="4">
        <f>IF(OR($I1105="",$J1105=""),"",$J1105-$I1105)</f>
        <v/>
      </c>
      <c r="S1105" s="4">
        <f>IFERROR(IF(INDEX(Tbl_KPIMaster[Direction],MATCH($G1105,Tbl_KPIMaster[KPI],0))="Lower is Better",IF($J1105&lt;=$I1105,"Green",IF($J1105&lt;=$I1105+IF($I1105=0,$K1105,$I1105*$K1105),"Amber","Red")),IF($J1105&gt;=$I1105,"Green",IF($J1105&gt;=$I1105-IF($I1105=0,$K1105,$I1105*$K1105),"Amber","Red"))),"")</f>
        <v/>
      </c>
      <c r="T1105" s="6" t="inlineStr"/>
    </row>
    <row r="1106">
      <c r="A1106" s="7" t="n">
        <v>46185</v>
      </c>
      <c r="B1106" s="8">
        <f>IF($A1106="","",TEXT($A1106,"mmm-yyyy"))</f>
        <v/>
      </c>
      <c r="C1106" s="8">
        <f>IF($A1106="","","W"&amp;WEEKNUM($A1106,2))</f>
        <v/>
      </c>
      <c r="D1106" s="8">
        <f>IF($A1106="","",TEXT($A1106,"ddd"))</f>
        <v/>
      </c>
      <c r="E1106" s="8" t="inlineStr">
        <is>
          <t>Production</t>
        </is>
      </c>
      <c r="F1106" s="8">
        <f>IFERROR(INDEX(Tbl_KPIMaster[Category],MATCH($G1106,Tbl_KPIMaster[KPI],0)),"")</f>
        <v/>
      </c>
      <c r="G1106" s="8" t="inlineStr">
        <is>
          <t>OEE %</t>
        </is>
      </c>
      <c r="H1106" s="8">
        <f>IFERROR(INDEX(Tbl_KPIMaster[Unit],MATCH($G1106,Tbl_KPIMaster[KPI],0)),"")</f>
        <v/>
      </c>
      <c r="I1106" s="9">
        <f>IFERROR(INDEX(Tbl_KPIMaster[Maximum Target],MATCH($G1106,Tbl_KPIMaster[KPI],0)),"")</f>
        <v/>
      </c>
      <c r="J1106" s="9" t="n">
        <v>1.0411</v>
      </c>
      <c r="K1106" s="8">
        <f>IFERROR(INDEX(Tbl_KPIMaster[Tolerance],MATCH($G1106,Tbl_KPIMaster[KPI],0)),"")</f>
        <v/>
      </c>
      <c r="L1106" s="8">
        <f>IFERROR(INDEX(Tbl_KPIMaster[Owner],MATCH($G1106,Tbl_KPIMaster[KPI],0)),"")</f>
        <v/>
      </c>
      <c r="M1106" s="10" t="inlineStr"/>
      <c r="N1106" s="8" t="inlineStr">
        <is>
          <t>Management approval pending</t>
        </is>
      </c>
      <c r="O1106" s="8" t="inlineStr">
        <is>
          <t>Low</t>
        </is>
      </c>
      <c r="P1106" s="8" t="inlineStr">
        <is>
          <t>Closed</t>
        </is>
      </c>
      <c r="Q1106" s="9">
        <f>IFERROR(IF(INDEX(Tbl_KPIMaster[Direction],MATCH($G1106,Tbl_KPIMaster[KPI],0))="Lower is Better",IF($J1106=0,1,IF($I1106=0,0,$I1106/$J1106)),IF($I1106=0,1,$J1106/$I1106)),0)</f>
        <v/>
      </c>
      <c r="R1106" s="8">
        <f>IF(OR($I1106="",$J1106=""),"",$J1106-$I1106)</f>
        <v/>
      </c>
      <c r="S1106" s="8">
        <f>IFERROR(IF(INDEX(Tbl_KPIMaster[Direction],MATCH($G1106,Tbl_KPIMaster[KPI],0))="Lower is Better",IF($J1106&lt;=$I1106,"Green",IF($J1106&lt;=$I1106+IF($I1106=0,$K1106,$I1106*$K1106),"Amber","Red")),IF($J1106&gt;=$I1106,"Green",IF($J1106&gt;=$I1106-IF($I1106=0,$K1106,$I1106*$K1106),"Amber","Red"))),"")</f>
        <v/>
      </c>
      <c r="T1106" s="10" t="inlineStr"/>
    </row>
    <row r="1107">
      <c r="A1107" s="3" t="n">
        <v>46185</v>
      </c>
      <c r="B1107" s="4">
        <f>IF($A1107="","",TEXT($A1107,"mmm-yyyy"))</f>
        <v/>
      </c>
      <c r="C1107" s="4">
        <f>IF($A1107="","","W"&amp;WEEKNUM($A1107,2))</f>
        <v/>
      </c>
      <c r="D1107" s="4">
        <f>IF($A1107="","",TEXT($A1107,"ddd"))</f>
        <v/>
      </c>
      <c r="E1107" s="4" t="inlineStr">
        <is>
          <t>Quality</t>
        </is>
      </c>
      <c r="F1107" s="4">
        <f>IFERROR(INDEX(Tbl_KPIMaster[Category],MATCH($G1107,Tbl_KPIMaster[KPI],0)),"")</f>
        <v/>
      </c>
      <c r="G1107" s="4" t="inlineStr">
        <is>
          <t>Defect Rate %</t>
        </is>
      </c>
      <c r="H1107" s="4">
        <f>IFERROR(INDEX(Tbl_KPIMaster[Unit],MATCH($G1107,Tbl_KPIMaster[KPI],0)),"")</f>
        <v/>
      </c>
      <c r="I1107" s="5">
        <f>IFERROR(INDEX(Tbl_KPIMaster[Maximum Target],MATCH($G1107,Tbl_KPIMaster[KPI],0)),"")</f>
        <v/>
      </c>
      <c r="J1107" s="5" t="n">
        <v>0</v>
      </c>
      <c r="K1107" s="4">
        <f>IFERROR(INDEX(Tbl_KPIMaster[Tolerance],MATCH($G1107,Tbl_KPIMaster[KPI],0)),"")</f>
        <v/>
      </c>
      <c r="L1107" s="4">
        <f>IFERROR(INDEX(Tbl_KPIMaster[Owner],MATCH($G1107,Tbl_KPIMaster[KPI],0)),"")</f>
        <v/>
      </c>
      <c r="M1107" s="6" t="inlineStr">
        <is>
          <t>Within normal range</t>
        </is>
      </c>
      <c r="N1107" s="4" t="inlineStr">
        <is>
          <t>Procurement follow-up</t>
        </is>
      </c>
      <c r="O1107" s="4" t="inlineStr">
        <is>
          <t>Medium</t>
        </is>
      </c>
      <c r="P1107" s="4" t="inlineStr">
        <is>
          <t>In Progress</t>
        </is>
      </c>
      <c r="Q1107" s="5">
        <f>IFERROR(IF(INDEX(Tbl_KPIMaster[Direction],MATCH($G1107,Tbl_KPIMaster[KPI],0))="Lower is Better",IF($J1107=0,1,IF($I1107=0,0,$I1107/$J1107)),IF($I1107=0,1,$J1107/$I1107)),0)</f>
        <v/>
      </c>
      <c r="R1107" s="4">
        <f>IF(OR($I1107="",$J1107=""),"",$J1107-$I1107)</f>
        <v/>
      </c>
      <c r="S1107" s="4">
        <f>IFERROR(IF(INDEX(Tbl_KPIMaster[Direction],MATCH($G1107,Tbl_KPIMaster[KPI],0))="Lower is Better",IF($J1107&lt;=$I1107,"Green",IF($J1107&lt;=$I1107+IF($I1107=0,$K1107,$I1107*$K1107),"Amber","Red")),IF($J1107&gt;=$I1107,"Green",IF($J1107&gt;=$I1107-IF($I1107=0,$K1107,$I1107*$K1107),"Amber","Red"))),"")</f>
        <v/>
      </c>
      <c r="T1107" s="6" t="inlineStr"/>
    </row>
    <row r="1108">
      <c r="A1108" s="7" t="n">
        <v>46185</v>
      </c>
      <c r="B1108" s="8">
        <f>IF($A1108="","",TEXT($A1108,"mmm-yyyy"))</f>
        <v/>
      </c>
      <c r="C1108" s="8">
        <f>IF($A1108="","","W"&amp;WEEKNUM($A1108,2))</f>
        <v/>
      </c>
      <c r="D1108" s="8">
        <f>IF($A1108="","",TEXT($A1108,"ddd"))</f>
        <v/>
      </c>
      <c r="E1108" s="8" t="inlineStr">
        <is>
          <t>Quality</t>
        </is>
      </c>
      <c r="F1108" s="8">
        <f>IFERROR(INDEX(Tbl_KPIMaster[Category],MATCH($G1108,Tbl_KPIMaster[KPI],0)),"")</f>
        <v/>
      </c>
      <c r="G1108" s="8" t="inlineStr">
        <is>
          <t>Customer Complaints</t>
        </is>
      </c>
      <c r="H1108" s="8">
        <f>IFERROR(INDEX(Tbl_KPIMaster[Unit],MATCH($G1108,Tbl_KPIMaster[KPI],0)),"")</f>
        <v/>
      </c>
      <c r="I1108" s="9">
        <f>IFERROR(INDEX(Tbl_KPIMaster[Maximum Target],MATCH($G1108,Tbl_KPIMaster[KPI],0)),"")</f>
        <v/>
      </c>
      <c r="J1108" s="9" t="n">
        <v>0</v>
      </c>
      <c r="K1108" s="8">
        <f>IFERROR(INDEX(Tbl_KPIMaster[Tolerance],MATCH($G1108,Tbl_KPIMaster[KPI],0)),"")</f>
        <v/>
      </c>
      <c r="L1108" s="8">
        <f>IFERROR(INDEX(Tbl_KPIMaster[Owner],MATCH($G1108,Tbl_KPIMaster[KPI],0)),"")</f>
        <v/>
      </c>
      <c r="M1108" s="10" t="inlineStr">
        <is>
          <t>Preventive check done</t>
        </is>
      </c>
      <c r="N1108" s="8" t="inlineStr"/>
      <c r="O1108" s="8" t="inlineStr">
        <is>
          <t>Low</t>
        </is>
      </c>
      <c r="P1108" s="8" t="inlineStr">
        <is>
          <t>Closed</t>
        </is>
      </c>
      <c r="Q1108" s="9">
        <f>IFERROR(IF(INDEX(Tbl_KPIMaster[Direction],MATCH($G1108,Tbl_KPIMaster[KPI],0))="Lower is Better",IF($J1108=0,1,IF($I1108=0,0,$I1108/$J1108)),IF($I1108=0,1,$J1108/$I1108)),0)</f>
        <v/>
      </c>
      <c r="R1108" s="8">
        <f>IF(OR($I1108="",$J1108=""),"",$J1108-$I1108)</f>
        <v/>
      </c>
      <c r="S1108" s="8">
        <f>IFERROR(IF(INDEX(Tbl_KPIMaster[Direction],MATCH($G1108,Tbl_KPIMaster[KPI],0))="Lower is Better",IF($J1108&lt;=$I1108,"Green",IF($J1108&lt;=$I1108+IF($I1108=0,$K1108,$I1108*$K1108),"Amber","Red")),IF($J1108&gt;=$I1108,"Green",IF($J1108&gt;=$I1108-IF($I1108=0,$K1108,$I1108*$K1108),"Amber","Red"))),"")</f>
        <v/>
      </c>
      <c r="T1108" s="10" t="inlineStr"/>
    </row>
    <row r="1109">
      <c r="A1109" s="3" t="n">
        <v>46185</v>
      </c>
      <c r="B1109" s="4">
        <f>IF($A1109="","",TEXT($A1109,"mmm-yyyy"))</f>
        <v/>
      </c>
      <c r="C1109" s="4">
        <f>IF($A1109="","","W"&amp;WEEKNUM($A1109,2))</f>
        <v/>
      </c>
      <c r="D1109" s="4">
        <f>IF($A1109="","",TEXT($A1109,"ddd"))</f>
        <v/>
      </c>
      <c r="E1109" s="4" t="inlineStr">
        <is>
          <t>Maintenance</t>
        </is>
      </c>
      <c r="F1109" s="4">
        <f>IFERROR(INDEX(Tbl_KPIMaster[Category],MATCH($G1109,Tbl_KPIMaster[KPI],0)),"")</f>
        <v/>
      </c>
      <c r="G1109" s="4" t="inlineStr">
        <is>
          <t>Unplanned Downtime</t>
        </is>
      </c>
      <c r="H1109" s="4">
        <f>IFERROR(INDEX(Tbl_KPIMaster[Unit],MATCH($G1109,Tbl_KPIMaster[KPI],0)),"")</f>
        <v/>
      </c>
      <c r="I1109" s="5">
        <f>IFERROR(INDEX(Tbl_KPIMaster[Maximum Target],MATCH($G1109,Tbl_KPIMaster[KPI],0)),"")</f>
        <v/>
      </c>
      <c r="J1109" s="5" t="n">
        <v>0</v>
      </c>
      <c r="K1109" s="4">
        <f>IFERROR(INDEX(Tbl_KPIMaster[Tolerance],MATCH($G1109,Tbl_KPIMaster[KPI],0)),"")</f>
        <v/>
      </c>
      <c r="L1109" s="4">
        <f>IFERROR(INDEX(Tbl_KPIMaster[Owner],MATCH($G1109,Tbl_KPIMaster[KPI],0)),"")</f>
        <v/>
      </c>
      <c r="M1109" s="6" t="inlineStr">
        <is>
          <t>Awaiting spares</t>
        </is>
      </c>
      <c r="N1109" s="4" t="inlineStr"/>
      <c r="O1109" s="4" t="inlineStr">
        <is>
          <t>High</t>
        </is>
      </c>
      <c r="P1109" s="4" t="inlineStr">
        <is>
          <t>Closed</t>
        </is>
      </c>
      <c r="Q1109" s="5">
        <f>IFERROR(IF(INDEX(Tbl_KPIMaster[Direction],MATCH($G1109,Tbl_KPIMaster[KPI],0))="Lower is Better",IF($J1109=0,1,IF($I1109=0,0,$I1109/$J1109)),IF($I1109=0,1,$J1109/$I1109)),0)</f>
        <v/>
      </c>
      <c r="R1109" s="4">
        <f>IF(OR($I1109="",$J1109=""),"",$J1109-$I1109)</f>
        <v/>
      </c>
      <c r="S1109" s="4">
        <f>IFERROR(IF(INDEX(Tbl_KPIMaster[Direction],MATCH($G1109,Tbl_KPIMaster[KPI],0))="Lower is Better",IF($J1109&lt;=$I1109,"Green",IF($J1109&lt;=$I1109+IF($I1109=0,$K1109,$I1109*$K1109),"Amber","Red")),IF($J1109&gt;=$I1109,"Green",IF($J1109&gt;=$I1109-IF($I1109=0,$K1109,$I1109*$K1109),"Amber","Red"))),"")</f>
        <v/>
      </c>
      <c r="T1109" s="6" t="inlineStr"/>
    </row>
    <row r="1110">
      <c r="A1110" s="7" t="n">
        <v>46185</v>
      </c>
      <c r="B1110" s="8">
        <f>IF($A1110="","",TEXT($A1110,"mmm-yyyy"))</f>
        <v/>
      </c>
      <c r="C1110" s="8">
        <f>IF($A1110="","","W"&amp;WEEKNUM($A1110,2))</f>
        <v/>
      </c>
      <c r="D1110" s="8">
        <f>IF($A1110="","",TEXT($A1110,"ddd"))</f>
        <v/>
      </c>
      <c r="E1110" s="8" t="inlineStr">
        <is>
          <t>Maintenance</t>
        </is>
      </c>
      <c r="F1110" s="8">
        <f>IFERROR(INDEX(Tbl_KPIMaster[Category],MATCH($G1110,Tbl_KPIMaster[KPI],0)),"")</f>
        <v/>
      </c>
      <c r="G1110" s="8" t="inlineStr">
        <is>
          <t>PM Compliance %</t>
        </is>
      </c>
      <c r="H1110" s="8">
        <f>IFERROR(INDEX(Tbl_KPIMaster[Unit],MATCH($G1110,Tbl_KPIMaster[KPI],0)),"")</f>
        <v/>
      </c>
      <c r="I1110" s="9">
        <f>IFERROR(INDEX(Tbl_KPIMaster[Maximum Target],MATCH($G1110,Tbl_KPIMaster[KPI],0)),"")</f>
        <v/>
      </c>
      <c r="J1110" s="9" t="n">
        <v>0.9517</v>
      </c>
      <c r="K1110" s="8">
        <f>IFERROR(INDEX(Tbl_KPIMaster[Tolerance],MATCH($G1110,Tbl_KPIMaster[KPI],0)),"")</f>
        <v/>
      </c>
      <c r="L1110" s="8">
        <f>IFERROR(INDEX(Tbl_KPIMaster[Owner],MATCH($G1110,Tbl_KPIMaster[KPI],0)),"")</f>
        <v/>
      </c>
      <c r="M1110" s="10" t="inlineStr">
        <is>
          <t>Manpower shortage</t>
        </is>
      </c>
      <c r="N1110" s="8" t="inlineStr"/>
      <c r="O1110" s="8" t="inlineStr">
        <is>
          <t>Medium</t>
        </is>
      </c>
      <c r="P1110" s="8" t="inlineStr">
        <is>
          <t>Open</t>
        </is>
      </c>
      <c r="Q1110" s="9">
        <f>IFERROR(IF(INDEX(Tbl_KPIMaster[Direction],MATCH($G1110,Tbl_KPIMaster[KPI],0))="Lower is Better",IF($J1110=0,1,IF($I1110=0,0,$I1110/$J1110)),IF($I1110=0,1,$J1110/$I1110)),0)</f>
        <v/>
      </c>
      <c r="R1110" s="8">
        <f>IF(OR($I1110="",$J1110=""),"",$J1110-$I1110)</f>
        <v/>
      </c>
      <c r="S1110" s="8">
        <f>IFERROR(IF(INDEX(Tbl_KPIMaster[Direction],MATCH($G1110,Tbl_KPIMaster[KPI],0))="Lower is Better",IF($J1110&lt;=$I1110,"Green",IF($J1110&lt;=$I1110+IF($I1110=0,$K1110,$I1110*$K1110),"Amber","Red")),IF($J1110&gt;=$I1110,"Green",IF($J1110&gt;=$I1110-IF($I1110=0,$K1110,$I1110*$K1110),"Amber","Red"))),"")</f>
        <v/>
      </c>
      <c r="T1110" s="10" t="inlineStr"/>
    </row>
    <row r="1111">
      <c r="A1111" s="3" t="n">
        <v>46185</v>
      </c>
      <c r="B1111" s="4">
        <f>IF($A1111="","",TEXT($A1111,"mmm-yyyy"))</f>
        <v/>
      </c>
      <c r="C1111" s="4">
        <f>IF($A1111="","","W"&amp;WEEKNUM($A1111,2))</f>
        <v/>
      </c>
      <c r="D1111" s="4">
        <f>IF($A1111="","",TEXT($A1111,"ddd"))</f>
        <v/>
      </c>
      <c r="E1111" s="4" t="inlineStr">
        <is>
          <t>Utilities</t>
        </is>
      </c>
      <c r="F1111" s="4">
        <f>IFERROR(INDEX(Tbl_KPIMaster[Category],MATCH($G1111,Tbl_KPIMaster[KPI],0)),"")</f>
        <v/>
      </c>
      <c r="G1111" s="4" t="inlineStr">
        <is>
          <t>Power Consumption</t>
        </is>
      </c>
      <c r="H1111" s="4">
        <f>IFERROR(INDEX(Tbl_KPIMaster[Unit],MATCH($G1111,Tbl_KPIMaster[KPI],0)),"")</f>
        <v/>
      </c>
      <c r="I1111" s="5">
        <f>IFERROR(INDEX(Tbl_KPIMaster[Maximum Target],MATCH($G1111,Tbl_KPIMaster[KPI],0)),"")</f>
        <v/>
      </c>
      <c r="J1111" s="5" t="n">
        <v>3475.16</v>
      </c>
      <c r="K1111" s="4">
        <f>IFERROR(INDEX(Tbl_KPIMaster[Tolerance],MATCH($G1111,Tbl_KPIMaster[KPI],0)),"")</f>
        <v/>
      </c>
      <c r="L1111" s="4">
        <f>IFERROR(INDEX(Tbl_KPIMaster[Owner],MATCH($G1111,Tbl_KPIMaster[KPI],0)),"")</f>
        <v/>
      </c>
      <c r="M1111" s="6" t="inlineStr">
        <is>
          <t>Line changeover impact</t>
        </is>
      </c>
      <c r="N1111" s="4" t="inlineStr">
        <is>
          <t>Management approval pending</t>
        </is>
      </c>
      <c r="O1111" s="4" t="inlineStr">
        <is>
          <t>Low</t>
        </is>
      </c>
      <c r="P1111" s="4" t="inlineStr">
        <is>
          <t>Closed</t>
        </is>
      </c>
      <c r="Q1111" s="5">
        <f>IFERROR(IF(INDEX(Tbl_KPIMaster[Direction],MATCH($G1111,Tbl_KPIMaster[KPI],0))="Lower is Better",IF($J1111=0,1,IF($I1111=0,0,$I1111/$J1111)),IF($I1111=0,1,$J1111/$I1111)),0)</f>
        <v/>
      </c>
      <c r="R1111" s="4">
        <f>IF(OR($I1111="",$J1111=""),"",$J1111-$I1111)</f>
        <v/>
      </c>
      <c r="S1111" s="4">
        <f>IFERROR(IF(INDEX(Tbl_KPIMaster[Direction],MATCH($G1111,Tbl_KPIMaster[KPI],0))="Lower is Better",IF($J1111&lt;=$I1111,"Green",IF($J1111&lt;=$I1111+IF($I1111=0,$K1111,$I1111*$K1111),"Amber","Red")),IF($J1111&gt;=$I1111,"Green",IF($J1111&gt;=$I1111-IF($I1111=0,$K1111,$I1111*$K1111),"Amber","Red"))),"")</f>
        <v/>
      </c>
      <c r="T1111" s="6" t="inlineStr"/>
    </row>
    <row r="1112">
      <c r="A1112" s="7" t="n">
        <v>46185</v>
      </c>
      <c r="B1112" s="8">
        <f>IF($A1112="","",TEXT($A1112,"mmm-yyyy"))</f>
        <v/>
      </c>
      <c r="C1112" s="8">
        <f>IF($A1112="","","W"&amp;WEEKNUM($A1112,2))</f>
        <v/>
      </c>
      <c r="D1112" s="8">
        <f>IF($A1112="","",TEXT($A1112,"ddd"))</f>
        <v/>
      </c>
      <c r="E1112" s="8" t="inlineStr">
        <is>
          <t>Utilities</t>
        </is>
      </c>
      <c r="F1112" s="8">
        <f>IFERROR(INDEX(Tbl_KPIMaster[Category],MATCH($G1112,Tbl_KPIMaster[KPI],0)),"")</f>
        <v/>
      </c>
      <c r="G1112" s="8" t="inlineStr">
        <is>
          <t>Water Consumption</t>
        </is>
      </c>
      <c r="H1112" s="8">
        <f>IFERROR(INDEX(Tbl_KPIMaster[Unit],MATCH($G1112,Tbl_KPIMaster[KPI],0)),"")</f>
        <v/>
      </c>
      <c r="I1112" s="9">
        <f>IFERROR(INDEX(Tbl_KPIMaster[Maximum Target],MATCH($G1112,Tbl_KPIMaster[KPI],0)),"")</f>
        <v/>
      </c>
      <c r="J1112" s="9" t="n">
        <v>42.66</v>
      </c>
      <c r="K1112" s="8">
        <f>IFERROR(INDEX(Tbl_KPIMaster[Tolerance],MATCH($G1112,Tbl_KPIMaster[KPI],0)),"")</f>
        <v/>
      </c>
      <c r="L1112" s="8">
        <f>IFERROR(INDEX(Tbl_KPIMaster[Owner],MATCH($G1112,Tbl_KPIMaster[KPI],0)),"")</f>
        <v/>
      </c>
      <c r="M1112" s="10" t="inlineStr">
        <is>
          <t>Within normal range</t>
        </is>
      </c>
      <c r="N1112" s="8" t="inlineStr"/>
      <c r="O1112" s="8" t="inlineStr">
        <is>
          <t>Low</t>
        </is>
      </c>
      <c r="P1112" s="8" t="inlineStr">
        <is>
          <t>In Progress</t>
        </is>
      </c>
      <c r="Q1112" s="9">
        <f>IFERROR(IF(INDEX(Tbl_KPIMaster[Direction],MATCH($G1112,Tbl_KPIMaster[KPI],0))="Lower is Better",IF($J1112=0,1,IF($I1112=0,0,$I1112/$J1112)),IF($I1112=0,1,$J1112/$I1112)),0)</f>
        <v/>
      </c>
      <c r="R1112" s="8">
        <f>IF(OR($I1112="",$J1112=""),"",$J1112-$I1112)</f>
        <v/>
      </c>
      <c r="S1112" s="8">
        <f>IFERROR(IF(INDEX(Tbl_KPIMaster[Direction],MATCH($G1112,Tbl_KPIMaster[KPI],0))="Lower is Better",IF($J1112&lt;=$I1112,"Green",IF($J1112&lt;=$I1112+IF($I1112=0,$K1112,$I1112*$K1112),"Amber","Red")),IF($J1112&gt;=$I1112,"Green",IF($J1112&gt;=$I1112-IF($I1112=0,$K1112,$I1112*$K1112),"Amber","Red"))),"")</f>
        <v/>
      </c>
      <c r="T1112" s="10" t="inlineStr"/>
    </row>
    <row r="1113">
      <c r="A1113" s="3" t="n">
        <v>46185</v>
      </c>
      <c r="B1113" s="4">
        <f>IF($A1113="","",TEXT($A1113,"mmm-yyyy"))</f>
        <v/>
      </c>
      <c r="C1113" s="4">
        <f>IF($A1113="","","W"&amp;WEEKNUM($A1113,2))</f>
        <v/>
      </c>
      <c r="D1113" s="4">
        <f>IF($A1113="","",TEXT($A1113,"ddd"))</f>
        <v/>
      </c>
      <c r="E1113" s="4" t="inlineStr">
        <is>
          <t>Warehouse</t>
        </is>
      </c>
      <c r="F1113" s="4">
        <f>IFERROR(INDEX(Tbl_KPIMaster[Category],MATCH($G1113,Tbl_KPIMaster[KPI],0)),"")</f>
        <v/>
      </c>
      <c r="G1113" s="4" t="inlineStr">
        <is>
          <t>On-Time Dispatch %</t>
        </is>
      </c>
      <c r="H1113" s="4">
        <f>IFERROR(INDEX(Tbl_KPIMaster[Unit],MATCH($G1113,Tbl_KPIMaster[KPI],0)),"")</f>
        <v/>
      </c>
      <c r="I1113" s="5">
        <f>IFERROR(INDEX(Tbl_KPIMaster[Maximum Target],MATCH($G1113,Tbl_KPIMaster[KPI],0)),"")</f>
        <v/>
      </c>
      <c r="J1113" s="5" t="n">
        <v>0.8791</v>
      </c>
      <c r="K1113" s="4">
        <f>IFERROR(INDEX(Tbl_KPIMaster[Tolerance],MATCH($G1113,Tbl_KPIMaster[KPI],0)),"")</f>
        <v/>
      </c>
      <c r="L1113" s="4">
        <f>IFERROR(INDEX(Tbl_KPIMaster[Owner],MATCH($G1113,Tbl_KPIMaster[KPI],0)),"")</f>
        <v/>
      </c>
      <c r="M1113" s="6" t="inlineStr">
        <is>
          <t>Line changeover impact</t>
        </is>
      </c>
      <c r="N1113" s="4" t="inlineStr"/>
      <c r="O1113" s="4" t="inlineStr">
        <is>
          <t>Low</t>
        </is>
      </c>
      <c r="P1113" s="4" t="inlineStr">
        <is>
          <t>In Progress</t>
        </is>
      </c>
      <c r="Q1113" s="5">
        <f>IFERROR(IF(INDEX(Tbl_KPIMaster[Direction],MATCH($G1113,Tbl_KPIMaster[KPI],0))="Lower is Better",IF($J1113=0,1,IF($I1113=0,0,$I1113/$J1113)),IF($I1113=0,1,$J1113/$I1113)),0)</f>
        <v/>
      </c>
      <c r="R1113" s="4">
        <f>IF(OR($I1113="",$J1113=""),"",$J1113-$I1113)</f>
        <v/>
      </c>
      <c r="S1113" s="4">
        <f>IFERROR(IF(INDEX(Tbl_KPIMaster[Direction],MATCH($G1113,Tbl_KPIMaster[KPI],0))="Lower is Better",IF($J1113&lt;=$I1113,"Green",IF($J1113&lt;=$I1113+IF($I1113=0,$K1113,$I1113*$K1113),"Amber","Red")),IF($J1113&gt;=$I1113,"Green",IF($J1113&gt;=$I1113-IF($I1113=0,$K1113,$I1113*$K1113),"Amber","Red"))),"")</f>
        <v/>
      </c>
      <c r="T1113" s="6" t="inlineStr"/>
    </row>
    <row r="1114">
      <c r="A1114" s="7" t="n">
        <v>46185</v>
      </c>
      <c r="B1114" s="8">
        <f>IF($A1114="","",TEXT($A1114,"mmm-yyyy"))</f>
        <v/>
      </c>
      <c r="C1114" s="8">
        <f>IF($A1114="","","W"&amp;WEEKNUM($A1114,2))</f>
        <v/>
      </c>
      <c r="D1114" s="8">
        <f>IF($A1114="","",TEXT($A1114,"ddd"))</f>
        <v/>
      </c>
      <c r="E1114" s="8" t="inlineStr">
        <is>
          <t>Warehouse</t>
        </is>
      </c>
      <c r="F1114" s="8">
        <f>IFERROR(INDEX(Tbl_KPIMaster[Category],MATCH($G1114,Tbl_KPIMaster[KPI],0)),"")</f>
        <v/>
      </c>
      <c r="G1114" s="8" t="inlineStr">
        <is>
          <t>Inventory Accuracy %</t>
        </is>
      </c>
      <c r="H1114" s="8">
        <f>IFERROR(INDEX(Tbl_KPIMaster[Unit],MATCH($G1114,Tbl_KPIMaster[KPI],0)),"")</f>
        <v/>
      </c>
      <c r="I1114" s="9">
        <f>IFERROR(INDEX(Tbl_KPIMaster[Maximum Target],MATCH($G1114,Tbl_KPIMaster[KPI],0)),"")</f>
        <v/>
      </c>
      <c r="J1114" s="9" t="n">
        <v>0.9833</v>
      </c>
      <c r="K1114" s="8">
        <f>IFERROR(INDEX(Tbl_KPIMaster[Tolerance],MATCH($G1114,Tbl_KPIMaster[KPI],0)),"")</f>
        <v/>
      </c>
      <c r="L1114" s="8">
        <f>IFERROR(INDEX(Tbl_KPIMaster[Owner],MATCH($G1114,Tbl_KPIMaster[KPI],0)),"")</f>
        <v/>
      </c>
      <c r="M1114" s="10" t="inlineStr">
        <is>
          <t>Within normal range</t>
        </is>
      </c>
      <c r="N1114" s="8" t="inlineStr"/>
      <c r="O1114" s="8" t="inlineStr">
        <is>
          <t>Medium</t>
        </is>
      </c>
      <c r="P1114" s="8" t="inlineStr">
        <is>
          <t>Closed</t>
        </is>
      </c>
      <c r="Q1114" s="9">
        <f>IFERROR(IF(INDEX(Tbl_KPIMaster[Direction],MATCH($G1114,Tbl_KPIMaster[KPI],0))="Lower is Better",IF($J1114=0,1,IF($I1114=0,0,$I1114/$J1114)),IF($I1114=0,1,$J1114/$I1114)),0)</f>
        <v/>
      </c>
      <c r="R1114" s="8">
        <f>IF(OR($I1114="",$J1114=""),"",$J1114-$I1114)</f>
        <v/>
      </c>
      <c r="S1114" s="8">
        <f>IFERROR(IF(INDEX(Tbl_KPIMaster[Direction],MATCH($G1114,Tbl_KPIMaster[KPI],0))="Lower is Better",IF($J1114&lt;=$I1114,"Green",IF($J1114&lt;=$I1114+IF($I1114=0,$K1114,$I1114*$K1114),"Amber","Red")),IF($J1114&gt;=$I1114,"Green",IF($J1114&gt;=$I1114-IF($I1114=0,$K1114,$I1114*$K1114),"Amber","Red"))),"")</f>
        <v/>
      </c>
      <c r="T1114" s="10" t="inlineStr"/>
    </row>
    <row r="1115">
      <c r="A1115" s="3" t="n">
        <v>46185</v>
      </c>
      <c r="B1115" s="4">
        <f>IF($A1115="","",TEXT($A1115,"mmm-yyyy"))</f>
        <v/>
      </c>
      <c r="C1115" s="4">
        <f>IF($A1115="","","W"&amp;WEEKNUM($A1115,2))</f>
        <v/>
      </c>
      <c r="D1115" s="4">
        <f>IF($A1115="","",TEXT($A1115,"ddd"))</f>
        <v/>
      </c>
      <c r="E1115" s="4" t="inlineStr">
        <is>
          <t>HR</t>
        </is>
      </c>
      <c r="F1115" s="4">
        <f>IFERROR(INDEX(Tbl_KPIMaster[Category],MATCH($G1115,Tbl_KPIMaster[KPI],0)),"")</f>
        <v/>
      </c>
      <c r="G1115" s="4" t="inlineStr">
        <is>
          <t>Absenteeism %</t>
        </is>
      </c>
      <c r="H1115" s="4">
        <f>IFERROR(INDEX(Tbl_KPIMaster[Unit],MATCH($G1115,Tbl_KPIMaster[KPI],0)),"")</f>
        <v/>
      </c>
      <c r="I1115" s="5">
        <f>IFERROR(INDEX(Tbl_KPIMaster[Maximum Target],MATCH($G1115,Tbl_KPIMaster[KPI],0)),"")</f>
        <v/>
      </c>
      <c r="J1115" s="5" t="n">
        <v>0.2168</v>
      </c>
      <c r="K1115" s="4">
        <f>IFERROR(INDEX(Tbl_KPIMaster[Tolerance],MATCH($G1115,Tbl_KPIMaster[KPI],0)),"")</f>
        <v/>
      </c>
      <c r="L1115" s="4">
        <f>IFERROR(INDEX(Tbl_KPIMaster[Owner],MATCH($G1115,Tbl_KPIMaster[KPI],0)),"")</f>
        <v/>
      </c>
      <c r="M1115" s="6" t="inlineStr">
        <is>
          <t>Line changeover impact</t>
        </is>
      </c>
      <c r="N1115" s="4" t="inlineStr">
        <is>
          <t>Management approval pending</t>
        </is>
      </c>
      <c r="O1115" s="4" t="inlineStr">
        <is>
          <t>Low</t>
        </is>
      </c>
      <c r="P1115" s="4" t="inlineStr">
        <is>
          <t>Closed</t>
        </is>
      </c>
      <c r="Q1115" s="5">
        <f>IFERROR(IF(INDEX(Tbl_KPIMaster[Direction],MATCH($G1115,Tbl_KPIMaster[KPI],0))="Lower is Better",IF($J1115=0,1,IF($I1115=0,0,$I1115/$J1115)),IF($I1115=0,1,$J1115/$I1115)),0)</f>
        <v/>
      </c>
      <c r="R1115" s="4">
        <f>IF(OR($I1115="",$J1115=""),"",$J1115-$I1115)</f>
        <v/>
      </c>
      <c r="S1115" s="4">
        <f>IFERROR(IF(INDEX(Tbl_KPIMaster[Direction],MATCH($G1115,Tbl_KPIMaster[KPI],0))="Lower is Better",IF($J1115&lt;=$I1115,"Green",IF($J1115&lt;=$I1115+IF($I1115=0,$K1115,$I1115*$K1115),"Amber","Red")),IF($J1115&gt;=$I1115,"Green",IF($J1115&gt;=$I1115-IF($I1115=0,$K1115,$I1115*$K1115),"Amber","Red"))),"")</f>
        <v/>
      </c>
      <c r="T1115" s="6" t="inlineStr"/>
    </row>
    <row r="1116">
      <c r="A1116" s="7" t="n">
        <v>46185</v>
      </c>
      <c r="B1116" s="8">
        <f>IF($A1116="","",TEXT($A1116,"mmm-yyyy"))</f>
        <v/>
      </c>
      <c r="C1116" s="8">
        <f>IF($A1116="","","W"&amp;WEEKNUM($A1116,2))</f>
        <v/>
      </c>
      <c r="D1116" s="8">
        <f>IF($A1116="","",TEXT($A1116,"ddd"))</f>
        <v/>
      </c>
      <c r="E1116" s="8" t="inlineStr">
        <is>
          <t>HR</t>
        </is>
      </c>
      <c r="F1116" s="8">
        <f>IFERROR(INDEX(Tbl_KPIMaster[Category],MATCH($G1116,Tbl_KPIMaster[KPI],0)),"")</f>
        <v/>
      </c>
      <c r="G1116" s="8" t="inlineStr">
        <is>
          <t>Training Hours</t>
        </is>
      </c>
      <c r="H1116" s="8">
        <f>IFERROR(INDEX(Tbl_KPIMaster[Unit],MATCH($G1116,Tbl_KPIMaster[KPI],0)),"")</f>
        <v/>
      </c>
      <c r="I1116" s="9">
        <f>IFERROR(INDEX(Tbl_KPIMaster[Maximum Target],MATCH($G1116,Tbl_KPIMaster[KPI],0)),"")</f>
        <v/>
      </c>
      <c r="J1116" s="9" t="n">
        <v>2.11</v>
      </c>
      <c r="K1116" s="8">
        <f>IFERROR(INDEX(Tbl_KPIMaster[Tolerance],MATCH($G1116,Tbl_KPIMaster[KPI],0)),"")</f>
        <v/>
      </c>
      <c r="L1116" s="8">
        <f>IFERROR(INDEX(Tbl_KPIMaster[Owner],MATCH($G1116,Tbl_KPIMaster[KPI],0)),"")</f>
        <v/>
      </c>
      <c r="M1116" s="10" t="inlineStr">
        <is>
          <t>Process improvement in progress</t>
        </is>
      </c>
      <c r="N1116" s="8" t="inlineStr">
        <is>
          <t>Engineering support needed</t>
        </is>
      </c>
      <c r="O1116" s="8" t="inlineStr">
        <is>
          <t>Low</t>
        </is>
      </c>
      <c r="P1116" s="8" t="inlineStr">
        <is>
          <t>Open</t>
        </is>
      </c>
      <c r="Q1116" s="9">
        <f>IFERROR(IF(INDEX(Tbl_KPIMaster[Direction],MATCH($G1116,Tbl_KPIMaster[KPI],0))="Lower is Better",IF($J1116=0,1,IF($I1116=0,0,$I1116/$J1116)),IF($I1116=0,1,$J1116/$I1116)),0)</f>
        <v/>
      </c>
      <c r="R1116" s="8">
        <f>IF(OR($I1116="",$J1116=""),"",$J1116-$I1116)</f>
        <v/>
      </c>
      <c r="S1116" s="8">
        <f>IFERROR(IF(INDEX(Tbl_KPIMaster[Direction],MATCH($G1116,Tbl_KPIMaster[KPI],0))="Lower is Better",IF($J1116&lt;=$I1116,"Green",IF($J1116&lt;=$I1116+IF($I1116=0,$K1116,$I1116*$K1116),"Amber","Red")),IF($J1116&gt;=$I1116,"Green",IF($J1116&gt;=$I1116-IF($I1116=0,$K1116,$I1116*$K1116),"Amber","Red"))),"")</f>
        <v/>
      </c>
      <c r="T1116" s="10" t="inlineStr"/>
    </row>
    <row r="1117">
      <c r="A1117" s="3" t="n">
        <v>46185</v>
      </c>
      <c r="B1117" s="4">
        <f>IF($A1117="","",TEXT($A1117,"mmm-yyyy"))</f>
        <v/>
      </c>
      <c r="C1117" s="4">
        <f>IF($A1117="","","W"&amp;WEEKNUM($A1117,2))</f>
        <v/>
      </c>
      <c r="D1117" s="4">
        <f>IF($A1117="","",TEXT($A1117,"ddd"))</f>
        <v/>
      </c>
      <c r="E1117" s="4" t="inlineStr">
        <is>
          <t>Engineering</t>
        </is>
      </c>
      <c r="F1117" s="4">
        <f>IFERROR(INDEX(Tbl_KPIMaster[Category],MATCH($G1117,Tbl_KPIMaster[KPI],0)),"")</f>
        <v/>
      </c>
      <c r="G1117" s="4" t="inlineStr">
        <is>
          <t>Project Milestone Adherence %</t>
        </is>
      </c>
      <c r="H1117" s="4">
        <f>IFERROR(INDEX(Tbl_KPIMaster[Unit],MATCH($G1117,Tbl_KPIMaster[KPI],0)),"")</f>
        <v/>
      </c>
      <c r="I1117" s="5">
        <f>IFERROR(INDEX(Tbl_KPIMaster[Maximum Target],MATCH($G1117,Tbl_KPIMaster[KPI],0)),"")</f>
        <v/>
      </c>
      <c r="J1117" s="5" t="n">
        <v>0.928</v>
      </c>
      <c r="K1117" s="4">
        <f>IFERROR(INDEX(Tbl_KPIMaster[Tolerance],MATCH($G1117,Tbl_KPIMaster[KPI],0)),"")</f>
        <v/>
      </c>
      <c r="L1117" s="4">
        <f>IFERROR(INDEX(Tbl_KPIMaster[Owner],MATCH($G1117,Tbl_KPIMaster[KPI],0)),"")</f>
        <v/>
      </c>
      <c r="M1117" s="6" t="inlineStr">
        <is>
          <t>Manpower shortage</t>
        </is>
      </c>
      <c r="N1117" s="4" t="inlineStr">
        <is>
          <t>Procurement follow-up</t>
        </is>
      </c>
      <c r="O1117" s="4" t="inlineStr">
        <is>
          <t>Medium</t>
        </is>
      </c>
      <c r="P1117" s="4" t="inlineStr">
        <is>
          <t>Open</t>
        </is>
      </c>
      <c r="Q1117" s="5">
        <f>IFERROR(IF(INDEX(Tbl_KPIMaster[Direction],MATCH($G1117,Tbl_KPIMaster[KPI],0))="Lower is Better",IF($J1117=0,1,IF($I1117=0,0,$I1117/$J1117)),IF($I1117=0,1,$J1117/$I1117)),0)</f>
        <v/>
      </c>
      <c r="R1117" s="4">
        <f>IF(OR($I1117="",$J1117=""),"",$J1117-$I1117)</f>
        <v/>
      </c>
      <c r="S1117" s="4">
        <f>IFERROR(IF(INDEX(Tbl_KPIMaster[Direction],MATCH($G1117,Tbl_KPIMaster[KPI],0))="Lower is Better",IF($J1117&lt;=$I1117,"Green",IF($J1117&lt;=$I1117+IF($I1117=0,$K1117,$I1117*$K1117),"Amber","Red")),IF($J1117&gt;=$I1117,"Green",IF($J1117&gt;=$I1117-IF($I1117=0,$K1117,$I1117*$K1117),"Amber","Red"))),"")</f>
        <v/>
      </c>
      <c r="T1117" s="6" t="inlineStr"/>
    </row>
    <row r="1118">
      <c r="A1118" s="7" t="n">
        <v>46185</v>
      </c>
      <c r="B1118" s="8">
        <f>IF($A1118="","",TEXT($A1118,"mmm-yyyy"))</f>
        <v/>
      </c>
      <c r="C1118" s="8">
        <f>IF($A1118="","","W"&amp;WEEKNUM($A1118,2))</f>
        <v/>
      </c>
      <c r="D1118" s="8">
        <f>IF($A1118="","",TEXT($A1118,"ddd"))</f>
        <v/>
      </c>
      <c r="E1118" s="8" t="inlineStr">
        <is>
          <t>Engineering</t>
        </is>
      </c>
      <c r="F1118" s="8">
        <f>IFERROR(INDEX(Tbl_KPIMaster[Category],MATCH($G1118,Tbl_KPIMaster[KPI],0)),"")</f>
        <v/>
      </c>
      <c r="G1118" s="8" t="inlineStr">
        <is>
          <t>Breakdown Resolution Time</t>
        </is>
      </c>
      <c r="H1118" s="8">
        <f>IFERROR(INDEX(Tbl_KPIMaster[Unit],MATCH($G1118,Tbl_KPIMaster[KPI],0)),"")</f>
        <v/>
      </c>
      <c r="I1118" s="9">
        <f>IFERROR(INDEX(Tbl_KPIMaster[Maximum Target],MATCH($G1118,Tbl_KPIMaster[KPI],0)),"")</f>
        <v/>
      </c>
      <c r="J1118" s="9" t="n">
        <v>0.06</v>
      </c>
      <c r="K1118" s="8">
        <f>IFERROR(INDEX(Tbl_KPIMaster[Tolerance],MATCH($G1118,Tbl_KPIMaster[KPI],0)),"")</f>
        <v/>
      </c>
      <c r="L1118" s="8">
        <f>IFERROR(INDEX(Tbl_KPIMaster[Owner],MATCH($G1118,Tbl_KPIMaster[KPI],0)),"")</f>
        <v/>
      </c>
      <c r="M1118" s="10" t="inlineStr">
        <is>
          <t>New operator training effect</t>
        </is>
      </c>
      <c r="N1118" s="8" t="inlineStr">
        <is>
          <t>Engineering support needed</t>
        </is>
      </c>
      <c r="O1118" s="8" t="inlineStr">
        <is>
          <t>Low</t>
        </is>
      </c>
      <c r="P1118" s="8" t="inlineStr">
        <is>
          <t>Closed</t>
        </is>
      </c>
      <c r="Q1118" s="9">
        <f>IFERROR(IF(INDEX(Tbl_KPIMaster[Direction],MATCH($G1118,Tbl_KPIMaster[KPI],0))="Lower is Better",IF($J1118=0,1,IF($I1118=0,0,$I1118/$J1118)),IF($I1118=0,1,$J1118/$I1118)),0)</f>
        <v/>
      </c>
      <c r="R1118" s="8">
        <f>IF(OR($I1118="",$J1118=""),"",$J1118-$I1118)</f>
        <v/>
      </c>
      <c r="S1118" s="8">
        <f>IFERROR(IF(INDEX(Tbl_KPIMaster[Direction],MATCH($G1118,Tbl_KPIMaster[KPI],0))="Lower is Better",IF($J1118&lt;=$I1118,"Green",IF($J1118&lt;=$I1118+IF($I1118=0,$K1118,$I1118*$K1118),"Amber","Red")),IF($J1118&gt;=$I1118,"Green",IF($J1118&gt;=$I1118-IF($I1118=0,$K1118,$I1118*$K1118),"Amber","Red"))),"")</f>
        <v/>
      </c>
      <c r="T1118" s="10" t="inlineStr"/>
    </row>
    <row r="1119">
      <c r="A1119" s="3" t="n">
        <v>46185</v>
      </c>
      <c r="B1119" s="4">
        <f>IF($A1119="","",TEXT($A1119,"mmm-yyyy"))</f>
        <v/>
      </c>
      <c r="C1119" s="4">
        <f>IF($A1119="","","W"&amp;WEEKNUM($A1119,2))</f>
        <v/>
      </c>
      <c r="D1119" s="4">
        <f>IF($A1119="","",TEXT($A1119,"ddd"))</f>
        <v/>
      </c>
      <c r="E1119" s="4" t="inlineStr">
        <is>
          <t>Cost</t>
        </is>
      </c>
      <c r="F1119" s="4">
        <f>IFERROR(INDEX(Tbl_KPIMaster[Category],MATCH($G1119,Tbl_KPIMaster[KPI],0)),"")</f>
        <v/>
      </c>
      <c r="G1119" s="4" t="inlineStr">
        <is>
          <t>Cost per Unit</t>
        </is>
      </c>
      <c r="H1119" s="4">
        <f>IFERROR(INDEX(Tbl_KPIMaster[Unit],MATCH($G1119,Tbl_KPIMaster[KPI],0)),"")</f>
        <v/>
      </c>
      <c r="I1119" s="5">
        <f>IFERROR(INDEX(Tbl_KPIMaster[Maximum Target],MATCH($G1119,Tbl_KPIMaster[KPI],0)),"")</f>
        <v/>
      </c>
      <c r="J1119" s="5" t="n">
        <v>48.67</v>
      </c>
      <c r="K1119" s="4">
        <f>IFERROR(INDEX(Tbl_KPIMaster[Tolerance],MATCH($G1119,Tbl_KPIMaster[KPI],0)),"")</f>
        <v/>
      </c>
      <c r="L1119" s="4">
        <f>IFERROR(INDEX(Tbl_KPIMaster[Owner],MATCH($G1119,Tbl_KPIMaster[KPI],0)),"")</f>
        <v/>
      </c>
      <c r="M1119" s="6" t="inlineStr">
        <is>
          <t>Equipment breakdown</t>
        </is>
      </c>
      <c r="N1119" s="4" t="inlineStr">
        <is>
          <t>Procurement follow-up</t>
        </is>
      </c>
      <c r="O1119" s="4" t="inlineStr">
        <is>
          <t>Low</t>
        </is>
      </c>
      <c r="P1119" s="4" t="inlineStr">
        <is>
          <t>Open</t>
        </is>
      </c>
      <c r="Q1119" s="5">
        <f>IFERROR(IF(INDEX(Tbl_KPIMaster[Direction],MATCH($G1119,Tbl_KPIMaster[KPI],0))="Lower is Better",IF($J1119=0,1,IF($I1119=0,0,$I1119/$J1119)),IF($I1119=0,1,$J1119/$I1119)),0)</f>
        <v/>
      </c>
      <c r="R1119" s="4">
        <f>IF(OR($I1119="",$J1119=""),"",$J1119-$I1119)</f>
        <v/>
      </c>
      <c r="S1119" s="4">
        <f>IFERROR(IF(INDEX(Tbl_KPIMaster[Direction],MATCH($G1119,Tbl_KPIMaster[KPI],0))="Lower is Better",IF($J1119&lt;=$I1119,"Green",IF($J1119&lt;=$I1119+IF($I1119=0,$K1119,$I1119*$K1119),"Amber","Red")),IF($J1119&gt;=$I1119,"Green",IF($J1119&gt;=$I1119-IF($I1119=0,$K1119,$I1119*$K1119),"Amber","Red"))),"")</f>
        <v/>
      </c>
      <c r="T1119" s="6" t="inlineStr"/>
    </row>
    <row r="1120">
      <c r="A1120" s="7" t="n">
        <v>46185</v>
      </c>
      <c r="B1120" s="8">
        <f>IF($A1120="","",TEXT($A1120,"mmm-yyyy"))</f>
        <v/>
      </c>
      <c r="C1120" s="8">
        <f>IF($A1120="","","W"&amp;WEEKNUM($A1120,2))</f>
        <v/>
      </c>
      <c r="D1120" s="8">
        <f>IF($A1120="","",TEXT($A1120,"ddd"))</f>
        <v/>
      </c>
      <c r="E1120" s="8" t="inlineStr">
        <is>
          <t>Cost</t>
        </is>
      </c>
      <c r="F1120" s="8">
        <f>IFERROR(INDEX(Tbl_KPIMaster[Category],MATCH($G1120,Tbl_KPIMaster[KPI],0)),"")</f>
        <v/>
      </c>
      <c r="G1120" s="8" t="inlineStr">
        <is>
          <t>Budget Variance %</t>
        </is>
      </c>
      <c r="H1120" s="8">
        <f>IFERROR(INDEX(Tbl_KPIMaster[Unit],MATCH($G1120,Tbl_KPIMaster[KPI],0)),"")</f>
        <v/>
      </c>
      <c r="I1120" s="9">
        <f>IFERROR(INDEX(Tbl_KPIMaster[Maximum Target],MATCH($G1120,Tbl_KPIMaster[KPI],0)),"")</f>
        <v/>
      </c>
      <c r="J1120" s="9" t="n">
        <v>0</v>
      </c>
      <c r="K1120" s="8">
        <f>IFERROR(INDEX(Tbl_KPIMaster[Tolerance],MATCH($G1120,Tbl_KPIMaster[KPI],0)),"")</f>
        <v/>
      </c>
      <c r="L1120" s="8">
        <f>IFERROR(INDEX(Tbl_KPIMaster[Owner],MATCH($G1120,Tbl_KPIMaster[KPI],0)),"")</f>
        <v/>
      </c>
      <c r="M1120" s="10" t="inlineStr"/>
      <c r="N1120" s="8" t="inlineStr"/>
      <c r="O1120" s="8" t="inlineStr">
        <is>
          <t>Low</t>
        </is>
      </c>
      <c r="P1120" s="8" t="inlineStr">
        <is>
          <t>Closed</t>
        </is>
      </c>
      <c r="Q1120" s="9">
        <f>IFERROR(IF(INDEX(Tbl_KPIMaster[Direction],MATCH($G1120,Tbl_KPIMaster[KPI],0))="Lower is Better",IF($J1120=0,1,IF($I1120=0,0,$I1120/$J1120)),IF($I1120=0,1,$J1120/$I1120)),0)</f>
        <v/>
      </c>
      <c r="R1120" s="8">
        <f>IF(OR($I1120="",$J1120=""),"",$J1120-$I1120)</f>
        <v/>
      </c>
      <c r="S1120" s="8">
        <f>IFERROR(IF(INDEX(Tbl_KPIMaster[Direction],MATCH($G1120,Tbl_KPIMaster[KPI],0))="Lower is Better",IF($J1120&lt;=$I1120,"Green",IF($J1120&lt;=$I1120+IF($I1120=0,$K1120,$I1120*$K1120),"Amber","Red")),IF($J1120&gt;=$I1120,"Green",IF($J1120&gt;=$I1120-IF($I1120=0,$K1120,$I1120*$K1120),"Amber","Red"))),"")</f>
        <v/>
      </c>
      <c r="T1120" s="10" t="inlineStr"/>
    </row>
    <row r="1121">
      <c r="A1121" s="3" t="n">
        <v>46185</v>
      </c>
      <c r="B1121" s="4">
        <f>IF($A1121="","",TEXT($A1121,"mmm-yyyy"))</f>
        <v/>
      </c>
      <c r="C1121" s="4">
        <f>IF($A1121="","","W"&amp;WEEKNUM($A1121,2))</f>
        <v/>
      </c>
      <c r="D1121" s="4">
        <f>IF($A1121="","",TEXT($A1121,"ddd"))</f>
        <v/>
      </c>
      <c r="E1121" s="4" t="inlineStr">
        <is>
          <t>Energy</t>
        </is>
      </c>
      <c r="F1121" s="4">
        <f>IFERROR(INDEX(Tbl_KPIMaster[Category],MATCH($G1121,Tbl_KPIMaster[KPI],0)),"")</f>
        <v/>
      </c>
      <c r="G1121" s="4" t="inlineStr">
        <is>
          <t>Energy Intensity (kWh/unit)</t>
        </is>
      </c>
      <c r="H1121" s="4">
        <f>IFERROR(INDEX(Tbl_KPIMaster[Unit],MATCH($G1121,Tbl_KPIMaster[KPI],0)),"")</f>
        <v/>
      </c>
      <c r="I1121" s="5">
        <f>IFERROR(INDEX(Tbl_KPIMaster[Maximum Target],MATCH($G1121,Tbl_KPIMaster[KPI],0)),"")</f>
        <v/>
      </c>
      <c r="J1121" s="5" t="n">
        <v>3.85</v>
      </c>
      <c r="K1121" s="4">
        <f>IFERROR(INDEX(Tbl_KPIMaster[Tolerance],MATCH($G1121,Tbl_KPIMaster[KPI],0)),"")</f>
        <v/>
      </c>
      <c r="L1121" s="4">
        <f>IFERROR(INDEX(Tbl_KPIMaster[Owner],MATCH($G1121,Tbl_KPIMaster[KPI],0)),"")</f>
        <v/>
      </c>
      <c r="M1121" s="6" t="inlineStr">
        <is>
          <t>Manpower shortage</t>
        </is>
      </c>
      <c r="N1121" s="4" t="inlineStr"/>
      <c r="O1121" s="4" t="inlineStr">
        <is>
          <t>Low</t>
        </is>
      </c>
      <c r="P1121" s="4" t="inlineStr">
        <is>
          <t>Closed</t>
        </is>
      </c>
      <c r="Q1121" s="5">
        <f>IFERROR(IF(INDEX(Tbl_KPIMaster[Direction],MATCH($G1121,Tbl_KPIMaster[KPI],0))="Lower is Better",IF($J1121=0,1,IF($I1121=0,0,$I1121/$J1121)),IF($I1121=0,1,$J1121/$I1121)),0)</f>
        <v/>
      </c>
      <c r="R1121" s="4">
        <f>IF(OR($I1121="",$J1121=""),"",$J1121-$I1121)</f>
        <v/>
      </c>
      <c r="S1121" s="4">
        <f>IFERROR(IF(INDEX(Tbl_KPIMaster[Direction],MATCH($G1121,Tbl_KPIMaster[KPI],0))="Lower is Better",IF($J1121&lt;=$I1121,"Green",IF($J1121&lt;=$I1121+IF($I1121=0,$K1121,$I1121*$K1121),"Amber","Red")),IF($J1121&gt;=$I1121,"Green",IF($J1121&gt;=$I1121-IF($I1121=0,$K1121,$I1121*$K1121),"Amber","Red"))),"")</f>
        <v/>
      </c>
      <c r="T1121" s="6" t="inlineStr"/>
    </row>
    <row r="1122">
      <c r="A1122" s="7" t="n">
        <v>46185</v>
      </c>
      <c r="B1122" s="8">
        <f>IF($A1122="","",TEXT($A1122,"mmm-yyyy"))</f>
        <v/>
      </c>
      <c r="C1122" s="8">
        <f>IF($A1122="","","W"&amp;WEEKNUM($A1122,2))</f>
        <v/>
      </c>
      <c r="D1122" s="8">
        <f>IF($A1122="","",TEXT($A1122,"ddd"))</f>
        <v/>
      </c>
      <c r="E1122" s="8" t="inlineStr">
        <is>
          <t>Energy</t>
        </is>
      </c>
      <c r="F1122" s="8">
        <f>IFERROR(INDEX(Tbl_KPIMaster[Category],MATCH($G1122,Tbl_KPIMaster[KPI],0)),"")</f>
        <v/>
      </c>
      <c r="G1122" s="8" t="inlineStr">
        <is>
          <t>Renewable Energy Share %</t>
        </is>
      </c>
      <c r="H1122" s="8">
        <f>IFERROR(INDEX(Tbl_KPIMaster[Unit],MATCH($G1122,Tbl_KPIMaster[KPI],0)),"")</f>
        <v/>
      </c>
      <c r="I1122" s="9">
        <f>IFERROR(INDEX(Tbl_KPIMaster[Maximum Target],MATCH($G1122,Tbl_KPIMaster[KPI],0)),"")</f>
        <v/>
      </c>
      <c r="J1122" s="9" t="n">
        <v>0.2582</v>
      </c>
      <c r="K1122" s="8">
        <f>IFERROR(INDEX(Tbl_KPIMaster[Tolerance],MATCH($G1122,Tbl_KPIMaster[KPI],0)),"")</f>
        <v/>
      </c>
      <c r="L1122" s="8">
        <f>IFERROR(INDEX(Tbl_KPIMaster[Owner],MATCH($G1122,Tbl_KPIMaster[KPI],0)),"")</f>
        <v/>
      </c>
      <c r="M1122" s="10" t="inlineStr">
        <is>
          <t>Line changeover impact</t>
        </is>
      </c>
      <c r="N1122" s="8" t="inlineStr">
        <is>
          <t>Procurement follow-up</t>
        </is>
      </c>
      <c r="O1122" s="8" t="inlineStr">
        <is>
          <t>Medium</t>
        </is>
      </c>
      <c r="P1122" s="8" t="inlineStr">
        <is>
          <t>Closed</t>
        </is>
      </c>
      <c r="Q1122" s="9">
        <f>IFERROR(IF(INDEX(Tbl_KPIMaster[Direction],MATCH($G1122,Tbl_KPIMaster[KPI],0))="Lower is Better",IF($J1122=0,1,IF($I1122=0,0,$I1122/$J1122)),IF($I1122=0,1,$J1122/$I1122)),0)</f>
        <v/>
      </c>
      <c r="R1122" s="8">
        <f>IF(OR($I1122="",$J1122=""),"",$J1122-$I1122)</f>
        <v/>
      </c>
      <c r="S1122" s="8">
        <f>IFERROR(IF(INDEX(Tbl_KPIMaster[Direction],MATCH($G1122,Tbl_KPIMaster[KPI],0))="Lower is Better",IF($J1122&lt;=$I1122,"Green",IF($J1122&lt;=$I1122+IF($I1122=0,$K1122,$I1122*$K1122),"Amber","Red")),IF($J1122&gt;=$I1122,"Green",IF($J1122&gt;=$I1122-IF($I1122=0,$K1122,$I1122*$K1122),"Amber","Red"))),"")</f>
        <v/>
      </c>
      <c r="T1122" s="10" t="inlineStr"/>
    </row>
    <row r="1123">
      <c r="A1123" s="3" t="n">
        <v>46186</v>
      </c>
      <c r="B1123" s="4">
        <f>IF($A1123="","",TEXT($A1123,"mmm-yyyy"))</f>
        <v/>
      </c>
      <c r="C1123" s="4">
        <f>IF($A1123="","","W"&amp;WEEKNUM($A1123,2))</f>
        <v/>
      </c>
      <c r="D1123" s="4">
        <f>IF($A1123="","",TEXT($A1123,"ddd"))</f>
        <v/>
      </c>
      <c r="E1123" s="4" t="inlineStr">
        <is>
          <t>Safety</t>
        </is>
      </c>
      <c r="F1123" s="4">
        <f>IFERROR(INDEX(Tbl_KPIMaster[Category],MATCH($G1123,Tbl_KPIMaster[KPI],0)),"")</f>
        <v/>
      </c>
      <c r="G1123" s="4" t="inlineStr">
        <is>
          <t>Safety Incidents (LTI)</t>
        </is>
      </c>
      <c r="H1123" s="4">
        <f>IFERROR(INDEX(Tbl_KPIMaster[Unit],MATCH($G1123,Tbl_KPIMaster[KPI],0)),"")</f>
        <v/>
      </c>
      <c r="I1123" s="5">
        <f>IFERROR(INDEX(Tbl_KPIMaster[Maximum Target],MATCH($G1123,Tbl_KPIMaster[KPI],0)),"")</f>
        <v/>
      </c>
      <c r="J1123" s="5" t="n">
        <v>1</v>
      </c>
      <c r="K1123" s="4">
        <f>IFERROR(INDEX(Tbl_KPIMaster[Tolerance],MATCH($G1123,Tbl_KPIMaster[KPI],0)),"")</f>
        <v/>
      </c>
      <c r="L1123" s="4">
        <f>IFERROR(INDEX(Tbl_KPIMaster[Owner],MATCH($G1123,Tbl_KPIMaster[KPI],0)),"")</f>
        <v/>
      </c>
      <c r="M1123" s="6" t="inlineStr">
        <is>
          <t>Equipment breakdown</t>
        </is>
      </c>
      <c r="N1123" s="4" t="inlineStr"/>
      <c r="O1123" s="4" t="inlineStr">
        <is>
          <t>Medium</t>
        </is>
      </c>
      <c r="P1123" s="4" t="inlineStr">
        <is>
          <t>Closed</t>
        </is>
      </c>
      <c r="Q1123" s="5">
        <f>IFERROR(IF(INDEX(Tbl_KPIMaster[Direction],MATCH($G1123,Tbl_KPIMaster[KPI],0))="Lower is Better",IF($J1123=0,1,IF($I1123=0,0,$I1123/$J1123)),IF($I1123=0,1,$J1123/$I1123)),0)</f>
        <v/>
      </c>
      <c r="R1123" s="4">
        <f>IF(OR($I1123="",$J1123=""),"",$J1123-$I1123)</f>
        <v/>
      </c>
      <c r="S1123" s="4">
        <f>IFERROR(IF(INDEX(Tbl_KPIMaster[Direction],MATCH($G1123,Tbl_KPIMaster[KPI],0))="Lower is Better",IF($J1123&lt;=$I1123,"Green",IF($J1123&lt;=$I1123+IF($I1123=0,$K1123,$I1123*$K1123),"Amber","Red")),IF($J1123&gt;=$I1123,"Green",IF($J1123&gt;=$I1123-IF($I1123=0,$K1123,$I1123*$K1123),"Amber","Red"))),"")</f>
        <v/>
      </c>
      <c r="T1123" s="6" t="inlineStr"/>
    </row>
    <row r="1124">
      <c r="A1124" s="7" t="n">
        <v>46186</v>
      </c>
      <c r="B1124" s="8">
        <f>IF($A1124="","",TEXT($A1124,"mmm-yyyy"))</f>
        <v/>
      </c>
      <c r="C1124" s="8">
        <f>IF($A1124="","","W"&amp;WEEKNUM($A1124,2))</f>
        <v/>
      </c>
      <c r="D1124" s="8">
        <f>IF($A1124="","",TEXT($A1124,"ddd"))</f>
        <v/>
      </c>
      <c r="E1124" s="8" t="inlineStr">
        <is>
          <t>Safety</t>
        </is>
      </c>
      <c r="F1124" s="8">
        <f>IFERROR(INDEX(Tbl_KPIMaster[Category],MATCH($G1124,Tbl_KPIMaster[KPI],0)),"")</f>
        <v/>
      </c>
      <c r="G1124" s="8" t="inlineStr">
        <is>
          <t>Near Miss Reports</t>
        </is>
      </c>
      <c r="H1124" s="8">
        <f>IFERROR(INDEX(Tbl_KPIMaster[Unit],MATCH($G1124,Tbl_KPIMaster[KPI],0)),"")</f>
        <v/>
      </c>
      <c r="I1124" s="9">
        <f>IFERROR(INDEX(Tbl_KPIMaster[Maximum Target],MATCH($G1124,Tbl_KPIMaster[KPI],0)),"")</f>
        <v/>
      </c>
      <c r="J1124" s="9" t="n">
        <v>2</v>
      </c>
      <c r="K1124" s="8">
        <f>IFERROR(INDEX(Tbl_KPIMaster[Tolerance],MATCH($G1124,Tbl_KPIMaster[KPI],0)),"")</f>
        <v/>
      </c>
      <c r="L1124" s="8">
        <f>IFERROR(INDEX(Tbl_KPIMaster[Owner],MATCH($G1124,Tbl_KPIMaster[KPI],0)),"")</f>
        <v/>
      </c>
      <c r="M1124" s="10" t="inlineStr">
        <is>
          <t>Process improvement in progress</t>
        </is>
      </c>
      <c r="N1124" s="8" t="inlineStr">
        <is>
          <t>Engineering support needed</t>
        </is>
      </c>
      <c r="O1124" s="8" t="inlineStr">
        <is>
          <t>Medium</t>
        </is>
      </c>
      <c r="P1124" s="8" t="inlineStr">
        <is>
          <t>Closed</t>
        </is>
      </c>
      <c r="Q1124" s="9">
        <f>IFERROR(IF(INDEX(Tbl_KPIMaster[Direction],MATCH($G1124,Tbl_KPIMaster[KPI],0))="Lower is Better",IF($J1124=0,1,IF($I1124=0,0,$I1124/$J1124)),IF($I1124=0,1,$J1124/$I1124)),0)</f>
        <v/>
      </c>
      <c r="R1124" s="8">
        <f>IF(OR($I1124="",$J1124=""),"",$J1124-$I1124)</f>
        <v/>
      </c>
      <c r="S1124" s="8">
        <f>IFERROR(IF(INDEX(Tbl_KPIMaster[Direction],MATCH($G1124,Tbl_KPIMaster[KPI],0))="Lower is Better",IF($J1124&lt;=$I1124,"Green",IF($J1124&lt;=$I1124+IF($I1124=0,$K1124,$I1124*$K1124),"Amber","Red")),IF($J1124&gt;=$I1124,"Green",IF($J1124&gt;=$I1124-IF($I1124=0,$K1124,$I1124*$K1124),"Amber","Red"))),"")</f>
        <v/>
      </c>
      <c r="T1124" s="10" t="inlineStr"/>
    </row>
    <row r="1125">
      <c r="A1125" s="3" t="n">
        <v>46186</v>
      </c>
      <c r="B1125" s="4">
        <f>IF($A1125="","",TEXT($A1125,"mmm-yyyy"))</f>
        <v/>
      </c>
      <c r="C1125" s="4">
        <f>IF($A1125="","","W"&amp;WEEKNUM($A1125,2))</f>
        <v/>
      </c>
      <c r="D1125" s="4">
        <f>IF($A1125="","",TEXT($A1125,"ddd"))</f>
        <v/>
      </c>
      <c r="E1125" s="4" t="inlineStr">
        <is>
          <t>Production</t>
        </is>
      </c>
      <c r="F1125" s="4">
        <f>IFERROR(INDEX(Tbl_KPIMaster[Category],MATCH($G1125,Tbl_KPIMaster[KPI],0)),"")</f>
        <v/>
      </c>
      <c r="G1125" s="4" t="inlineStr">
        <is>
          <t>Production Output</t>
        </is>
      </c>
      <c r="H1125" s="4">
        <f>IFERROR(INDEX(Tbl_KPIMaster[Unit],MATCH($G1125,Tbl_KPIMaster[KPI],0)),"")</f>
        <v/>
      </c>
      <c r="I1125" s="5">
        <f>IFERROR(INDEX(Tbl_KPIMaster[Maximum Target],MATCH($G1125,Tbl_KPIMaster[KPI],0)),"")</f>
        <v/>
      </c>
      <c r="J1125" s="5" t="n">
        <v>1065.32</v>
      </c>
      <c r="K1125" s="4">
        <f>IFERROR(INDEX(Tbl_KPIMaster[Tolerance],MATCH($G1125,Tbl_KPIMaster[KPI],0)),"")</f>
        <v/>
      </c>
      <c r="L1125" s="4">
        <f>IFERROR(INDEX(Tbl_KPIMaster[Owner],MATCH($G1125,Tbl_KPIMaster[KPI],0)),"")</f>
        <v/>
      </c>
      <c r="M1125" s="6" t="inlineStr">
        <is>
          <t>Manpower shortage</t>
        </is>
      </c>
      <c r="N1125" s="4" t="inlineStr"/>
      <c r="O1125" s="4" t="inlineStr">
        <is>
          <t>Medium</t>
        </is>
      </c>
      <c r="P1125" s="4" t="inlineStr">
        <is>
          <t>Closed</t>
        </is>
      </c>
      <c r="Q1125" s="5">
        <f>IFERROR(IF(INDEX(Tbl_KPIMaster[Direction],MATCH($G1125,Tbl_KPIMaster[KPI],0))="Lower is Better",IF($J1125=0,1,IF($I1125=0,0,$I1125/$J1125)),IF($I1125=0,1,$J1125/$I1125)),0)</f>
        <v/>
      </c>
      <c r="R1125" s="4">
        <f>IF(OR($I1125="",$J1125=""),"",$J1125-$I1125)</f>
        <v/>
      </c>
      <c r="S1125" s="4">
        <f>IFERROR(IF(INDEX(Tbl_KPIMaster[Direction],MATCH($G1125,Tbl_KPIMaster[KPI],0))="Lower is Better",IF($J1125&lt;=$I1125,"Green",IF($J1125&lt;=$I1125+IF($I1125=0,$K1125,$I1125*$K1125),"Amber","Red")),IF($J1125&gt;=$I1125,"Green",IF($J1125&gt;=$I1125-IF($I1125=0,$K1125,$I1125*$K1125),"Amber","Red"))),"")</f>
        <v/>
      </c>
      <c r="T1125" s="6" t="inlineStr"/>
    </row>
    <row r="1126">
      <c r="A1126" s="7" t="n">
        <v>46186</v>
      </c>
      <c r="B1126" s="8">
        <f>IF($A1126="","",TEXT($A1126,"mmm-yyyy"))</f>
        <v/>
      </c>
      <c r="C1126" s="8">
        <f>IF($A1126="","","W"&amp;WEEKNUM($A1126,2))</f>
        <v/>
      </c>
      <c r="D1126" s="8">
        <f>IF($A1126="","",TEXT($A1126,"ddd"))</f>
        <v/>
      </c>
      <c r="E1126" s="8" t="inlineStr">
        <is>
          <t>Production</t>
        </is>
      </c>
      <c r="F1126" s="8">
        <f>IFERROR(INDEX(Tbl_KPIMaster[Category],MATCH($G1126,Tbl_KPIMaster[KPI],0)),"")</f>
        <v/>
      </c>
      <c r="G1126" s="8" t="inlineStr">
        <is>
          <t>OEE %</t>
        </is>
      </c>
      <c r="H1126" s="8">
        <f>IFERROR(INDEX(Tbl_KPIMaster[Unit],MATCH($G1126,Tbl_KPIMaster[KPI],0)),"")</f>
        <v/>
      </c>
      <c r="I1126" s="9">
        <f>IFERROR(INDEX(Tbl_KPIMaster[Maximum Target],MATCH($G1126,Tbl_KPIMaster[KPI],0)),"")</f>
        <v/>
      </c>
      <c r="J1126" s="9" t="n">
        <v>0.9161</v>
      </c>
      <c r="K1126" s="8">
        <f>IFERROR(INDEX(Tbl_KPIMaster[Tolerance],MATCH($G1126,Tbl_KPIMaster[KPI],0)),"")</f>
        <v/>
      </c>
      <c r="L1126" s="8">
        <f>IFERROR(INDEX(Tbl_KPIMaster[Owner],MATCH($G1126,Tbl_KPIMaster[KPI],0)),"")</f>
        <v/>
      </c>
      <c r="M1126" s="10" t="inlineStr">
        <is>
          <t>Preventive check done</t>
        </is>
      </c>
      <c r="N1126" s="8" t="inlineStr">
        <is>
          <t>Procurement follow-up</t>
        </is>
      </c>
      <c r="O1126" s="8" t="inlineStr">
        <is>
          <t>Low</t>
        </is>
      </c>
      <c r="P1126" s="8" t="inlineStr">
        <is>
          <t>In Progress</t>
        </is>
      </c>
      <c r="Q1126" s="9">
        <f>IFERROR(IF(INDEX(Tbl_KPIMaster[Direction],MATCH($G1126,Tbl_KPIMaster[KPI],0))="Lower is Better",IF($J1126=0,1,IF($I1126=0,0,$I1126/$J1126)),IF($I1126=0,1,$J1126/$I1126)),0)</f>
        <v/>
      </c>
      <c r="R1126" s="8">
        <f>IF(OR($I1126="",$J1126=""),"",$J1126-$I1126)</f>
        <v/>
      </c>
      <c r="S1126" s="8">
        <f>IFERROR(IF(INDEX(Tbl_KPIMaster[Direction],MATCH($G1126,Tbl_KPIMaster[KPI],0))="Lower is Better",IF($J1126&lt;=$I1126,"Green",IF($J1126&lt;=$I1126+IF($I1126=0,$K1126,$I1126*$K1126),"Amber","Red")),IF($J1126&gt;=$I1126,"Green",IF($J1126&gt;=$I1126-IF($I1126=0,$K1126,$I1126*$K1126),"Amber","Red"))),"")</f>
        <v/>
      </c>
      <c r="T1126" s="10" t="inlineStr"/>
    </row>
    <row r="1127">
      <c r="A1127" s="3" t="n">
        <v>46186</v>
      </c>
      <c r="B1127" s="4">
        <f>IF($A1127="","",TEXT($A1127,"mmm-yyyy"))</f>
        <v/>
      </c>
      <c r="C1127" s="4">
        <f>IF($A1127="","","W"&amp;WEEKNUM($A1127,2))</f>
        <v/>
      </c>
      <c r="D1127" s="4">
        <f>IF($A1127="","",TEXT($A1127,"ddd"))</f>
        <v/>
      </c>
      <c r="E1127" s="4" t="inlineStr">
        <is>
          <t>Quality</t>
        </is>
      </c>
      <c r="F1127" s="4">
        <f>IFERROR(INDEX(Tbl_KPIMaster[Category],MATCH($G1127,Tbl_KPIMaster[KPI],0)),"")</f>
        <v/>
      </c>
      <c r="G1127" s="4" t="inlineStr">
        <is>
          <t>Defect Rate %</t>
        </is>
      </c>
      <c r="H1127" s="4">
        <f>IFERROR(INDEX(Tbl_KPIMaster[Unit],MATCH($G1127,Tbl_KPIMaster[KPI],0)),"")</f>
        <v/>
      </c>
      <c r="I1127" s="5">
        <f>IFERROR(INDEX(Tbl_KPIMaster[Maximum Target],MATCH($G1127,Tbl_KPIMaster[KPI],0)),"")</f>
        <v/>
      </c>
      <c r="J1127" s="5" t="n">
        <v>1.1984</v>
      </c>
      <c r="K1127" s="4">
        <f>IFERROR(INDEX(Tbl_KPIMaster[Tolerance],MATCH($G1127,Tbl_KPIMaster[KPI],0)),"")</f>
        <v/>
      </c>
      <c r="L1127" s="4">
        <f>IFERROR(INDEX(Tbl_KPIMaster[Owner],MATCH($G1127,Tbl_KPIMaster[KPI],0)),"")</f>
        <v/>
      </c>
      <c r="M1127" s="6" t="inlineStr">
        <is>
          <t>Awaiting spares</t>
        </is>
      </c>
      <c r="N1127" s="4" t="inlineStr"/>
      <c r="O1127" s="4" t="inlineStr">
        <is>
          <t>Medium</t>
        </is>
      </c>
      <c r="P1127" s="4" t="inlineStr">
        <is>
          <t>Closed</t>
        </is>
      </c>
      <c r="Q1127" s="5">
        <f>IFERROR(IF(INDEX(Tbl_KPIMaster[Direction],MATCH($G1127,Tbl_KPIMaster[KPI],0))="Lower is Better",IF($J1127=0,1,IF($I1127=0,0,$I1127/$J1127)),IF($I1127=0,1,$J1127/$I1127)),0)</f>
        <v/>
      </c>
      <c r="R1127" s="4">
        <f>IF(OR($I1127="",$J1127=""),"",$J1127-$I1127)</f>
        <v/>
      </c>
      <c r="S1127" s="4">
        <f>IFERROR(IF(INDEX(Tbl_KPIMaster[Direction],MATCH($G1127,Tbl_KPIMaster[KPI],0))="Lower is Better",IF($J1127&lt;=$I1127,"Green",IF($J1127&lt;=$I1127+IF($I1127=0,$K1127,$I1127*$K1127),"Amber","Red")),IF($J1127&gt;=$I1127,"Green",IF($J1127&gt;=$I1127-IF($I1127=0,$K1127,$I1127*$K1127),"Amber","Red"))),"")</f>
        <v/>
      </c>
      <c r="T1127" s="6" t="inlineStr"/>
    </row>
    <row r="1128">
      <c r="A1128" s="7" t="n">
        <v>46186</v>
      </c>
      <c r="B1128" s="8">
        <f>IF($A1128="","",TEXT($A1128,"mmm-yyyy"))</f>
        <v/>
      </c>
      <c r="C1128" s="8">
        <f>IF($A1128="","","W"&amp;WEEKNUM($A1128,2))</f>
        <v/>
      </c>
      <c r="D1128" s="8">
        <f>IF($A1128="","",TEXT($A1128,"ddd"))</f>
        <v/>
      </c>
      <c r="E1128" s="8" t="inlineStr">
        <is>
          <t>Quality</t>
        </is>
      </c>
      <c r="F1128" s="8">
        <f>IFERROR(INDEX(Tbl_KPIMaster[Category],MATCH($G1128,Tbl_KPIMaster[KPI],0)),"")</f>
        <v/>
      </c>
      <c r="G1128" s="8" t="inlineStr">
        <is>
          <t>Customer Complaints</t>
        </is>
      </c>
      <c r="H1128" s="8">
        <f>IFERROR(INDEX(Tbl_KPIMaster[Unit],MATCH($G1128,Tbl_KPIMaster[KPI],0)),"")</f>
        <v/>
      </c>
      <c r="I1128" s="9">
        <f>IFERROR(INDEX(Tbl_KPIMaster[Maximum Target],MATCH($G1128,Tbl_KPIMaster[KPI],0)),"")</f>
        <v/>
      </c>
      <c r="J1128" s="9" t="n">
        <v>0</v>
      </c>
      <c r="K1128" s="8">
        <f>IFERROR(INDEX(Tbl_KPIMaster[Tolerance],MATCH($G1128,Tbl_KPIMaster[KPI],0)),"")</f>
        <v/>
      </c>
      <c r="L1128" s="8">
        <f>IFERROR(INDEX(Tbl_KPIMaster[Owner],MATCH($G1128,Tbl_KPIMaster[KPI],0)),"")</f>
        <v/>
      </c>
      <c r="M1128" s="10" t="inlineStr">
        <is>
          <t>Vendor delay</t>
        </is>
      </c>
      <c r="N1128" s="8" t="inlineStr"/>
      <c r="O1128" s="8" t="inlineStr">
        <is>
          <t>Low</t>
        </is>
      </c>
      <c r="P1128" s="8" t="inlineStr">
        <is>
          <t>Open</t>
        </is>
      </c>
      <c r="Q1128" s="9">
        <f>IFERROR(IF(INDEX(Tbl_KPIMaster[Direction],MATCH($G1128,Tbl_KPIMaster[KPI],0))="Lower is Better",IF($J1128=0,1,IF($I1128=0,0,$I1128/$J1128)),IF($I1128=0,1,$J1128/$I1128)),0)</f>
        <v/>
      </c>
      <c r="R1128" s="8">
        <f>IF(OR($I1128="",$J1128=""),"",$J1128-$I1128)</f>
        <v/>
      </c>
      <c r="S1128" s="8">
        <f>IFERROR(IF(INDEX(Tbl_KPIMaster[Direction],MATCH($G1128,Tbl_KPIMaster[KPI],0))="Lower is Better",IF($J1128&lt;=$I1128,"Green",IF($J1128&lt;=$I1128+IF($I1128=0,$K1128,$I1128*$K1128),"Amber","Red")),IF($J1128&gt;=$I1128,"Green",IF($J1128&gt;=$I1128-IF($I1128=0,$K1128,$I1128*$K1128),"Amber","Red"))),"")</f>
        <v/>
      </c>
      <c r="T1128" s="10" t="inlineStr"/>
    </row>
    <row r="1129">
      <c r="A1129" s="3" t="n">
        <v>46186</v>
      </c>
      <c r="B1129" s="4">
        <f>IF($A1129="","",TEXT($A1129,"mmm-yyyy"))</f>
        <v/>
      </c>
      <c r="C1129" s="4">
        <f>IF($A1129="","","W"&amp;WEEKNUM($A1129,2))</f>
        <v/>
      </c>
      <c r="D1129" s="4">
        <f>IF($A1129="","",TEXT($A1129,"ddd"))</f>
        <v/>
      </c>
      <c r="E1129" s="4" t="inlineStr">
        <is>
          <t>Maintenance</t>
        </is>
      </c>
      <c r="F1129" s="4">
        <f>IFERROR(INDEX(Tbl_KPIMaster[Category],MATCH($G1129,Tbl_KPIMaster[KPI],0)),"")</f>
        <v/>
      </c>
      <c r="G1129" s="4" t="inlineStr">
        <is>
          <t>Unplanned Downtime</t>
        </is>
      </c>
      <c r="H1129" s="4">
        <f>IFERROR(INDEX(Tbl_KPIMaster[Unit],MATCH($G1129,Tbl_KPIMaster[KPI],0)),"")</f>
        <v/>
      </c>
      <c r="I1129" s="5">
        <f>IFERROR(INDEX(Tbl_KPIMaster[Maximum Target],MATCH($G1129,Tbl_KPIMaster[KPI],0)),"")</f>
        <v/>
      </c>
      <c r="J1129" s="5" t="n">
        <v>0.01</v>
      </c>
      <c r="K1129" s="4">
        <f>IFERROR(INDEX(Tbl_KPIMaster[Tolerance],MATCH($G1129,Tbl_KPIMaster[KPI],0)),"")</f>
        <v/>
      </c>
      <c r="L1129" s="4">
        <f>IFERROR(INDEX(Tbl_KPIMaster[Owner],MATCH($G1129,Tbl_KPIMaster[KPI],0)),"")</f>
        <v/>
      </c>
      <c r="M1129" s="6" t="inlineStr">
        <is>
          <t>Preventive check done</t>
        </is>
      </c>
      <c r="N1129" s="4" t="inlineStr"/>
      <c r="O1129" s="4" t="inlineStr">
        <is>
          <t>High</t>
        </is>
      </c>
      <c r="P1129" s="4" t="inlineStr">
        <is>
          <t>Closed</t>
        </is>
      </c>
      <c r="Q1129" s="5">
        <f>IFERROR(IF(INDEX(Tbl_KPIMaster[Direction],MATCH($G1129,Tbl_KPIMaster[KPI],0))="Lower is Better",IF($J1129=0,1,IF($I1129=0,0,$I1129/$J1129)),IF($I1129=0,1,$J1129/$I1129)),0)</f>
        <v/>
      </c>
      <c r="R1129" s="4">
        <f>IF(OR($I1129="",$J1129=""),"",$J1129-$I1129)</f>
        <v/>
      </c>
      <c r="S1129" s="4">
        <f>IFERROR(IF(INDEX(Tbl_KPIMaster[Direction],MATCH($G1129,Tbl_KPIMaster[KPI],0))="Lower is Better",IF($J1129&lt;=$I1129,"Green",IF($J1129&lt;=$I1129+IF($I1129=0,$K1129,$I1129*$K1129),"Amber","Red")),IF($J1129&gt;=$I1129,"Green",IF($J1129&gt;=$I1129-IF($I1129=0,$K1129,$I1129*$K1129),"Amber","Red"))),"")</f>
        <v/>
      </c>
      <c r="T1129" s="6" t="inlineStr"/>
    </row>
    <row r="1130">
      <c r="A1130" s="7" t="n">
        <v>46186</v>
      </c>
      <c r="B1130" s="8">
        <f>IF($A1130="","",TEXT($A1130,"mmm-yyyy"))</f>
        <v/>
      </c>
      <c r="C1130" s="8">
        <f>IF($A1130="","","W"&amp;WEEKNUM($A1130,2))</f>
        <v/>
      </c>
      <c r="D1130" s="8">
        <f>IF($A1130="","",TEXT($A1130,"ddd"))</f>
        <v/>
      </c>
      <c r="E1130" s="8" t="inlineStr">
        <is>
          <t>Maintenance</t>
        </is>
      </c>
      <c r="F1130" s="8">
        <f>IFERROR(INDEX(Tbl_KPIMaster[Category],MATCH($G1130,Tbl_KPIMaster[KPI],0)),"")</f>
        <v/>
      </c>
      <c r="G1130" s="8" t="inlineStr">
        <is>
          <t>PM Compliance %</t>
        </is>
      </c>
      <c r="H1130" s="8">
        <f>IFERROR(INDEX(Tbl_KPIMaster[Unit],MATCH($G1130,Tbl_KPIMaster[KPI],0)),"")</f>
        <v/>
      </c>
      <c r="I1130" s="9">
        <f>IFERROR(INDEX(Tbl_KPIMaster[Maximum Target],MATCH($G1130,Tbl_KPIMaster[KPI],0)),"")</f>
        <v/>
      </c>
      <c r="J1130" s="9" t="n">
        <v>1.0903</v>
      </c>
      <c r="K1130" s="8">
        <f>IFERROR(INDEX(Tbl_KPIMaster[Tolerance],MATCH($G1130,Tbl_KPIMaster[KPI],0)),"")</f>
        <v/>
      </c>
      <c r="L1130" s="8">
        <f>IFERROR(INDEX(Tbl_KPIMaster[Owner],MATCH($G1130,Tbl_KPIMaster[KPI],0)),"")</f>
        <v/>
      </c>
      <c r="M1130" s="10" t="inlineStr"/>
      <c r="N1130" s="8" t="inlineStr">
        <is>
          <t>Management approval pending</t>
        </is>
      </c>
      <c r="O1130" s="8" t="inlineStr">
        <is>
          <t>Low</t>
        </is>
      </c>
      <c r="P1130" s="8" t="inlineStr">
        <is>
          <t>Closed</t>
        </is>
      </c>
      <c r="Q1130" s="9">
        <f>IFERROR(IF(INDEX(Tbl_KPIMaster[Direction],MATCH($G1130,Tbl_KPIMaster[KPI],0))="Lower is Better",IF($J1130=0,1,IF($I1130=0,0,$I1130/$J1130)),IF($I1130=0,1,$J1130/$I1130)),0)</f>
        <v/>
      </c>
      <c r="R1130" s="8">
        <f>IF(OR($I1130="",$J1130=""),"",$J1130-$I1130)</f>
        <v/>
      </c>
      <c r="S1130" s="8">
        <f>IFERROR(IF(INDEX(Tbl_KPIMaster[Direction],MATCH($G1130,Tbl_KPIMaster[KPI],0))="Lower is Better",IF($J1130&lt;=$I1130,"Green",IF($J1130&lt;=$I1130+IF($I1130=0,$K1130,$I1130*$K1130),"Amber","Red")),IF($J1130&gt;=$I1130,"Green",IF($J1130&gt;=$I1130-IF($I1130=0,$K1130,$I1130*$K1130),"Amber","Red"))),"")</f>
        <v/>
      </c>
      <c r="T1130" s="10" t="inlineStr"/>
    </row>
    <row r="1131">
      <c r="A1131" s="3" t="n">
        <v>46186</v>
      </c>
      <c r="B1131" s="4">
        <f>IF($A1131="","",TEXT($A1131,"mmm-yyyy"))</f>
        <v/>
      </c>
      <c r="C1131" s="4">
        <f>IF($A1131="","","W"&amp;WEEKNUM($A1131,2))</f>
        <v/>
      </c>
      <c r="D1131" s="4">
        <f>IF($A1131="","",TEXT($A1131,"ddd"))</f>
        <v/>
      </c>
      <c r="E1131" s="4" t="inlineStr">
        <is>
          <t>Utilities</t>
        </is>
      </c>
      <c r="F1131" s="4">
        <f>IFERROR(INDEX(Tbl_KPIMaster[Category],MATCH($G1131,Tbl_KPIMaster[KPI],0)),"")</f>
        <v/>
      </c>
      <c r="G1131" s="4" t="inlineStr">
        <is>
          <t>Power Consumption</t>
        </is>
      </c>
      <c r="H1131" s="4">
        <f>IFERROR(INDEX(Tbl_KPIMaster[Unit],MATCH($G1131,Tbl_KPIMaster[KPI],0)),"")</f>
        <v/>
      </c>
      <c r="I1131" s="5">
        <f>IFERROR(INDEX(Tbl_KPIMaster[Maximum Target],MATCH($G1131,Tbl_KPIMaster[KPI],0)),"")</f>
        <v/>
      </c>
      <c r="J1131" s="5" t="n">
        <v>4076.6</v>
      </c>
      <c r="K1131" s="4">
        <f>IFERROR(INDEX(Tbl_KPIMaster[Tolerance],MATCH($G1131,Tbl_KPIMaster[KPI],0)),"")</f>
        <v/>
      </c>
      <c r="L1131" s="4">
        <f>IFERROR(INDEX(Tbl_KPIMaster[Owner],MATCH($G1131,Tbl_KPIMaster[KPI],0)),"")</f>
        <v/>
      </c>
      <c r="M1131" s="6" t="inlineStr">
        <is>
          <t>Weather impact</t>
        </is>
      </c>
      <c r="N1131" s="4" t="inlineStr"/>
      <c r="O1131" s="4" t="inlineStr">
        <is>
          <t>Low</t>
        </is>
      </c>
      <c r="P1131" s="4" t="inlineStr">
        <is>
          <t>Closed</t>
        </is>
      </c>
      <c r="Q1131" s="5">
        <f>IFERROR(IF(INDEX(Tbl_KPIMaster[Direction],MATCH($G1131,Tbl_KPIMaster[KPI],0))="Lower is Better",IF($J1131=0,1,IF($I1131=0,0,$I1131/$J1131)),IF($I1131=0,1,$J1131/$I1131)),0)</f>
        <v/>
      </c>
      <c r="R1131" s="4">
        <f>IF(OR($I1131="",$J1131=""),"",$J1131-$I1131)</f>
        <v/>
      </c>
      <c r="S1131" s="4">
        <f>IFERROR(IF(INDEX(Tbl_KPIMaster[Direction],MATCH($G1131,Tbl_KPIMaster[KPI],0))="Lower is Better",IF($J1131&lt;=$I1131,"Green",IF($J1131&lt;=$I1131+IF($I1131=0,$K1131,$I1131*$K1131),"Amber","Red")),IF($J1131&gt;=$I1131,"Green",IF($J1131&gt;=$I1131-IF($I1131=0,$K1131,$I1131*$K1131),"Amber","Red"))),"")</f>
        <v/>
      </c>
      <c r="T1131" s="6" t="inlineStr"/>
    </row>
    <row r="1132">
      <c r="A1132" s="7" t="n">
        <v>46186</v>
      </c>
      <c r="B1132" s="8">
        <f>IF($A1132="","",TEXT($A1132,"mmm-yyyy"))</f>
        <v/>
      </c>
      <c r="C1132" s="8">
        <f>IF($A1132="","","W"&amp;WEEKNUM($A1132,2))</f>
        <v/>
      </c>
      <c r="D1132" s="8">
        <f>IF($A1132="","",TEXT($A1132,"ddd"))</f>
        <v/>
      </c>
      <c r="E1132" s="8" t="inlineStr">
        <is>
          <t>Utilities</t>
        </is>
      </c>
      <c r="F1132" s="8">
        <f>IFERROR(INDEX(Tbl_KPIMaster[Category],MATCH($G1132,Tbl_KPIMaster[KPI],0)),"")</f>
        <v/>
      </c>
      <c r="G1132" s="8" t="inlineStr">
        <is>
          <t>Water Consumption</t>
        </is>
      </c>
      <c r="H1132" s="8">
        <f>IFERROR(INDEX(Tbl_KPIMaster[Unit],MATCH($G1132,Tbl_KPIMaster[KPI],0)),"")</f>
        <v/>
      </c>
      <c r="I1132" s="9">
        <f>IFERROR(INDEX(Tbl_KPIMaster[Maximum Target],MATCH($G1132,Tbl_KPIMaster[KPI],0)),"")</f>
        <v/>
      </c>
      <c r="J1132" s="9" t="n">
        <v>52.69</v>
      </c>
      <c r="K1132" s="8">
        <f>IFERROR(INDEX(Tbl_KPIMaster[Tolerance],MATCH($G1132,Tbl_KPIMaster[KPI],0)),"")</f>
        <v/>
      </c>
      <c r="L1132" s="8">
        <f>IFERROR(INDEX(Tbl_KPIMaster[Owner],MATCH($G1132,Tbl_KPIMaster[KPI],0)),"")</f>
        <v/>
      </c>
      <c r="M1132" s="10" t="inlineStr">
        <is>
          <t>Manpower shortage</t>
        </is>
      </c>
      <c r="N1132" s="8" t="inlineStr">
        <is>
          <t>Management approval pending</t>
        </is>
      </c>
      <c r="O1132" s="8" t="inlineStr">
        <is>
          <t>High</t>
        </is>
      </c>
      <c r="P1132" s="8" t="inlineStr">
        <is>
          <t>Open</t>
        </is>
      </c>
      <c r="Q1132" s="9">
        <f>IFERROR(IF(INDEX(Tbl_KPIMaster[Direction],MATCH($G1132,Tbl_KPIMaster[KPI],0))="Lower is Better",IF($J1132=0,1,IF($I1132=0,0,$I1132/$J1132)),IF($I1132=0,1,$J1132/$I1132)),0)</f>
        <v/>
      </c>
      <c r="R1132" s="8">
        <f>IF(OR($I1132="",$J1132=""),"",$J1132-$I1132)</f>
        <v/>
      </c>
      <c r="S1132" s="8">
        <f>IFERROR(IF(INDEX(Tbl_KPIMaster[Direction],MATCH($G1132,Tbl_KPIMaster[KPI],0))="Lower is Better",IF($J1132&lt;=$I1132,"Green",IF($J1132&lt;=$I1132+IF($I1132=0,$K1132,$I1132*$K1132),"Amber","Red")),IF($J1132&gt;=$I1132,"Green",IF($J1132&gt;=$I1132-IF($I1132=0,$K1132,$I1132*$K1132),"Amber","Red"))),"")</f>
        <v/>
      </c>
      <c r="T1132" s="10" t="inlineStr"/>
    </row>
    <row r="1133">
      <c r="A1133" s="3" t="n">
        <v>46186</v>
      </c>
      <c r="B1133" s="4">
        <f>IF($A1133="","",TEXT($A1133,"mmm-yyyy"))</f>
        <v/>
      </c>
      <c r="C1133" s="4">
        <f>IF($A1133="","","W"&amp;WEEKNUM($A1133,2))</f>
        <v/>
      </c>
      <c r="D1133" s="4">
        <f>IF($A1133="","",TEXT($A1133,"ddd"))</f>
        <v/>
      </c>
      <c r="E1133" s="4" t="inlineStr">
        <is>
          <t>Warehouse</t>
        </is>
      </c>
      <c r="F1133" s="4">
        <f>IFERROR(INDEX(Tbl_KPIMaster[Category],MATCH($G1133,Tbl_KPIMaster[KPI],0)),"")</f>
        <v/>
      </c>
      <c r="G1133" s="4" t="inlineStr">
        <is>
          <t>On-Time Dispatch %</t>
        </is>
      </c>
      <c r="H1133" s="4">
        <f>IFERROR(INDEX(Tbl_KPIMaster[Unit],MATCH($G1133,Tbl_KPIMaster[KPI],0)),"")</f>
        <v/>
      </c>
      <c r="I1133" s="5">
        <f>IFERROR(INDEX(Tbl_KPIMaster[Maximum Target],MATCH($G1133,Tbl_KPIMaster[KPI],0)),"")</f>
        <v/>
      </c>
      <c r="J1133" s="5" t="n">
        <v>0.8992</v>
      </c>
      <c r="K1133" s="4">
        <f>IFERROR(INDEX(Tbl_KPIMaster[Tolerance],MATCH($G1133,Tbl_KPIMaster[KPI],0)),"")</f>
        <v/>
      </c>
      <c r="L1133" s="4">
        <f>IFERROR(INDEX(Tbl_KPIMaster[Owner],MATCH($G1133,Tbl_KPIMaster[KPI],0)),"")</f>
        <v/>
      </c>
      <c r="M1133" s="6" t="inlineStr">
        <is>
          <t>Awaiting spares</t>
        </is>
      </c>
      <c r="N1133" s="4" t="inlineStr"/>
      <c r="O1133" s="4" t="inlineStr">
        <is>
          <t>Medium</t>
        </is>
      </c>
      <c r="P1133" s="4" t="inlineStr">
        <is>
          <t>Open</t>
        </is>
      </c>
      <c r="Q1133" s="5">
        <f>IFERROR(IF(INDEX(Tbl_KPIMaster[Direction],MATCH($G1133,Tbl_KPIMaster[KPI],0))="Lower is Better",IF($J1133=0,1,IF($I1133=0,0,$I1133/$J1133)),IF($I1133=0,1,$J1133/$I1133)),0)</f>
        <v/>
      </c>
      <c r="R1133" s="4">
        <f>IF(OR($I1133="",$J1133=""),"",$J1133-$I1133)</f>
        <v/>
      </c>
      <c r="S1133" s="4">
        <f>IFERROR(IF(INDEX(Tbl_KPIMaster[Direction],MATCH($G1133,Tbl_KPIMaster[KPI],0))="Lower is Better",IF($J1133&lt;=$I1133,"Green",IF($J1133&lt;=$I1133+IF($I1133=0,$K1133,$I1133*$K1133),"Amber","Red")),IF($J1133&gt;=$I1133,"Green",IF($J1133&gt;=$I1133-IF($I1133=0,$K1133,$I1133*$K1133),"Amber","Red"))),"")</f>
        <v/>
      </c>
      <c r="T1133" s="6" t="inlineStr"/>
    </row>
    <row r="1134">
      <c r="A1134" s="7" t="n">
        <v>46186</v>
      </c>
      <c r="B1134" s="8">
        <f>IF($A1134="","",TEXT($A1134,"mmm-yyyy"))</f>
        <v/>
      </c>
      <c r="C1134" s="8">
        <f>IF($A1134="","","W"&amp;WEEKNUM($A1134,2))</f>
        <v/>
      </c>
      <c r="D1134" s="8">
        <f>IF($A1134="","",TEXT($A1134,"ddd"))</f>
        <v/>
      </c>
      <c r="E1134" s="8" t="inlineStr">
        <is>
          <t>Warehouse</t>
        </is>
      </c>
      <c r="F1134" s="8">
        <f>IFERROR(INDEX(Tbl_KPIMaster[Category],MATCH($G1134,Tbl_KPIMaster[KPI],0)),"")</f>
        <v/>
      </c>
      <c r="G1134" s="8" t="inlineStr">
        <is>
          <t>Inventory Accuracy %</t>
        </is>
      </c>
      <c r="H1134" s="8">
        <f>IFERROR(INDEX(Tbl_KPIMaster[Unit],MATCH($G1134,Tbl_KPIMaster[KPI],0)),"")</f>
        <v/>
      </c>
      <c r="I1134" s="9">
        <f>IFERROR(INDEX(Tbl_KPIMaster[Maximum Target],MATCH($G1134,Tbl_KPIMaster[KPI],0)),"")</f>
        <v/>
      </c>
      <c r="J1134" s="9" t="n">
        <v>1.1223</v>
      </c>
      <c r="K1134" s="8">
        <f>IFERROR(INDEX(Tbl_KPIMaster[Tolerance],MATCH($G1134,Tbl_KPIMaster[KPI],0)),"")</f>
        <v/>
      </c>
      <c r="L1134" s="8">
        <f>IFERROR(INDEX(Tbl_KPIMaster[Owner],MATCH($G1134,Tbl_KPIMaster[KPI],0)),"")</f>
        <v/>
      </c>
      <c r="M1134" s="10" t="inlineStr">
        <is>
          <t>New operator training effect</t>
        </is>
      </c>
      <c r="N1134" s="8" t="inlineStr">
        <is>
          <t>Procurement follow-up</t>
        </is>
      </c>
      <c r="O1134" s="8" t="inlineStr">
        <is>
          <t>Medium</t>
        </is>
      </c>
      <c r="P1134" s="8" t="inlineStr">
        <is>
          <t>In Progress</t>
        </is>
      </c>
      <c r="Q1134" s="9">
        <f>IFERROR(IF(INDEX(Tbl_KPIMaster[Direction],MATCH($G1134,Tbl_KPIMaster[KPI],0))="Lower is Better",IF($J1134=0,1,IF($I1134=0,0,$I1134/$J1134)),IF($I1134=0,1,$J1134/$I1134)),0)</f>
        <v/>
      </c>
      <c r="R1134" s="8">
        <f>IF(OR($I1134="",$J1134=""),"",$J1134-$I1134)</f>
        <v/>
      </c>
      <c r="S1134" s="8">
        <f>IFERROR(IF(INDEX(Tbl_KPIMaster[Direction],MATCH($G1134,Tbl_KPIMaster[KPI],0))="Lower is Better",IF($J1134&lt;=$I1134,"Green",IF($J1134&lt;=$I1134+IF($I1134=0,$K1134,$I1134*$K1134),"Amber","Red")),IF($J1134&gt;=$I1134,"Green",IF($J1134&gt;=$I1134-IF($I1134=0,$K1134,$I1134*$K1134),"Amber","Red"))),"")</f>
        <v/>
      </c>
      <c r="T1134" s="10" t="inlineStr"/>
    </row>
    <row r="1135">
      <c r="A1135" s="3" t="n">
        <v>46186</v>
      </c>
      <c r="B1135" s="4">
        <f>IF($A1135="","",TEXT($A1135,"mmm-yyyy"))</f>
        <v/>
      </c>
      <c r="C1135" s="4">
        <f>IF($A1135="","","W"&amp;WEEKNUM($A1135,2))</f>
        <v/>
      </c>
      <c r="D1135" s="4">
        <f>IF($A1135="","",TEXT($A1135,"ddd"))</f>
        <v/>
      </c>
      <c r="E1135" s="4" t="inlineStr">
        <is>
          <t>HR</t>
        </is>
      </c>
      <c r="F1135" s="4">
        <f>IFERROR(INDEX(Tbl_KPIMaster[Category],MATCH($G1135,Tbl_KPIMaster[KPI],0)),"")</f>
        <v/>
      </c>
      <c r="G1135" s="4" t="inlineStr">
        <is>
          <t>Absenteeism %</t>
        </is>
      </c>
      <c r="H1135" s="4">
        <f>IFERROR(INDEX(Tbl_KPIMaster[Unit],MATCH($G1135,Tbl_KPIMaster[KPI],0)),"")</f>
        <v/>
      </c>
      <c r="I1135" s="5">
        <f>IFERROR(INDEX(Tbl_KPIMaster[Maximum Target],MATCH($G1135,Tbl_KPIMaster[KPI],0)),"")</f>
        <v/>
      </c>
      <c r="J1135" s="5" t="n">
        <v>0</v>
      </c>
      <c r="K1135" s="4">
        <f>IFERROR(INDEX(Tbl_KPIMaster[Tolerance],MATCH($G1135,Tbl_KPIMaster[KPI],0)),"")</f>
        <v/>
      </c>
      <c r="L1135" s="4">
        <f>IFERROR(INDEX(Tbl_KPIMaster[Owner],MATCH($G1135,Tbl_KPIMaster[KPI],0)),"")</f>
        <v/>
      </c>
      <c r="M1135" s="6" t="inlineStr">
        <is>
          <t>Equipment breakdown</t>
        </is>
      </c>
      <c r="N1135" s="4" t="inlineStr"/>
      <c r="O1135" s="4" t="inlineStr">
        <is>
          <t>Medium</t>
        </is>
      </c>
      <c r="P1135" s="4" t="inlineStr">
        <is>
          <t>Closed</t>
        </is>
      </c>
      <c r="Q1135" s="5">
        <f>IFERROR(IF(INDEX(Tbl_KPIMaster[Direction],MATCH($G1135,Tbl_KPIMaster[KPI],0))="Lower is Better",IF($J1135=0,1,IF($I1135=0,0,$I1135/$J1135)),IF($I1135=0,1,$J1135/$I1135)),0)</f>
        <v/>
      </c>
      <c r="R1135" s="4">
        <f>IF(OR($I1135="",$J1135=""),"",$J1135-$I1135)</f>
        <v/>
      </c>
      <c r="S1135" s="4">
        <f>IFERROR(IF(INDEX(Tbl_KPIMaster[Direction],MATCH($G1135,Tbl_KPIMaster[KPI],0))="Lower is Better",IF($J1135&lt;=$I1135,"Green",IF($J1135&lt;=$I1135+IF($I1135=0,$K1135,$I1135*$K1135),"Amber","Red")),IF($J1135&gt;=$I1135,"Green",IF($J1135&gt;=$I1135-IF($I1135=0,$K1135,$I1135*$K1135),"Amber","Red"))),"")</f>
        <v/>
      </c>
      <c r="T1135" s="6" t="inlineStr"/>
    </row>
    <row r="1136">
      <c r="A1136" s="7" t="n">
        <v>46186</v>
      </c>
      <c r="B1136" s="8">
        <f>IF($A1136="","",TEXT($A1136,"mmm-yyyy"))</f>
        <v/>
      </c>
      <c r="C1136" s="8">
        <f>IF($A1136="","","W"&amp;WEEKNUM($A1136,2))</f>
        <v/>
      </c>
      <c r="D1136" s="8">
        <f>IF($A1136="","",TEXT($A1136,"ddd"))</f>
        <v/>
      </c>
      <c r="E1136" s="8" t="inlineStr">
        <is>
          <t>HR</t>
        </is>
      </c>
      <c r="F1136" s="8">
        <f>IFERROR(INDEX(Tbl_KPIMaster[Category],MATCH($G1136,Tbl_KPIMaster[KPI],0)),"")</f>
        <v/>
      </c>
      <c r="G1136" s="8" t="inlineStr">
        <is>
          <t>Training Hours</t>
        </is>
      </c>
      <c r="H1136" s="8">
        <f>IFERROR(INDEX(Tbl_KPIMaster[Unit],MATCH($G1136,Tbl_KPIMaster[KPI],0)),"")</f>
        <v/>
      </c>
      <c r="I1136" s="9">
        <f>IFERROR(INDEX(Tbl_KPIMaster[Maximum Target],MATCH($G1136,Tbl_KPIMaster[KPI],0)),"")</f>
        <v/>
      </c>
      <c r="J1136" s="9" t="n">
        <v>2.38</v>
      </c>
      <c r="K1136" s="8">
        <f>IFERROR(INDEX(Tbl_KPIMaster[Tolerance],MATCH($G1136,Tbl_KPIMaster[KPI],0)),"")</f>
        <v/>
      </c>
      <c r="L1136" s="8">
        <f>IFERROR(INDEX(Tbl_KPIMaster[Owner],MATCH($G1136,Tbl_KPIMaster[KPI],0)),"")</f>
        <v/>
      </c>
      <c r="M1136" s="10" t="inlineStr">
        <is>
          <t>Vendor delay</t>
        </is>
      </c>
      <c r="N1136" s="8" t="inlineStr"/>
      <c r="O1136" s="8" t="inlineStr">
        <is>
          <t>Low</t>
        </is>
      </c>
      <c r="P1136" s="8" t="inlineStr">
        <is>
          <t>Open</t>
        </is>
      </c>
      <c r="Q1136" s="9">
        <f>IFERROR(IF(INDEX(Tbl_KPIMaster[Direction],MATCH($G1136,Tbl_KPIMaster[KPI],0))="Lower is Better",IF($J1136=0,1,IF($I1136=0,0,$I1136/$J1136)),IF($I1136=0,1,$J1136/$I1136)),0)</f>
        <v/>
      </c>
      <c r="R1136" s="8">
        <f>IF(OR($I1136="",$J1136=""),"",$J1136-$I1136)</f>
        <v/>
      </c>
      <c r="S1136" s="8">
        <f>IFERROR(IF(INDEX(Tbl_KPIMaster[Direction],MATCH($G1136,Tbl_KPIMaster[KPI],0))="Lower is Better",IF($J1136&lt;=$I1136,"Green",IF($J1136&lt;=$I1136+IF($I1136=0,$K1136,$I1136*$K1136),"Amber","Red")),IF($J1136&gt;=$I1136,"Green",IF($J1136&gt;=$I1136-IF($I1136=0,$K1136,$I1136*$K1136),"Amber","Red"))),"")</f>
        <v/>
      </c>
      <c r="T1136" s="10" t="inlineStr"/>
    </row>
    <row r="1137">
      <c r="A1137" s="3" t="n">
        <v>46186</v>
      </c>
      <c r="B1137" s="4">
        <f>IF($A1137="","",TEXT($A1137,"mmm-yyyy"))</f>
        <v/>
      </c>
      <c r="C1137" s="4">
        <f>IF($A1137="","","W"&amp;WEEKNUM($A1137,2))</f>
        <v/>
      </c>
      <c r="D1137" s="4">
        <f>IF($A1137="","",TEXT($A1137,"ddd"))</f>
        <v/>
      </c>
      <c r="E1137" s="4" t="inlineStr">
        <is>
          <t>Engineering</t>
        </is>
      </c>
      <c r="F1137" s="4">
        <f>IFERROR(INDEX(Tbl_KPIMaster[Category],MATCH($G1137,Tbl_KPIMaster[KPI],0)),"")</f>
        <v/>
      </c>
      <c r="G1137" s="4" t="inlineStr">
        <is>
          <t>Project Milestone Adherence %</t>
        </is>
      </c>
      <c r="H1137" s="4">
        <f>IFERROR(INDEX(Tbl_KPIMaster[Unit],MATCH($G1137,Tbl_KPIMaster[KPI],0)),"")</f>
        <v/>
      </c>
      <c r="I1137" s="5">
        <f>IFERROR(INDEX(Tbl_KPIMaster[Maximum Target],MATCH($G1137,Tbl_KPIMaster[KPI],0)),"")</f>
        <v/>
      </c>
      <c r="J1137" s="5" t="n">
        <v>1.0158</v>
      </c>
      <c r="K1137" s="4">
        <f>IFERROR(INDEX(Tbl_KPIMaster[Tolerance],MATCH($G1137,Tbl_KPIMaster[KPI],0)),"")</f>
        <v/>
      </c>
      <c r="L1137" s="4">
        <f>IFERROR(INDEX(Tbl_KPIMaster[Owner],MATCH($G1137,Tbl_KPIMaster[KPI],0)),"")</f>
        <v/>
      </c>
      <c r="M1137" s="6" t="inlineStr">
        <is>
          <t>Within normal range</t>
        </is>
      </c>
      <c r="N1137" s="4" t="inlineStr">
        <is>
          <t>Engineering support needed</t>
        </is>
      </c>
      <c r="O1137" s="4" t="inlineStr">
        <is>
          <t>Low</t>
        </is>
      </c>
      <c r="P1137" s="4" t="inlineStr">
        <is>
          <t>Closed</t>
        </is>
      </c>
      <c r="Q1137" s="5">
        <f>IFERROR(IF(INDEX(Tbl_KPIMaster[Direction],MATCH($G1137,Tbl_KPIMaster[KPI],0))="Lower is Better",IF($J1137=0,1,IF($I1137=0,0,$I1137/$J1137)),IF($I1137=0,1,$J1137/$I1137)),0)</f>
        <v/>
      </c>
      <c r="R1137" s="4">
        <f>IF(OR($I1137="",$J1137=""),"",$J1137-$I1137)</f>
        <v/>
      </c>
      <c r="S1137" s="4">
        <f>IFERROR(IF(INDEX(Tbl_KPIMaster[Direction],MATCH($G1137,Tbl_KPIMaster[KPI],0))="Lower is Better",IF($J1137&lt;=$I1137,"Green",IF($J1137&lt;=$I1137+IF($I1137=0,$K1137,$I1137*$K1137),"Amber","Red")),IF($J1137&gt;=$I1137,"Green",IF($J1137&gt;=$I1137-IF($I1137=0,$K1137,$I1137*$K1137),"Amber","Red"))),"")</f>
        <v/>
      </c>
      <c r="T1137" s="6" t="inlineStr"/>
    </row>
    <row r="1138">
      <c r="A1138" s="7" t="n">
        <v>46186</v>
      </c>
      <c r="B1138" s="8">
        <f>IF($A1138="","",TEXT($A1138,"mmm-yyyy"))</f>
        <v/>
      </c>
      <c r="C1138" s="8">
        <f>IF($A1138="","","W"&amp;WEEKNUM($A1138,2))</f>
        <v/>
      </c>
      <c r="D1138" s="8">
        <f>IF($A1138="","",TEXT($A1138,"ddd"))</f>
        <v/>
      </c>
      <c r="E1138" s="8" t="inlineStr">
        <is>
          <t>Engineering</t>
        </is>
      </c>
      <c r="F1138" s="8">
        <f>IFERROR(INDEX(Tbl_KPIMaster[Category],MATCH($G1138,Tbl_KPIMaster[KPI],0)),"")</f>
        <v/>
      </c>
      <c r="G1138" s="8" t="inlineStr">
        <is>
          <t>Breakdown Resolution Time</t>
        </is>
      </c>
      <c r="H1138" s="8">
        <f>IFERROR(INDEX(Tbl_KPIMaster[Unit],MATCH($G1138,Tbl_KPIMaster[KPI],0)),"")</f>
        <v/>
      </c>
      <c r="I1138" s="9">
        <f>IFERROR(INDEX(Tbl_KPIMaster[Maximum Target],MATCH($G1138,Tbl_KPIMaster[KPI],0)),"")</f>
        <v/>
      </c>
      <c r="J1138" s="9" t="n">
        <v>0.33</v>
      </c>
      <c r="K1138" s="8">
        <f>IFERROR(INDEX(Tbl_KPIMaster[Tolerance],MATCH($G1138,Tbl_KPIMaster[KPI],0)),"")</f>
        <v/>
      </c>
      <c r="L1138" s="8">
        <f>IFERROR(INDEX(Tbl_KPIMaster[Owner],MATCH($G1138,Tbl_KPIMaster[KPI],0)),"")</f>
        <v/>
      </c>
      <c r="M1138" s="10" t="inlineStr">
        <is>
          <t>Manpower shortage</t>
        </is>
      </c>
      <c r="N1138" s="8" t="inlineStr">
        <is>
          <t>Management approval pending</t>
        </is>
      </c>
      <c r="O1138" s="8" t="inlineStr">
        <is>
          <t>Low</t>
        </is>
      </c>
      <c r="P1138" s="8" t="inlineStr">
        <is>
          <t>Open</t>
        </is>
      </c>
      <c r="Q1138" s="9">
        <f>IFERROR(IF(INDEX(Tbl_KPIMaster[Direction],MATCH($G1138,Tbl_KPIMaster[KPI],0))="Lower is Better",IF($J1138=0,1,IF($I1138=0,0,$I1138/$J1138)),IF($I1138=0,1,$J1138/$I1138)),0)</f>
        <v/>
      </c>
      <c r="R1138" s="8">
        <f>IF(OR($I1138="",$J1138=""),"",$J1138-$I1138)</f>
        <v/>
      </c>
      <c r="S1138" s="8">
        <f>IFERROR(IF(INDEX(Tbl_KPIMaster[Direction],MATCH($G1138,Tbl_KPIMaster[KPI],0))="Lower is Better",IF($J1138&lt;=$I1138,"Green",IF($J1138&lt;=$I1138+IF($I1138=0,$K1138,$I1138*$K1138),"Amber","Red")),IF($J1138&gt;=$I1138,"Green",IF($J1138&gt;=$I1138-IF($I1138=0,$K1138,$I1138*$K1138),"Amber","Red"))),"")</f>
        <v/>
      </c>
      <c r="T1138" s="10" t="inlineStr"/>
    </row>
    <row r="1139">
      <c r="A1139" s="3" t="n">
        <v>46186</v>
      </c>
      <c r="B1139" s="4">
        <f>IF($A1139="","",TEXT($A1139,"mmm-yyyy"))</f>
        <v/>
      </c>
      <c r="C1139" s="4">
        <f>IF($A1139="","","W"&amp;WEEKNUM($A1139,2))</f>
        <v/>
      </c>
      <c r="D1139" s="4">
        <f>IF($A1139="","",TEXT($A1139,"ddd"))</f>
        <v/>
      </c>
      <c r="E1139" s="4" t="inlineStr">
        <is>
          <t>Cost</t>
        </is>
      </c>
      <c r="F1139" s="4">
        <f>IFERROR(INDEX(Tbl_KPIMaster[Category],MATCH($G1139,Tbl_KPIMaster[KPI],0)),"")</f>
        <v/>
      </c>
      <c r="G1139" s="4" t="inlineStr">
        <is>
          <t>Cost per Unit</t>
        </is>
      </c>
      <c r="H1139" s="4">
        <f>IFERROR(INDEX(Tbl_KPIMaster[Unit],MATCH($G1139,Tbl_KPIMaster[KPI],0)),"")</f>
        <v/>
      </c>
      <c r="I1139" s="5">
        <f>IFERROR(INDEX(Tbl_KPIMaster[Maximum Target],MATCH($G1139,Tbl_KPIMaster[KPI],0)),"")</f>
        <v/>
      </c>
      <c r="J1139" s="5" t="n">
        <v>35.13</v>
      </c>
      <c r="K1139" s="4">
        <f>IFERROR(INDEX(Tbl_KPIMaster[Tolerance],MATCH($G1139,Tbl_KPIMaster[KPI],0)),"")</f>
        <v/>
      </c>
      <c r="L1139" s="4">
        <f>IFERROR(INDEX(Tbl_KPIMaster[Owner],MATCH($G1139,Tbl_KPIMaster[KPI],0)),"")</f>
        <v/>
      </c>
      <c r="M1139" s="6" t="inlineStr">
        <is>
          <t>Manpower shortage</t>
        </is>
      </c>
      <c r="N1139" s="4" t="inlineStr">
        <is>
          <t>Engineering support needed</t>
        </is>
      </c>
      <c r="O1139" s="4" t="inlineStr">
        <is>
          <t>Medium</t>
        </is>
      </c>
      <c r="P1139" s="4" t="inlineStr">
        <is>
          <t>In Progress</t>
        </is>
      </c>
      <c r="Q1139" s="5">
        <f>IFERROR(IF(INDEX(Tbl_KPIMaster[Direction],MATCH($G1139,Tbl_KPIMaster[KPI],0))="Lower is Better",IF($J1139=0,1,IF($I1139=0,0,$I1139/$J1139)),IF($I1139=0,1,$J1139/$I1139)),0)</f>
        <v/>
      </c>
      <c r="R1139" s="4">
        <f>IF(OR($I1139="",$J1139=""),"",$J1139-$I1139)</f>
        <v/>
      </c>
      <c r="S1139" s="4">
        <f>IFERROR(IF(INDEX(Tbl_KPIMaster[Direction],MATCH($G1139,Tbl_KPIMaster[KPI],0))="Lower is Better",IF($J1139&lt;=$I1139,"Green",IF($J1139&lt;=$I1139+IF($I1139=0,$K1139,$I1139*$K1139),"Amber","Red")),IF($J1139&gt;=$I1139,"Green",IF($J1139&gt;=$I1139-IF($I1139=0,$K1139,$I1139*$K1139),"Amber","Red"))),"")</f>
        <v/>
      </c>
      <c r="T1139" s="6" t="inlineStr"/>
    </row>
    <row r="1140">
      <c r="A1140" s="7" t="n">
        <v>46186</v>
      </c>
      <c r="B1140" s="8">
        <f>IF($A1140="","",TEXT($A1140,"mmm-yyyy"))</f>
        <v/>
      </c>
      <c r="C1140" s="8">
        <f>IF($A1140="","","W"&amp;WEEKNUM($A1140,2))</f>
        <v/>
      </c>
      <c r="D1140" s="8">
        <f>IF($A1140="","",TEXT($A1140,"ddd"))</f>
        <v/>
      </c>
      <c r="E1140" s="8" t="inlineStr">
        <is>
          <t>Cost</t>
        </is>
      </c>
      <c r="F1140" s="8">
        <f>IFERROR(INDEX(Tbl_KPIMaster[Category],MATCH($G1140,Tbl_KPIMaster[KPI],0)),"")</f>
        <v/>
      </c>
      <c r="G1140" s="8" t="inlineStr">
        <is>
          <t>Budget Variance %</t>
        </is>
      </c>
      <c r="H1140" s="8">
        <f>IFERROR(INDEX(Tbl_KPIMaster[Unit],MATCH($G1140,Tbl_KPIMaster[KPI],0)),"")</f>
        <v/>
      </c>
      <c r="I1140" s="9">
        <f>IFERROR(INDEX(Tbl_KPIMaster[Maximum Target],MATCH($G1140,Tbl_KPIMaster[KPI],0)),"")</f>
        <v/>
      </c>
      <c r="J1140" s="9" t="n">
        <v>1.1887</v>
      </c>
      <c r="K1140" s="8">
        <f>IFERROR(INDEX(Tbl_KPIMaster[Tolerance],MATCH($G1140,Tbl_KPIMaster[KPI],0)),"")</f>
        <v/>
      </c>
      <c r="L1140" s="8">
        <f>IFERROR(INDEX(Tbl_KPIMaster[Owner],MATCH($G1140,Tbl_KPIMaster[KPI],0)),"")</f>
        <v/>
      </c>
      <c r="M1140" s="10" t="inlineStr">
        <is>
          <t>Awaiting spares</t>
        </is>
      </c>
      <c r="N1140" s="8" t="inlineStr">
        <is>
          <t>Management approval pending</t>
        </is>
      </c>
      <c r="O1140" s="8" t="inlineStr">
        <is>
          <t>Low</t>
        </is>
      </c>
      <c r="P1140" s="8" t="inlineStr">
        <is>
          <t>Closed</t>
        </is>
      </c>
      <c r="Q1140" s="9">
        <f>IFERROR(IF(INDEX(Tbl_KPIMaster[Direction],MATCH($G1140,Tbl_KPIMaster[KPI],0))="Lower is Better",IF($J1140=0,1,IF($I1140=0,0,$I1140/$J1140)),IF($I1140=0,1,$J1140/$I1140)),0)</f>
        <v/>
      </c>
      <c r="R1140" s="8">
        <f>IF(OR($I1140="",$J1140=""),"",$J1140-$I1140)</f>
        <v/>
      </c>
      <c r="S1140" s="8">
        <f>IFERROR(IF(INDEX(Tbl_KPIMaster[Direction],MATCH($G1140,Tbl_KPIMaster[KPI],0))="Lower is Better",IF($J1140&lt;=$I1140,"Green",IF($J1140&lt;=$I1140+IF($I1140=0,$K1140,$I1140*$K1140),"Amber","Red")),IF($J1140&gt;=$I1140,"Green",IF($J1140&gt;=$I1140-IF($I1140=0,$K1140,$I1140*$K1140),"Amber","Red"))),"")</f>
        <v/>
      </c>
      <c r="T1140" s="10" t="inlineStr"/>
    </row>
    <row r="1141">
      <c r="A1141" s="3" t="n">
        <v>46186</v>
      </c>
      <c r="B1141" s="4">
        <f>IF($A1141="","",TEXT($A1141,"mmm-yyyy"))</f>
        <v/>
      </c>
      <c r="C1141" s="4">
        <f>IF($A1141="","","W"&amp;WEEKNUM($A1141,2))</f>
        <v/>
      </c>
      <c r="D1141" s="4">
        <f>IF($A1141="","",TEXT($A1141,"ddd"))</f>
        <v/>
      </c>
      <c r="E1141" s="4" t="inlineStr">
        <is>
          <t>Energy</t>
        </is>
      </c>
      <c r="F1141" s="4">
        <f>IFERROR(INDEX(Tbl_KPIMaster[Category],MATCH($G1141,Tbl_KPIMaster[KPI],0)),"")</f>
        <v/>
      </c>
      <c r="G1141" s="4" t="inlineStr">
        <is>
          <t>Energy Intensity (kWh/unit)</t>
        </is>
      </c>
      <c r="H1141" s="4">
        <f>IFERROR(INDEX(Tbl_KPIMaster[Unit],MATCH($G1141,Tbl_KPIMaster[KPI],0)),"")</f>
        <v/>
      </c>
      <c r="I1141" s="5">
        <f>IFERROR(INDEX(Tbl_KPIMaster[Maximum Target],MATCH($G1141,Tbl_KPIMaster[KPI],0)),"")</f>
        <v/>
      </c>
      <c r="J1141" s="5" t="n">
        <v>3.81</v>
      </c>
      <c r="K1141" s="4">
        <f>IFERROR(INDEX(Tbl_KPIMaster[Tolerance],MATCH($G1141,Tbl_KPIMaster[KPI],0)),"")</f>
        <v/>
      </c>
      <c r="L1141" s="4">
        <f>IFERROR(INDEX(Tbl_KPIMaster[Owner],MATCH($G1141,Tbl_KPIMaster[KPI],0)),"")</f>
        <v/>
      </c>
      <c r="M1141" s="6" t="inlineStr">
        <is>
          <t>Within normal range</t>
        </is>
      </c>
      <c r="N1141" s="4" t="inlineStr"/>
      <c r="O1141" s="4" t="inlineStr">
        <is>
          <t>Low</t>
        </is>
      </c>
      <c r="P1141" s="4" t="inlineStr">
        <is>
          <t>Closed</t>
        </is>
      </c>
      <c r="Q1141" s="5">
        <f>IFERROR(IF(INDEX(Tbl_KPIMaster[Direction],MATCH($G1141,Tbl_KPIMaster[KPI],0))="Lower is Better",IF($J1141=0,1,IF($I1141=0,0,$I1141/$J1141)),IF($I1141=0,1,$J1141/$I1141)),0)</f>
        <v/>
      </c>
      <c r="R1141" s="4">
        <f>IF(OR($I1141="",$J1141=""),"",$J1141-$I1141)</f>
        <v/>
      </c>
      <c r="S1141" s="4">
        <f>IFERROR(IF(INDEX(Tbl_KPIMaster[Direction],MATCH($G1141,Tbl_KPIMaster[KPI],0))="Lower is Better",IF($J1141&lt;=$I1141,"Green",IF($J1141&lt;=$I1141+IF($I1141=0,$K1141,$I1141*$K1141),"Amber","Red")),IF($J1141&gt;=$I1141,"Green",IF($J1141&gt;=$I1141-IF($I1141=0,$K1141,$I1141*$K1141),"Amber","Red"))),"")</f>
        <v/>
      </c>
      <c r="T1141" s="6" t="inlineStr"/>
    </row>
    <row r="1142">
      <c r="A1142" s="7" t="n">
        <v>46186</v>
      </c>
      <c r="B1142" s="8">
        <f>IF($A1142="","",TEXT($A1142,"mmm-yyyy"))</f>
        <v/>
      </c>
      <c r="C1142" s="8">
        <f>IF($A1142="","","W"&amp;WEEKNUM($A1142,2))</f>
        <v/>
      </c>
      <c r="D1142" s="8">
        <f>IF($A1142="","",TEXT($A1142,"ddd"))</f>
        <v/>
      </c>
      <c r="E1142" s="8" t="inlineStr">
        <is>
          <t>Energy</t>
        </is>
      </c>
      <c r="F1142" s="8">
        <f>IFERROR(INDEX(Tbl_KPIMaster[Category],MATCH($G1142,Tbl_KPIMaster[KPI],0)),"")</f>
        <v/>
      </c>
      <c r="G1142" s="8" t="inlineStr">
        <is>
          <t>Renewable Energy Share %</t>
        </is>
      </c>
      <c r="H1142" s="8">
        <f>IFERROR(INDEX(Tbl_KPIMaster[Unit],MATCH($G1142,Tbl_KPIMaster[KPI],0)),"")</f>
        <v/>
      </c>
      <c r="I1142" s="9">
        <f>IFERROR(INDEX(Tbl_KPIMaster[Maximum Target],MATCH($G1142,Tbl_KPIMaster[KPI],0)),"")</f>
        <v/>
      </c>
      <c r="J1142" s="9" t="n">
        <v>0.2172</v>
      </c>
      <c r="K1142" s="8">
        <f>IFERROR(INDEX(Tbl_KPIMaster[Tolerance],MATCH($G1142,Tbl_KPIMaster[KPI],0)),"")</f>
        <v/>
      </c>
      <c r="L1142" s="8">
        <f>IFERROR(INDEX(Tbl_KPIMaster[Owner],MATCH($G1142,Tbl_KPIMaster[KPI],0)),"")</f>
        <v/>
      </c>
      <c r="M1142" s="10" t="inlineStr">
        <is>
          <t>Weather impact</t>
        </is>
      </c>
      <c r="N1142" s="8" t="inlineStr"/>
      <c r="O1142" s="8" t="inlineStr">
        <is>
          <t>Low</t>
        </is>
      </c>
      <c r="P1142" s="8" t="inlineStr">
        <is>
          <t>Closed</t>
        </is>
      </c>
      <c r="Q1142" s="9">
        <f>IFERROR(IF(INDEX(Tbl_KPIMaster[Direction],MATCH($G1142,Tbl_KPIMaster[KPI],0))="Lower is Better",IF($J1142=0,1,IF($I1142=0,0,$I1142/$J1142)),IF($I1142=0,1,$J1142/$I1142)),0)</f>
        <v/>
      </c>
      <c r="R1142" s="8">
        <f>IF(OR($I1142="",$J1142=""),"",$J1142-$I1142)</f>
        <v/>
      </c>
      <c r="S1142" s="8">
        <f>IFERROR(IF(INDEX(Tbl_KPIMaster[Direction],MATCH($G1142,Tbl_KPIMaster[KPI],0))="Lower is Better",IF($J1142&lt;=$I1142,"Green",IF($J1142&lt;=$I1142+IF($I1142=0,$K1142,$I1142*$K1142),"Amber","Red")),IF($J1142&gt;=$I1142,"Green",IF($J1142&gt;=$I1142-IF($I1142=0,$K1142,$I1142*$K1142),"Amber","Red"))),"")</f>
        <v/>
      </c>
      <c r="T1142" s="10" t="inlineStr"/>
    </row>
    <row r="1143">
      <c r="A1143" s="3" t="n">
        <v>46187</v>
      </c>
      <c r="B1143" s="4">
        <f>IF($A1143="","",TEXT($A1143,"mmm-yyyy"))</f>
        <v/>
      </c>
      <c r="C1143" s="4">
        <f>IF($A1143="","","W"&amp;WEEKNUM($A1143,2))</f>
        <v/>
      </c>
      <c r="D1143" s="4">
        <f>IF($A1143="","",TEXT($A1143,"ddd"))</f>
        <v/>
      </c>
      <c r="E1143" s="4" t="inlineStr">
        <is>
          <t>Safety</t>
        </is>
      </c>
      <c r="F1143" s="4">
        <f>IFERROR(INDEX(Tbl_KPIMaster[Category],MATCH($G1143,Tbl_KPIMaster[KPI],0)),"")</f>
        <v/>
      </c>
      <c r="G1143" s="4" t="inlineStr">
        <is>
          <t>Safety Incidents (LTI)</t>
        </is>
      </c>
      <c r="H1143" s="4">
        <f>IFERROR(INDEX(Tbl_KPIMaster[Unit],MATCH($G1143,Tbl_KPIMaster[KPI],0)),"")</f>
        <v/>
      </c>
      <c r="I1143" s="5">
        <f>IFERROR(INDEX(Tbl_KPIMaster[Maximum Target],MATCH($G1143,Tbl_KPIMaster[KPI],0)),"")</f>
        <v/>
      </c>
      <c r="J1143" s="5" t="n">
        <v>0</v>
      </c>
      <c r="K1143" s="4">
        <f>IFERROR(INDEX(Tbl_KPIMaster[Tolerance],MATCH($G1143,Tbl_KPIMaster[KPI],0)),"")</f>
        <v/>
      </c>
      <c r="L1143" s="4">
        <f>IFERROR(INDEX(Tbl_KPIMaster[Owner],MATCH($G1143,Tbl_KPIMaster[KPI],0)),"")</f>
        <v/>
      </c>
      <c r="M1143" s="6" t="inlineStr"/>
      <c r="N1143" s="4" t="inlineStr">
        <is>
          <t>Procurement follow-up</t>
        </is>
      </c>
      <c r="O1143" s="4" t="inlineStr">
        <is>
          <t>High</t>
        </is>
      </c>
      <c r="P1143" s="4" t="inlineStr">
        <is>
          <t>Closed</t>
        </is>
      </c>
      <c r="Q1143" s="5">
        <f>IFERROR(IF(INDEX(Tbl_KPIMaster[Direction],MATCH($G1143,Tbl_KPIMaster[KPI],0))="Lower is Better",IF($J1143=0,1,IF($I1143=0,0,$I1143/$J1143)),IF($I1143=0,1,$J1143/$I1143)),0)</f>
        <v/>
      </c>
      <c r="R1143" s="4">
        <f>IF(OR($I1143="",$J1143=""),"",$J1143-$I1143)</f>
        <v/>
      </c>
      <c r="S1143" s="4">
        <f>IFERROR(IF(INDEX(Tbl_KPIMaster[Direction],MATCH($G1143,Tbl_KPIMaster[KPI],0))="Lower is Better",IF($J1143&lt;=$I1143,"Green",IF($J1143&lt;=$I1143+IF($I1143=0,$K1143,$I1143*$K1143),"Amber","Red")),IF($J1143&gt;=$I1143,"Green",IF($J1143&gt;=$I1143-IF($I1143=0,$K1143,$I1143*$K1143),"Amber","Red"))),"")</f>
        <v/>
      </c>
      <c r="T1143" s="6" t="inlineStr"/>
    </row>
    <row r="1144">
      <c r="A1144" s="7" t="n">
        <v>46187</v>
      </c>
      <c r="B1144" s="8">
        <f>IF($A1144="","",TEXT($A1144,"mmm-yyyy"))</f>
        <v/>
      </c>
      <c r="C1144" s="8">
        <f>IF($A1144="","","W"&amp;WEEKNUM($A1144,2))</f>
        <v/>
      </c>
      <c r="D1144" s="8">
        <f>IF($A1144="","",TEXT($A1144,"ddd"))</f>
        <v/>
      </c>
      <c r="E1144" s="8" t="inlineStr">
        <is>
          <t>Safety</t>
        </is>
      </c>
      <c r="F1144" s="8">
        <f>IFERROR(INDEX(Tbl_KPIMaster[Category],MATCH($G1144,Tbl_KPIMaster[KPI],0)),"")</f>
        <v/>
      </c>
      <c r="G1144" s="8" t="inlineStr">
        <is>
          <t>Near Miss Reports</t>
        </is>
      </c>
      <c r="H1144" s="8">
        <f>IFERROR(INDEX(Tbl_KPIMaster[Unit],MATCH($G1144,Tbl_KPIMaster[KPI],0)),"")</f>
        <v/>
      </c>
      <c r="I1144" s="9">
        <f>IFERROR(INDEX(Tbl_KPIMaster[Maximum Target],MATCH($G1144,Tbl_KPIMaster[KPI],0)),"")</f>
        <v/>
      </c>
      <c r="J1144" s="9" t="n">
        <v>2</v>
      </c>
      <c r="K1144" s="8">
        <f>IFERROR(INDEX(Tbl_KPIMaster[Tolerance],MATCH($G1144,Tbl_KPIMaster[KPI],0)),"")</f>
        <v/>
      </c>
      <c r="L1144" s="8">
        <f>IFERROR(INDEX(Tbl_KPIMaster[Owner],MATCH($G1144,Tbl_KPIMaster[KPI],0)),"")</f>
        <v/>
      </c>
      <c r="M1144" s="10" t="inlineStr">
        <is>
          <t>Within normal range</t>
        </is>
      </c>
      <c r="N1144" s="8" t="inlineStr"/>
      <c r="O1144" s="8" t="inlineStr">
        <is>
          <t>Low</t>
        </is>
      </c>
      <c r="P1144" s="8" t="inlineStr">
        <is>
          <t>Closed</t>
        </is>
      </c>
      <c r="Q1144" s="9">
        <f>IFERROR(IF(INDEX(Tbl_KPIMaster[Direction],MATCH($G1144,Tbl_KPIMaster[KPI],0))="Lower is Better",IF($J1144=0,1,IF($I1144=0,0,$I1144/$J1144)),IF($I1144=0,1,$J1144/$I1144)),0)</f>
        <v/>
      </c>
      <c r="R1144" s="8">
        <f>IF(OR($I1144="",$J1144=""),"",$J1144-$I1144)</f>
        <v/>
      </c>
      <c r="S1144" s="8">
        <f>IFERROR(IF(INDEX(Tbl_KPIMaster[Direction],MATCH($G1144,Tbl_KPIMaster[KPI],0))="Lower is Better",IF($J1144&lt;=$I1144,"Green",IF($J1144&lt;=$I1144+IF($I1144=0,$K1144,$I1144*$K1144),"Amber","Red")),IF($J1144&gt;=$I1144,"Green",IF($J1144&gt;=$I1144-IF($I1144=0,$K1144,$I1144*$K1144),"Amber","Red"))),"")</f>
        <v/>
      </c>
      <c r="T1144" s="10" t="inlineStr"/>
    </row>
    <row r="1145">
      <c r="A1145" s="3" t="n">
        <v>46187</v>
      </c>
      <c r="B1145" s="4">
        <f>IF($A1145="","",TEXT($A1145,"mmm-yyyy"))</f>
        <v/>
      </c>
      <c r="C1145" s="4">
        <f>IF($A1145="","","W"&amp;WEEKNUM($A1145,2))</f>
        <v/>
      </c>
      <c r="D1145" s="4">
        <f>IF($A1145="","",TEXT($A1145,"ddd"))</f>
        <v/>
      </c>
      <c r="E1145" s="4" t="inlineStr">
        <is>
          <t>Production</t>
        </is>
      </c>
      <c r="F1145" s="4">
        <f>IFERROR(INDEX(Tbl_KPIMaster[Category],MATCH($G1145,Tbl_KPIMaster[KPI],0)),"")</f>
        <v/>
      </c>
      <c r="G1145" s="4" t="inlineStr">
        <is>
          <t>Production Output</t>
        </is>
      </c>
      <c r="H1145" s="4">
        <f>IFERROR(INDEX(Tbl_KPIMaster[Unit],MATCH($G1145,Tbl_KPIMaster[KPI],0)),"")</f>
        <v/>
      </c>
      <c r="I1145" s="5">
        <f>IFERROR(INDEX(Tbl_KPIMaster[Maximum Target],MATCH($G1145,Tbl_KPIMaster[KPI],0)),"")</f>
        <v/>
      </c>
      <c r="J1145" s="5" t="n">
        <v>852.03</v>
      </c>
      <c r="K1145" s="4">
        <f>IFERROR(INDEX(Tbl_KPIMaster[Tolerance],MATCH($G1145,Tbl_KPIMaster[KPI],0)),"")</f>
        <v/>
      </c>
      <c r="L1145" s="4">
        <f>IFERROR(INDEX(Tbl_KPIMaster[Owner],MATCH($G1145,Tbl_KPIMaster[KPI],0)),"")</f>
        <v/>
      </c>
      <c r="M1145" s="6" t="inlineStr">
        <is>
          <t>Preventive check done</t>
        </is>
      </c>
      <c r="N1145" s="4" t="inlineStr">
        <is>
          <t>Management approval pending</t>
        </is>
      </c>
      <c r="O1145" s="4" t="inlineStr">
        <is>
          <t>Low</t>
        </is>
      </c>
      <c r="P1145" s="4" t="inlineStr">
        <is>
          <t>In Progress</t>
        </is>
      </c>
      <c r="Q1145" s="5">
        <f>IFERROR(IF(INDEX(Tbl_KPIMaster[Direction],MATCH($G1145,Tbl_KPIMaster[KPI],0))="Lower is Better",IF($J1145=0,1,IF($I1145=0,0,$I1145/$J1145)),IF($I1145=0,1,$J1145/$I1145)),0)</f>
        <v/>
      </c>
      <c r="R1145" s="4">
        <f>IF(OR($I1145="",$J1145=""),"",$J1145-$I1145)</f>
        <v/>
      </c>
      <c r="S1145" s="4">
        <f>IFERROR(IF(INDEX(Tbl_KPIMaster[Direction],MATCH($G1145,Tbl_KPIMaster[KPI],0))="Lower is Better",IF($J1145&lt;=$I1145,"Green",IF($J1145&lt;=$I1145+IF($I1145=0,$K1145,$I1145*$K1145),"Amber","Red")),IF($J1145&gt;=$I1145,"Green",IF($J1145&gt;=$I1145-IF($I1145=0,$K1145,$I1145*$K1145),"Amber","Red"))),"")</f>
        <v/>
      </c>
      <c r="T1145" s="6" t="inlineStr"/>
    </row>
    <row r="1146">
      <c r="A1146" s="7" t="n">
        <v>46187</v>
      </c>
      <c r="B1146" s="8">
        <f>IF($A1146="","",TEXT($A1146,"mmm-yyyy"))</f>
        <v/>
      </c>
      <c r="C1146" s="8">
        <f>IF($A1146="","","W"&amp;WEEKNUM($A1146,2))</f>
        <v/>
      </c>
      <c r="D1146" s="8">
        <f>IF($A1146="","",TEXT($A1146,"ddd"))</f>
        <v/>
      </c>
      <c r="E1146" s="8" t="inlineStr">
        <is>
          <t>Production</t>
        </is>
      </c>
      <c r="F1146" s="8">
        <f>IFERROR(INDEX(Tbl_KPIMaster[Category],MATCH($G1146,Tbl_KPIMaster[KPI],0)),"")</f>
        <v/>
      </c>
      <c r="G1146" s="8" t="inlineStr">
        <is>
          <t>OEE %</t>
        </is>
      </c>
      <c r="H1146" s="8">
        <f>IFERROR(INDEX(Tbl_KPIMaster[Unit],MATCH($G1146,Tbl_KPIMaster[KPI],0)),"")</f>
        <v/>
      </c>
      <c r="I1146" s="9">
        <f>IFERROR(INDEX(Tbl_KPIMaster[Maximum Target],MATCH($G1146,Tbl_KPIMaster[KPI],0)),"")</f>
        <v/>
      </c>
      <c r="J1146" s="9" t="n">
        <v>0.7966</v>
      </c>
      <c r="K1146" s="8">
        <f>IFERROR(INDEX(Tbl_KPIMaster[Tolerance],MATCH($G1146,Tbl_KPIMaster[KPI],0)),"")</f>
        <v/>
      </c>
      <c r="L1146" s="8">
        <f>IFERROR(INDEX(Tbl_KPIMaster[Owner],MATCH($G1146,Tbl_KPIMaster[KPI],0)),"")</f>
        <v/>
      </c>
      <c r="M1146" s="10" t="inlineStr">
        <is>
          <t>Manpower shortage</t>
        </is>
      </c>
      <c r="N1146" s="8" t="inlineStr"/>
      <c r="O1146" s="8" t="inlineStr">
        <is>
          <t>Low</t>
        </is>
      </c>
      <c r="P1146" s="8" t="inlineStr">
        <is>
          <t>Closed</t>
        </is>
      </c>
      <c r="Q1146" s="9">
        <f>IFERROR(IF(INDEX(Tbl_KPIMaster[Direction],MATCH($G1146,Tbl_KPIMaster[KPI],0))="Lower is Better",IF($J1146=0,1,IF($I1146=0,0,$I1146/$J1146)),IF($I1146=0,1,$J1146/$I1146)),0)</f>
        <v/>
      </c>
      <c r="R1146" s="8">
        <f>IF(OR($I1146="",$J1146=""),"",$J1146-$I1146)</f>
        <v/>
      </c>
      <c r="S1146" s="8">
        <f>IFERROR(IF(INDEX(Tbl_KPIMaster[Direction],MATCH($G1146,Tbl_KPIMaster[KPI],0))="Lower is Better",IF($J1146&lt;=$I1146,"Green",IF($J1146&lt;=$I1146+IF($I1146=0,$K1146,$I1146*$K1146),"Amber","Red")),IF($J1146&gt;=$I1146,"Green",IF($J1146&gt;=$I1146-IF($I1146=0,$K1146,$I1146*$K1146),"Amber","Red"))),"")</f>
        <v/>
      </c>
      <c r="T1146" s="10" t="inlineStr"/>
    </row>
    <row r="1147">
      <c r="A1147" s="3" t="n">
        <v>46187</v>
      </c>
      <c r="B1147" s="4">
        <f>IF($A1147="","",TEXT($A1147,"mmm-yyyy"))</f>
        <v/>
      </c>
      <c r="C1147" s="4">
        <f>IF($A1147="","","W"&amp;WEEKNUM($A1147,2))</f>
        <v/>
      </c>
      <c r="D1147" s="4">
        <f>IF($A1147="","",TEXT($A1147,"ddd"))</f>
        <v/>
      </c>
      <c r="E1147" s="4" t="inlineStr">
        <is>
          <t>Quality</t>
        </is>
      </c>
      <c r="F1147" s="4">
        <f>IFERROR(INDEX(Tbl_KPIMaster[Category],MATCH($G1147,Tbl_KPIMaster[KPI],0)),"")</f>
        <v/>
      </c>
      <c r="G1147" s="4" t="inlineStr">
        <is>
          <t>Defect Rate %</t>
        </is>
      </c>
      <c r="H1147" s="4">
        <f>IFERROR(INDEX(Tbl_KPIMaster[Unit],MATCH($G1147,Tbl_KPIMaster[KPI],0)),"")</f>
        <v/>
      </c>
      <c r="I1147" s="5">
        <f>IFERROR(INDEX(Tbl_KPIMaster[Maximum Target],MATCH($G1147,Tbl_KPIMaster[KPI],0)),"")</f>
        <v/>
      </c>
      <c r="J1147" s="5" t="n">
        <v>0</v>
      </c>
      <c r="K1147" s="4">
        <f>IFERROR(INDEX(Tbl_KPIMaster[Tolerance],MATCH($G1147,Tbl_KPIMaster[KPI],0)),"")</f>
        <v/>
      </c>
      <c r="L1147" s="4">
        <f>IFERROR(INDEX(Tbl_KPIMaster[Owner],MATCH($G1147,Tbl_KPIMaster[KPI],0)),"")</f>
        <v/>
      </c>
      <c r="M1147" s="6" t="inlineStr">
        <is>
          <t>Preventive check done</t>
        </is>
      </c>
      <c r="N1147" s="4" t="inlineStr"/>
      <c r="O1147" s="4" t="inlineStr">
        <is>
          <t>Low</t>
        </is>
      </c>
      <c r="P1147" s="4" t="inlineStr">
        <is>
          <t>Open</t>
        </is>
      </c>
      <c r="Q1147" s="5">
        <f>IFERROR(IF(INDEX(Tbl_KPIMaster[Direction],MATCH($G1147,Tbl_KPIMaster[KPI],0))="Lower is Better",IF($J1147=0,1,IF($I1147=0,0,$I1147/$J1147)),IF($I1147=0,1,$J1147/$I1147)),0)</f>
        <v/>
      </c>
      <c r="R1147" s="4">
        <f>IF(OR($I1147="",$J1147=""),"",$J1147-$I1147)</f>
        <v/>
      </c>
      <c r="S1147" s="4">
        <f>IFERROR(IF(INDEX(Tbl_KPIMaster[Direction],MATCH($G1147,Tbl_KPIMaster[KPI],0))="Lower is Better",IF($J1147&lt;=$I1147,"Green",IF($J1147&lt;=$I1147+IF($I1147=0,$K1147,$I1147*$K1147),"Amber","Red")),IF($J1147&gt;=$I1147,"Green",IF($J1147&gt;=$I1147-IF($I1147=0,$K1147,$I1147*$K1147),"Amber","Red"))),"")</f>
        <v/>
      </c>
      <c r="T1147" s="6" t="inlineStr"/>
    </row>
    <row r="1148">
      <c r="A1148" s="7" t="n">
        <v>46187</v>
      </c>
      <c r="B1148" s="8">
        <f>IF($A1148="","",TEXT($A1148,"mmm-yyyy"))</f>
        <v/>
      </c>
      <c r="C1148" s="8">
        <f>IF($A1148="","","W"&amp;WEEKNUM($A1148,2))</f>
        <v/>
      </c>
      <c r="D1148" s="8">
        <f>IF($A1148="","",TEXT($A1148,"ddd"))</f>
        <v/>
      </c>
      <c r="E1148" s="8" t="inlineStr">
        <is>
          <t>Quality</t>
        </is>
      </c>
      <c r="F1148" s="8">
        <f>IFERROR(INDEX(Tbl_KPIMaster[Category],MATCH($G1148,Tbl_KPIMaster[KPI],0)),"")</f>
        <v/>
      </c>
      <c r="G1148" s="8" t="inlineStr">
        <is>
          <t>Customer Complaints</t>
        </is>
      </c>
      <c r="H1148" s="8">
        <f>IFERROR(INDEX(Tbl_KPIMaster[Unit],MATCH($G1148,Tbl_KPIMaster[KPI],0)),"")</f>
        <v/>
      </c>
      <c r="I1148" s="9">
        <f>IFERROR(INDEX(Tbl_KPIMaster[Maximum Target],MATCH($G1148,Tbl_KPIMaster[KPI],0)),"")</f>
        <v/>
      </c>
      <c r="J1148" s="9" t="n">
        <v>0</v>
      </c>
      <c r="K1148" s="8">
        <f>IFERROR(INDEX(Tbl_KPIMaster[Tolerance],MATCH($G1148,Tbl_KPIMaster[KPI],0)),"")</f>
        <v/>
      </c>
      <c r="L1148" s="8">
        <f>IFERROR(INDEX(Tbl_KPIMaster[Owner],MATCH($G1148,Tbl_KPIMaster[KPI],0)),"")</f>
        <v/>
      </c>
      <c r="M1148" s="10" t="inlineStr">
        <is>
          <t>Process improvement in progress</t>
        </is>
      </c>
      <c r="N1148" s="8" t="inlineStr">
        <is>
          <t>Management approval pending</t>
        </is>
      </c>
      <c r="O1148" s="8" t="inlineStr">
        <is>
          <t>Medium</t>
        </is>
      </c>
      <c r="P1148" s="8" t="inlineStr">
        <is>
          <t>Closed</t>
        </is>
      </c>
      <c r="Q1148" s="9">
        <f>IFERROR(IF(INDEX(Tbl_KPIMaster[Direction],MATCH($G1148,Tbl_KPIMaster[KPI],0))="Lower is Better",IF($J1148=0,1,IF($I1148=0,0,$I1148/$J1148)),IF($I1148=0,1,$J1148/$I1148)),0)</f>
        <v/>
      </c>
      <c r="R1148" s="8">
        <f>IF(OR($I1148="",$J1148=""),"",$J1148-$I1148)</f>
        <v/>
      </c>
      <c r="S1148" s="8">
        <f>IFERROR(IF(INDEX(Tbl_KPIMaster[Direction],MATCH($G1148,Tbl_KPIMaster[KPI],0))="Lower is Better",IF($J1148&lt;=$I1148,"Green",IF($J1148&lt;=$I1148+IF($I1148=0,$K1148,$I1148*$K1148),"Amber","Red")),IF($J1148&gt;=$I1148,"Green",IF($J1148&gt;=$I1148-IF($I1148=0,$K1148,$I1148*$K1148),"Amber","Red"))),"")</f>
        <v/>
      </c>
      <c r="T1148" s="10" t="inlineStr"/>
    </row>
    <row r="1149">
      <c r="A1149" s="3" t="n">
        <v>46187</v>
      </c>
      <c r="B1149" s="4">
        <f>IF($A1149="","",TEXT($A1149,"mmm-yyyy"))</f>
        <v/>
      </c>
      <c r="C1149" s="4">
        <f>IF($A1149="","","W"&amp;WEEKNUM($A1149,2))</f>
        <v/>
      </c>
      <c r="D1149" s="4">
        <f>IF($A1149="","",TEXT($A1149,"ddd"))</f>
        <v/>
      </c>
      <c r="E1149" s="4" t="inlineStr">
        <is>
          <t>Maintenance</t>
        </is>
      </c>
      <c r="F1149" s="4">
        <f>IFERROR(INDEX(Tbl_KPIMaster[Category],MATCH($G1149,Tbl_KPIMaster[KPI],0)),"")</f>
        <v/>
      </c>
      <c r="G1149" s="4" t="inlineStr">
        <is>
          <t>Unplanned Downtime</t>
        </is>
      </c>
      <c r="H1149" s="4">
        <f>IFERROR(INDEX(Tbl_KPIMaster[Unit],MATCH($G1149,Tbl_KPIMaster[KPI],0)),"")</f>
        <v/>
      </c>
      <c r="I1149" s="5">
        <f>IFERROR(INDEX(Tbl_KPIMaster[Maximum Target],MATCH($G1149,Tbl_KPIMaster[KPI],0)),"")</f>
        <v/>
      </c>
      <c r="J1149" s="5" t="n">
        <v>0</v>
      </c>
      <c r="K1149" s="4">
        <f>IFERROR(INDEX(Tbl_KPIMaster[Tolerance],MATCH($G1149,Tbl_KPIMaster[KPI],0)),"")</f>
        <v/>
      </c>
      <c r="L1149" s="4">
        <f>IFERROR(INDEX(Tbl_KPIMaster[Owner],MATCH($G1149,Tbl_KPIMaster[KPI],0)),"")</f>
        <v/>
      </c>
      <c r="M1149" s="6" t="inlineStr">
        <is>
          <t>Manpower shortage</t>
        </is>
      </c>
      <c r="N1149" s="4" t="inlineStr"/>
      <c r="O1149" s="4" t="inlineStr">
        <is>
          <t>Low</t>
        </is>
      </c>
      <c r="P1149" s="4" t="inlineStr">
        <is>
          <t>Closed</t>
        </is>
      </c>
      <c r="Q1149" s="5">
        <f>IFERROR(IF(INDEX(Tbl_KPIMaster[Direction],MATCH($G1149,Tbl_KPIMaster[KPI],0))="Lower is Better",IF($J1149=0,1,IF($I1149=0,0,$I1149/$J1149)),IF($I1149=0,1,$J1149/$I1149)),0)</f>
        <v/>
      </c>
      <c r="R1149" s="4">
        <f>IF(OR($I1149="",$J1149=""),"",$J1149-$I1149)</f>
        <v/>
      </c>
      <c r="S1149" s="4">
        <f>IFERROR(IF(INDEX(Tbl_KPIMaster[Direction],MATCH($G1149,Tbl_KPIMaster[KPI],0))="Lower is Better",IF($J1149&lt;=$I1149,"Green",IF($J1149&lt;=$I1149+IF($I1149=0,$K1149,$I1149*$K1149),"Amber","Red")),IF($J1149&gt;=$I1149,"Green",IF($J1149&gt;=$I1149-IF($I1149=0,$K1149,$I1149*$K1149),"Amber","Red"))),"")</f>
        <v/>
      </c>
      <c r="T1149" s="6" t="inlineStr"/>
    </row>
    <row r="1150">
      <c r="A1150" s="7" t="n">
        <v>46187</v>
      </c>
      <c r="B1150" s="8">
        <f>IF($A1150="","",TEXT($A1150,"mmm-yyyy"))</f>
        <v/>
      </c>
      <c r="C1150" s="8">
        <f>IF($A1150="","","W"&amp;WEEKNUM($A1150,2))</f>
        <v/>
      </c>
      <c r="D1150" s="8">
        <f>IF($A1150="","",TEXT($A1150,"ddd"))</f>
        <v/>
      </c>
      <c r="E1150" s="8" t="inlineStr">
        <is>
          <t>Maintenance</t>
        </is>
      </c>
      <c r="F1150" s="8">
        <f>IFERROR(INDEX(Tbl_KPIMaster[Category],MATCH($G1150,Tbl_KPIMaster[KPI],0)),"")</f>
        <v/>
      </c>
      <c r="G1150" s="8" t="inlineStr">
        <is>
          <t>PM Compliance %</t>
        </is>
      </c>
      <c r="H1150" s="8">
        <f>IFERROR(INDEX(Tbl_KPIMaster[Unit],MATCH($G1150,Tbl_KPIMaster[KPI],0)),"")</f>
        <v/>
      </c>
      <c r="I1150" s="9">
        <f>IFERROR(INDEX(Tbl_KPIMaster[Maximum Target],MATCH($G1150,Tbl_KPIMaster[KPI],0)),"")</f>
        <v/>
      </c>
      <c r="J1150" s="9" t="n">
        <v>1.0376</v>
      </c>
      <c r="K1150" s="8">
        <f>IFERROR(INDEX(Tbl_KPIMaster[Tolerance],MATCH($G1150,Tbl_KPIMaster[KPI],0)),"")</f>
        <v/>
      </c>
      <c r="L1150" s="8">
        <f>IFERROR(INDEX(Tbl_KPIMaster[Owner],MATCH($G1150,Tbl_KPIMaster[KPI],0)),"")</f>
        <v/>
      </c>
      <c r="M1150" s="10" t="inlineStr">
        <is>
          <t>Awaiting spares</t>
        </is>
      </c>
      <c r="N1150" s="8" t="inlineStr">
        <is>
          <t>Management approval pending</t>
        </is>
      </c>
      <c r="O1150" s="8" t="inlineStr">
        <is>
          <t>Low</t>
        </is>
      </c>
      <c r="P1150" s="8" t="inlineStr">
        <is>
          <t>Closed</t>
        </is>
      </c>
      <c r="Q1150" s="9">
        <f>IFERROR(IF(INDEX(Tbl_KPIMaster[Direction],MATCH($G1150,Tbl_KPIMaster[KPI],0))="Lower is Better",IF($J1150=0,1,IF($I1150=0,0,$I1150/$J1150)),IF($I1150=0,1,$J1150/$I1150)),0)</f>
        <v/>
      </c>
      <c r="R1150" s="8">
        <f>IF(OR($I1150="",$J1150=""),"",$J1150-$I1150)</f>
        <v/>
      </c>
      <c r="S1150" s="8">
        <f>IFERROR(IF(INDEX(Tbl_KPIMaster[Direction],MATCH($G1150,Tbl_KPIMaster[KPI],0))="Lower is Better",IF($J1150&lt;=$I1150,"Green",IF($J1150&lt;=$I1150+IF($I1150=0,$K1150,$I1150*$K1150),"Amber","Red")),IF($J1150&gt;=$I1150,"Green",IF($J1150&gt;=$I1150-IF($I1150=0,$K1150,$I1150*$K1150),"Amber","Red"))),"")</f>
        <v/>
      </c>
      <c r="T1150" s="10" t="inlineStr"/>
    </row>
    <row r="1151">
      <c r="A1151" s="3" t="n">
        <v>46187</v>
      </c>
      <c r="B1151" s="4">
        <f>IF($A1151="","",TEXT($A1151,"mmm-yyyy"))</f>
        <v/>
      </c>
      <c r="C1151" s="4">
        <f>IF($A1151="","","W"&amp;WEEKNUM($A1151,2))</f>
        <v/>
      </c>
      <c r="D1151" s="4">
        <f>IF($A1151="","",TEXT($A1151,"ddd"))</f>
        <v/>
      </c>
      <c r="E1151" s="4" t="inlineStr">
        <is>
          <t>Utilities</t>
        </is>
      </c>
      <c r="F1151" s="4">
        <f>IFERROR(INDEX(Tbl_KPIMaster[Category],MATCH($G1151,Tbl_KPIMaster[KPI],0)),"")</f>
        <v/>
      </c>
      <c r="G1151" s="4" t="inlineStr">
        <is>
          <t>Power Consumption</t>
        </is>
      </c>
      <c r="H1151" s="4">
        <f>IFERROR(INDEX(Tbl_KPIMaster[Unit],MATCH($G1151,Tbl_KPIMaster[KPI],0)),"")</f>
        <v/>
      </c>
      <c r="I1151" s="5">
        <f>IFERROR(INDEX(Tbl_KPIMaster[Maximum Target],MATCH($G1151,Tbl_KPIMaster[KPI],0)),"")</f>
        <v/>
      </c>
      <c r="J1151" s="5" t="n">
        <v>4139.33</v>
      </c>
      <c r="K1151" s="4">
        <f>IFERROR(INDEX(Tbl_KPIMaster[Tolerance],MATCH($G1151,Tbl_KPIMaster[KPI],0)),"")</f>
        <v/>
      </c>
      <c r="L1151" s="4">
        <f>IFERROR(INDEX(Tbl_KPIMaster[Owner],MATCH($G1151,Tbl_KPIMaster[KPI],0)),"")</f>
        <v/>
      </c>
      <c r="M1151" s="6" t="inlineStr">
        <is>
          <t>Equipment breakdown</t>
        </is>
      </c>
      <c r="N1151" s="4" t="inlineStr">
        <is>
          <t>Engineering support needed</t>
        </is>
      </c>
      <c r="O1151" s="4" t="inlineStr">
        <is>
          <t>High</t>
        </is>
      </c>
      <c r="P1151" s="4" t="inlineStr">
        <is>
          <t>Closed</t>
        </is>
      </c>
      <c r="Q1151" s="5">
        <f>IFERROR(IF(INDEX(Tbl_KPIMaster[Direction],MATCH($G1151,Tbl_KPIMaster[KPI],0))="Lower is Better",IF($J1151=0,1,IF($I1151=0,0,$I1151/$J1151)),IF($I1151=0,1,$J1151/$I1151)),0)</f>
        <v/>
      </c>
      <c r="R1151" s="4">
        <f>IF(OR($I1151="",$J1151=""),"",$J1151-$I1151)</f>
        <v/>
      </c>
      <c r="S1151" s="4">
        <f>IFERROR(IF(INDEX(Tbl_KPIMaster[Direction],MATCH($G1151,Tbl_KPIMaster[KPI],0))="Lower is Better",IF($J1151&lt;=$I1151,"Green",IF($J1151&lt;=$I1151+IF($I1151=0,$K1151,$I1151*$K1151),"Amber","Red")),IF($J1151&gt;=$I1151,"Green",IF($J1151&gt;=$I1151-IF($I1151=0,$K1151,$I1151*$K1151),"Amber","Red"))),"")</f>
        <v/>
      </c>
      <c r="T1151" s="6" t="inlineStr"/>
    </row>
    <row r="1152">
      <c r="A1152" s="7" t="n">
        <v>46187</v>
      </c>
      <c r="B1152" s="8">
        <f>IF($A1152="","",TEXT($A1152,"mmm-yyyy"))</f>
        <v/>
      </c>
      <c r="C1152" s="8">
        <f>IF($A1152="","","W"&amp;WEEKNUM($A1152,2))</f>
        <v/>
      </c>
      <c r="D1152" s="8">
        <f>IF($A1152="","",TEXT($A1152,"ddd"))</f>
        <v/>
      </c>
      <c r="E1152" s="8" t="inlineStr">
        <is>
          <t>Utilities</t>
        </is>
      </c>
      <c r="F1152" s="8">
        <f>IFERROR(INDEX(Tbl_KPIMaster[Category],MATCH($G1152,Tbl_KPIMaster[KPI],0)),"")</f>
        <v/>
      </c>
      <c r="G1152" s="8" t="inlineStr">
        <is>
          <t>Water Consumption</t>
        </is>
      </c>
      <c r="H1152" s="8">
        <f>IFERROR(INDEX(Tbl_KPIMaster[Unit],MATCH($G1152,Tbl_KPIMaster[KPI],0)),"")</f>
        <v/>
      </c>
      <c r="I1152" s="9">
        <f>IFERROR(INDEX(Tbl_KPIMaster[Maximum Target],MATCH($G1152,Tbl_KPIMaster[KPI],0)),"")</f>
        <v/>
      </c>
      <c r="J1152" s="9" t="n">
        <v>44.1</v>
      </c>
      <c r="K1152" s="8">
        <f>IFERROR(INDEX(Tbl_KPIMaster[Tolerance],MATCH($G1152,Tbl_KPIMaster[KPI],0)),"")</f>
        <v/>
      </c>
      <c r="L1152" s="8">
        <f>IFERROR(INDEX(Tbl_KPIMaster[Owner],MATCH($G1152,Tbl_KPIMaster[KPI],0)),"")</f>
        <v/>
      </c>
      <c r="M1152" s="10" t="inlineStr">
        <is>
          <t>Vendor delay</t>
        </is>
      </c>
      <c r="N1152" s="8" t="inlineStr"/>
      <c r="O1152" s="8" t="inlineStr">
        <is>
          <t>Medium</t>
        </is>
      </c>
      <c r="P1152" s="8" t="inlineStr">
        <is>
          <t>Closed</t>
        </is>
      </c>
      <c r="Q1152" s="9">
        <f>IFERROR(IF(INDEX(Tbl_KPIMaster[Direction],MATCH($G1152,Tbl_KPIMaster[KPI],0))="Lower is Better",IF($J1152=0,1,IF($I1152=0,0,$I1152/$J1152)),IF($I1152=0,1,$J1152/$I1152)),0)</f>
        <v/>
      </c>
      <c r="R1152" s="8">
        <f>IF(OR($I1152="",$J1152=""),"",$J1152-$I1152)</f>
        <v/>
      </c>
      <c r="S1152" s="8">
        <f>IFERROR(IF(INDEX(Tbl_KPIMaster[Direction],MATCH($G1152,Tbl_KPIMaster[KPI],0))="Lower is Better",IF($J1152&lt;=$I1152,"Green",IF($J1152&lt;=$I1152+IF($I1152=0,$K1152,$I1152*$K1152),"Amber","Red")),IF($J1152&gt;=$I1152,"Green",IF($J1152&gt;=$I1152-IF($I1152=0,$K1152,$I1152*$K1152),"Amber","Red"))),"")</f>
        <v/>
      </c>
      <c r="T1152" s="10" t="inlineStr"/>
    </row>
    <row r="1153">
      <c r="A1153" s="3" t="n">
        <v>46187</v>
      </c>
      <c r="B1153" s="4">
        <f>IF($A1153="","",TEXT($A1153,"mmm-yyyy"))</f>
        <v/>
      </c>
      <c r="C1153" s="4">
        <f>IF($A1153="","","W"&amp;WEEKNUM($A1153,2))</f>
        <v/>
      </c>
      <c r="D1153" s="4">
        <f>IF($A1153="","",TEXT($A1153,"ddd"))</f>
        <v/>
      </c>
      <c r="E1153" s="4" t="inlineStr">
        <is>
          <t>Warehouse</t>
        </is>
      </c>
      <c r="F1153" s="4">
        <f>IFERROR(INDEX(Tbl_KPIMaster[Category],MATCH($G1153,Tbl_KPIMaster[KPI],0)),"")</f>
        <v/>
      </c>
      <c r="G1153" s="4" t="inlineStr">
        <is>
          <t>On-Time Dispatch %</t>
        </is>
      </c>
      <c r="H1153" s="4">
        <f>IFERROR(INDEX(Tbl_KPIMaster[Unit],MATCH($G1153,Tbl_KPIMaster[KPI],0)),"")</f>
        <v/>
      </c>
      <c r="I1153" s="5">
        <f>IFERROR(INDEX(Tbl_KPIMaster[Maximum Target],MATCH($G1153,Tbl_KPIMaster[KPI],0)),"")</f>
        <v/>
      </c>
      <c r="J1153" s="5" t="n">
        <v>0.9886</v>
      </c>
      <c r="K1153" s="4">
        <f>IFERROR(INDEX(Tbl_KPIMaster[Tolerance],MATCH($G1153,Tbl_KPIMaster[KPI],0)),"")</f>
        <v/>
      </c>
      <c r="L1153" s="4">
        <f>IFERROR(INDEX(Tbl_KPIMaster[Owner],MATCH($G1153,Tbl_KPIMaster[KPI],0)),"")</f>
        <v/>
      </c>
      <c r="M1153" s="6" t="inlineStr">
        <is>
          <t>Process improvement in progress</t>
        </is>
      </c>
      <c r="N1153" s="4" t="inlineStr">
        <is>
          <t>Management approval pending</t>
        </is>
      </c>
      <c r="O1153" s="4" t="inlineStr">
        <is>
          <t>Low</t>
        </is>
      </c>
      <c r="P1153" s="4" t="inlineStr">
        <is>
          <t>Closed</t>
        </is>
      </c>
      <c r="Q1153" s="5">
        <f>IFERROR(IF(INDEX(Tbl_KPIMaster[Direction],MATCH($G1153,Tbl_KPIMaster[KPI],0))="Lower is Better",IF($J1153=0,1,IF($I1153=0,0,$I1153/$J1153)),IF($I1153=0,1,$J1153/$I1153)),0)</f>
        <v/>
      </c>
      <c r="R1153" s="4">
        <f>IF(OR($I1153="",$J1153=""),"",$J1153-$I1153)</f>
        <v/>
      </c>
      <c r="S1153" s="4">
        <f>IFERROR(IF(INDEX(Tbl_KPIMaster[Direction],MATCH($G1153,Tbl_KPIMaster[KPI],0))="Lower is Better",IF($J1153&lt;=$I1153,"Green",IF($J1153&lt;=$I1153+IF($I1153=0,$K1153,$I1153*$K1153),"Amber","Red")),IF($J1153&gt;=$I1153,"Green",IF($J1153&gt;=$I1153-IF($I1153=0,$K1153,$I1153*$K1153),"Amber","Red"))),"")</f>
        <v/>
      </c>
      <c r="T1153" s="6" t="inlineStr"/>
    </row>
    <row r="1154">
      <c r="A1154" s="7" t="n">
        <v>46187</v>
      </c>
      <c r="B1154" s="8">
        <f>IF($A1154="","",TEXT($A1154,"mmm-yyyy"))</f>
        <v/>
      </c>
      <c r="C1154" s="8">
        <f>IF($A1154="","","W"&amp;WEEKNUM($A1154,2))</f>
        <v/>
      </c>
      <c r="D1154" s="8">
        <f>IF($A1154="","",TEXT($A1154,"ddd"))</f>
        <v/>
      </c>
      <c r="E1154" s="8" t="inlineStr">
        <is>
          <t>Warehouse</t>
        </is>
      </c>
      <c r="F1154" s="8">
        <f>IFERROR(INDEX(Tbl_KPIMaster[Category],MATCH($G1154,Tbl_KPIMaster[KPI],0)),"")</f>
        <v/>
      </c>
      <c r="G1154" s="8" t="inlineStr">
        <is>
          <t>Inventory Accuracy %</t>
        </is>
      </c>
      <c r="H1154" s="8">
        <f>IFERROR(INDEX(Tbl_KPIMaster[Unit],MATCH($G1154,Tbl_KPIMaster[KPI],0)),"")</f>
        <v/>
      </c>
      <c r="I1154" s="9">
        <f>IFERROR(INDEX(Tbl_KPIMaster[Maximum Target],MATCH($G1154,Tbl_KPIMaster[KPI],0)),"")</f>
        <v/>
      </c>
      <c r="J1154" s="9" t="n">
        <v>1.1522</v>
      </c>
      <c r="K1154" s="8">
        <f>IFERROR(INDEX(Tbl_KPIMaster[Tolerance],MATCH($G1154,Tbl_KPIMaster[KPI],0)),"")</f>
        <v/>
      </c>
      <c r="L1154" s="8">
        <f>IFERROR(INDEX(Tbl_KPIMaster[Owner],MATCH($G1154,Tbl_KPIMaster[KPI],0)),"")</f>
        <v/>
      </c>
      <c r="M1154" s="10" t="inlineStr"/>
      <c r="N1154" s="8" t="inlineStr"/>
      <c r="O1154" s="8" t="inlineStr">
        <is>
          <t>High</t>
        </is>
      </c>
      <c r="P1154" s="8" t="inlineStr">
        <is>
          <t>Open</t>
        </is>
      </c>
      <c r="Q1154" s="9">
        <f>IFERROR(IF(INDEX(Tbl_KPIMaster[Direction],MATCH($G1154,Tbl_KPIMaster[KPI],0))="Lower is Better",IF($J1154=0,1,IF($I1154=0,0,$I1154/$J1154)),IF($I1154=0,1,$J1154/$I1154)),0)</f>
        <v/>
      </c>
      <c r="R1154" s="8">
        <f>IF(OR($I1154="",$J1154=""),"",$J1154-$I1154)</f>
        <v/>
      </c>
      <c r="S1154" s="8">
        <f>IFERROR(IF(INDEX(Tbl_KPIMaster[Direction],MATCH($G1154,Tbl_KPIMaster[KPI],0))="Lower is Better",IF($J1154&lt;=$I1154,"Green",IF($J1154&lt;=$I1154+IF($I1154=0,$K1154,$I1154*$K1154),"Amber","Red")),IF($J1154&gt;=$I1154,"Green",IF($J1154&gt;=$I1154-IF($I1154=0,$K1154,$I1154*$K1154),"Amber","Red"))),"")</f>
        <v/>
      </c>
      <c r="T1154" s="10" t="inlineStr"/>
    </row>
    <row r="1155">
      <c r="A1155" s="3" t="n">
        <v>46187</v>
      </c>
      <c r="B1155" s="4">
        <f>IF($A1155="","",TEXT($A1155,"mmm-yyyy"))</f>
        <v/>
      </c>
      <c r="C1155" s="4">
        <f>IF($A1155="","","W"&amp;WEEKNUM($A1155,2))</f>
        <v/>
      </c>
      <c r="D1155" s="4">
        <f>IF($A1155="","",TEXT($A1155,"ddd"))</f>
        <v/>
      </c>
      <c r="E1155" s="4" t="inlineStr">
        <is>
          <t>HR</t>
        </is>
      </c>
      <c r="F1155" s="4">
        <f>IFERROR(INDEX(Tbl_KPIMaster[Category],MATCH($G1155,Tbl_KPIMaster[KPI],0)),"")</f>
        <v/>
      </c>
      <c r="G1155" s="4" t="inlineStr">
        <is>
          <t>Absenteeism %</t>
        </is>
      </c>
      <c r="H1155" s="4">
        <f>IFERROR(INDEX(Tbl_KPIMaster[Unit],MATCH($G1155,Tbl_KPIMaster[KPI],0)),"")</f>
        <v/>
      </c>
      <c r="I1155" s="5">
        <f>IFERROR(INDEX(Tbl_KPIMaster[Maximum Target],MATCH($G1155,Tbl_KPIMaster[KPI],0)),"")</f>
        <v/>
      </c>
      <c r="J1155" s="5" t="n">
        <v>1.3671</v>
      </c>
      <c r="K1155" s="4">
        <f>IFERROR(INDEX(Tbl_KPIMaster[Tolerance],MATCH($G1155,Tbl_KPIMaster[KPI],0)),"")</f>
        <v/>
      </c>
      <c r="L1155" s="4">
        <f>IFERROR(INDEX(Tbl_KPIMaster[Owner],MATCH($G1155,Tbl_KPIMaster[KPI],0)),"")</f>
        <v/>
      </c>
      <c r="M1155" s="6" t="inlineStr">
        <is>
          <t>Equipment breakdown</t>
        </is>
      </c>
      <c r="N1155" s="4" t="inlineStr"/>
      <c r="O1155" s="4" t="inlineStr">
        <is>
          <t>High</t>
        </is>
      </c>
      <c r="P1155" s="4" t="inlineStr">
        <is>
          <t>Closed</t>
        </is>
      </c>
      <c r="Q1155" s="5">
        <f>IFERROR(IF(INDEX(Tbl_KPIMaster[Direction],MATCH($G1155,Tbl_KPIMaster[KPI],0))="Lower is Better",IF($J1155=0,1,IF($I1155=0,0,$I1155/$J1155)),IF($I1155=0,1,$J1155/$I1155)),0)</f>
        <v/>
      </c>
      <c r="R1155" s="4">
        <f>IF(OR($I1155="",$J1155=""),"",$J1155-$I1155)</f>
        <v/>
      </c>
      <c r="S1155" s="4">
        <f>IFERROR(IF(INDEX(Tbl_KPIMaster[Direction],MATCH($G1155,Tbl_KPIMaster[KPI],0))="Lower is Better",IF($J1155&lt;=$I1155,"Green",IF($J1155&lt;=$I1155+IF($I1155=0,$K1155,$I1155*$K1155),"Amber","Red")),IF($J1155&gt;=$I1155,"Green",IF($J1155&gt;=$I1155-IF($I1155=0,$K1155,$I1155*$K1155),"Amber","Red"))),"")</f>
        <v/>
      </c>
      <c r="T1155" s="6" t="inlineStr"/>
    </row>
    <row r="1156">
      <c r="A1156" s="7" t="n">
        <v>46187</v>
      </c>
      <c r="B1156" s="8">
        <f>IF($A1156="","",TEXT($A1156,"mmm-yyyy"))</f>
        <v/>
      </c>
      <c r="C1156" s="8">
        <f>IF($A1156="","","W"&amp;WEEKNUM($A1156,2))</f>
        <v/>
      </c>
      <c r="D1156" s="8">
        <f>IF($A1156="","",TEXT($A1156,"ddd"))</f>
        <v/>
      </c>
      <c r="E1156" s="8" t="inlineStr">
        <is>
          <t>HR</t>
        </is>
      </c>
      <c r="F1156" s="8">
        <f>IFERROR(INDEX(Tbl_KPIMaster[Category],MATCH($G1156,Tbl_KPIMaster[KPI],0)),"")</f>
        <v/>
      </c>
      <c r="G1156" s="8" t="inlineStr">
        <is>
          <t>Training Hours</t>
        </is>
      </c>
      <c r="H1156" s="8">
        <f>IFERROR(INDEX(Tbl_KPIMaster[Unit],MATCH($G1156,Tbl_KPIMaster[KPI],0)),"")</f>
        <v/>
      </c>
      <c r="I1156" s="9">
        <f>IFERROR(INDEX(Tbl_KPIMaster[Maximum Target],MATCH($G1156,Tbl_KPIMaster[KPI],0)),"")</f>
        <v/>
      </c>
      <c r="J1156" s="9" t="n">
        <v>2.33</v>
      </c>
      <c r="K1156" s="8">
        <f>IFERROR(INDEX(Tbl_KPIMaster[Tolerance],MATCH($G1156,Tbl_KPIMaster[KPI],0)),"")</f>
        <v/>
      </c>
      <c r="L1156" s="8">
        <f>IFERROR(INDEX(Tbl_KPIMaster[Owner],MATCH($G1156,Tbl_KPIMaster[KPI],0)),"")</f>
        <v/>
      </c>
      <c r="M1156" s="10" t="inlineStr">
        <is>
          <t>Vendor delay</t>
        </is>
      </c>
      <c r="N1156" s="8" t="inlineStr"/>
      <c r="O1156" s="8" t="inlineStr">
        <is>
          <t>Low</t>
        </is>
      </c>
      <c r="P1156" s="8" t="inlineStr">
        <is>
          <t>Open</t>
        </is>
      </c>
      <c r="Q1156" s="9">
        <f>IFERROR(IF(INDEX(Tbl_KPIMaster[Direction],MATCH($G1156,Tbl_KPIMaster[KPI],0))="Lower is Better",IF($J1156=0,1,IF($I1156=0,0,$I1156/$J1156)),IF($I1156=0,1,$J1156/$I1156)),0)</f>
        <v/>
      </c>
      <c r="R1156" s="8">
        <f>IF(OR($I1156="",$J1156=""),"",$J1156-$I1156)</f>
        <v/>
      </c>
      <c r="S1156" s="8">
        <f>IFERROR(IF(INDEX(Tbl_KPIMaster[Direction],MATCH($G1156,Tbl_KPIMaster[KPI],0))="Lower is Better",IF($J1156&lt;=$I1156,"Green",IF($J1156&lt;=$I1156+IF($I1156=0,$K1156,$I1156*$K1156),"Amber","Red")),IF($J1156&gt;=$I1156,"Green",IF($J1156&gt;=$I1156-IF($I1156=0,$K1156,$I1156*$K1156),"Amber","Red"))),"")</f>
        <v/>
      </c>
      <c r="T1156" s="10" t="inlineStr"/>
    </row>
    <row r="1157">
      <c r="A1157" s="3" t="n">
        <v>46187</v>
      </c>
      <c r="B1157" s="4">
        <f>IF($A1157="","",TEXT($A1157,"mmm-yyyy"))</f>
        <v/>
      </c>
      <c r="C1157" s="4">
        <f>IF($A1157="","","W"&amp;WEEKNUM($A1157,2))</f>
        <v/>
      </c>
      <c r="D1157" s="4">
        <f>IF($A1157="","",TEXT($A1157,"ddd"))</f>
        <v/>
      </c>
      <c r="E1157" s="4" t="inlineStr">
        <is>
          <t>Engineering</t>
        </is>
      </c>
      <c r="F1157" s="4">
        <f>IFERROR(INDEX(Tbl_KPIMaster[Category],MATCH($G1157,Tbl_KPIMaster[KPI],0)),"")</f>
        <v/>
      </c>
      <c r="G1157" s="4" t="inlineStr">
        <is>
          <t>Project Milestone Adherence %</t>
        </is>
      </c>
      <c r="H1157" s="4">
        <f>IFERROR(INDEX(Tbl_KPIMaster[Unit],MATCH($G1157,Tbl_KPIMaster[KPI],0)),"")</f>
        <v/>
      </c>
      <c r="I1157" s="5">
        <f>IFERROR(INDEX(Tbl_KPIMaster[Maximum Target],MATCH($G1157,Tbl_KPIMaster[KPI],0)),"")</f>
        <v/>
      </c>
      <c r="J1157" s="5" t="n">
        <v>0.6938</v>
      </c>
      <c r="K1157" s="4">
        <f>IFERROR(INDEX(Tbl_KPIMaster[Tolerance],MATCH($G1157,Tbl_KPIMaster[KPI],0)),"")</f>
        <v/>
      </c>
      <c r="L1157" s="4">
        <f>IFERROR(INDEX(Tbl_KPIMaster[Owner],MATCH($G1157,Tbl_KPIMaster[KPI],0)),"")</f>
        <v/>
      </c>
      <c r="M1157" s="6" t="inlineStr">
        <is>
          <t>Preventive check done</t>
        </is>
      </c>
      <c r="N1157" s="4" t="inlineStr"/>
      <c r="O1157" s="4" t="inlineStr">
        <is>
          <t>High</t>
        </is>
      </c>
      <c r="P1157" s="4" t="inlineStr">
        <is>
          <t>In Progress</t>
        </is>
      </c>
      <c r="Q1157" s="5">
        <f>IFERROR(IF(INDEX(Tbl_KPIMaster[Direction],MATCH($G1157,Tbl_KPIMaster[KPI],0))="Lower is Better",IF($J1157=0,1,IF($I1157=0,0,$I1157/$J1157)),IF($I1157=0,1,$J1157/$I1157)),0)</f>
        <v/>
      </c>
      <c r="R1157" s="4">
        <f>IF(OR($I1157="",$J1157=""),"",$J1157-$I1157)</f>
        <v/>
      </c>
      <c r="S1157" s="4">
        <f>IFERROR(IF(INDEX(Tbl_KPIMaster[Direction],MATCH($G1157,Tbl_KPIMaster[KPI],0))="Lower is Better",IF($J1157&lt;=$I1157,"Green",IF($J1157&lt;=$I1157+IF($I1157=0,$K1157,$I1157*$K1157),"Amber","Red")),IF($J1157&gt;=$I1157,"Green",IF($J1157&gt;=$I1157-IF($I1157=0,$K1157,$I1157*$K1157),"Amber","Red"))),"")</f>
        <v/>
      </c>
      <c r="T1157" s="6" t="inlineStr"/>
    </row>
    <row r="1158">
      <c r="A1158" s="7" t="n">
        <v>46187</v>
      </c>
      <c r="B1158" s="8">
        <f>IF($A1158="","",TEXT($A1158,"mmm-yyyy"))</f>
        <v/>
      </c>
      <c r="C1158" s="8">
        <f>IF($A1158="","","W"&amp;WEEKNUM($A1158,2))</f>
        <v/>
      </c>
      <c r="D1158" s="8">
        <f>IF($A1158="","",TEXT($A1158,"ddd"))</f>
        <v/>
      </c>
      <c r="E1158" s="8" t="inlineStr">
        <is>
          <t>Engineering</t>
        </is>
      </c>
      <c r="F1158" s="8">
        <f>IFERROR(INDEX(Tbl_KPIMaster[Category],MATCH($G1158,Tbl_KPIMaster[KPI],0)),"")</f>
        <v/>
      </c>
      <c r="G1158" s="8" t="inlineStr">
        <is>
          <t>Breakdown Resolution Time</t>
        </is>
      </c>
      <c r="H1158" s="8">
        <f>IFERROR(INDEX(Tbl_KPIMaster[Unit],MATCH($G1158,Tbl_KPIMaster[KPI],0)),"")</f>
        <v/>
      </c>
      <c r="I1158" s="9">
        <f>IFERROR(INDEX(Tbl_KPIMaster[Maximum Target],MATCH($G1158,Tbl_KPIMaster[KPI],0)),"")</f>
        <v/>
      </c>
      <c r="J1158" s="9" t="n">
        <v>0</v>
      </c>
      <c r="K1158" s="8">
        <f>IFERROR(INDEX(Tbl_KPIMaster[Tolerance],MATCH($G1158,Tbl_KPIMaster[KPI],0)),"")</f>
        <v/>
      </c>
      <c r="L1158" s="8">
        <f>IFERROR(INDEX(Tbl_KPIMaster[Owner],MATCH($G1158,Tbl_KPIMaster[KPI],0)),"")</f>
        <v/>
      </c>
      <c r="M1158" s="10" t="inlineStr">
        <is>
          <t>New operator training effect</t>
        </is>
      </c>
      <c r="N1158" s="8" t="inlineStr"/>
      <c r="O1158" s="8" t="inlineStr">
        <is>
          <t>Medium</t>
        </is>
      </c>
      <c r="P1158" s="8" t="inlineStr">
        <is>
          <t>Open</t>
        </is>
      </c>
      <c r="Q1158" s="9">
        <f>IFERROR(IF(INDEX(Tbl_KPIMaster[Direction],MATCH($G1158,Tbl_KPIMaster[KPI],0))="Lower is Better",IF($J1158=0,1,IF($I1158=0,0,$I1158/$J1158)),IF($I1158=0,1,$J1158/$I1158)),0)</f>
        <v/>
      </c>
      <c r="R1158" s="8">
        <f>IF(OR($I1158="",$J1158=""),"",$J1158-$I1158)</f>
        <v/>
      </c>
      <c r="S1158" s="8">
        <f>IFERROR(IF(INDEX(Tbl_KPIMaster[Direction],MATCH($G1158,Tbl_KPIMaster[KPI],0))="Lower is Better",IF($J1158&lt;=$I1158,"Green",IF($J1158&lt;=$I1158+IF($I1158=0,$K1158,$I1158*$K1158),"Amber","Red")),IF($J1158&gt;=$I1158,"Green",IF($J1158&gt;=$I1158-IF($I1158=0,$K1158,$I1158*$K1158),"Amber","Red"))),"")</f>
        <v/>
      </c>
      <c r="T1158" s="10" t="inlineStr"/>
    </row>
    <row r="1159">
      <c r="A1159" s="3" t="n">
        <v>46187</v>
      </c>
      <c r="B1159" s="4">
        <f>IF($A1159="","",TEXT($A1159,"mmm-yyyy"))</f>
        <v/>
      </c>
      <c r="C1159" s="4">
        <f>IF($A1159="","","W"&amp;WEEKNUM($A1159,2))</f>
        <v/>
      </c>
      <c r="D1159" s="4">
        <f>IF($A1159="","",TEXT($A1159,"ddd"))</f>
        <v/>
      </c>
      <c r="E1159" s="4" t="inlineStr">
        <is>
          <t>Cost</t>
        </is>
      </c>
      <c r="F1159" s="4">
        <f>IFERROR(INDEX(Tbl_KPIMaster[Category],MATCH($G1159,Tbl_KPIMaster[KPI],0)),"")</f>
        <v/>
      </c>
      <c r="G1159" s="4" t="inlineStr">
        <is>
          <t>Cost per Unit</t>
        </is>
      </c>
      <c r="H1159" s="4">
        <f>IFERROR(INDEX(Tbl_KPIMaster[Unit],MATCH($G1159,Tbl_KPIMaster[KPI],0)),"")</f>
        <v/>
      </c>
      <c r="I1159" s="5">
        <f>IFERROR(INDEX(Tbl_KPIMaster[Maximum Target],MATCH($G1159,Tbl_KPIMaster[KPI],0)),"")</f>
        <v/>
      </c>
      <c r="J1159" s="5" t="n">
        <v>41.15</v>
      </c>
      <c r="K1159" s="4">
        <f>IFERROR(INDEX(Tbl_KPIMaster[Tolerance],MATCH($G1159,Tbl_KPIMaster[KPI],0)),"")</f>
        <v/>
      </c>
      <c r="L1159" s="4">
        <f>IFERROR(INDEX(Tbl_KPIMaster[Owner],MATCH($G1159,Tbl_KPIMaster[KPI],0)),"")</f>
        <v/>
      </c>
      <c r="M1159" s="6" t="inlineStr"/>
      <c r="N1159" s="4" t="inlineStr">
        <is>
          <t>Procurement follow-up</t>
        </is>
      </c>
      <c r="O1159" s="4" t="inlineStr">
        <is>
          <t>Low</t>
        </is>
      </c>
      <c r="P1159" s="4" t="inlineStr">
        <is>
          <t>Closed</t>
        </is>
      </c>
      <c r="Q1159" s="5">
        <f>IFERROR(IF(INDEX(Tbl_KPIMaster[Direction],MATCH($G1159,Tbl_KPIMaster[KPI],0))="Lower is Better",IF($J1159=0,1,IF($I1159=0,0,$I1159/$J1159)),IF($I1159=0,1,$J1159/$I1159)),0)</f>
        <v/>
      </c>
      <c r="R1159" s="4">
        <f>IF(OR($I1159="",$J1159=""),"",$J1159-$I1159)</f>
        <v/>
      </c>
      <c r="S1159" s="4">
        <f>IFERROR(IF(INDEX(Tbl_KPIMaster[Direction],MATCH($G1159,Tbl_KPIMaster[KPI],0))="Lower is Better",IF($J1159&lt;=$I1159,"Green",IF($J1159&lt;=$I1159+IF($I1159=0,$K1159,$I1159*$K1159),"Amber","Red")),IF($J1159&gt;=$I1159,"Green",IF($J1159&gt;=$I1159-IF($I1159=0,$K1159,$I1159*$K1159),"Amber","Red"))),"")</f>
        <v/>
      </c>
      <c r="T1159" s="6" t="inlineStr"/>
    </row>
    <row r="1160">
      <c r="A1160" s="7" t="n">
        <v>46187</v>
      </c>
      <c r="B1160" s="8">
        <f>IF($A1160="","",TEXT($A1160,"mmm-yyyy"))</f>
        <v/>
      </c>
      <c r="C1160" s="8">
        <f>IF($A1160="","","W"&amp;WEEKNUM($A1160,2))</f>
        <v/>
      </c>
      <c r="D1160" s="8">
        <f>IF($A1160="","",TEXT($A1160,"ddd"))</f>
        <v/>
      </c>
      <c r="E1160" s="8" t="inlineStr">
        <is>
          <t>Cost</t>
        </is>
      </c>
      <c r="F1160" s="8">
        <f>IFERROR(INDEX(Tbl_KPIMaster[Category],MATCH($G1160,Tbl_KPIMaster[KPI],0)),"")</f>
        <v/>
      </c>
      <c r="G1160" s="8" t="inlineStr">
        <is>
          <t>Budget Variance %</t>
        </is>
      </c>
      <c r="H1160" s="8">
        <f>IFERROR(INDEX(Tbl_KPIMaster[Unit],MATCH($G1160,Tbl_KPIMaster[KPI],0)),"")</f>
        <v/>
      </c>
      <c r="I1160" s="9">
        <f>IFERROR(INDEX(Tbl_KPIMaster[Maximum Target],MATCH($G1160,Tbl_KPIMaster[KPI],0)),"")</f>
        <v/>
      </c>
      <c r="J1160" s="9" t="n">
        <v>0</v>
      </c>
      <c r="K1160" s="8">
        <f>IFERROR(INDEX(Tbl_KPIMaster[Tolerance],MATCH($G1160,Tbl_KPIMaster[KPI],0)),"")</f>
        <v/>
      </c>
      <c r="L1160" s="8">
        <f>IFERROR(INDEX(Tbl_KPIMaster[Owner],MATCH($G1160,Tbl_KPIMaster[KPI],0)),"")</f>
        <v/>
      </c>
      <c r="M1160" s="10" t="inlineStr"/>
      <c r="N1160" s="8" t="inlineStr">
        <is>
          <t>Procurement follow-up</t>
        </is>
      </c>
      <c r="O1160" s="8" t="inlineStr">
        <is>
          <t>Low</t>
        </is>
      </c>
      <c r="P1160" s="8" t="inlineStr">
        <is>
          <t>Closed</t>
        </is>
      </c>
      <c r="Q1160" s="9">
        <f>IFERROR(IF(INDEX(Tbl_KPIMaster[Direction],MATCH($G1160,Tbl_KPIMaster[KPI],0))="Lower is Better",IF($J1160=0,1,IF($I1160=0,0,$I1160/$J1160)),IF($I1160=0,1,$J1160/$I1160)),0)</f>
        <v/>
      </c>
      <c r="R1160" s="8">
        <f>IF(OR($I1160="",$J1160=""),"",$J1160-$I1160)</f>
        <v/>
      </c>
      <c r="S1160" s="8">
        <f>IFERROR(IF(INDEX(Tbl_KPIMaster[Direction],MATCH($G1160,Tbl_KPIMaster[KPI],0))="Lower is Better",IF($J1160&lt;=$I1160,"Green",IF($J1160&lt;=$I1160+IF($I1160=0,$K1160,$I1160*$K1160),"Amber","Red")),IF($J1160&gt;=$I1160,"Green",IF($J1160&gt;=$I1160-IF($I1160=0,$K1160,$I1160*$K1160),"Amber","Red"))),"")</f>
        <v/>
      </c>
      <c r="T1160" s="10" t="inlineStr"/>
    </row>
    <row r="1161">
      <c r="A1161" s="3" t="n">
        <v>46187</v>
      </c>
      <c r="B1161" s="4">
        <f>IF($A1161="","",TEXT($A1161,"mmm-yyyy"))</f>
        <v/>
      </c>
      <c r="C1161" s="4">
        <f>IF($A1161="","","W"&amp;WEEKNUM($A1161,2))</f>
        <v/>
      </c>
      <c r="D1161" s="4">
        <f>IF($A1161="","",TEXT($A1161,"ddd"))</f>
        <v/>
      </c>
      <c r="E1161" s="4" t="inlineStr">
        <is>
          <t>Energy</t>
        </is>
      </c>
      <c r="F1161" s="4">
        <f>IFERROR(INDEX(Tbl_KPIMaster[Category],MATCH($G1161,Tbl_KPIMaster[KPI],0)),"")</f>
        <v/>
      </c>
      <c r="G1161" s="4" t="inlineStr">
        <is>
          <t>Energy Intensity (kWh/unit)</t>
        </is>
      </c>
      <c r="H1161" s="4">
        <f>IFERROR(INDEX(Tbl_KPIMaster[Unit],MATCH($G1161,Tbl_KPIMaster[KPI],0)),"")</f>
        <v/>
      </c>
      <c r="I1161" s="5">
        <f>IFERROR(INDEX(Tbl_KPIMaster[Maximum Target],MATCH($G1161,Tbl_KPIMaster[KPI],0)),"")</f>
        <v/>
      </c>
      <c r="J1161" s="5" t="n">
        <v>3.87</v>
      </c>
      <c r="K1161" s="4">
        <f>IFERROR(INDEX(Tbl_KPIMaster[Tolerance],MATCH($G1161,Tbl_KPIMaster[KPI],0)),"")</f>
        <v/>
      </c>
      <c r="L1161" s="4">
        <f>IFERROR(INDEX(Tbl_KPIMaster[Owner],MATCH($G1161,Tbl_KPIMaster[KPI],0)),"")</f>
        <v/>
      </c>
      <c r="M1161" s="6" t="inlineStr">
        <is>
          <t>Vendor delay</t>
        </is>
      </c>
      <c r="N1161" s="4" t="inlineStr"/>
      <c r="O1161" s="4" t="inlineStr">
        <is>
          <t>Medium</t>
        </is>
      </c>
      <c r="P1161" s="4" t="inlineStr">
        <is>
          <t>Closed</t>
        </is>
      </c>
      <c r="Q1161" s="5">
        <f>IFERROR(IF(INDEX(Tbl_KPIMaster[Direction],MATCH($G1161,Tbl_KPIMaster[KPI],0))="Lower is Better",IF($J1161=0,1,IF($I1161=0,0,$I1161/$J1161)),IF($I1161=0,1,$J1161/$I1161)),0)</f>
        <v/>
      </c>
      <c r="R1161" s="4">
        <f>IF(OR($I1161="",$J1161=""),"",$J1161-$I1161)</f>
        <v/>
      </c>
      <c r="S1161" s="4">
        <f>IFERROR(IF(INDEX(Tbl_KPIMaster[Direction],MATCH($G1161,Tbl_KPIMaster[KPI],0))="Lower is Better",IF($J1161&lt;=$I1161,"Green",IF($J1161&lt;=$I1161+IF($I1161=0,$K1161,$I1161*$K1161),"Amber","Red")),IF($J1161&gt;=$I1161,"Green",IF($J1161&gt;=$I1161-IF($I1161=0,$K1161,$I1161*$K1161),"Amber","Red"))),"")</f>
        <v/>
      </c>
      <c r="T1161" s="6" t="inlineStr"/>
    </row>
    <row r="1162">
      <c r="A1162" s="7" t="n">
        <v>46187</v>
      </c>
      <c r="B1162" s="8">
        <f>IF($A1162="","",TEXT($A1162,"mmm-yyyy"))</f>
        <v/>
      </c>
      <c r="C1162" s="8">
        <f>IF($A1162="","","W"&amp;WEEKNUM($A1162,2))</f>
        <v/>
      </c>
      <c r="D1162" s="8">
        <f>IF($A1162="","",TEXT($A1162,"ddd"))</f>
        <v/>
      </c>
      <c r="E1162" s="8" t="inlineStr">
        <is>
          <t>Energy</t>
        </is>
      </c>
      <c r="F1162" s="8">
        <f>IFERROR(INDEX(Tbl_KPIMaster[Category],MATCH($G1162,Tbl_KPIMaster[KPI],0)),"")</f>
        <v/>
      </c>
      <c r="G1162" s="8" t="inlineStr">
        <is>
          <t>Renewable Energy Share %</t>
        </is>
      </c>
      <c r="H1162" s="8">
        <f>IFERROR(INDEX(Tbl_KPIMaster[Unit],MATCH($G1162,Tbl_KPIMaster[KPI],0)),"")</f>
        <v/>
      </c>
      <c r="I1162" s="9">
        <f>IFERROR(INDEX(Tbl_KPIMaster[Maximum Target],MATCH($G1162,Tbl_KPIMaster[KPI],0)),"")</f>
        <v/>
      </c>
      <c r="J1162" s="9" t="n">
        <v>0.2404</v>
      </c>
      <c r="K1162" s="8">
        <f>IFERROR(INDEX(Tbl_KPIMaster[Tolerance],MATCH($G1162,Tbl_KPIMaster[KPI],0)),"")</f>
        <v/>
      </c>
      <c r="L1162" s="8">
        <f>IFERROR(INDEX(Tbl_KPIMaster[Owner],MATCH($G1162,Tbl_KPIMaster[KPI],0)),"")</f>
        <v/>
      </c>
      <c r="M1162" s="10" t="inlineStr">
        <is>
          <t>New operator training effect</t>
        </is>
      </c>
      <c r="N1162" s="8" t="inlineStr">
        <is>
          <t>Management approval pending</t>
        </is>
      </c>
      <c r="O1162" s="8" t="inlineStr">
        <is>
          <t>High</t>
        </is>
      </c>
      <c r="P1162" s="8" t="inlineStr">
        <is>
          <t>Closed</t>
        </is>
      </c>
      <c r="Q1162" s="9">
        <f>IFERROR(IF(INDEX(Tbl_KPIMaster[Direction],MATCH($G1162,Tbl_KPIMaster[KPI],0))="Lower is Better",IF($J1162=0,1,IF($I1162=0,0,$I1162/$J1162)),IF($I1162=0,1,$J1162/$I1162)),0)</f>
        <v/>
      </c>
      <c r="R1162" s="8">
        <f>IF(OR($I1162="",$J1162=""),"",$J1162-$I1162)</f>
        <v/>
      </c>
      <c r="S1162" s="8">
        <f>IFERROR(IF(INDEX(Tbl_KPIMaster[Direction],MATCH($G1162,Tbl_KPIMaster[KPI],0))="Lower is Better",IF($J1162&lt;=$I1162,"Green",IF($J1162&lt;=$I1162+IF($I1162=0,$K1162,$I1162*$K1162),"Amber","Red")),IF($J1162&gt;=$I1162,"Green",IF($J1162&gt;=$I1162-IF($I1162=0,$K1162,$I1162*$K1162),"Amber","Red"))),"")</f>
        <v/>
      </c>
      <c r="T1162" s="10" t="inlineStr"/>
    </row>
    <row r="1163">
      <c r="A1163" s="3" t="n">
        <v>46188</v>
      </c>
      <c r="B1163" s="4">
        <f>IF($A1163="","",TEXT($A1163,"mmm-yyyy"))</f>
        <v/>
      </c>
      <c r="C1163" s="4">
        <f>IF($A1163="","","W"&amp;WEEKNUM($A1163,2))</f>
        <v/>
      </c>
      <c r="D1163" s="4">
        <f>IF($A1163="","",TEXT($A1163,"ddd"))</f>
        <v/>
      </c>
      <c r="E1163" s="4" t="inlineStr">
        <is>
          <t>Safety</t>
        </is>
      </c>
      <c r="F1163" s="4">
        <f>IFERROR(INDEX(Tbl_KPIMaster[Category],MATCH($G1163,Tbl_KPIMaster[KPI],0)),"")</f>
        <v/>
      </c>
      <c r="G1163" s="4" t="inlineStr">
        <is>
          <t>Safety Incidents (LTI)</t>
        </is>
      </c>
      <c r="H1163" s="4">
        <f>IFERROR(INDEX(Tbl_KPIMaster[Unit],MATCH($G1163,Tbl_KPIMaster[KPI],0)),"")</f>
        <v/>
      </c>
      <c r="I1163" s="5">
        <f>IFERROR(INDEX(Tbl_KPIMaster[Maximum Target],MATCH($G1163,Tbl_KPIMaster[KPI],0)),"")</f>
        <v/>
      </c>
      <c r="J1163" s="5" t="n">
        <v>0</v>
      </c>
      <c r="K1163" s="4">
        <f>IFERROR(INDEX(Tbl_KPIMaster[Tolerance],MATCH($G1163,Tbl_KPIMaster[KPI],0)),"")</f>
        <v/>
      </c>
      <c r="L1163" s="4">
        <f>IFERROR(INDEX(Tbl_KPIMaster[Owner],MATCH($G1163,Tbl_KPIMaster[KPI],0)),"")</f>
        <v/>
      </c>
      <c r="M1163" s="6" t="inlineStr">
        <is>
          <t>Equipment breakdown</t>
        </is>
      </c>
      <c r="N1163" s="4" t="inlineStr">
        <is>
          <t>Engineering support needed</t>
        </is>
      </c>
      <c r="O1163" s="4" t="inlineStr">
        <is>
          <t>Medium</t>
        </is>
      </c>
      <c r="P1163" s="4" t="inlineStr">
        <is>
          <t>Open</t>
        </is>
      </c>
      <c r="Q1163" s="5">
        <f>IFERROR(IF(INDEX(Tbl_KPIMaster[Direction],MATCH($G1163,Tbl_KPIMaster[KPI],0))="Lower is Better",IF($J1163=0,1,IF($I1163=0,0,$I1163/$J1163)),IF($I1163=0,1,$J1163/$I1163)),0)</f>
        <v/>
      </c>
      <c r="R1163" s="4">
        <f>IF(OR($I1163="",$J1163=""),"",$J1163-$I1163)</f>
        <v/>
      </c>
      <c r="S1163" s="4">
        <f>IFERROR(IF(INDEX(Tbl_KPIMaster[Direction],MATCH($G1163,Tbl_KPIMaster[KPI],0))="Lower is Better",IF($J1163&lt;=$I1163,"Green",IF($J1163&lt;=$I1163+IF($I1163=0,$K1163,$I1163*$K1163),"Amber","Red")),IF($J1163&gt;=$I1163,"Green",IF($J1163&gt;=$I1163-IF($I1163=0,$K1163,$I1163*$K1163),"Amber","Red"))),"")</f>
        <v/>
      </c>
      <c r="T1163" s="6" t="inlineStr"/>
    </row>
    <row r="1164">
      <c r="A1164" s="7" t="n">
        <v>46188</v>
      </c>
      <c r="B1164" s="8">
        <f>IF($A1164="","",TEXT($A1164,"mmm-yyyy"))</f>
        <v/>
      </c>
      <c r="C1164" s="8">
        <f>IF($A1164="","","W"&amp;WEEKNUM($A1164,2))</f>
        <v/>
      </c>
      <c r="D1164" s="8">
        <f>IF($A1164="","",TEXT($A1164,"ddd"))</f>
        <v/>
      </c>
      <c r="E1164" s="8" t="inlineStr">
        <is>
          <t>Safety</t>
        </is>
      </c>
      <c r="F1164" s="8">
        <f>IFERROR(INDEX(Tbl_KPIMaster[Category],MATCH($G1164,Tbl_KPIMaster[KPI],0)),"")</f>
        <v/>
      </c>
      <c r="G1164" s="8" t="inlineStr">
        <is>
          <t>Near Miss Reports</t>
        </is>
      </c>
      <c r="H1164" s="8">
        <f>IFERROR(INDEX(Tbl_KPIMaster[Unit],MATCH($G1164,Tbl_KPIMaster[KPI],0)),"")</f>
        <v/>
      </c>
      <c r="I1164" s="9">
        <f>IFERROR(INDEX(Tbl_KPIMaster[Maximum Target],MATCH($G1164,Tbl_KPIMaster[KPI],0)),"")</f>
        <v/>
      </c>
      <c r="J1164" s="9" t="n">
        <v>2</v>
      </c>
      <c r="K1164" s="8">
        <f>IFERROR(INDEX(Tbl_KPIMaster[Tolerance],MATCH($G1164,Tbl_KPIMaster[KPI],0)),"")</f>
        <v/>
      </c>
      <c r="L1164" s="8">
        <f>IFERROR(INDEX(Tbl_KPIMaster[Owner],MATCH($G1164,Tbl_KPIMaster[KPI],0)),"")</f>
        <v/>
      </c>
      <c r="M1164" s="10" t="inlineStr"/>
      <c r="N1164" s="8" t="inlineStr"/>
      <c r="O1164" s="8" t="inlineStr">
        <is>
          <t>Low</t>
        </is>
      </c>
      <c r="P1164" s="8" t="inlineStr">
        <is>
          <t>In Progress</t>
        </is>
      </c>
      <c r="Q1164" s="9">
        <f>IFERROR(IF(INDEX(Tbl_KPIMaster[Direction],MATCH($G1164,Tbl_KPIMaster[KPI],0))="Lower is Better",IF($J1164=0,1,IF($I1164=0,0,$I1164/$J1164)),IF($I1164=0,1,$J1164/$I1164)),0)</f>
        <v/>
      </c>
      <c r="R1164" s="8">
        <f>IF(OR($I1164="",$J1164=""),"",$J1164-$I1164)</f>
        <v/>
      </c>
      <c r="S1164" s="8">
        <f>IFERROR(IF(INDEX(Tbl_KPIMaster[Direction],MATCH($G1164,Tbl_KPIMaster[KPI],0))="Lower is Better",IF($J1164&lt;=$I1164,"Green",IF($J1164&lt;=$I1164+IF($I1164=0,$K1164,$I1164*$K1164),"Amber","Red")),IF($J1164&gt;=$I1164,"Green",IF($J1164&gt;=$I1164-IF($I1164=0,$K1164,$I1164*$K1164),"Amber","Red"))),"")</f>
        <v/>
      </c>
      <c r="T1164" s="10" t="inlineStr"/>
    </row>
    <row r="1165">
      <c r="A1165" s="3" t="n">
        <v>46188</v>
      </c>
      <c r="B1165" s="4">
        <f>IF($A1165="","",TEXT($A1165,"mmm-yyyy"))</f>
        <v/>
      </c>
      <c r="C1165" s="4">
        <f>IF($A1165="","","W"&amp;WEEKNUM($A1165,2))</f>
        <v/>
      </c>
      <c r="D1165" s="4">
        <f>IF($A1165="","",TEXT($A1165,"ddd"))</f>
        <v/>
      </c>
      <c r="E1165" s="4" t="inlineStr">
        <is>
          <t>Production</t>
        </is>
      </c>
      <c r="F1165" s="4">
        <f>IFERROR(INDEX(Tbl_KPIMaster[Category],MATCH($G1165,Tbl_KPIMaster[KPI],0)),"")</f>
        <v/>
      </c>
      <c r="G1165" s="4" t="inlineStr">
        <is>
          <t>Production Output</t>
        </is>
      </c>
      <c r="H1165" s="4">
        <f>IFERROR(INDEX(Tbl_KPIMaster[Unit],MATCH($G1165,Tbl_KPIMaster[KPI],0)),"")</f>
        <v/>
      </c>
      <c r="I1165" s="5">
        <f>IFERROR(INDEX(Tbl_KPIMaster[Maximum Target],MATCH($G1165,Tbl_KPIMaster[KPI],0)),"")</f>
        <v/>
      </c>
      <c r="J1165" s="5" t="n">
        <v>946.65</v>
      </c>
      <c r="K1165" s="4">
        <f>IFERROR(INDEX(Tbl_KPIMaster[Tolerance],MATCH($G1165,Tbl_KPIMaster[KPI],0)),"")</f>
        <v/>
      </c>
      <c r="L1165" s="4">
        <f>IFERROR(INDEX(Tbl_KPIMaster[Owner],MATCH($G1165,Tbl_KPIMaster[KPI],0)),"")</f>
        <v/>
      </c>
      <c r="M1165" s="6" t="inlineStr">
        <is>
          <t>New operator training effect</t>
        </is>
      </c>
      <c r="N1165" s="4" t="inlineStr"/>
      <c r="O1165" s="4" t="inlineStr">
        <is>
          <t>Low</t>
        </is>
      </c>
      <c r="P1165" s="4" t="inlineStr">
        <is>
          <t>Closed</t>
        </is>
      </c>
      <c r="Q1165" s="5">
        <f>IFERROR(IF(INDEX(Tbl_KPIMaster[Direction],MATCH($G1165,Tbl_KPIMaster[KPI],0))="Lower is Better",IF($J1165=0,1,IF($I1165=0,0,$I1165/$J1165)),IF($I1165=0,1,$J1165/$I1165)),0)</f>
        <v/>
      </c>
      <c r="R1165" s="4">
        <f>IF(OR($I1165="",$J1165=""),"",$J1165-$I1165)</f>
        <v/>
      </c>
      <c r="S1165" s="4">
        <f>IFERROR(IF(INDEX(Tbl_KPIMaster[Direction],MATCH($G1165,Tbl_KPIMaster[KPI],0))="Lower is Better",IF($J1165&lt;=$I1165,"Green",IF($J1165&lt;=$I1165+IF($I1165=0,$K1165,$I1165*$K1165),"Amber","Red")),IF($J1165&gt;=$I1165,"Green",IF($J1165&gt;=$I1165-IF($I1165=0,$K1165,$I1165*$K1165),"Amber","Red"))),"")</f>
        <v/>
      </c>
      <c r="T1165" s="6" t="inlineStr"/>
    </row>
    <row r="1166">
      <c r="A1166" s="7" t="n">
        <v>46188</v>
      </c>
      <c r="B1166" s="8">
        <f>IF($A1166="","",TEXT($A1166,"mmm-yyyy"))</f>
        <v/>
      </c>
      <c r="C1166" s="8">
        <f>IF($A1166="","","W"&amp;WEEKNUM($A1166,2))</f>
        <v/>
      </c>
      <c r="D1166" s="8">
        <f>IF($A1166="","",TEXT($A1166,"ddd"))</f>
        <v/>
      </c>
      <c r="E1166" s="8" t="inlineStr">
        <is>
          <t>Production</t>
        </is>
      </c>
      <c r="F1166" s="8">
        <f>IFERROR(INDEX(Tbl_KPIMaster[Category],MATCH($G1166,Tbl_KPIMaster[KPI],0)),"")</f>
        <v/>
      </c>
      <c r="G1166" s="8" t="inlineStr">
        <is>
          <t>OEE %</t>
        </is>
      </c>
      <c r="H1166" s="8">
        <f>IFERROR(INDEX(Tbl_KPIMaster[Unit],MATCH($G1166,Tbl_KPIMaster[KPI],0)),"")</f>
        <v/>
      </c>
      <c r="I1166" s="9">
        <f>IFERROR(INDEX(Tbl_KPIMaster[Maximum Target],MATCH($G1166,Tbl_KPIMaster[KPI],0)),"")</f>
        <v/>
      </c>
      <c r="J1166" s="9" t="n">
        <v>0.7575</v>
      </c>
      <c r="K1166" s="8">
        <f>IFERROR(INDEX(Tbl_KPIMaster[Tolerance],MATCH($G1166,Tbl_KPIMaster[KPI],0)),"")</f>
        <v/>
      </c>
      <c r="L1166" s="8">
        <f>IFERROR(INDEX(Tbl_KPIMaster[Owner],MATCH($G1166,Tbl_KPIMaster[KPI],0)),"")</f>
        <v/>
      </c>
      <c r="M1166" s="10" t="inlineStr">
        <is>
          <t>Process improvement in progress</t>
        </is>
      </c>
      <c r="N1166" s="8" t="inlineStr">
        <is>
          <t>Procurement follow-up</t>
        </is>
      </c>
      <c r="O1166" s="8" t="inlineStr">
        <is>
          <t>Low</t>
        </is>
      </c>
      <c r="P1166" s="8" t="inlineStr">
        <is>
          <t>In Progress</t>
        </is>
      </c>
      <c r="Q1166" s="9">
        <f>IFERROR(IF(INDEX(Tbl_KPIMaster[Direction],MATCH($G1166,Tbl_KPIMaster[KPI],0))="Lower is Better",IF($J1166=0,1,IF($I1166=0,0,$I1166/$J1166)),IF($I1166=0,1,$J1166/$I1166)),0)</f>
        <v/>
      </c>
      <c r="R1166" s="8">
        <f>IF(OR($I1166="",$J1166=""),"",$J1166-$I1166)</f>
        <v/>
      </c>
      <c r="S1166" s="8">
        <f>IFERROR(IF(INDEX(Tbl_KPIMaster[Direction],MATCH($G1166,Tbl_KPIMaster[KPI],0))="Lower is Better",IF($J1166&lt;=$I1166,"Green",IF($J1166&lt;=$I1166+IF($I1166=0,$K1166,$I1166*$K1166),"Amber","Red")),IF($J1166&gt;=$I1166,"Green",IF($J1166&gt;=$I1166-IF($I1166=0,$K1166,$I1166*$K1166),"Amber","Red"))),"")</f>
        <v/>
      </c>
      <c r="T1166" s="10" t="inlineStr"/>
    </row>
    <row r="1167">
      <c r="A1167" s="3" t="n">
        <v>46188</v>
      </c>
      <c r="B1167" s="4">
        <f>IF($A1167="","",TEXT($A1167,"mmm-yyyy"))</f>
        <v/>
      </c>
      <c r="C1167" s="4">
        <f>IF($A1167="","","W"&amp;WEEKNUM($A1167,2))</f>
        <v/>
      </c>
      <c r="D1167" s="4">
        <f>IF($A1167="","",TEXT($A1167,"ddd"))</f>
        <v/>
      </c>
      <c r="E1167" s="4" t="inlineStr">
        <is>
          <t>Quality</t>
        </is>
      </c>
      <c r="F1167" s="4">
        <f>IFERROR(INDEX(Tbl_KPIMaster[Category],MATCH($G1167,Tbl_KPIMaster[KPI],0)),"")</f>
        <v/>
      </c>
      <c r="G1167" s="4" t="inlineStr">
        <is>
          <t>Defect Rate %</t>
        </is>
      </c>
      <c r="H1167" s="4">
        <f>IFERROR(INDEX(Tbl_KPIMaster[Unit],MATCH($G1167,Tbl_KPIMaster[KPI],0)),"")</f>
        <v/>
      </c>
      <c r="I1167" s="5">
        <f>IFERROR(INDEX(Tbl_KPIMaster[Maximum Target],MATCH($G1167,Tbl_KPIMaster[KPI],0)),"")</f>
        <v/>
      </c>
      <c r="J1167" s="5" t="n">
        <v>0</v>
      </c>
      <c r="K1167" s="4">
        <f>IFERROR(INDEX(Tbl_KPIMaster[Tolerance],MATCH($G1167,Tbl_KPIMaster[KPI],0)),"")</f>
        <v/>
      </c>
      <c r="L1167" s="4">
        <f>IFERROR(INDEX(Tbl_KPIMaster[Owner],MATCH($G1167,Tbl_KPIMaster[KPI],0)),"")</f>
        <v/>
      </c>
      <c r="M1167" s="6" t="inlineStr">
        <is>
          <t>Preventive check done</t>
        </is>
      </c>
      <c r="N1167" s="4" t="inlineStr">
        <is>
          <t>Procurement follow-up</t>
        </is>
      </c>
      <c r="O1167" s="4" t="inlineStr">
        <is>
          <t>Low</t>
        </is>
      </c>
      <c r="P1167" s="4" t="inlineStr">
        <is>
          <t>Open</t>
        </is>
      </c>
      <c r="Q1167" s="5">
        <f>IFERROR(IF(INDEX(Tbl_KPIMaster[Direction],MATCH($G1167,Tbl_KPIMaster[KPI],0))="Lower is Better",IF($J1167=0,1,IF($I1167=0,0,$I1167/$J1167)),IF($I1167=0,1,$J1167/$I1167)),0)</f>
        <v/>
      </c>
      <c r="R1167" s="4">
        <f>IF(OR($I1167="",$J1167=""),"",$J1167-$I1167)</f>
        <v/>
      </c>
      <c r="S1167" s="4">
        <f>IFERROR(IF(INDEX(Tbl_KPIMaster[Direction],MATCH($G1167,Tbl_KPIMaster[KPI],0))="Lower is Better",IF($J1167&lt;=$I1167,"Green",IF($J1167&lt;=$I1167+IF($I1167=0,$K1167,$I1167*$K1167),"Amber","Red")),IF($J1167&gt;=$I1167,"Green",IF($J1167&gt;=$I1167-IF($I1167=0,$K1167,$I1167*$K1167),"Amber","Red"))),"")</f>
        <v/>
      </c>
      <c r="T1167" s="6" t="inlineStr"/>
    </row>
    <row r="1168">
      <c r="A1168" s="7" t="n">
        <v>46188</v>
      </c>
      <c r="B1168" s="8">
        <f>IF($A1168="","",TEXT($A1168,"mmm-yyyy"))</f>
        <v/>
      </c>
      <c r="C1168" s="8">
        <f>IF($A1168="","","W"&amp;WEEKNUM($A1168,2))</f>
        <v/>
      </c>
      <c r="D1168" s="8">
        <f>IF($A1168="","",TEXT($A1168,"ddd"))</f>
        <v/>
      </c>
      <c r="E1168" s="8" t="inlineStr">
        <is>
          <t>Quality</t>
        </is>
      </c>
      <c r="F1168" s="8">
        <f>IFERROR(INDEX(Tbl_KPIMaster[Category],MATCH($G1168,Tbl_KPIMaster[KPI],0)),"")</f>
        <v/>
      </c>
      <c r="G1168" s="8" t="inlineStr">
        <is>
          <t>Customer Complaints</t>
        </is>
      </c>
      <c r="H1168" s="8">
        <f>IFERROR(INDEX(Tbl_KPIMaster[Unit],MATCH($G1168,Tbl_KPIMaster[KPI],0)),"")</f>
        <v/>
      </c>
      <c r="I1168" s="9">
        <f>IFERROR(INDEX(Tbl_KPIMaster[Maximum Target],MATCH($G1168,Tbl_KPIMaster[KPI],0)),"")</f>
        <v/>
      </c>
      <c r="J1168" s="9" t="n">
        <v>0</v>
      </c>
      <c r="K1168" s="8">
        <f>IFERROR(INDEX(Tbl_KPIMaster[Tolerance],MATCH($G1168,Tbl_KPIMaster[KPI],0)),"")</f>
        <v/>
      </c>
      <c r="L1168" s="8">
        <f>IFERROR(INDEX(Tbl_KPIMaster[Owner],MATCH($G1168,Tbl_KPIMaster[KPI],0)),"")</f>
        <v/>
      </c>
      <c r="M1168" s="10" t="inlineStr">
        <is>
          <t>Preventive check done</t>
        </is>
      </c>
      <c r="N1168" s="8" t="inlineStr">
        <is>
          <t>Engineering support needed</t>
        </is>
      </c>
      <c r="O1168" s="8" t="inlineStr">
        <is>
          <t>Medium</t>
        </is>
      </c>
      <c r="P1168" s="8" t="inlineStr">
        <is>
          <t>Closed</t>
        </is>
      </c>
      <c r="Q1168" s="9">
        <f>IFERROR(IF(INDEX(Tbl_KPIMaster[Direction],MATCH($G1168,Tbl_KPIMaster[KPI],0))="Lower is Better",IF($J1168=0,1,IF($I1168=0,0,$I1168/$J1168)),IF($I1168=0,1,$J1168/$I1168)),0)</f>
        <v/>
      </c>
      <c r="R1168" s="8">
        <f>IF(OR($I1168="",$J1168=""),"",$J1168-$I1168)</f>
        <v/>
      </c>
      <c r="S1168" s="8">
        <f>IFERROR(IF(INDEX(Tbl_KPIMaster[Direction],MATCH($G1168,Tbl_KPIMaster[KPI],0))="Lower is Better",IF($J1168&lt;=$I1168,"Green",IF($J1168&lt;=$I1168+IF($I1168=0,$K1168,$I1168*$K1168),"Amber","Red")),IF($J1168&gt;=$I1168,"Green",IF($J1168&gt;=$I1168-IF($I1168=0,$K1168,$I1168*$K1168),"Amber","Red"))),"")</f>
        <v/>
      </c>
      <c r="T1168" s="10" t="inlineStr"/>
    </row>
    <row r="1169">
      <c r="A1169" s="3" t="n">
        <v>46188</v>
      </c>
      <c r="B1169" s="4">
        <f>IF($A1169="","",TEXT($A1169,"mmm-yyyy"))</f>
        <v/>
      </c>
      <c r="C1169" s="4">
        <f>IF($A1169="","","W"&amp;WEEKNUM($A1169,2))</f>
        <v/>
      </c>
      <c r="D1169" s="4">
        <f>IF($A1169="","",TEXT($A1169,"ddd"))</f>
        <v/>
      </c>
      <c r="E1169" s="4" t="inlineStr">
        <is>
          <t>Maintenance</t>
        </is>
      </c>
      <c r="F1169" s="4">
        <f>IFERROR(INDEX(Tbl_KPIMaster[Category],MATCH($G1169,Tbl_KPIMaster[KPI],0)),"")</f>
        <v/>
      </c>
      <c r="G1169" s="4" t="inlineStr">
        <is>
          <t>Unplanned Downtime</t>
        </is>
      </c>
      <c r="H1169" s="4">
        <f>IFERROR(INDEX(Tbl_KPIMaster[Unit],MATCH($G1169,Tbl_KPIMaster[KPI],0)),"")</f>
        <v/>
      </c>
      <c r="I1169" s="5">
        <f>IFERROR(INDEX(Tbl_KPIMaster[Maximum Target],MATCH($G1169,Tbl_KPIMaster[KPI],0)),"")</f>
        <v/>
      </c>
      <c r="J1169" s="5" t="n">
        <v>0</v>
      </c>
      <c r="K1169" s="4">
        <f>IFERROR(INDEX(Tbl_KPIMaster[Tolerance],MATCH($G1169,Tbl_KPIMaster[KPI],0)),"")</f>
        <v/>
      </c>
      <c r="L1169" s="4">
        <f>IFERROR(INDEX(Tbl_KPIMaster[Owner],MATCH($G1169,Tbl_KPIMaster[KPI],0)),"")</f>
        <v/>
      </c>
      <c r="M1169" s="6" t="inlineStr">
        <is>
          <t>Within normal range</t>
        </is>
      </c>
      <c r="N1169" s="4" t="inlineStr">
        <is>
          <t>Engineering support needed</t>
        </is>
      </c>
      <c r="O1169" s="4" t="inlineStr">
        <is>
          <t>Medium</t>
        </is>
      </c>
      <c r="P1169" s="4" t="inlineStr">
        <is>
          <t>Closed</t>
        </is>
      </c>
      <c r="Q1169" s="5">
        <f>IFERROR(IF(INDEX(Tbl_KPIMaster[Direction],MATCH($G1169,Tbl_KPIMaster[KPI],0))="Lower is Better",IF($J1169=0,1,IF($I1169=0,0,$I1169/$J1169)),IF($I1169=0,1,$J1169/$I1169)),0)</f>
        <v/>
      </c>
      <c r="R1169" s="4">
        <f>IF(OR($I1169="",$J1169=""),"",$J1169-$I1169)</f>
        <v/>
      </c>
      <c r="S1169" s="4">
        <f>IFERROR(IF(INDEX(Tbl_KPIMaster[Direction],MATCH($G1169,Tbl_KPIMaster[KPI],0))="Lower is Better",IF($J1169&lt;=$I1169,"Green",IF($J1169&lt;=$I1169+IF($I1169=0,$K1169,$I1169*$K1169),"Amber","Red")),IF($J1169&gt;=$I1169,"Green",IF($J1169&gt;=$I1169-IF($I1169=0,$K1169,$I1169*$K1169),"Amber","Red"))),"")</f>
        <v/>
      </c>
      <c r="T1169" s="6" t="inlineStr"/>
    </row>
    <row r="1170">
      <c r="A1170" s="7" t="n">
        <v>46188</v>
      </c>
      <c r="B1170" s="8">
        <f>IF($A1170="","",TEXT($A1170,"mmm-yyyy"))</f>
        <v/>
      </c>
      <c r="C1170" s="8">
        <f>IF($A1170="","","W"&amp;WEEKNUM($A1170,2))</f>
        <v/>
      </c>
      <c r="D1170" s="8">
        <f>IF($A1170="","",TEXT($A1170,"ddd"))</f>
        <v/>
      </c>
      <c r="E1170" s="8" t="inlineStr">
        <is>
          <t>Maintenance</t>
        </is>
      </c>
      <c r="F1170" s="8">
        <f>IFERROR(INDEX(Tbl_KPIMaster[Category],MATCH($G1170,Tbl_KPIMaster[KPI],0)),"")</f>
        <v/>
      </c>
      <c r="G1170" s="8" t="inlineStr">
        <is>
          <t>PM Compliance %</t>
        </is>
      </c>
      <c r="H1170" s="8">
        <f>IFERROR(INDEX(Tbl_KPIMaster[Unit],MATCH($G1170,Tbl_KPIMaster[KPI],0)),"")</f>
        <v/>
      </c>
      <c r="I1170" s="9">
        <f>IFERROR(INDEX(Tbl_KPIMaster[Maximum Target],MATCH($G1170,Tbl_KPIMaster[KPI],0)),"")</f>
        <v/>
      </c>
      <c r="J1170" s="9" t="n">
        <v>0.9814000000000001</v>
      </c>
      <c r="K1170" s="8">
        <f>IFERROR(INDEX(Tbl_KPIMaster[Tolerance],MATCH($G1170,Tbl_KPIMaster[KPI],0)),"")</f>
        <v/>
      </c>
      <c r="L1170" s="8">
        <f>IFERROR(INDEX(Tbl_KPIMaster[Owner],MATCH($G1170,Tbl_KPIMaster[KPI],0)),"")</f>
        <v/>
      </c>
      <c r="M1170" s="10" t="inlineStr">
        <is>
          <t>New operator training effect</t>
        </is>
      </c>
      <c r="N1170" s="8" t="inlineStr">
        <is>
          <t>Engineering support needed</t>
        </is>
      </c>
      <c r="O1170" s="8" t="inlineStr">
        <is>
          <t>Low</t>
        </is>
      </c>
      <c r="P1170" s="8" t="inlineStr">
        <is>
          <t>Closed</t>
        </is>
      </c>
      <c r="Q1170" s="9">
        <f>IFERROR(IF(INDEX(Tbl_KPIMaster[Direction],MATCH($G1170,Tbl_KPIMaster[KPI],0))="Lower is Better",IF($J1170=0,1,IF($I1170=0,0,$I1170/$J1170)),IF($I1170=0,1,$J1170/$I1170)),0)</f>
        <v/>
      </c>
      <c r="R1170" s="8">
        <f>IF(OR($I1170="",$J1170=""),"",$J1170-$I1170)</f>
        <v/>
      </c>
      <c r="S1170" s="8">
        <f>IFERROR(IF(INDEX(Tbl_KPIMaster[Direction],MATCH($G1170,Tbl_KPIMaster[KPI],0))="Lower is Better",IF($J1170&lt;=$I1170,"Green",IF($J1170&lt;=$I1170+IF($I1170=0,$K1170,$I1170*$K1170),"Amber","Red")),IF($J1170&gt;=$I1170,"Green",IF($J1170&gt;=$I1170-IF($I1170=0,$K1170,$I1170*$K1170),"Amber","Red"))),"")</f>
        <v/>
      </c>
      <c r="T1170" s="10" t="inlineStr"/>
    </row>
    <row r="1171">
      <c r="A1171" s="3" t="n">
        <v>46188</v>
      </c>
      <c r="B1171" s="4">
        <f>IF($A1171="","",TEXT($A1171,"mmm-yyyy"))</f>
        <v/>
      </c>
      <c r="C1171" s="4">
        <f>IF($A1171="","","W"&amp;WEEKNUM($A1171,2))</f>
        <v/>
      </c>
      <c r="D1171" s="4">
        <f>IF($A1171="","",TEXT($A1171,"ddd"))</f>
        <v/>
      </c>
      <c r="E1171" s="4" t="inlineStr">
        <is>
          <t>Utilities</t>
        </is>
      </c>
      <c r="F1171" s="4">
        <f>IFERROR(INDEX(Tbl_KPIMaster[Category],MATCH($G1171,Tbl_KPIMaster[KPI],0)),"")</f>
        <v/>
      </c>
      <c r="G1171" s="4" t="inlineStr">
        <is>
          <t>Power Consumption</t>
        </is>
      </c>
      <c r="H1171" s="4">
        <f>IFERROR(INDEX(Tbl_KPIMaster[Unit],MATCH($G1171,Tbl_KPIMaster[KPI],0)),"")</f>
        <v/>
      </c>
      <c r="I1171" s="5">
        <f>IFERROR(INDEX(Tbl_KPIMaster[Maximum Target],MATCH($G1171,Tbl_KPIMaster[KPI],0)),"")</f>
        <v/>
      </c>
      <c r="J1171" s="5" t="n">
        <v>3359.98</v>
      </c>
      <c r="K1171" s="4">
        <f>IFERROR(INDEX(Tbl_KPIMaster[Tolerance],MATCH($G1171,Tbl_KPIMaster[KPI],0)),"")</f>
        <v/>
      </c>
      <c r="L1171" s="4">
        <f>IFERROR(INDEX(Tbl_KPIMaster[Owner],MATCH($G1171,Tbl_KPIMaster[KPI],0)),"")</f>
        <v/>
      </c>
      <c r="M1171" s="6" t="inlineStr">
        <is>
          <t>New operator training effect</t>
        </is>
      </c>
      <c r="N1171" s="4" t="inlineStr"/>
      <c r="O1171" s="4" t="inlineStr">
        <is>
          <t>Low</t>
        </is>
      </c>
      <c r="P1171" s="4" t="inlineStr">
        <is>
          <t>Closed</t>
        </is>
      </c>
      <c r="Q1171" s="5">
        <f>IFERROR(IF(INDEX(Tbl_KPIMaster[Direction],MATCH($G1171,Tbl_KPIMaster[KPI],0))="Lower is Better",IF($J1171=0,1,IF($I1171=0,0,$I1171/$J1171)),IF($I1171=0,1,$J1171/$I1171)),0)</f>
        <v/>
      </c>
      <c r="R1171" s="4">
        <f>IF(OR($I1171="",$J1171=""),"",$J1171-$I1171)</f>
        <v/>
      </c>
      <c r="S1171" s="4">
        <f>IFERROR(IF(INDEX(Tbl_KPIMaster[Direction],MATCH($G1171,Tbl_KPIMaster[KPI],0))="Lower is Better",IF($J1171&lt;=$I1171,"Green",IF($J1171&lt;=$I1171+IF($I1171=0,$K1171,$I1171*$K1171),"Amber","Red")),IF($J1171&gt;=$I1171,"Green",IF($J1171&gt;=$I1171-IF($I1171=0,$K1171,$I1171*$K1171),"Amber","Red"))),"")</f>
        <v/>
      </c>
      <c r="T1171" s="6" t="inlineStr"/>
    </row>
    <row r="1172">
      <c r="A1172" s="7" t="n">
        <v>46188</v>
      </c>
      <c r="B1172" s="8">
        <f>IF($A1172="","",TEXT($A1172,"mmm-yyyy"))</f>
        <v/>
      </c>
      <c r="C1172" s="8">
        <f>IF($A1172="","","W"&amp;WEEKNUM($A1172,2))</f>
        <v/>
      </c>
      <c r="D1172" s="8">
        <f>IF($A1172="","",TEXT($A1172,"ddd"))</f>
        <v/>
      </c>
      <c r="E1172" s="8" t="inlineStr">
        <is>
          <t>Utilities</t>
        </is>
      </c>
      <c r="F1172" s="8">
        <f>IFERROR(INDEX(Tbl_KPIMaster[Category],MATCH($G1172,Tbl_KPIMaster[KPI],0)),"")</f>
        <v/>
      </c>
      <c r="G1172" s="8" t="inlineStr">
        <is>
          <t>Water Consumption</t>
        </is>
      </c>
      <c r="H1172" s="8">
        <f>IFERROR(INDEX(Tbl_KPIMaster[Unit],MATCH($G1172,Tbl_KPIMaster[KPI],0)),"")</f>
        <v/>
      </c>
      <c r="I1172" s="9">
        <f>IFERROR(INDEX(Tbl_KPIMaster[Maximum Target],MATCH($G1172,Tbl_KPIMaster[KPI],0)),"")</f>
        <v/>
      </c>
      <c r="J1172" s="9" t="n">
        <v>56.52</v>
      </c>
      <c r="K1172" s="8">
        <f>IFERROR(INDEX(Tbl_KPIMaster[Tolerance],MATCH($G1172,Tbl_KPIMaster[KPI],0)),"")</f>
        <v/>
      </c>
      <c r="L1172" s="8">
        <f>IFERROR(INDEX(Tbl_KPIMaster[Owner],MATCH($G1172,Tbl_KPIMaster[KPI],0)),"")</f>
        <v/>
      </c>
      <c r="M1172" s="10" t="inlineStr">
        <is>
          <t>New operator training effect</t>
        </is>
      </c>
      <c r="N1172" s="8" t="inlineStr"/>
      <c r="O1172" s="8" t="inlineStr">
        <is>
          <t>Low</t>
        </is>
      </c>
      <c r="P1172" s="8" t="inlineStr">
        <is>
          <t>Closed</t>
        </is>
      </c>
      <c r="Q1172" s="9">
        <f>IFERROR(IF(INDEX(Tbl_KPIMaster[Direction],MATCH($G1172,Tbl_KPIMaster[KPI],0))="Lower is Better",IF($J1172=0,1,IF($I1172=0,0,$I1172/$J1172)),IF($I1172=0,1,$J1172/$I1172)),0)</f>
        <v/>
      </c>
      <c r="R1172" s="8">
        <f>IF(OR($I1172="",$J1172=""),"",$J1172-$I1172)</f>
        <v/>
      </c>
      <c r="S1172" s="8">
        <f>IFERROR(IF(INDEX(Tbl_KPIMaster[Direction],MATCH($G1172,Tbl_KPIMaster[KPI],0))="Lower is Better",IF($J1172&lt;=$I1172,"Green",IF($J1172&lt;=$I1172+IF($I1172=0,$K1172,$I1172*$K1172),"Amber","Red")),IF($J1172&gt;=$I1172,"Green",IF($J1172&gt;=$I1172-IF($I1172=0,$K1172,$I1172*$K1172),"Amber","Red"))),"")</f>
        <v/>
      </c>
      <c r="T1172" s="10" t="inlineStr"/>
    </row>
    <row r="1173">
      <c r="A1173" s="3" t="n">
        <v>46188</v>
      </c>
      <c r="B1173" s="4">
        <f>IF($A1173="","",TEXT($A1173,"mmm-yyyy"))</f>
        <v/>
      </c>
      <c r="C1173" s="4">
        <f>IF($A1173="","","W"&amp;WEEKNUM($A1173,2))</f>
        <v/>
      </c>
      <c r="D1173" s="4">
        <f>IF($A1173="","",TEXT($A1173,"ddd"))</f>
        <v/>
      </c>
      <c r="E1173" s="4" t="inlineStr">
        <is>
          <t>Warehouse</t>
        </is>
      </c>
      <c r="F1173" s="4">
        <f>IFERROR(INDEX(Tbl_KPIMaster[Category],MATCH($G1173,Tbl_KPIMaster[KPI],0)),"")</f>
        <v/>
      </c>
      <c r="G1173" s="4" t="inlineStr">
        <is>
          <t>On-Time Dispatch %</t>
        </is>
      </c>
      <c r="H1173" s="4">
        <f>IFERROR(INDEX(Tbl_KPIMaster[Unit],MATCH($G1173,Tbl_KPIMaster[KPI],0)),"")</f>
        <v/>
      </c>
      <c r="I1173" s="5">
        <f>IFERROR(INDEX(Tbl_KPIMaster[Maximum Target],MATCH($G1173,Tbl_KPIMaster[KPI],0)),"")</f>
        <v/>
      </c>
      <c r="J1173" s="5" t="n">
        <v>0.9653</v>
      </c>
      <c r="K1173" s="4">
        <f>IFERROR(INDEX(Tbl_KPIMaster[Tolerance],MATCH($G1173,Tbl_KPIMaster[KPI],0)),"")</f>
        <v/>
      </c>
      <c r="L1173" s="4">
        <f>IFERROR(INDEX(Tbl_KPIMaster[Owner],MATCH($G1173,Tbl_KPIMaster[KPI],0)),"")</f>
        <v/>
      </c>
      <c r="M1173" s="6" t="inlineStr">
        <is>
          <t>Line changeover impact</t>
        </is>
      </c>
      <c r="N1173" s="4" t="inlineStr"/>
      <c r="O1173" s="4" t="inlineStr">
        <is>
          <t>High</t>
        </is>
      </c>
      <c r="P1173" s="4" t="inlineStr">
        <is>
          <t>Closed</t>
        </is>
      </c>
      <c r="Q1173" s="5">
        <f>IFERROR(IF(INDEX(Tbl_KPIMaster[Direction],MATCH($G1173,Tbl_KPIMaster[KPI],0))="Lower is Better",IF($J1173=0,1,IF($I1173=0,0,$I1173/$J1173)),IF($I1173=0,1,$J1173/$I1173)),0)</f>
        <v/>
      </c>
      <c r="R1173" s="4">
        <f>IF(OR($I1173="",$J1173=""),"",$J1173-$I1173)</f>
        <v/>
      </c>
      <c r="S1173" s="4">
        <f>IFERROR(IF(INDEX(Tbl_KPIMaster[Direction],MATCH($G1173,Tbl_KPIMaster[KPI],0))="Lower is Better",IF($J1173&lt;=$I1173,"Green",IF($J1173&lt;=$I1173+IF($I1173=0,$K1173,$I1173*$K1173),"Amber","Red")),IF($J1173&gt;=$I1173,"Green",IF($J1173&gt;=$I1173-IF($I1173=0,$K1173,$I1173*$K1173),"Amber","Red"))),"")</f>
        <v/>
      </c>
      <c r="T1173" s="6" t="inlineStr"/>
    </row>
    <row r="1174">
      <c r="A1174" s="7" t="n">
        <v>46188</v>
      </c>
      <c r="B1174" s="8">
        <f>IF($A1174="","",TEXT($A1174,"mmm-yyyy"))</f>
        <v/>
      </c>
      <c r="C1174" s="8">
        <f>IF($A1174="","","W"&amp;WEEKNUM($A1174,2))</f>
        <v/>
      </c>
      <c r="D1174" s="8">
        <f>IF($A1174="","",TEXT($A1174,"ddd"))</f>
        <v/>
      </c>
      <c r="E1174" s="8" t="inlineStr">
        <is>
          <t>Warehouse</t>
        </is>
      </c>
      <c r="F1174" s="8">
        <f>IFERROR(INDEX(Tbl_KPIMaster[Category],MATCH($G1174,Tbl_KPIMaster[KPI],0)),"")</f>
        <v/>
      </c>
      <c r="G1174" s="8" t="inlineStr">
        <is>
          <t>Inventory Accuracy %</t>
        </is>
      </c>
      <c r="H1174" s="8">
        <f>IFERROR(INDEX(Tbl_KPIMaster[Unit],MATCH($G1174,Tbl_KPIMaster[KPI],0)),"")</f>
        <v/>
      </c>
      <c r="I1174" s="9">
        <f>IFERROR(INDEX(Tbl_KPIMaster[Maximum Target],MATCH($G1174,Tbl_KPIMaster[KPI],0)),"")</f>
        <v/>
      </c>
      <c r="J1174" s="9" t="n">
        <v>0.9583</v>
      </c>
      <c r="K1174" s="8">
        <f>IFERROR(INDEX(Tbl_KPIMaster[Tolerance],MATCH($G1174,Tbl_KPIMaster[KPI],0)),"")</f>
        <v/>
      </c>
      <c r="L1174" s="8">
        <f>IFERROR(INDEX(Tbl_KPIMaster[Owner],MATCH($G1174,Tbl_KPIMaster[KPI],0)),"")</f>
        <v/>
      </c>
      <c r="M1174" s="10" t="inlineStr"/>
      <c r="N1174" s="8" t="inlineStr"/>
      <c r="O1174" s="8" t="inlineStr">
        <is>
          <t>Medium</t>
        </is>
      </c>
      <c r="P1174" s="8" t="inlineStr">
        <is>
          <t>In Progress</t>
        </is>
      </c>
      <c r="Q1174" s="9">
        <f>IFERROR(IF(INDEX(Tbl_KPIMaster[Direction],MATCH($G1174,Tbl_KPIMaster[KPI],0))="Lower is Better",IF($J1174=0,1,IF($I1174=0,0,$I1174/$J1174)),IF($I1174=0,1,$J1174/$I1174)),0)</f>
        <v/>
      </c>
      <c r="R1174" s="8">
        <f>IF(OR($I1174="",$J1174=""),"",$J1174-$I1174)</f>
        <v/>
      </c>
      <c r="S1174" s="8">
        <f>IFERROR(IF(INDEX(Tbl_KPIMaster[Direction],MATCH($G1174,Tbl_KPIMaster[KPI],0))="Lower is Better",IF($J1174&lt;=$I1174,"Green",IF($J1174&lt;=$I1174+IF($I1174=0,$K1174,$I1174*$K1174),"Amber","Red")),IF($J1174&gt;=$I1174,"Green",IF($J1174&gt;=$I1174-IF($I1174=0,$K1174,$I1174*$K1174),"Amber","Red"))),"")</f>
        <v/>
      </c>
      <c r="T1174" s="10" t="inlineStr"/>
    </row>
    <row r="1175">
      <c r="A1175" s="3" t="n">
        <v>46188</v>
      </c>
      <c r="B1175" s="4">
        <f>IF($A1175="","",TEXT($A1175,"mmm-yyyy"))</f>
        <v/>
      </c>
      <c r="C1175" s="4">
        <f>IF($A1175="","","W"&amp;WEEKNUM($A1175,2))</f>
        <v/>
      </c>
      <c r="D1175" s="4">
        <f>IF($A1175="","",TEXT($A1175,"ddd"))</f>
        <v/>
      </c>
      <c r="E1175" s="4" t="inlineStr">
        <is>
          <t>HR</t>
        </is>
      </c>
      <c r="F1175" s="4">
        <f>IFERROR(INDEX(Tbl_KPIMaster[Category],MATCH($G1175,Tbl_KPIMaster[KPI],0)),"")</f>
        <v/>
      </c>
      <c r="G1175" s="4" t="inlineStr">
        <is>
          <t>Absenteeism %</t>
        </is>
      </c>
      <c r="H1175" s="4">
        <f>IFERROR(INDEX(Tbl_KPIMaster[Unit],MATCH($G1175,Tbl_KPIMaster[KPI],0)),"")</f>
        <v/>
      </c>
      <c r="I1175" s="5">
        <f>IFERROR(INDEX(Tbl_KPIMaster[Maximum Target],MATCH($G1175,Tbl_KPIMaster[KPI],0)),"")</f>
        <v/>
      </c>
      <c r="J1175" s="5" t="n">
        <v>0.2412</v>
      </c>
      <c r="K1175" s="4">
        <f>IFERROR(INDEX(Tbl_KPIMaster[Tolerance],MATCH($G1175,Tbl_KPIMaster[KPI],0)),"")</f>
        <v/>
      </c>
      <c r="L1175" s="4">
        <f>IFERROR(INDEX(Tbl_KPIMaster[Owner],MATCH($G1175,Tbl_KPIMaster[KPI],0)),"")</f>
        <v/>
      </c>
      <c r="M1175" s="6" t="inlineStr">
        <is>
          <t>Line changeover impact</t>
        </is>
      </c>
      <c r="N1175" s="4" t="inlineStr"/>
      <c r="O1175" s="4" t="inlineStr">
        <is>
          <t>Low</t>
        </is>
      </c>
      <c r="P1175" s="4" t="inlineStr">
        <is>
          <t>Closed</t>
        </is>
      </c>
      <c r="Q1175" s="5">
        <f>IFERROR(IF(INDEX(Tbl_KPIMaster[Direction],MATCH($G1175,Tbl_KPIMaster[KPI],0))="Lower is Better",IF($J1175=0,1,IF($I1175=0,0,$I1175/$J1175)),IF($I1175=0,1,$J1175/$I1175)),0)</f>
        <v/>
      </c>
      <c r="R1175" s="4">
        <f>IF(OR($I1175="",$J1175=""),"",$J1175-$I1175)</f>
        <v/>
      </c>
      <c r="S1175" s="4">
        <f>IFERROR(IF(INDEX(Tbl_KPIMaster[Direction],MATCH($G1175,Tbl_KPIMaster[KPI],0))="Lower is Better",IF($J1175&lt;=$I1175,"Green",IF($J1175&lt;=$I1175+IF($I1175=0,$K1175,$I1175*$K1175),"Amber","Red")),IF($J1175&gt;=$I1175,"Green",IF($J1175&gt;=$I1175-IF($I1175=0,$K1175,$I1175*$K1175),"Amber","Red"))),"")</f>
        <v/>
      </c>
      <c r="T1175" s="6" t="inlineStr"/>
    </row>
    <row r="1176">
      <c r="A1176" s="7" t="n">
        <v>46188</v>
      </c>
      <c r="B1176" s="8">
        <f>IF($A1176="","",TEXT($A1176,"mmm-yyyy"))</f>
        <v/>
      </c>
      <c r="C1176" s="8">
        <f>IF($A1176="","","W"&amp;WEEKNUM($A1176,2))</f>
        <v/>
      </c>
      <c r="D1176" s="8">
        <f>IF($A1176="","",TEXT($A1176,"ddd"))</f>
        <v/>
      </c>
      <c r="E1176" s="8" t="inlineStr">
        <is>
          <t>HR</t>
        </is>
      </c>
      <c r="F1176" s="8">
        <f>IFERROR(INDEX(Tbl_KPIMaster[Category],MATCH($G1176,Tbl_KPIMaster[KPI],0)),"")</f>
        <v/>
      </c>
      <c r="G1176" s="8" t="inlineStr">
        <is>
          <t>Training Hours</t>
        </is>
      </c>
      <c r="H1176" s="8">
        <f>IFERROR(INDEX(Tbl_KPIMaster[Unit],MATCH($G1176,Tbl_KPIMaster[KPI],0)),"")</f>
        <v/>
      </c>
      <c r="I1176" s="9">
        <f>IFERROR(INDEX(Tbl_KPIMaster[Maximum Target],MATCH($G1176,Tbl_KPIMaster[KPI],0)),"")</f>
        <v/>
      </c>
      <c r="J1176" s="9" t="n">
        <v>1.97</v>
      </c>
      <c r="K1176" s="8">
        <f>IFERROR(INDEX(Tbl_KPIMaster[Tolerance],MATCH($G1176,Tbl_KPIMaster[KPI],0)),"")</f>
        <v/>
      </c>
      <c r="L1176" s="8">
        <f>IFERROR(INDEX(Tbl_KPIMaster[Owner],MATCH($G1176,Tbl_KPIMaster[KPI],0)),"")</f>
        <v/>
      </c>
      <c r="M1176" s="10" t="inlineStr">
        <is>
          <t>Manpower shortage</t>
        </is>
      </c>
      <c r="N1176" s="8" t="inlineStr"/>
      <c r="O1176" s="8" t="inlineStr">
        <is>
          <t>Low</t>
        </is>
      </c>
      <c r="P1176" s="8" t="inlineStr">
        <is>
          <t>Closed</t>
        </is>
      </c>
      <c r="Q1176" s="9">
        <f>IFERROR(IF(INDEX(Tbl_KPIMaster[Direction],MATCH($G1176,Tbl_KPIMaster[KPI],0))="Lower is Better",IF($J1176=0,1,IF($I1176=0,0,$I1176/$J1176)),IF($I1176=0,1,$J1176/$I1176)),0)</f>
        <v/>
      </c>
      <c r="R1176" s="8">
        <f>IF(OR($I1176="",$J1176=""),"",$J1176-$I1176)</f>
        <v/>
      </c>
      <c r="S1176" s="8">
        <f>IFERROR(IF(INDEX(Tbl_KPIMaster[Direction],MATCH($G1176,Tbl_KPIMaster[KPI],0))="Lower is Better",IF($J1176&lt;=$I1176,"Green",IF($J1176&lt;=$I1176+IF($I1176=0,$K1176,$I1176*$K1176),"Amber","Red")),IF($J1176&gt;=$I1176,"Green",IF($J1176&gt;=$I1176-IF($I1176=0,$K1176,$I1176*$K1176),"Amber","Red"))),"")</f>
        <v/>
      </c>
      <c r="T1176" s="10" t="inlineStr"/>
    </row>
    <row r="1177">
      <c r="A1177" s="3" t="n">
        <v>46188</v>
      </c>
      <c r="B1177" s="4">
        <f>IF($A1177="","",TEXT($A1177,"mmm-yyyy"))</f>
        <v/>
      </c>
      <c r="C1177" s="4">
        <f>IF($A1177="","","W"&amp;WEEKNUM($A1177,2))</f>
        <v/>
      </c>
      <c r="D1177" s="4">
        <f>IF($A1177="","",TEXT($A1177,"ddd"))</f>
        <v/>
      </c>
      <c r="E1177" s="4" t="inlineStr">
        <is>
          <t>Engineering</t>
        </is>
      </c>
      <c r="F1177" s="4">
        <f>IFERROR(INDEX(Tbl_KPIMaster[Category],MATCH($G1177,Tbl_KPIMaster[KPI],0)),"")</f>
        <v/>
      </c>
      <c r="G1177" s="4" t="inlineStr">
        <is>
          <t>Project Milestone Adherence %</t>
        </is>
      </c>
      <c r="H1177" s="4">
        <f>IFERROR(INDEX(Tbl_KPIMaster[Unit],MATCH($G1177,Tbl_KPIMaster[KPI],0)),"")</f>
        <v/>
      </c>
      <c r="I1177" s="5">
        <f>IFERROR(INDEX(Tbl_KPIMaster[Maximum Target],MATCH($G1177,Tbl_KPIMaster[KPI],0)),"")</f>
        <v/>
      </c>
      <c r="J1177" s="5" t="n">
        <v>0.9024</v>
      </c>
      <c r="K1177" s="4">
        <f>IFERROR(INDEX(Tbl_KPIMaster[Tolerance],MATCH($G1177,Tbl_KPIMaster[KPI],0)),"")</f>
        <v/>
      </c>
      <c r="L1177" s="4">
        <f>IFERROR(INDEX(Tbl_KPIMaster[Owner],MATCH($G1177,Tbl_KPIMaster[KPI],0)),"")</f>
        <v/>
      </c>
      <c r="M1177" s="6" t="inlineStr">
        <is>
          <t>Preventive check done</t>
        </is>
      </c>
      <c r="N1177" s="4" t="inlineStr">
        <is>
          <t>Management approval pending</t>
        </is>
      </c>
      <c r="O1177" s="4" t="inlineStr">
        <is>
          <t>High</t>
        </is>
      </c>
      <c r="P1177" s="4" t="inlineStr">
        <is>
          <t>Open</t>
        </is>
      </c>
      <c r="Q1177" s="5">
        <f>IFERROR(IF(INDEX(Tbl_KPIMaster[Direction],MATCH($G1177,Tbl_KPIMaster[KPI],0))="Lower is Better",IF($J1177=0,1,IF($I1177=0,0,$I1177/$J1177)),IF($I1177=0,1,$J1177/$I1177)),0)</f>
        <v/>
      </c>
      <c r="R1177" s="4">
        <f>IF(OR($I1177="",$J1177=""),"",$J1177-$I1177)</f>
        <v/>
      </c>
      <c r="S1177" s="4">
        <f>IFERROR(IF(INDEX(Tbl_KPIMaster[Direction],MATCH($G1177,Tbl_KPIMaster[KPI],0))="Lower is Better",IF($J1177&lt;=$I1177,"Green",IF($J1177&lt;=$I1177+IF($I1177=0,$K1177,$I1177*$K1177),"Amber","Red")),IF($J1177&gt;=$I1177,"Green",IF($J1177&gt;=$I1177-IF($I1177=0,$K1177,$I1177*$K1177),"Amber","Red"))),"")</f>
        <v/>
      </c>
      <c r="T1177" s="6" t="inlineStr"/>
    </row>
    <row r="1178">
      <c r="A1178" s="7" t="n">
        <v>46188</v>
      </c>
      <c r="B1178" s="8">
        <f>IF($A1178="","",TEXT($A1178,"mmm-yyyy"))</f>
        <v/>
      </c>
      <c r="C1178" s="8">
        <f>IF($A1178="","","W"&amp;WEEKNUM($A1178,2))</f>
        <v/>
      </c>
      <c r="D1178" s="8">
        <f>IF($A1178="","",TEXT($A1178,"ddd"))</f>
        <v/>
      </c>
      <c r="E1178" s="8" t="inlineStr">
        <is>
          <t>Engineering</t>
        </is>
      </c>
      <c r="F1178" s="8">
        <f>IFERROR(INDEX(Tbl_KPIMaster[Category],MATCH($G1178,Tbl_KPIMaster[KPI],0)),"")</f>
        <v/>
      </c>
      <c r="G1178" s="8" t="inlineStr">
        <is>
          <t>Breakdown Resolution Time</t>
        </is>
      </c>
      <c r="H1178" s="8">
        <f>IFERROR(INDEX(Tbl_KPIMaster[Unit],MATCH($G1178,Tbl_KPIMaster[KPI],0)),"")</f>
        <v/>
      </c>
      <c r="I1178" s="9">
        <f>IFERROR(INDEX(Tbl_KPIMaster[Maximum Target],MATCH($G1178,Tbl_KPIMaster[KPI],0)),"")</f>
        <v/>
      </c>
      <c r="J1178" s="9" t="n">
        <v>0.51</v>
      </c>
      <c r="K1178" s="8">
        <f>IFERROR(INDEX(Tbl_KPIMaster[Tolerance],MATCH($G1178,Tbl_KPIMaster[KPI],0)),"")</f>
        <v/>
      </c>
      <c r="L1178" s="8">
        <f>IFERROR(INDEX(Tbl_KPIMaster[Owner],MATCH($G1178,Tbl_KPIMaster[KPI],0)),"")</f>
        <v/>
      </c>
      <c r="M1178" s="10" t="inlineStr">
        <is>
          <t>Preventive check done</t>
        </is>
      </c>
      <c r="N1178" s="8" t="inlineStr"/>
      <c r="O1178" s="8" t="inlineStr">
        <is>
          <t>Medium</t>
        </is>
      </c>
      <c r="P1178" s="8" t="inlineStr">
        <is>
          <t>In Progress</t>
        </is>
      </c>
      <c r="Q1178" s="9">
        <f>IFERROR(IF(INDEX(Tbl_KPIMaster[Direction],MATCH($G1178,Tbl_KPIMaster[KPI],0))="Lower is Better",IF($J1178=0,1,IF($I1178=0,0,$I1178/$J1178)),IF($I1178=0,1,$J1178/$I1178)),0)</f>
        <v/>
      </c>
      <c r="R1178" s="8">
        <f>IF(OR($I1178="",$J1178=""),"",$J1178-$I1178)</f>
        <v/>
      </c>
      <c r="S1178" s="8">
        <f>IFERROR(IF(INDEX(Tbl_KPIMaster[Direction],MATCH($G1178,Tbl_KPIMaster[KPI],0))="Lower is Better",IF($J1178&lt;=$I1178,"Green",IF($J1178&lt;=$I1178+IF($I1178=0,$K1178,$I1178*$K1178),"Amber","Red")),IF($J1178&gt;=$I1178,"Green",IF($J1178&gt;=$I1178-IF($I1178=0,$K1178,$I1178*$K1178),"Amber","Red"))),"")</f>
        <v/>
      </c>
      <c r="T1178" s="10" t="inlineStr"/>
    </row>
    <row r="1179">
      <c r="A1179" s="3" t="n">
        <v>46188</v>
      </c>
      <c r="B1179" s="4">
        <f>IF($A1179="","",TEXT($A1179,"mmm-yyyy"))</f>
        <v/>
      </c>
      <c r="C1179" s="4">
        <f>IF($A1179="","","W"&amp;WEEKNUM($A1179,2))</f>
        <v/>
      </c>
      <c r="D1179" s="4">
        <f>IF($A1179="","",TEXT($A1179,"ddd"))</f>
        <v/>
      </c>
      <c r="E1179" s="4" t="inlineStr">
        <is>
          <t>Cost</t>
        </is>
      </c>
      <c r="F1179" s="4">
        <f>IFERROR(INDEX(Tbl_KPIMaster[Category],MATCH($G1179,Tbl_KPIMaster[KPI],0)),"")</f>
        <v/>
      </c>
      <c r="G1179" s="4" t="inlineStr">
        <is>
          <t>Cost per Unit</t>
        </is>
      </c>
      <c r="H1179" s="4">
        <f>IFERROR(INDEX(Tbl_KPIMaster[Unit],MATCH($G1179,Tbl_KPIMaster[KPI],0)),"")</f>
        <v/>
      </c>
      <c r="I1179" s="5">
        <f>IFERROR(INDEX(Tbl_KPIMaster[Maximum Target],MATCH($G1179,Tbl_KPIMaster[KPI],0)),"")</f>
        <v/>
      </c>
      <c r="J1179" s="5" t="n">
        <v>34.9</v>
      </c>
      <c r="K1179" s="4">
        <f>IFERROR(INDEX(Tbl_KPIMaster[Tolerance],MATCH($G1179,Tbl_KPIMaster[KPI],0)),"")</f>
        <v/>
      </c>
      <c r="L1179" s="4">
        <f>IFERROR(INDEX(Tbl_KPIMaster[Owner],MATCH($G1179,Tbl_KPIMaster[KPI],0)),"")</f>
        <v/>
      </c>
      <c r="M1179" s="6" t="inlineStr">
        <is>
          <t>Weather impact</t>
        </is>
      </c>
      <c r="N1179" s="4" t="inlineStr"/>
      <c r="O1179" s="4" t="inlineStr">
        <is>
          <t>Low</t>
        </is>
      </c>
      <c r="P1179" s="4" t="inlineStr">
        <is>
          <t>Closed</t>
        </is>
      </c>
      <c r="Q1179" s="5">
        <f>IFERROR(IF(INDEX(Tbl_KPIMaster[Direction],MATCH($G1179,Tbl_KPIMaster[KPI],0))="Lower is Better",IF($J1179=0,1,IF($I1179=0,0,$I1179/$J1179)),IF($I1179=0,1,$J1179/$I1179)),0)</f>
        <v/>
      </c>
      <c r="R1179" s="4">
        <f>IF(OR($I1179="",$J1179=""),"",$J1179-$I1179)</f>
        <v/>
      </c>
      <c r="S1179" s="4">
        <f>IFERROR(IF(INDEX(Tbl_KPIMaster[Direction],MATCH($G1179,Tbl_KPIMaster[KPI],0))="Lower is Better",IF($J1179&lt;=$I1179,"Green",IF($J1179&lt;=$I1179+IF($I1179=0,$K1179,$I1179*$K1179),"Amber","Red")),IF($J1179&gt;=$I1179,"Green",IF($J1179&gt;=$I1179-IF($I1179=0,$K1179,$I1179*$K1179),"Amber","Red"))),"")</f>
        <v/>
      </c>
      <c r="T1179" s="6" t="inlineStr"/>
    </row>
    <row r="1180">
      <c r="A1180" s="7" t="n">
        <v>46188</v>
      </c>
      <c r="B1180" s="8">
        <f>IF($A1180="","",TEXT($A1180,"mmm-yyyy"))</f>
        <v/>
      </c>
      <c r="C1180" s="8">
        <f>IF($A1180="","","W"&amp;WEEKNUM($A1180,2))</f>
        <v/>
      </c>
      <c r="D1180" s="8">
        <f>IF($A1180="","",TEXT($A1180,"ddd"))</f>
        <v/>
      </c>
      <c r="E1180" s="8" t="inlineStr">
        <is>
          <t>Cost</t>
        </is>
      </c>
      <c r="F1180" s="8">
        <f>IFERROR(INDEX(Tbl_KPIMaster[Category],MATCH($G1180,Tbl_KPIMaster[KPI],0)),"")</f>
        <v/>
      </c>
      <c r="G1180" s="8" t="inlineStr">
        <is>
          <t>Budget Variance %</t>
        </is>
      </c>
      <c r="H1180" s="8">
        <f>IFERROR(INDEX(Tbl_KPIMaster[Unit],MATCH($G1180,Tbl_KPIMaster[KPI],0)),"")</f>
        <v/>
      </c>
      <c r="I1180" s="9">
        <f>IFERROR(INDEX(Tbl_KPIMaster[Maximum Target],MATCH($G1180,Tbl_KPIMaster[KPI],0)),"")</f>
        <v/>
      </c>
      <c r="J1180" s="9" t="n">
        <v>0.0801</v>
      </c>
      <c r="K1180" s="8">
        <f>IFERROR(INDEX(Tbl_KPIMaster[Tolerance],MATCH($G1180,Tbl_KPIMaster[KPI],0)),"")</f>
        <v/>
      </c>
      <c r="L1180" s="8">
        <f>IFERROR(INDEX(Tbl_KPIMaster[Owner],MATCH($G1180,Tbl_KPIMaster[KPI],0)),"")</f>
        <v/>
      </c>
      <c r="M1180" s="10" t="inlineStr">
        <is>
          <t>Awaiting spares</t>
        </is>
      </c>
      <c r="N1180" s="8" t="inlineStr">
        <is>
          <t>Engineering support needed</t>
        </is>
      </c>
      <c r="O1180" s="8" t="inlineStr">
        <is>
          <t>High</t>
        </is>
      </c>
      <c r="P1180" s="8" t="inlineStr">
        <is>
          <t>In Progress</t>
        </is>
      </c>
      <c r="Q1180" s="9">
        <f>IFERROR(IF(INDEX(Tbl_KPIMaster[Direction],MATCH($G1180,Tbl_KPIMaster[KPI],0))="Lower is Better",IF($J1180=0,1,IF($I1180=0,0,$I1180/$J1180)),IF($I1180=0,1,$J1180/$I1180)),0)</f>
        <v/>
      </c>
      <c r="R1180" s="8">
        <f>IF(OR($I1180="",$J1180=""),"",$J1180-$I1180)</f>
        <v/>
      </c>
      <c r="S1180" s="8">
        <f>IFERROR(IF(INDEX(Tbl_KPIMaster[Direction],MATCH($G1180,Tbl_KPIMaster[KPI],0))="Lower is Better",IF($J1180&lt;=$I1180,"Green",IF($J1180&lt;=$I1180+IF($I1180=0,$K1180,$I1180*$K1180),"Amber","Red")),IF($J1180&gt;=$I1180,"Green",IF($J1180&gt;=$I1180-IF($I1180=0,$K1180,$I1180*$K1180),"Amber","Red"))),"")</f>
        <v/>
      </c>
      <c r="T1180" s="10" t="inlineStr"/>
    </row>
    <row r="1181">
      <c r="A1181" s="3" t="n">
        <v>46188</v>
      </c>
      <c r="B1181" s="4">
        <f>IF($A1181="","",TEXT($A1181,"mmm-yyyy"))</f>
        <v/>
      </c>
      <c r="C1181" s="4">
        <f>IF($A1181="","","W"&amp;WEEKNUM($A1181,2))</f>
        <v/>
      </c>
      <c r="D1181" s="4">
        <f>IF($A1181="","",TEXT($A1181,"ddd"))</f>
        <v/>
      </c>
      <c r="E1181" s="4" t="inlineStr">
        <is>
          <t>Energy</t>
        </is>
      </c>
      <c r="F1181" s="4">
        <f>IFERROR(INDEX(Tbl_KPIMaster[Category],MATCH($G1181,Tbl_KPIMaster[KPI],0)),"")</f>
        <v/>
      </c>
      <c r="G1181" s="4" t="inlineStr">
        <is>
          <t>Energy Intensity (kWh/unit)</t>
        </is>
      </c>
      <c r="H1181" s="4">
        <f>IFERROR(INDEX(Tbl_KPIMaster[Unit],MATCH($G1181,Tbl_KPIMaster[KPI],0)),"")</f>
        <v/>
      </c>
      <c r="I1181" s="5">
        <f>IFERROR(INDEX(Tbl_KPIMaster[Maximum Target],MATCH($G1181,Tbl_KPIMaster[KPI],0)),"")</f>
        <v/>
      </c>
      <c r="J1181" s="5" t="n">
        <v>3.73</v>
      </c>
      <c r="K1181" s="4">
        <f>IFERROR(INDEX(Tbl_KPIMaster[Tolerance],MATCH($G1181,Tbl_KPIMaster[KPI],0)),"")</f>
        <v/>
      </c>
      <c r="L1181" s="4">
        <f>IFERROR(INDEX(Tbl_KPIMaster[Owner],MATCH($G1181,Tbl_KPIMaster[KPI],0)),"")</f>
        <v/>
      </c>
      <c r="M1181" s="6" t="inlineStr"/>
      <c r="N1181" s="4" t="inlineStr"/>
      <c r="O1181" s="4" t="inlineStr">
        <is>
          <t>Low</t>
        </is>
      </c>
      <c r="P1181" s="4" t="inlineStr">
        <is>
          <t>Closed</t>
        </is>
      </c>
      <c r="Q1181" s="5">
        <f>IFERROR(IF(INDEX(Tbl_KPIMaster[Direction],MATCH($G1181,Tbl_KPIMaster[KPI],0))="Lower is Better",IF($J1181=0,1,IF($I1181=0,0,$I1181/$J1181)),IF($I1181=0,1,$J1181/$I1181)),0)</f>
        <v/>
      </c>
      <c r="R1181" s="4">
        <f>IF(OR($I1181="",$J1181=""),"",$J1181-$I1181)</f>
        <v/>
      </c>
      <c r="S1181" s="4">
        <f>IFERROR(IF(INDEX(Tbl_KPIMaster[Direction],MATCH($G1181,Tbl_KPIMaster[KPI],0))="Lower is Better",IF($J1181&lt;=$I1181,"Green",IF($J1181&lt;=$I1181+IF($I1181=0,$K1181,$I1181*$K1181),"Amber","Red")),IF($J1181&gt;=$I1181,"Green",IF($J1181&gt;=$I1181-IF($I1181=0,$K1181,$I1181*$K1181),"Amber","Red"))),"")</f>
        <v/>
      </c>
      <c r="T1181" s="6" t="inlineStr"/>
    </row>
    <row r="1182">
      <c r="A1182" s="7" t="n">
        <v>46188</v>
      </c>
      <c r="B1182" s="8">
        <f>IF($A1182="","",TEXT($A1182,"mmm-yyyy"))</f>
        <v/>
      </c>
      <c r="C1182" s="8">
        <f>IF($A1182="","","W"&amp;WEEKNUM($A1182,2))</f>
        <v/>
      </c>
      <c r="D1182" s="8">
        <f>IF($A1182="","",TEXT($A1182,"ddd"))</f>
        <v/>
      </c>
      <c r="E1182" s="8" t="inlineStr">
        <is>
          <t>Energy</t>
        </is>
      </c>
      <c r="F1182" s="8">
        <f>IFERROR(INDEX(Tbl_KPIMaster[Category],MATCH($G1182,Tbl_KPIMaster[KPI],0)),"")</f>
        <v/>
      </c>
      <c r="G1182" s="8" t="inlineStr">
        <is>
          <t>Renewable Energy Share %</t>
        </is>
      </c>
      <c r="H1182" s="8">
        <f>IFERROR(INDEX(Tbl_KPIMaster[Unit],MATCH($G1182,Tbl_KPIMaster[KPI],0)),"")</f>
        <v/>
      </c>
      <c r="I1182" s="9">
        <f>IFERROR(INDEX(Tbl_KPIMaster[Maximum Target],MATCH($G1182,Tbl_KPIMaster[KPI],0)),"")</f>
        <v/>
      </c>
      <c r="J1182" s="9" t="n">
        <v>0.198</v>
      </c>
      <c r="K1182" s="8">
        <f>IFERROR(INDEX(Tbl_KPIMaster[Tolerance],MATCH($G1182,Tbl_KPIMaster[KPI],0)),"")</f>
        <v/>
      </c>
      <c r="L1182" s="8">
        <f>IFERROR(INDEX(Tbl_KPIMaster[Owner],MATCH($G1182,Tbl_KPIMaster[KPI],0)),"")</f>
        <v/>
      </c>
      <c r="M1182" s="10" t="inlineStr">
        <is>
          <t>Vendor delay</t>
        </is>
      </c>
      <c r="N1182" s="8" t="inlineStr">
        <is>
          <t>Engineering support needed</t>
        </is>
      </c>
      <c r="O1182" s="8" t="inlineStr">
        <is>
          <t>Low</t>
        </is>
      </c>
      <c r="P1182" s="8" t="inlineStr">
        <is>
          <t>Open</t>
        </is>
      </c>
      <c r="Q1182" s="9">
        <f>IFERROR(IF(INDEX(Tbl_KPIMaster[Direction],MATCH($G1182,Tbl_KPIMaster[KPI],0))="Lower is Better",IF($J1182=0,1,IF($I1182=0,0,$I1182/$J1182)),IF($I1182=0,1,$J1182/$I1182)),0)</f>
        <v/>
      </c>
      <c r="R1182" s="8">
        <f>IF(OR($I1182="",$J1182=""),"",$J1182-$I1182)</f>
        <v/>
      </c>
      <c r="S1182" s="8">
        <f>IFERROR(IF(INDEX(Tbl_KPIMaster[Direction],MATCH($G1182,Tbl_KPIMaster[KPI],0))="Lower is Better",IF($J1182&lt;=$I1182,"Green",IF($J1182&lt;=$I1182+IF($I1182=0,$K1182,$I1182*$K1182),"Amber","Red")),IF($J1182&gt;=$I1182,"Green",IF($J1182&gt;=$I1182-IF($I1182=0,$K1182,$I1182*$K1182),"Amber","Red"))),"")</f>
        <v/>
      </c>
      <c r="T1182" s="10" t="inlineStr"/>
    </row>
    <row r="1183">
      <c r="A1183" s="3" t="n">
        <v>46189</v>
      </c>
      <c r="B1183" s="4">
        <f>IF($A1183="","",TEXT($A1183,"mmm-yyyy"))</f>
        <v/>
      </c>
      <c r="C1183" s="4">
        <f>IF($A1183="","","W"&amp;WEEKNUM($A1183,2))</f>
        <v/>
      </c>
      <c r="D1183" s="4">
        <f>IF($A1183="","",TEXT($A1183,"ddd"))</f>
        <v/>
      </c>
      <c r="E1183" s="4" t="inlineStr">
        <is>
          <t>Safety</t>
        </is>
      </c>
      <c r="F1183" s="4">
        <f>IFERROR(INDEX(Tbl_KPIMaster[Category],MATCH($G1183,Tbl_KPIMaster[KPI],0)),"")</f>
        <v/>
      </c>
      <c r="G1183" s="4" t="inlineStr">
        <is>
          <t>Safety Incidents (LTI)</t>
        </is>
      </c>
      <c r="H1183" s="4">
        <f>IFERROR(INDEX(Tbl_KPIMaster[Unit],MATCH($G1183,Tbl_KPIMaster[KPI],0)),"")</f>
        <v/>
      </c>
      <c r="I1183" s="5">
        <f>IFERROR(INDEX(Tbl_KPIMaster[Maximum Target],MATCH($G1183,Tbl_KPIMaster[KPI],0)),"")</f>
        <v/>
      </c>
      <c r="J1183" s="5" t="n">
        <v>0</v>
      </c>
      <c r="K1183" s="4">
        <f>IFERROR(INDEX(Tbl_KPIMaster[Tolerance],MATCH($G1183,Tbl_KPIMaster[KPI],0)),"")</f>
        <v/>
      </c>
      <c r="L1183" s="4">
        <f>IFERROR(INDEX(Tbl_KPIMaster[Owner],MATCH($G1183,Tbl_KPIMaster[KPI],0)),"")</f>
        <v/>
      </c>
      <c r="M1183" s="6" t="inlineStr">
        <is>
          <t>Manpower shortage</t>
        </is>
      </c>
      <c r="N1183" s="4" t="inlineStr">
        <is>
          <t>Engineering support needed</t>
        </is>
      </c>
      <c r="O1183" s="4" t="inlineStr">
        <is>
          <t>Low</t>
        </is>
      </c>
      <c r="P1183" s="4" t="inlineStr">
        <is>
          <t>Closed</t>
        </is>
      </c>
      <c r="Q1183" s="5">
        <f>IFERROR(IF(INDEX(Tbl_KPIMaster[Direction],MATCH($G1183,Tbl_KPIMaster[KPI],0))="Lower is Better",IF($J1183=0,1,IF($I1183=0,0,$I1183/$J1183)),IF($I1183=0,1,$J1183/$I1183)),0)</f>
        <v/>
      </c>
      <c r="R1183" s="4">
        <f>IF(OR($I1183="",$J1183=""),"",$J1183-$I1183)</f>
        <v/>
      </c>
      <c r="S1183" s="4">
        <f>IFERROR(IF(INDEX(Tbl_KPIMaster[Direction],MATCH($G1183,Tbl_KPIMaster[KPI],0))="Lower is Better",IF($J1183&lt;=$I1183,"Green",IF($J1183&lt;=$I1183+IF($I1183=0,$K1183,$I1183*$K1183),"Amber","Red")),IF($J1183&gt;=$I1183,"Green",IF($J1183&gt;=$I1183-IF($I1183=0,$K1183,$I1183*$K1183),"Amber","Red"))),"")</f>
        <v/>
      </c>
      <c r="T1183" s="6" t="inlineStr"/>
    </row>
    <row r="1184">
      <c r="A1184" s="7" t="n">
        <v>46189</v>
      </c>
      <c r="B1184" s="8">
        <f>IF($A1184="","",TEXT($A1184,"mmm-yyyy"))</f>
        <v/>
      </c>
      <c r="C1184" s="8">
        <f>IF($A1184="","","W"&amp;WEEKNUM($A1184,2))</f>
        <v/>
      </c>
      <c r="D1184" s="8">
        <f>IF($A1184="","",TEXT($A1184,"ddd"))</f>
        <v/>
      </c>
      <c r="E1184" s="8" t="inlineStr">
        <is>
          <t>Safety</t>
        </is>
      </c>
      <c r="F1184" s="8">
        <f>IFERROR(INDEX(Tbl_KPIMaster[Category],MATCH($G1184,Tbl_KPIMaster[KPI],0)),"")</f>
        <v/>
      </c>
      <c r="G1184" s="8" t="inlineStr">
        <is>
          <t>Near Miss Reports</t>
        </is>
      </c>
      <c r="H1184" s="8">
        <f>IFERROR(INDEX(Tbl_KPIMaster[Unit],MATCH($G1184,Tbl_KPIMaster[KPI],0)),"")</f>
        <v/>
      </c>
      <c r="I1184" s="9">
        <f>IFERROR(INDEX(Tbl_KPIMaster[Maximum Target],MATCH($G1184,Tbl_KPIMaster[KPI],0)),"")</f>
        <v/>
      </c>
      <c r="J1184" s="9" t="n">
        <v>2</v>
      </c>
      <c r="K1184" s="8">
        <f>IFERROR(INDEX(Tbl_KPIMaster[Tolerance],MATCH($G1184,Tbl_KPIMaster[KPI],0)),"")</f>
        <v/>
      </c>
      <c r="L1184" s="8">
        <f>IFERROR(INDEX(Tbl_KPIMaster[Owner],MATCH($G1184,Tbl_KPIMaster[KPI],0)),"")</f>
        <v/>
      </c>
      <c r="M1184" s="10" t="inlineStr">
        <is>
          <t>Weather impact</t>
        </is>
      </c>
      <c r="N1184" s="8" t="inlineStr">
        <is>
          <t>Engineering support needed</t>
        </is>
      </c>
      <c r="O1184" s="8" t="inlineStr">
        <is>
          <t>Medium</t>
        </is>
      </c>
      <c r="P1184" s="8" t="inlineStr">
        <is>
          <t>Closed</t>
        </is>
      </c>
      <c r="Q1184" s="9">
        <f>IFERROR(IF(INDEX(Tbl_KPIMaster[Direction],MATCH($G1184,Tbl_KPIMaster[KPI],0))="Lower is Better",IF($J1184=0,1,IF($I1184=0,0,$I1184/$J1184)),IF($I1184=0,1,$J1184/$I1184)),0)</f>
        <v/>
      </c>
      <c r="R1184" s="8">
        <f>IF(OR($I1184="",$J1184=""),"",$J1184-$I1184)</f>
        <v/>
      </c>
      <c r="S1184" s="8">
        <f>IFERROR(IF(INDEX(Tbl_KPIMaster[Direction],MATCH($G1184,Tbl_KPIMaster[KPI],0))="Lower is Better",IF($J1184&lt;=$I1184,"Green",IF($J1184&lt;=$I1184+IF($I1184=0,$K1184,$I1184*$K1184),"Amber","Red")),IF($J1184&gt;=$I1184,"Green",IF($J1184&gt;=$I1184-IF($I1184=0,$K1184,$I1184*$K1184),"Amber","Red"))),"")</f>
        <v/>
      </c>
      <c r="T1184" s="10" t="inlineStr"/>
    </row>
    <row r="1185">
      <c r="A1185" s="3" t="n">
        <v>46189</v>
      </c>
      <c r="B1185" s="4">
        <f>IF($A1185="","",TEXT($A1185,"mmm-yyyy"))</f>
        <v/>
      </c>
      <c r="C1185" s="4">
        <f>IF($A1185="","","W"&amp;WEEKNUM($A1185,2))</f>
        <v/>
      </c>
      <c r="D1185" s="4">
        <f>IF($A1185="","",TEXT($A1185,"ddd"))</f>
        <v/>
      </c>
      <c r="E1185" s="4" t="inlineStr">
        <is>
          <t>Production</t>
        </is>
      </c>
      <c r="F1185" s="4">
        <f>IFERROR(INDEX(Tbl_KPIMaster[Category],MATCH($G1185,Tbl_KPIMaster[KPI],0)),"")</f>
        <v/>
      </c>
      <c r="G1185" s="4" t="inlineStr">
        <is>
          <t>Production Output</t>
        </is>
      </c>
      <c r="H1185" s="4">
        <f>IFERROR(INDEX(Tbl_KPIMaster[Unit],MATCH($G1185,Tbl_KPIMaster[KPI],0)),"")</f>
        <v/>
      </c>
      <c r="I1185" s="5">
        <f>IFERROR(INDEX(Tbl_KPIMaster[Maximum Target],MATCH($G1185,Tbl_KPIMaster[KPI],0)),"")</f>
        <v/>
      </c>
      <c r="J1185" s="5" t="n">
        <v>1002.84</v>
      </c>
      <c r="K1185" s="4">
        <f>IFERROR(INDEX(Tbl_KPIMaster[Tolerance],MATCH($G1185,Tbl_KPIMaster[KPI],0)),"")</f>
        <v/>
      </c>
      <c r="L1185" s="4">
        <f>IFERROR(INDEX(Tbl_KPIMaster[Owner],MATCH($G1185,Tbl_KPIMaster[KPI],0)),"")</f>
        <v/>
      </c>
      <c r="M1185" s="6" t="inlineStr">
        <is>
          <t>Line changeover impact</t>
        </is>
      </c>
      <c r="N1185" s="4" t="inlineStr"/>
      <c r="O1185" s="4" t="inlineStr">
        <is>
          <t>High</t>
        </is>
      </c>
      <c r="P1185" s="4" t="inlineStr">
        <is>
          <t>Closed</t>
        </is>
      </c>
      <c r="Q1185" s="5">
        <f>IFERROR(IF(INDEX(Tbl_KPIMaster[Direction],MATCH($G1185,Tbl_KPIMaster[KPI],0))="Lower is Better",IF($J1185=0,1,IF($I1185=0,0,$I1185/$J1185)),IF($I1185=0,1,$J1185/$I1185)),0)</f>
        <v/>
      </c>
      <c r="R1185" s="4">
        <f>IF(OR($I1185="",$J1185=""),"",$J1185-$I1185)</f>
        <v/>
      </c>
      <c r="S1185" s="4">
        <f>IFERROR(IF(INDEX(Tbl_KPIMaster[Direction],MATCH($G1185,Tbl_KPIMaster[KPI],0))="Lower is Better",IF($J1185&lt;=$I1185,"Green",IF($J1185&lt;=$I1185+IF($I1185=0,$K1185,$I1185*$K1185),"Amber","Red")),IF($J1185&gt;=$I1185,"Green",IF($J1185&gt;=$I1185-IF($I1185=0,$K1185,$I1185*$K1185),"Amber","Red"))),"")</f>
        <v/>
      </c>
      <c r="T1185" s="6" t="inlineStr"/>
    </row>
    <row r="1186">
      <c r="A1186" s="7" t="n">
        <v>46189</v>
      </c>
      <c r="B1186" s="8">
        <f>IF($A1186="","",TEXT($A1186,"mmm-yyyy"))</f>
        <v/>
      </c>
      <c r="C1186" s="8">
        <f>IF($A1186="","","W"&amp;WEEKNUM($A1186,2))</f>
        <v/>
      </c>
      <c r="D1186" s="8">
        <f>IF($A1186="","",TEXT($A1186,"ddd"))</f>
        <v/>
      </c>
      <c r="E1186" s="8" t="inlineStr">
        <is>
          <t>Production</t>
        </is>
      </c>
      <c r="F1186" s="8">
        <f>IFERROR(INDEX(Tbl_KPIMaster[Category],MATCH($G1186,Tbl_KPIMaster[KPI],0)),"")</f>
        <v/>
      </c>
      <c r="G1186" s="8" t="inlineStr">
        <is>
          <t>OEE %</t>
        </is>
      </c>
      <c r="H1186" s="8">
        <f>IFERROR(INDEX(Tbl_KPIMaster[Unit],MATCH($G1186,Tbl_KPIMaster[KPI],0)),"")</f>
        <v/>
      </c>
      <c r="I1186" s="9">
        <f>IFERROR(INDEX(Tbl_KPIMaster[Maximum Target],MATCH($G1186,Tbl_KPIMaster[KPI],0)),"")</f>
        <v/>
      </c>
      <c r="J1186" s="9" t="n">
        <v>0.9131</v>
      </c>
      <c r="K1186" s="8">
        <f>IFERROR(INDEX(Tbl_KPIMaster[Tolerance],MATCH($G1186,Tbl_KPIMaster[KPI],0)),"")</f>
        <v/>
      </c>
      <c r="L1186" s="8">
        <f>IFERROR(INDEX(Tbl_KPIMaster[Owner],MATCH($G1186,Tbl_KPIMaster[KPI],0)),"")</f>
        <v/>
      </c>
      <c r="M1186" s="10" t="inlineStr">
        <is>
          <t>Process improvement in progress</t>
        </is>
      </c>
      <c r="N1186" s="8" t="inlineStr"/>
      <c r="O1186" s="8" t="inlineStr">
        <is>
          <t>Low</t>
        </is>
      </c>
      <c r="P1186" s="8" t="inlineStr">
        <is>
          <t>In Progress</t>
        </is>
      </c>
      <c r="Q1186" s="9">
        <f>IFERROR(IF(INDEX(Tbl_KPIMaster[Direction],MATCH($G1186,Tbl_KPIMaster[KPI],0))="Lower is Better",IF($J1186=0,1,IF($I1186=0,0,$I1186/$J1186)),IF($I1186=0,1,$J1186/$I1186)),0)</f>
        <v/>
      </c>
      <c r="R1186" s="8">
        <f>IF(OR($I1186="",$J1186=""),"",$J1186-$I1186)</f>
        <v/>
      </c>
      <c r="S1186" s="8">
        <f>IFERROR(IF(INDEX(Tbl_KPIMaster[Direction],MATCH($G1186,Tbl_KPIMaster[KPI],0))="Lower is Better",IF($J1186&lt;=$I1186,"Green",IF($J1186&lt;=$I1186+IF($I1186=0,$K1186,$I1186*$K1186),"Amber","Red")),IF($J1186&gt;=$I1186,"Green",IF($J1186&gt;=$I1186-IF($I1186=0,$K1186,$I1186*$K1186),"Amber","Red"))),"")</f>
        <v/>
      </c>
      <c r="T1186" s="10" t="inlineStr"/>
    </row>
    <row r="1187">
      <c r="A1187" s="3" t="n">
        <v>46189</v>
      </c>
      <c r="B1187" s="4">
        <f>IF($A1187="","",TEXT($A1187,"mmm-yyyy"))</f>
        <v/>
      </c>
      <c r="C1187" s="4">
        <f>IF($A1187="","","W"&amp;WEEKNUM($A1187,2))</f>
        <v/>
      </c>
      <c r="D1187" s="4">
        <f>IF($A1187="","",TEXT($A1187,"ddd"))</f>
        <v/>
      </c>
      <c r="E1187" s="4" t="inlineStr">
        <is>
          <t>Quality</t>
        </is>
      </c>
      <c r="F1187" s="4">
        <f>IFERROR(INDEX(Tbl_KPIMaster[Category],MATCH($G1187,Tbl_KPIMaster[KPI],0)),"")</f>
        <v/>
      </c>
      <c r="G1187" s="4" t="inlineStr">
        <is>
          <t>Defect Rate %</t>
        </is>
      </c>
      <c r="H1187" s="4">
        <f>IFERROR(INDEX(Tbl_KPIMaster[Unit],MATCH($G1187,Tbl_KPIMaster[KPI],0)),"")</f>
        <v/>
      </c>
      <c r="I1187" s="5">
        <f>IFERROR(INDEX(Tbl_KPIMaster[Maximum Target],MATCH($G1187,Tbl_KPIMaster[KPI],0)),"")</f>
        <v/>
      </c>
      <c r="J1187" s="5" t="n">
        <v>0.3509</v>
      </c>
      <c r="K1187" s="4">
        <f>IFERROR(INDEX(Tbl_KPIMaster[Tolerance],MATCH($G1187,Tbl_KPIMaster[KPI],0)),"")</f>
        <v/>
      </c>
      <c r="L1187" s="4">
        <f>IFERROR(INDEX(Tbl_KPIMaster[Owner],MATCH($G1187,Tbl_KPIMaster[KPI],0)),"")</f>
        <v/>
      </c>
      <c r="M1187" s="6" t="inlineStr">
        <is>
          <t>Within normal range</t>
        </is>
      </c>
      <c r="N1187" s="4" t="inlineStr"/>
      <c r="O1187" s="4" t="inlineStr">
        <is>
          <t>Low</t>
        </is>
      </c>
      <c r="P1187" s="4" t="inlineStr">
        <is>
          <t>In Progress</t>
        </is>
      </c>
      <c r="Q1187" s="5">
        <f>IFERROR(IF(INDEX(Tbl_KPIMaster[Direction],MATCH($G1187,Tbl_KPIMaster[KPI],0))="Lower is Better",IF($J1187=0,1,IF($I1187=0,0,$I1187/$J1187)),IF($I1187=0,1,$J1187/$I1187)),0)</f>
        <v/>
      </c>
      <c r="R1187" s="4">
        <f>IF(OR($I1187="",$J1187=""),"",$J1187-$I1187)</f>
        <v/>
      </c>
      <c r="S1187" s="4">
        <f>IFERROR(IF(INDEX(Tbl_KPIMaster[Direction],MATCH($G1187,Tbl_KPIMaster[KPI],0))="Lower is Better",IF($J1187&lt;=$I1187,"Green",IF($J1187&lt;=$I1187+IF($I1187=0,$K1187,$I1187*$K1187),"Amber","Red")),IF($J1187&gt;=$I1187,"Green",IF($J1187&gt;=$I1187-IF($I1187=0,$K1187,$I1187*$K1187),"Amber","Red"))),"")</f>
        <v/>
      </c>
      <c r="T1187" s="6" t="inlineStr"/>
    </row>
    <row r="1188">
      <c r="A1188" s="7" t="n">
        <v>46189</v>
      </c>
      <c r="B1188" s="8">
        <f>IF($A1188="","",TEXT($A1188,"mmm-yyyy"))</f>
        <v/>
      </c>
      <c r="C1188" s="8">
        <f>IF($A1188="","","W"&amp;WEEKNUM($A1188,2))</f>
        <v/>
      </c>
      <c r="D1188" s="8">
        <f>IF($A1188="","",TEXT($A1188,"ddd"))</f>
        <v/>
      </c>
      <c r="E1188" s="8" t="inlineStr">
        <is>
          <t>Quality</t>
        </is>
      </c>
      <c r="F1188" s="8">
        <f>IFERROR(INDEX(Tbl_KPIMaster[Category],MATCH($G1188,Tbl_KPIMaster[KPI],0)),"")</f>
        <v/>
      </c>
      <c r="G1188" s="8" t="inlineStr">
        <is>
          <t>Customer Complaints</t>
        </is>
      </c>
      <c r="H1188" s="8">
        <f>IFERROR(INDEX(Tbl_KPIMaster[Unit],MATCH($G1188,Tbl_KPIMaster[KPI],0)),"")</f>
        <v/>
      </c>
      <c r="I1188" s="9">
        <f>IFERROR(INDEX(Tbl_KPIMaster[Maximum Target],MATCH($G1188,Tbl_KPIMaster[KPI],0)),"")</f>
        <v/>
      </c>
      <c r="J1188" s="9" t="n">
        <v>0</v>
      </c>
      <c r="K1188" s="8">
        <f>IFERROR(INDEX(Tbl_KPIMaster[Tolerance],MATCH($G1188,Tbl_KPIMaster[KPI],0)),"")</f>
        <v/>
      </c>
      <c r="L1188" s="8">
        <f>IFERROR(INDEX(Tbl_KPIMaster[Owner],MATCH($G1188,Tbl_KPIMaster[KPI],0)),"")</f>
        <v/>
      </c>
      <c r="M1188" s="10" t="inlineStr">
        <is>
          <t>Preventive check done</t>
        </is>
      </c>
      <c r="N1188" s="8" t="inlineStr">
        <is>
          <t>Management approval pending</t>
        </is>
      </c>
      <c r="O1188" s="8" t="inlineStr">
        <is>
          <t>Low</t>
        </is>
      </c>
      <c r="P1188" s="8" t="inlineStr">
        <is>
          <t>In Progress</t>
        </is>
      </c>
      <c r="Q1188" s="9">
        <f>IFERROR(IF(INDEX(Tbl_KPIMaster[Direction],MATCH($G1188,Tbl_KPIMaster[KPI],0))="Lower is Better",IF($J1188=0,1,IF($I1188=0,0,$I1188/$J1188)),IF($I1188=0,1,$J1188/$I1188)),0)</f>
        <v/>
      </c>
      <c r="R1188" s="8">
        <f>IF(OR($I1188="",$J1188=""),"",$J1188-$I1188)</f>
        <v/>
      </c>
      <c r="S1188" s="8">
        <f>IFERROR(IF(INDEX(Tbl_KPIMaster[Direction],MATCH($G1188,Tbl_KPIMaster[KPI],0))="Lower is Better",IF($J1188&lt;=$I1188,"Green",IF($J1188&lt;=$I1188+IF($I1188=0,$K1188,$I1188*$K1188),"Amber","Red")),IF($J1188&gt;=$I1188,"Green",IF($J1188&gt;=$I1188-IF($I1188=0,$K1188,$I1188*$K1188),"Amber","Red"))),"")</f>
        <v/>
      </c>
      <c r="T1188" s="10" t="inlineStr"/>
    </row>
    <row r="1189">
      <c r="A1189" s="3" t="n">
        <v>46189</v>
      </c>
      <c r="B1189" s="4">
        <f>IF($A1189="","",TEXT($A1189,"mmm-yyyy"))</f>
        <v/>
      </c>
      <c r="C1189" s="4">
        <f>IF($A1189="","","W"&amp;WEEKNUM($A1189,2))</f>
        <v/>
      </c>
      <c r="D1189" s="4">
        <f>IF($A1189="","",TEXT($A1189,"ddd"))</f>
        <v/>
      </c>
      <c r="E1189" s="4" t="inlineStr">
        <is>
          <t>Maintenance</t>
        </is>
      </c>
      <c r="F1189" s="4">
        <f>IFERROR(INDEX(Tbl_KPIMaster[Category],MATCH($G1189,Tbl_KPIMaster[KPI],0)),"")</f>
        <v/>
      </c>
      <c r="G1189" s="4" t="inlineStr">
        <is>
          <t>Unplanned Downtime</t>
        </is>
      </c>
      <c r="H1189" s="4">
        <f>IFERROR(INDEX(Tbl_KPIMaster[Unit],MATCH($G1189,Tbl_KPIMaster[KPI],0)),"")</f>
        <v/>
      </c>
      <c r="I1189" s="5">
        <f>IFERROR(INDEX(Tbl_KPIMaster[Maximum Target],MATCH($G1189,Tbl_KPIMaster[KPI],0)),"")</f>
        <v/>
      </c>
      <c r="J1189" s="5" t="n">
        <v>0</v>
      </c>
      <c r="K1189" s="4">
        <f>IFERROR(INDEX(Tbl_KPIMaster[Tolerance],MATCH($G1189,Tbl_KPIMaster[KPI],0)),"")</f>
        <v/>
      </c>
      <c r="L1189" s="4">
        <f>IFERROR(INDEX(Tbl_KPIMaster[Owner],MATCH($G1189,Tbl_KPIMaster[KPI],0)),"")</f>
        <v/>
      </c>
      <c r="M1189" s="6" t="inlineStr">
        <is>
          <t>Awaiting spares</t>
        </is>
      </c>
      <c r="N1189" s="4" t="inlineStr"/>
      <c r="O1189" s="4" t="inlineStr">
        <is>
          <t>Low</t>
        </is>
      </c>
      <c r="P1189" s="4" t="inlineStr">
        <is>
          <t>Closed</t>
        </is>
      </c>
      <c r="Q1189" s="5">
        <f>IFERROR(IF(INDEX(Tbl_KPIMaster[Direction],MATCH($G1189,Tbl_KPIMaster[KPI],0))="Lower is Better",IF($J1189=0,1,IF($I1189=0,0,$I1189/$J1189)),IF($I1189=0,1,$J1189/$I1189)),0)</f>
        <v/>
      </c>
      <c r="R1189" s="4">
        <f>IF(OR($I1189="",$J1189=""),"",$J1189-$I1189)</f>
        <v/>
      </c>
      <c r="S1189" s="4">
        <f>IFERROR(IF(INDEX(Tbl_KPIMaster[Direction],MATCH($G1189,Tbl_KPIMaster[KPI],0))="Lower is Better",IF($J1189&lt;=$I1189,"Green",IF($J1189&lt;=$I1189+IF($I1189=0,$K1189,$I1189*$K1189),"Amber","Red")),IF($J1189&gt;=$I1189,"Green",IF($J1189&gt;=$I1189-IF($I1189=0,$K1189,$I1189*$K1189),"Amber","Red"))),"")</f>
        <v/>
      </c>
      <c r="T1189" s="6" t="inlineStr"/>
    </row>
    <row r="1190">
      <c r="A1190" s="7" t="n">
        <v>46189</v>
      </c>
      <c r="B1190" s="8">
        <f>IF($A1190="","",TEXT($A1190,"mmm-yyyy"))</f>
        <v/>
      </c>
      <c r="C1190" s="8">
        <f>IF($A1190="","","W"&amp;WEEKNUM($A1190,2))</f>
        <v/>
      </c>
      <c r="D1190" s="8">
        <f>IF($A1190="","",TEXT($A1190,"ddd"))</f>
        <v/>
      </c>
      <c r="E1190" s="8" t="inlineStr">
        <is>
          <t>Maintenance</t>
        </is>
      </c>
      <c r="F1190" s="8">
        <f>IFERROR(INDEX(Tbl_KPIMaster[Category],MATCH($G1190,Tbl_KPIMaster[KPI],0)),"")</f>
        <v/>
      </c>
      <c r="G1190" s="8" t="inlineStr">
        <is>
          <t>PM Compliance %</t>
        </is>
      </c>
      <c r="H1190" s="8">
        <f>IFERROR(INDEX(Tbl_KPIMaster[Unit],MATCH($G1190,Tbl_KPIMaster[KPI],0)),"")</f>
        <v/>
      </c>
      <c r="I1190" s="9">
        <f>IFERROR(INDEX(Tbl_KPIMaster[Maximum Target],MATCH($G1190,Tbl_KPIMaster[KPI],0)),"")</f>
        <v/>
      </c>
      <c r="J1190" s="9" t="n">
        <v>0.9014</v>
      </c>
      <c r="K1190" s="8">
        <f>IFERROR(INDEX(Tbl_KPIMaster[Tolerance],MATCH($G1190,Tbl_KPIMaster[KPI],0)),"")</f>
        <v/>
      </c>
      <c r="L1190" s="8">
        <f>IFERROR(INDEX(Tbl_KPIMaster[Owner],MATCH($G1190,Tbl_KPIMaster[KPI],0)),"")</f>
        <v/>
      </c>
      <c r="M1190" s="10" t="inlineStr">
        <is>
          <t>Process improvement in progress</t>
        </is>
      </c>
      <c r="N1190" s="8" t="inlineStr">
        <is>
          <t>Management approval pending</t>
        </is>
      </c>
      <c r="O1190" s="8" t="inlineStr">
        <is>
          <t>Medium</t>
        </is>
      </c>
      <c r="P1190" s="8" t="inlineStr">
        <is>
          <t>Closed</t>
        </is>
      </c>
      <c r="Q1190" s="9">
        <f>IFERROR(IF(INDEX(Tbl_KPIMaster[Direction],MATCH($G1190,Tbl_KPIMaster[KPI],0))="Lower is Better",IF($J1190=0,1,IF($I1190=0,0,$I1190/$J1190)),IF($I1190=0,1,$J1190/$I1190)),0)</f>
        <v/>
      </c>
      <c r="R1190" s="8">
        <f>IF(OR($I1190="",$J1190=""),"",$J1190-$I1190)</f>
        <v/>
      </c>
      <c r="S1190" s="8">
        <f>IFERROR(IF(INDEX(Tbl_KPIMaster[Direction],MATCH($G1190,Tbl_KPIMaster[KPI],0))="Lower is Better",IF($J1190&lt;=$I1190,"Green",IF($J1190&lt;=$I1190+IF($I1190=0,$K1190,$I1190*$K1190),"Amber","Red")),IF($J1190&gt;=$I1190,"Green",IF($J1190&gt;=$I1190-IF($I1190=0,$K1190,$I1190*$K1190),"Amber","Red"))),"")</f>
        <v/>
      </c>
      <c r="T1190" s="10" t="inlineStr"/>
    </row>
    <row r="1191">
      <c r="A1191" s="3" t="n">
        <v>46189</v>
      </c>
      <c r="B1191" s="4">
        <f>IF($A1191="","",TEXT($A1191,"mmm-yyyy"))</f>
        <v/>
      </c>
      <c r="C1191" s="4">
        <f>IF($A1191="","","W"&amp;WEEKNUM($A1191,2))</f>
        <v/>
      </c>
      <c r="D1191" s="4">
        <f>IF($A1191="","",TEXT($A1191,"ddd"))</f>
        <v/>
      </c>
      <c r="E1191" s="4" t="inlineStr">
        <is>
          <t>Utilities</t>
        </is>
      </c>
      <c r="F1191" s="4">
        <f>IFERROR(INDEX(Tbl_KPIMaster[Category],MATCH($G1191,Tbl_KPIMaster[KPI],0)),"")</f>
        <v/>
      </c>
      <c r="G1191" s="4" t="inlineStr">
        <is>
          <t>Power Consumption</t>
        </is>
      </c>
      <c r="H1191" s="4">
        <f>IFERROR(INDEX(Tbl_KPIMaster[Unit],MATCH($G1191,Tbl_KPIMaster[KPI],0)),"")</f>
        <v/>
      </c>
      <c r="I1191" s="5">
        <f>IFERROR(INDEX(Tbl_KPIMaster[Maximum Target],MATCH($G1191,Tbl_KPIMaster[KPI],0)),"")</f>
        <v/>
      </c>
      <c r="J1191" s="5" t="n">
        <v>4208.92</v>
      </c>
      <c r="K1191" s="4">
        <f>IFERROR(INDEX(Tbl_KPIMaster[Tolerance],MATCH($G1191,Tbl_KPIMaster[KPI],0)),"")</f>
        <v/>
      </c>
      <c r="L1191" s="4">
        <f>IFERROR(INDEX(Tbl_KPIMaster[Owner],MATCH($G1191,Tbl_KPIMaster[KPI],0)),"")</f>
        <v/>
      </c>
      <c r="M1191" s="6" t="inlineStr">
        <is>
          <t>Within normal range</t>
        </is>
      </c>
      <c r="N1191" s="4" t="inlineStr">
        <is>
          <t>Procurement follow-up</t>
        </is>
      </c>
      <c r="O1191" s="4" t="inlineStr">
        <is>
          <t>Medium</t>
        </is>
      </c>
      <c r="P1191" s="4" t="inlineStr">
        <is>
          <t>In Progress</t>
        </is>
      </c>
      <c r="Q1191" s="5">
        <f>IFERROR(IF(INDEX(Tbl_KPIMaster[Direction],MATCH($G1191,Tbl_KPIMaster[KPI],0))="Lower is Better",IF($J1191=0,1,IF($I1191=0,0,$I1191/$J1191)),IF($I1191=0,1,$J1191/$I1191)),0)</f>
        <v/>
      </c>
      <c r="R1191" s="4">
        <f>IF(OR($I1191="",$J1191=""),"",$J1191-$I1191)</f>
        <v/>
      </c>
      <c r="S1191" s="4">
        <f>IFERROR(IF(INDEX(Tbl_KPIMaster[Direction],MATCH($G1191,Tbl_KPIMaster[KPI],0))="Lower is Better",IF($J1191&lt;=$I1191,"Green",IF($J1191&lt;=$I1191+IF($I1191=0,$K1191,$I1191*$K1191),"Amber","Red")),IF($J1191&gt;=$I1191,"Green",IF($J1191&gt;=$I1191-IF($I1191=0,$K1191,$I1191*$K1191),"Amber","Red"))),"")</f>
        <v/>
      </c>
      <c r="T1191" s="6" t="inlineStr"/>
    </row>
    <row r="1192">
      <c r="A1192" s="7" t="n">
        <v>46189</v>
      </c>
      <c r="B1192" s="8">
        <f>IF($A1192="","",TEXT($A1192,"mmm-yyyy"))</f>
        <v/>
      </c>
      <c r="C1192" s="8">
        <f>IF($A1192="","","W"&amp;WEEKNUM($A1192,2))</f>
        <v/>
      </c>
      <c r="D1192" s="8">
        <f>IF($A1192="","",TEXT($A1192,"ddd"))</f>
        <v/>
      </c>
      <c r="E1192" s="8" t="inlineStr">
        <is>
          <t>Utilities</t>
        </is>
      </c>
      <c r="F1192" s="8">
        <f>IFERROR(INDEX(Tbl_KPIMaster[Category],MATCH($G1192,Tbl_KPIMaster[KPI],0)),"")</f>
        <v/>
      </c>
      <c r="G1192" s="8" t="inlineStr">
        <is>
          <t>Water Consumption</t>
        </is>
      </c>
      <c r="H1192" s="8">
        <f>IFERROR(INDEX(Tbl_KPIMaster[Unit],MATCH($G1192,Tbl_KPIMaster[KPI],0)),"")</f>
        <v/>
      </c>
      <c r="I1192" s="9">
        <f>IFERROR(INDEX(Tbl_KPIMaster[Maximum Target],MATCH($G1192,Tbl_KPIMaster[KPI],0)),"")</f>
        <v/>
      </c>
      <c r="J1192" s="9" t="n">
        <v>57.6</v>
      </c>
      <c r="K1192" s="8">
        <f>IFERROR(INDEX(Tbl_KPIMaster[Tolerance],MATCH($G1192,Tbl_KPIMaster[KPI],0)),"")</f>
        <v/>
      </c>
      <c r="L1192" s="8">
        <f>IFERROR(INDEX(Tbl_KPIMaster[Owner],MATCH($G1192,Tbl_KPIMaster[KPI],0)),"")</f>
        <v/>
      </c>
      <c r="M1192" s="10" t="inlineStr">
        <is>
          <t>Vendor delay</t>
        </is>
      </c>
      <c r="N1192" s="8" t="inlineStr"/>
      <c r="O1192" s="8" t="inlineStr">
        <is>
          <t>Medium</t>
        </is>
      </c>
      <c r="P1192" s="8" t="inlineStr">
        <is>
          <t>Open</t>
        </is>
      </c>
      <c r="Q1192" s="9">
        <f>IFERROR(IF(INDEX(Tbl_KPIMaster[Direction],MATCH($G1192,Tbl_KPIMaster[KPI],0))="Lower is Better",IF($J1192=0,1,IF($I1192=0,0,$I1192/$J1192)),IF($I1192=0,1,$J1192/$I1192)),0)</f>
        <v/>
      </c>
      <c r="R1192" s="8">
        <f>IF(OR($I1192="",$J1192=""),"",$J1192-$I1192)</f>
        <v/>
      </c>
      <c r="S1192" s="8">
        <f>IFERROR(IF(INDEX(Tbl_KPIMaster[Direction],MATCH($G1192,Tbl_KPIMaster[KPI],0))="Lower is Better",IF($J1192&lt;=$I1192,"Green",IF($J1192&lt;=$I1192+IF($I1192=0,$K1192,$I1192*$K1192),"Amber","Red")),IF($J1192&gt;=$I1192,"Green",IF($J1192&gt;=$I1192-IF($I1192=0,$K1192,$I1192*$K1192),"Amber","Red"))),"")</f>
        <v/>
      </c>
      <c r="T1192" s="10" t="inlineStr"/>
    </row>
    <row r="1193">
      <c r="A1193" s="3" t="n">
        <v>46189</v>
      </c>
      <c r="B1193" s="4">
        <f>IF($A1193="","",TEXT($A1193,"mmm-yyyy"))</f>
        <v/>
      </c>
      <c r="C1193" s="4">
        <f>IF($A1193="","","W"&amp;WEEKNUM($A1193,2))</f>
        <v/>
      </c>
      <c r="D1193" s="4">
        <f>IF($A1193="","",TEXT($A1193,"ddd"))</f>
        <v/>
      </c>
      <c r="E1193" s="4" t="inlineStr">
        <is>
          <t>Warehouse</t>
        </is>
      </c>
      <c r="F1193" s="4">
        <f>IFERROR(INDEX(Tbl_KPIMaster[Category],MATCH($G1193,Tbl_KPIMaster[KPI],0)),"")</f>
        <v/>
      </c>
      <c r="G1193" s="4" t="inlineStr">
        <is>
          <t>On-Time Dispatch %</t>
        </is>
      </c>
      <c r="H1193" s="4">
        <f>IFERROR(INDEX(Tbl_KPIMaster[Unit],MATCH($G1193,Tbl_KPIMaster[KPI],0)),"")</f>
        <v/>
      </c>
      <c r="I1193" s="5">
        <f>IFERROR(INDEX(Tbl_KPIMaster[Maximum Target],MATCH($G1193,Tbl_KPIMaster[KPI],0)),"")</f>
        <v/>
      </c>
      <c r="J1193" s="5" t="n">
        <v>1.0339</v>
      </c>
      <c r="K1193" s="4">
        <f>IFERROR(INDEX(Tbl_KPIMaster[Tolerance],MATCH($G1193,Tbl_KPIMaster[KPI],0)),"")</f>
        <v/>
      </c>
      <c r="L1193" s="4">
        <f>IFERROR(INDEX(Tbl_KPIMaster[Owner],MATCH($G1193,Tbl_KPIMaster[KPI],0)),"")</f>
        <v/>
      </c>
      <c r="M1193" s="6" t="inlineStr">
        <is>
          <t>Equipment breakdown</t>
        </is>
      </c>
      <c r="N1193" s="4" t="inlineStr">
        <is>
          <t>Procurement follow-up</t>
        </is>
      </c>
      <c r="O1193" s="4" t="inlineStr">
        <is>
          <t>High</t>
        </is>
      </c>
      <c r="P1193" s="4" t="inlineStr">
        <is>
          <t>In Progress</t>
        </is>
      </c>
      <c r="Q1193" s="5">
        <f>IFERROR(IF(INDEX(Tbl_KPIMaster[Direction],MATCH($G1193,Tbl_KPIMaster[KPI],0))="Lower is Better",IF($J1193=0,1,IF($I1193=0,0,$I1193/$J1193)),IF($I1193=0,1,$J1193/$I1193)),0)</f>
        <v/>
      </c>
      <c r="R1193" s="4">
        <f>IF(OR($I1193="",$J1193=""),"",$J1193-$I1193)</f>
        <v/>
      </c>
      <c r="S1193" s="4">
        <f>IFERROR(IF(INDEX(Tbl_KPIMaster[Direction],MATCH($G1193,Tbl_KPIMaster[KPI],0))="Lower is Better",IF($J1193&lt;=$I1193,"Green",IF($J1193&lt;=$I1193+IF($I1193=0,$K1193,$I1193*$K1193),"Amber","Red")),IF($J1193&gt;=$I1193,"Green",IF($J1193&gt;=$I1193-IF($I1193=0,$K1193,$I1193*$K1193),"Amber","Red"))),"")</f>
        <v/>
      </c>
      <c r="T1193" s="6" t="inlineStr"/>
    </row>
    <row r="1194">
      <c r="A1194" s="7" t="n">
        <v>46189</v>
      </c>
      <c r="B1194" s="8">
        <f>IF($A1194="","",TEXT($A1194,"mmm-yyyy"))</f>
        <v/>
      </c>
      <c r="C1194" s="8">
        <f>IF($A1194="","","W"&amp;WEEKNUM($A1194,2))</f>
        <v/>
      </c>
      <c r="D1194" s="8">
        <f>IF($A1194="","",TEXT($A1194,"ddd"))</f>
        <v/>
      </c>
      <c r="E1194" s="8" t="inlineStr">
        <is>
          <t>Warehouse</t>
        </is>
      </c>
      <c r="F1194" s="8">
        <f>IFERROR(INDEX(Tbl_KPIMaster[Category],MATCH($G1194,Tbl_KPIMaster[KPI],0)),"")</f>
        <v/>
      </c>
      <c r="G1194" s="8" t="inlineStr">
        <is>
          <t>Inventory Accuracy %</t>
        </is>
      </c>
      <c r="H1194" s="8">
        <f>IFERROR(INDEX(Tbl_KPIMaster[Unit],MATCH($G1194,Tbl_KPIMaster[KPI],0)),"")</f>
        <v/>
      </c>
      <c r="I1194" s="9">
        <f>IFERROR(INDEX(Tbl_KPIMaster[Maximum Target],MATCH($G1194,Tbl_KPIMaster[KPI],0)),"")</f>
        <v/>
      </c>
      <c r="J1194" s="9" t="n">
        <v>1.1689</v>
      </c>
      <c r="K1194" s="8">
        <f>IFERROR(INDEX(Tbl_KPIMaster[Tolerance],MATCH($G1194,Tbl_KPIMaster[KPI],0)),"")</f>
        <v/>
      </c>
      <c r="L1194" s="8">
        <f>IFERROR(INDEX(Tbl_KPIMaster[Owner],MATCH($G1194,Tbl_KPIMaster[KPI],0)),"")</f>
        <v/>
      </c>
      <c r="M1194" s="10" t="inlineStr">
        <is>
          <t>Manpower shortage</t>
        </is>
      </c>
      <c r="N1194" s="8" t="inlineStr">
        <is>
          <t>Engineering support needed</t>
        </is>
      </c>
      <c r="O1194" s="8" t="inlineStr">
        <is>
          <t>Low</t>
        </is>
      </c>
      <c r="P1194" s="8" t="inlineStr">
        <is>
          <t>Closed</t>
        </is>
      </c>
      <c r="Q1194" s="9">
        <f>IFERROR(IF(INDEX(Tbl_KPIMaster[Direction],MATCH($G1194,Tbl_KPIMaster[KPI],0))="Lower is Better",IF($J1194=0,1,IF($I1194=0,0,$I1194/$J1194)),IF($I1194=0,1,$J1194/$I1194)),0)</f>
        <v/>
      </c>
      <c r="R1194" s="8">
        <f>IF(OR($I1194="",$J1194=""),"",$J1194-$I1194)</f>
        <v/>
      </c>
      <c r="S1194" s="8">
        <f>IFERROR(IF(INDEX(Tbl_KPIMaster[Direction],MATCH($G1194,Tbl_KPIMaster[KPI],0))="Lower is Better",IF($J1194&lt;=$I1194,"Green",IF($J1194&lt;=$I1194+IF($I1194=0,$K1194,$I1194*$K1194),"Amber","Red")),IF($J1194&gt;=$I1194,"Green",IF($J1194&gt;=$I1194-IF($I1194=0,$K1194,$I1194*$K1194),"Amber","Red"))),"")</f>
        <v/>
      </c>
      <c r="T1194" s="10" t="inlineStr"/>
    </row>
    <row r="1195">
      <c r="A1195" s="3" t="n">
        <v>46189</v>
      </c>
      <c r="B1195" s="4">
        <f>IF($A1195="","",TEXT($A1195,"mmm-yyyy"))</f>
        <v/>
      </c>
      <c r="C1195" s="4">
        <f>IF($A1195="","","W"&amp;WEEKNUM($A1195,2))</f>
        <v/>
      </c>
      <c r="D1195" s="4">
        <f>IF($A1195="","",TEXT($A1195,"ddd"))</f>
        <v/>
      </c>
      <c r="E1195" s="4" t="inlineStr">
        <is>
          <t>HR</t>
        </is>
      </c>
      <c r="F1195" s="4">
        <f>IFERROR(INDEX(Tbl_KPIMaster[Category],MATCH($G1195,Tbl_KPIMaster[KPI],0)),"")</f>
        <v/>
      </c>
      <c r="G1195" s="4" t="inlineStr">
        <is>
          <t>Absenteeism %</t>
        </is>
      </c>
      <c r="H1195" s="4">
        <f>IFERROR(INDEX(Tbl_KPIMaster[Unit],MATCH($G1195,Tbl_KPIMaster[KPI],0)),"")</f>
        <v/>
      </c>
      <c r="I1195" s="5">
        <f>IFERROR(INDEX(Tbl_KPIMaster[Maximum Target],MATCH($G1195,Tbl_KPIMaster[KPI],0)),"")</f>
        <v/>
      </c>
      <c r="J1195" s="5" t="n">
        <v>2.0339</v>
      </c>
      <c r="K1195" s="4">
        <f>IFERROR(INDEX(Tbl_KPIMaster[Tolerance],MATCH($G1195,Tbl_KPIMaster[KPI],0)),"")</f>
        <v/>
      </c>
      <c r="L1195" s="4">
        <f>IFERROR(INDEX(Tbl_KPIMaster[Owner],MATCH($G1195,Tbl_KPIMaster[KPI],0)),"")</f>
        <v/>
      </c>
      <c r="M1195" s="6" t="inlineStr">
        <is>
          <t>New operator training effect</t>
        </is>
      </c>
      <c r="N1195" s="4" t="inlineStr"/>
      <c r="O1195" s="4" t="inlineStr">
        <is>
          <t>Low</t>
        </is>
      </c>
      <c r="P1195" s="4" t="inlineStr">
        <is>
          <t>In Progress</t>
        </is>
      </c>
      <c r="Q1195" s="5">
        <f>IFERROR(IF(INDEX(Tbl_KPIMaster[Direction],MATCH($G1195,Tbl_KPIMaster[KPI],0))="Lower is Better",IF($J1195=0,1,IF($I1195=0,0,$I1195/$J1195)),IF($I1195=0,1,$J1195/$I1195)),0)</f>
        <v/>
      </c>
      <c r="R1195" s="4">
        <f>IF(OR($I1195="",$J1195=""),"",$J1195-$I1195)</f>
        <v/>
      </c>
      <c r="S1195" s="4">
        <f>IFERROR(IF(INDEX(Tbl_KPIMaster[Direction],MATCH($G1195,Tbl_KPIMaster[KPI],0))="Lower is Better",IF($J1195&lt;=$I1195,"Green",IF($J1195&lt;=$I1195+IF($I1195=0,$K1195,$I1195*$K1195),"Amber","Red")),IF($J1195&gt;=$I1195,"Green",IF($J1195&gt;=$I1195-IF($I1195=0,$K1195,$I1195*$K1195),"Amber","Red"))),"")</f>
        <v/>
      </c>
      <c r="T1195" s="6" t="inlineStr"/>
    </row>
    <row r="1196">
      <c r="A1196" s="7" t="n">
        <v>46189</v>
      </c>
      <c r="B1196" s="8">
        <f>IF($A1196="","",TEXT($A1196,"mmm-yyyy"))</f>
        <v/>
      </c>
      <c r="C1196" s="8">
        <f>IF($A1196="","","W"&amp;WEEKNUM($A1196,2))</f>
        <v/>
      </c>
      <c r="D1196" s="8">
        <f>IF($A1196="","",TEXT($A1196,"ddd"))</f>
        <v/>
      </c>
      <c r="E1196" s="8" t="inlineStr">
        <is>
          <t>HR</t>
        </is>
      </c>
      <c r="F1196" s="8">
        <f>IFERROR(INDEX(Tbl_KPIMaster[Category],MATCH($G1196,Tbl_KPIMaster[KPI],0)),"")</f>
        <v/>
      </c>
      <c r="G1196" s="8" t="inlineStr">
        <is>
          <t>Training Hours</t>
        </is>
      </c>
      <c r="H1196" s="8">
        <f>IFERROR(INDEX(Tbl_KPIMaster[Unit],MATCH($G1196,Tbl_KPIMaster[KPI],0)),"")</f>
        <v/>
      </c>
      <c r="I1196" s="9">
        <f>IFERROR(INDEX(Tbl_KPIMaster[Maximum Target],MATCH($G1196,Tbl_KPIMaster[KPI],0)),"")</f>
        <v/>
      </c>
      <c r="J1196" s="9" t="n">
        <v>2.29</v>
      </c>
      <c r="K1196" s="8">
        <f>IFERROR(INDEX(Tbl_KPIMaster[Tolerance],MATCH($G1196,Tbl_KPIMaster[KPI],0)),"")</f>
        <v/>
      </c>
      <c r="L1196" s="8">
        <f>IFERROR(INDEX(Tbl_KPIMaster[Owner],MATCH($G1196,Tbl_KPIMaster[KPI],0)),"")</f>
        <v/>
      </c>
      <c r="M1196" s="10" t="inlineStr"/>
      <c r="N1196" s="8" t="inlineStr"/>
      <c r="O1196" s="8" t="inlineStr">
        <is>
          <t>Low</t>
        </is>
      </c>
      <c r="P1196" s="8" t="inlineStr">
        <is>
          <t>Closed</t>
        </is>
      </c>
      <c r="Q1196" s="9">
        <f>IFERROR(IF(INDEX(Tbl_KPIMaster[Direction],MATCH($G1196,Tbl_KPIMaster[KPI],0))="Lower is Better",IF($J1196=0,1,IF($I1196=0,0,$I1196/$J1196)),IF($I1196=0,1,$J1196/$I1196)),0)</f>
        <v/>
      </c>
      <c r="R1196" s="8">
        <f>IF(OR($I1196="",$J1196=""),"",$J1196-$I1196)</f>
        <v/>
      </c>
      <c r="S1196" s="8">
        <f>IFERROR(IF(INDEX(Tbl_KPIMaster[Direction],MATCH($G1196,Tbl_KPIMaster[KPI],0))="Lower is Better",IF($J1196&lt;=$I1196,"Green",IF($J1196&lt;=$I1196+IF($I1196=0,$K1196,$I1196*$K1196),"Amber","Red")),IF($J1196&gt;=$I1196,"Green",IF($J1196&gt;=$I1196-IF($I1196=0,$K1196,$I1196*$K1196),"Amber","Red"))),"")</f>
        <v/>
      </c>
      <c r="T1196" s="10" t="inlineStr"/>
    </row>
    <row r="1197">
      <c r="A1197" s="3" t="n">
        <v>46189</v>
      </c>
      <c r="B1197" s="4">
        <f>IF($A1197="","",TEXT($A1197,"mmm-yyyy"))</f>
        <v/>
      </c>
      <c r="C1197" s="4">
        <f>IF($A1197="","","W"&amp;WEEKNUM($A1197,2))</f>
        <v/>
      </c>
      <c r="D1197" s="4">
        <f>IF($A1197="","",TEXT($A1197,"ddd"))</f>
        <v/>
      </c>
      <c r="E1197" s="4" t="inlineStr">
        <is>
          <t>Engineering</t>
        </is>
      </c>
      <c r="F1197" s="4">
        <f>IFERROR(INDEX(Tbl_KPIMaster[Category],MATCH($G1197,Tbl_KPIMaster[KPI],0)),"")</f>
        <v/>
      </c>
      <c r="G1197" s="4" t="inlineStr">
        <is>
          <t>Project Milestone Adherence %</t>
        </is>
      </c>
      <c r="H1197" s="4">
        <f>IFERROR(INDEX(Tbl_KPIMaster[Unit],MATCH($G1197,Tbl_KPIMaster[KPI],0)),"")</f>
        <v/>
      </c>
      <c r="I1197" s="5">
        <f>IFERROR(INDEX(Tbl_KPIMaster[Maximum Target],MATCH($G1197,Tbl_KPIMaster[KPI],0)),"")</f>
        <v/>
      </c>
      <c r="J1197" s="5" t="n">
        <v>0.8642</v>
      </c>
      <c r="K1197" s="4">
        <f>IFERROR(INDEX(Tbl_KPIMaster[Tolerance],MATCH($G1197,Tbl_KPIMaster[KPI],0)),"")</f>
        <v/>
      </c>
      <c r="L1197" s="4">
        <f>IFERROR(INDEX(Tbl_KPIMaster[Owner],MATCH($G1197,Tbl_KPIMaster[KPI],0)),"")</f>
        <v/>
      </c>
      <c r="M1197" s="6" t="inlineStr">
        <is>
          <t>Weather impact</t>
        </is>
      </c>
      <c r="N1197" s="4" t="inlineStr"/>
      <c r="O1197" s="4" t="inlineStr">
        <is>
          <t>Low</t>
        </is>
      </c>
      <c r="P1197" s="4" t="inlineStr">
        <is>
          <t>Open</t>
        </is>
      </c>
      <c r="Q1197" s="5">
        <f>IFERROR(IF(INDEX(Tbl_KPIMaster[Direction],MATCH($G1197,Tbl_KPIMaster[KPI],0))="Lower is Better",IF($J1197=0,1,IF($I1197=0,0,$I1197/$J1197)),IF($I1197=0,1,$J1197/$I1197)),0)</f>
        <v/>
      </c>
      <c r="R1197" s="4">
        <f>IF(OR($I1197="",$J1197=""),"",$J1197-$I1197)</f>
        <v/>
      </c>
      <c r="S1197" s="4">
        <f>IFERROR(IF(INDEX(Tbl_KPIMaster[Direction],MATCH($G1197,Tbl_KPIMaster[KPI],0))="Lower is Better",IF($J1197&lt;=$I1197,"Green",IF($J1197&lt;=$I1197+IF($I1197=0,$K1197,$I1197*$K1197),"Amber","Red")),IF($J1197&gt;=$I1197,"Green",IF($J1197&gt;=$I1197-IF($I1197=0,$K1197,$I1197*$K1197),"Amber","Red"))),"")</f>
        <v/>
      </c>
      <c r="T1197" s="6" t="inlineStr"/>
    </row>
    <row r="1198">
      <c r="A1198" s="7" t="n">
        <v>46189</v>
      </c>
      <c r="B1198" s="8">
        <f>IF($A1198="","",TEXT($A1198,"mmm-yyyy"))</f>
        <v/>
      </c>
      <c r="C1198" s="8">
        <f>IF($A1198="","","W"&amp;WEEKNUM($A1198,2))</f>
        <v/>
      </c>
      <c r="D1198" s="8">
        <f>IF($A1198="","",TEXT($A1198,"ddd"))</f>
        <v/>
      </c>
      <c r="E1198" s="8" t="inlineStr">
        <is>
          <t>Engineering</t>
        </is>
      </c>
      <c r="F1198" s="8">
        <f>IFERROR(INDEX(Tbl_KPIMaster[Category],MATCH($G1198,Tbl_KPIMaster[KPI],0)),"")</f>
        <v/>
      </c>
      <c r="G1198" s="8" t="inlineStr">
        <is>
          <t>Breakdown Resolution Time</t>
        </is>
      </c>
      <c r="H1198" s="8">
        <f>IFERROR(INDEX(Tbl_KPIMaster[Unit],MATCH($G1198,Tbl_KPIMaster[KPI],0)),"")</f>
        <v/>
      </c>
      <c r="I1198" s="9">
        <f>IFERROR(INDEX(Tbl_KPIMaster[Maximum Target],MATCH($G1198,Tbl_KPIMaster[KPI],0)),"")</f>
        <v/>
      </c>
      <c r="J1198" s="9" t="n">
        <v>0.1</v>
      </c>
      <c r="K1198" s="8">
        <f>IFERROR(INDEX(Tbl_KPIMaster[Tolerance],MATCH($G1198,Tbl_KPIMaster[KPI],0)),"")</f>
        <v/>
      </c>
      <c r="L1198" s="8">
        <f>IFERROR(INDEX(Tbl_KPIMaster[Owner],MATCH($G1198,Tbl_KPIMaster[KPI],0)),"")</f>
        <v/>
      </c>
      <c r="M1198" s="10" t="inlineStr">
        <is>
          <t>New operator training effect</t>
        </is>
      </c>
      <c r="N1198" s="8" t="inlineStr"/>
      <c r="O1198" s="8" t="inlineStr">
        <is>
          <t>Low</t>
        </is>
      </c>
      <c r="P1198" s="8" t="inlineStr">
        <is>
          <t>Closed</t>
        </is>
      </c>
      <c r="Q1198" s="9">
        <f>IFERROR(IF(INDEX(Tbl_KPIMaster[Direction],MATCH($G1198,Tbl_KPIMaster[KPI],0))="Lower is Better",IF($J1198=0,1,IF($I1198=0,0,$I1198/$J1198)),IF($I1198=0,1,$J1198/$I1198)),0)</f>
        <v/>
      </c>
      <c r="R1198" s="8">
        <f>IF(OR($I1198="",$J1198=""),"",$J1198-$I1198)</f>
        <v/>
      </c>
      <c r="S1198" s="8">
        <f>IFERROR(IF(INDEX(Tbl_KPIMaster[Direction],MATCH($G1198,Tbl_KPIMaster[KPI],0))="Lower is Better",IF($J1198&lt;=$I1198,"Green",IF($J1198&lt;=$I1198+IF($I1198=0,$K1198,$I1198*$K1198),"Amber","Red")),IF($J1198&gt;=$I1198,"Green",IF($J1198&gt;=$I1198-IF($I1198=0,$K1198,$I1198*$K1198),"Amber","Red"))),"")</f>
        <v/>
      </c>
      <c r="T1198" s="10" t="inlineStr"/>
    </row>
    <row r="1199">
      <c r="A1199" s="3" t="n">
        <v>46189</v>
      </c>
      <c r="B1199" s="4">
        <f>IF($A1199="","",TEXT($A1199,"mmm-yyyy"))</f>
        <v/>
      </c>
      <c r="C1199" s="4">
        <f>IF($A1199="","","W"&amp;WEEKNUM($A1199,2))</f>
        <v/>
      </c>
      <c r="D1199" s="4">
        <f>IF($A1199="","",TEXT($A1199,"ddd"))</f>
        <v/>
      </c>
      <c r="E1199" s="4" t="inlineStr">
        <is>
          <t>Cost</t>
        </is>
      </c>
      <c r="F1199" s="4">
        <f>IFERROR(INDEX(Tbl_KPIMaster[Category],MATCH($G1199,Tbl_KPIMaster[KPI],0)),"")</f>
        <v/>
      </c>
      <c r="G1199" s="4" t="inlineStr">
        <is>
          <t>Cost per Unit</t>
        </is>
      </c>
      <c r="H1199" s="4">
        <f>IFERROR(INDEX(Tbl_KPIMaster[Unit],MATCH($G1199,Tbl_KPIMaster[KPI],0)),"")</f>
        <v/>
      </c>
      <c r="I1199" s="5">
        <f>IFERROR(INDEX(Tbl_KPIMaster[Maximum Target],MATCH($G1199,Tbl_KPIMaster[KPI],0)),"")</f>
        <v/>
      </c>
      <c r="J1199" s="5" t="n">
        <v>35.85</v>
      </c>
      <c r="K1199" s="4">
        <f>IFERROR(INDEX(Tbl_KPIMaster[Tolerance],MATCH($G1199,Tbl_KPIMaster[KPI],0)),"")</f>
        <v/>
      </c>
      <c r="L1199" s="4">
        <f>IFERROR(INDEX(Tbl_KPIMaster[Owner],MATCH($G1199,Tbl_KPIMaster[KPI],0)),"")</f>
        <v/>
      </c>
      <c r="M1199" s="6" t="inlineStr">
        <is>
          <t>Process improvement in progress</t>
        </is>
      </c>
      <c r="N1199" s="4" t="inlineStr"/>
      <c r="O1199" s="4" t="inlineStr">
        <is>
          <t>Low</t>
        </is>
      </c>
      <c r="P1199" s="4" t="inlineStr">
        <is>
          <t>Closed</t>
        </is>
      </c>
      <c r="Q1199" s="5">
        <f>IFERROR(IF(INDEX(Tbl_KPIMaster[Direction],MATCH($G1199,Tbl_KPIMaster[KPI],0))="Lower is Better",IF($J1199=0,1,IF($I1199=0,0,$I1199/$J1199)),IF($I1199=0,1,$J1199/$I1199)),0)</f>
        <v/>
      </c>
      <c r="R1199" s="4">
        <f>IF(OR($I1199="",$J1199=""),"",$J1199-$I1199)</f>
        <v/>
      </c>
      <c r="S1199" s="4">
        <f>IFERROR(IF(INDEX(Tbl_KPIMaster[Direction],MATCH($G1199,Tbl_KPIMaster[KPI],0))="Lower is Better",IF($J1199&lt;=$I1199,"Green",IF($J1199&lt;=$I1199+IF($I1199=0,$K1199,$I1199*$K1199),"Amber","Red")),IF($J1199&gt;=$I1199,"Green",IF($J1199&gt;=$I1199-IF($I1199=0,$K1199,$I1199*$K1199),"Amber","Red"))),"")</f>
        <v/>
      </c>
      <c r="T1199" s="6" t="inlineStr"/>
    </row>
    <row r="1200">
      <c r="A1200" s="7" t="n">
        <v>46189</v>
      </c>
      <c r="B1200" s="8">
        <f>IF($A1200="","",TEXT($A1200,"mmm-yyyy"))</f>
        <v/>
      </c>
      <c r="C1200" s="8">
        <f>IF($A1200="","","W"&amp;WEEKNUM($A1200,2))</f>
        <v/>
      </c>
      <c r="D1200" s="8">
        <f>IF($A1200="","",TEXT($A1200,"ddd"))</f>
        <v/>
      </c>
      <c r="E1200" s="8" t="inlineStr">
        <is>
          <t>Cost</t>
        </is>
      </c>
      <c r="F1200" s="8">
        <f>IFERROR(INDEX(Tbl_KPIMaster[Category],MATCH($G1200,Tbl_KPIMaster[KPI],0)),"")</f>
        <v/>
      </c>
      <c r="G1200" s="8" t="inlineStr">
        <is>
          <t>Budget Variance %</t>
        </is>
      </c>
      <c r="H1200" s="8">
        <f>IFERROR(INDEX(Tbl_KPIMaster[Unit],MATCH($G1200,Tbl_KPIMaster[KPI],0)),"")</f>
        <v/>
      </c>
      <c r="I1200" s="9">
        <f>IFERROR(INDEX(Tbl_KPIMaster[Maximum Target],MATCH($G1200,Tbl_KPIMaster[KPI],0)),"")</f>
        <v/>
      </c>
      <c r="J1200" s="9" t="n">
        <v>0</v>
      </c>
      <c r="K1200" s="8">
        <f>IFERROR(INDEX(Tbl_KPIMaster[Tolerance],MATCH($G1200,Tbl_KPIMaster[KPI],0)),"")</f>
        <v/>
      </c>
      <c r="L1200" s="8">
        <f>IFERROR(INDEX(Tbl_KPIMaster[Owner],MATCH($G1200,Tbl_KPIMaster[KPI],0)),"")</f>
        <v/>
      </c>
      <c r="M1200" s="10" t="inlineStr">
        <is>
          <t>Weather impact</t>
        </is>
      </c>
      <c r="N1200" s="8" t="inlineStr"/>
      <c r="O1200" s="8" t="inlineStr">
        <is>
          <t>Low</t>
        </is>
      </c>
      <c r="P1200" s="8" t="inlineStr">
        <is>
          <t>Closed</t>
        </is>
      </c>
      <c r="Q1200" s="9">
        <f>IFERROR(IF(INDEX(Tbl_KPIMaster[Direction],MATCH($G1200,Tbl_KPIMaster[KPI],0))="Lower is Better",IF($J1200=0,1,IF($I1200=0,0,$I1200/$J1200)),IF($I1200=0,1,$J1200/$I1200)),0)</f>
        <v/>
      </c>
      <c r="R1200" s="8">
        <f>IF(OR($I1200="",$J1200=""),"",$J1200-$I1200)</f>
        <v/>
      </c>
      <c r="S1200" s="8">
        <f>IFERROR(IF(INDEX(Tbl_KPIMaster[Direction],MATCH($G1200,Tbl_KPIMaster[KPI],0))="Lower is Better",IF($J1200&lt;=$I1200,"Green",IF($J1200&lt;=$I1200+IF($I1200=0,$K1200,$I1200*$K1200),"Amber","Red")),IF($J1200&gt;=$I1200,"Green",IF($J1200&gt;=$I1200-IF($I1200=0,$K1200,$I1200*$K1200),"Amber","Red"))),"")</f>
        <v/>
      </c>
      <c r="T1200" s="10" t="inlineStr"/>
    </row>
    <row r="1201">
      <c r="A1201" s="3" t="n">
        <v>46189</v>
      </c>
      <c r="B1201" s="4">
        <f>IF($A1201="","",TEXT($A1201,"mmm-yyyy"))</f>
        <v/>
      </c>
      <c r="C1201" s="4">
        <f>IF($A1201="","","W"&amp;WEEKNUM($A1201,2))</f>
        <v/>
      </c>
      <c r="D1201" s="4">
        <f>IF($A1201="","",TEXT($A1201,"ddd"))</f>
        <v/>
      </c>
      <c r="E1201" s="4" t="inlineStr">
        <is>
          <t>Energy</t>
        </is>
      </c>
      <c r="F1201" s="4">
        <f>IFERROR(INDEX(Tbl_KPIMaster[Category],MATCH($G1201,Tbl_KPIMaster[KPI],0)),"")</f>
        <v/>
      </c>
      <c r="G1201" s="4" t="inlineStr">
        <is>
          <t>Energy Intensity (kWh/unit)</t>
        </is>
      </c>
      <c r="H1201" s="4">
        <f>IFERROR(INDEX(Tbl_KPIMaster[Unit],MATCH($G1201,Tbl_KPIMaster[KPI],0)),"")</f>
        <v/>
      </c>
      <c r="I1201" s="5">
        <f>IFERROR(INDEX(Tbl_KPIMaster[Maximum Target],MATCH($G1201,Tbl_KPIMaster[KPI],0)),"")</f>
        <v/>
      </c>
      <c r="J1201" s="5" t="n">
        <v>3.46</v>
      </c>
      <c r="K1201" s="4">
        <f>IFERROR(INDEX(Tbl_KPIMaster[Tolerance],MATCH($G1201,Tbl_KPIMaster[KPI],0)),"")</f>
        <v/>
      </c>
      <c r="L1201" s="4">
        <f>IFERROR(INDEX(Tbl_KPIMaster[Owner],MATCH($G1201,Tbl_KPIMaster[KPI],0)),"")</f>
        <v/>
      </c>
      <c r="M1201" s="6" t="inlineStr">
        <is>
          <t>Within normal range</t>
        </is>
      </c>
      <c r="N1201" s="4" t="inlineStr"/>
      <c r="O1201" s="4" t="inlineStr">
        <is>
          <t>Low</t>
        </is>
      </c>
      <c r="P1201" s="4" t="inlineStr">
        <is>
          <t>In Progress</t>
        </is>
      </c>
      <c r="Q1201" s="5">
        <f>IFERROR(IF(INDEX(Tbl_KPIMaster[Direction],MATCH($G1201,Tbl_KPIMaster[KPI],0))="Lower is Better",IF($J1201=0,1,IF($I1201=0,0,$I1201/$J1201)),IF($I1201=0,1,$J1201/$I1201)),0)</f>
        <v/>
      </c>
      <c r="R1201" s="4">
        <f>IF(OR($I1201="",$J1201=""),"",$J1201-$I1201)</f>
        <v/>
      </c>
      <c r="S1201" s="4">
        <f>IFERROR(IF(INDEX(Tbl_KPIMaster[Direction],MATCH($G1201,Tbl_KPIMaster[KPI],0))="Lower is Better",IF($J1201&lt;=$I1201,"Green",IF($J1201&lt;=$I1201+IF($I1201=0,$K1201,$I1201*$K1201),"Amber","Red")),IF($J1201&gt;=$I1201,"Green",IF($J1201&gt;=$I1201-IF($I1201=0,$K1201,$I1201*$K1201),"Amber","Red"))),"")</f>
        <v/>
      </c>
      <c r="T1201" s="6" t="inlineStr"/>
    </row>
    <row r="1202">
      <c r="A1202" s="7" t="n">
        <v>46189</v>
      </c>
      <c r="B1202" s="8">
        <f>IF($A1202="","",TEXT($A1202,"mmm-yyyy"))</f>
        <v/>
      </c>
      <c r="C1202" s="8">
        <f>IF($A1202="","","W"&amp;WEEKNUM($A1202,2))</f>
        <v/>
      </c>
      <c r="D1202" s="8">
        <f>IF($A1202="","",TEXT($A1202,"ddd"))</f>
        <v/>
      </c>
      <c r="E1202" s="8" t="inlineStr">
        <is>
          <t>Energy</t>
        </is>
      </c>
      <c r="F1202" s="8">
        <f>IFERROR(INDEX(Tbl_KPIMaster[Category],MATCH($G1202,Tbl_KPIMaster[KPI],0)),"")</f>
        <v/>
      </c>
      <c r="G1202" s="8" t="inlineStr">
        <is>
          <t>Renewable Energy Share %</t>
        </is>
      </c>
      <c r="H1202" s="8">
        <f>IFERROR(INDEX(Tbl_KPIMaster[Unit],MATCH($G1202,Tbl_KPIMaster[KPI],0)),"")</f>
        <v/>
      </c>
      <c r="I1202" s="9">
        <f>IFERROR(INDEX(Tbl_KPIMaster[Maximum Target],MATCH($G1202,Tbl_KPIMaster[KPI],0)),"")</f>
        <v/>
      </c>
      <c r="J1202" s="9" t="n">
        <v>0.2973</v>
      </c>
      <c r="K1202" s="8">
        <f>IFERROR(INDEX(Tbl_KPIMaster[Tolerance],MATCH($G1202,Tbl_KPIMaster[KPI],0)),"")</f>
        <v/>
      </c>
      <c r="L1202" s="8">
        <f>IFERROR(INDEX(Tbl_KPIMaster[Owner],MATCH($G1202,Tbl_KPIMaster[KPI],0)),"")</f>
        <v/>
      </c>
      <c r="M1202" s="10" t="inlineStr">
        <is>
          <t>Process improvement in progress</t>
        </is>
      </c>
      <c r="N1202" s="8" t="inlineStr"/>
      <c r="O1202" s="8" t="inlineStr">
        <is>
          <t>High</t>
        </is>
      </c>
      <c r="P1202" s="8" t="inlineStr">
        <is>
          <t>Closed</t>
        </is>
      </c>
      <c r="Q1202" s="9">
        <f>IFERROR(IF(INDEX(Tbl_KPIMaster[Direction],MATCH($G1202,Tbl_KPIMaster[KPI],0))="Lower is Better",IF($J1202=0,1,IF($I1202=0,0,$I1202/$J1202)),IF($I1202=0,1,$J1202/$I1202)),0)</f>
        <v/>
      </c>
      <c r="R1202" s="8">
        <f>IF(OR($I1202="",$J1202=""),"",$J1202-$I1202)</f>
        <v/>
      </c>
      <c r="S1202" s="8">
        <f>IFERROR(IF(INDEX(Tbl_KPIMaster[Direction],MATCH($G1202,Tbl_KPIMaster[KPI],0))="Lower is Better",IF($J1202&lt;=$I1202,"Green",IF($J1202&lt;=$I1202+IF($I1202=0,$K1202,$I1202*$K1202),"Amber","Red")),IF($J1202&gt;=$I1202,"Green",IF($J1202&gt;=$I1202-IF($I1202=0,$K1202,$I1202*$K1202),"Amber","Red"))),"")</f>
        <v/>
      </c>
      <c r="T1202" s="10" t="inlineStr"/>
    </row>
    <row r="1203">
      <c r="A1203" s="3" t="n">
        <v>46190</v>
      </c>
      <c r="B1203" s="4">
        <f>IF($A1203="","",TEXT($A1203,"mmm-yyyy"))</f>
        <v/>
      </c>
      <c r="C1203" s="4">
        <f>IF($A1203="","","W"&amp;WEEKNUM($A1203,2))</f>
        <v/>
      </c>
      <c r="D1203" s="4">
        <f>IF($A1203="","",TEXT($A1203,"ddd"))</f>
        <v/>
      </c>
      <c r="E1203" s="4" t="inlineStr">
        <is>
          <t>Safety</t>
        </is>
      </c>
      <c r="F1203" s="4">
        <f>IFERROR(INDEX(Tbl_KPIMaster[Category],MATCH($G1203,Tbl_KPIMaster[KPI],0)),"")</f>
        <v/>
      </c>
      <c r="G1203" s="4" t="inlineStr">
        <is>
          <t>Safety Incidents (LTI)</t>
        </is>
      </c>
      <c r="H1203" s="4">
        <f>IFERROR(INDEX(Tbl_KPIMaster[Unit],MATCH($G1203,Tbl_KPIMaster[KPI],0)),"")</f>
        <v/>
      </c>
      <c r="I1203" s="5">
        <f>IFERROR(INDEX(Tbl_KPIMaster[Maximum Target],MATCH($G1203,Tbl_KPIMaster[KPI],0)),"")</f>
        <v/>
      </c>
      <c r="J1203" s="5" t="n">
        <v>0</v>
      </c>
      <c r="K1203" s="4">
        <f>IFERROR(INDEX(Tbl_KPIMaster[Tolerance],MATCH($G1203,Tbl_KPIMaster[KPI],0)),"")</f>
        <v/>
      </c>
      <c r="L1203" s="4">
        <f>IFERROR(INDEX(Tbl_KPIMaster[Owner],MATCH($G1203,Tbl_KPIMaster[KPI],0)),"")</f>
        <v/>
      </c>
      <c r="M1203" s="6" t="inlineStr">
        <is>
          <t>Process improvement in progress</t>
        </is>
      </c>
      <c r="N1203" s="4" t="inlineStr">
        <is>
          <t>Engineering support needed</t>
        </is>
      </c>
      <c r="O1203" s="4" t="inlineStr">
        <is>
          <t>Medium</t>
        </is>
      </c>
      <c r="P1203" s="4" t="inlineStr">
        <is>
          <t>Closed</t>
        </is>
      </c>
      <c r="Q1203" s="5">
        <f>IFERROR(IF(INDEX(Tbl_KPIMaster[Direction],MATCH($G1203,Tbl_KPIMaster[KPI],0))="Lower is Better",IF($J1203=0,1,IF($I1203=0,0,$I1203/$J1203)),IF($I1203=0,1,$J1203/$I1203)),0)</f>
        <v/>
      </c>
      <c r="R1203" s="4">
        <f>IF(OR($I1203="",$J1203=""),"",$J1203-$I1203)</f>
        <v/>
      </c>
      <c r="S1203" s="4">
        <f>IFERROR(IF(INDEX(Tbl_KPIMaster[Direction],MATCH($G1203,Tbl_KPIMaster[KPI],0))="Lower is Better",IF($J1203&lt;=$I1203,"Green",IF($J1203&lt;=$I1203+IF($I1203=0,$K1203,$I1203*$K1203),"Amber","Red")),IF($J1203&gt;=$I1203,"Green",IF($J1203&gt;=$I1203-IF($I1203=0,$K1203,$I1203*$K1203),"Amber","Red"))),"")</f>
        <v/>
      </c>
      <c r="T1203" s="6" t="inlineStr"/>
    </row>
    <row r="1204">
      <c r="A1204" s="7" t="n">
        <v>46190</v>
      </c>
      <c r="B1204" s="8">
        <f>IF($A1204="","",TEXT($A1204,"mmm-yyyy"))</f>
        <v/>
      </c>
      <c r="C1204" s="8">
        <f>IF($A1204="","","W"&amp;WEEKNUM($A1204,2))</f>
        <v/>
      </c>
      <c r="D1204" s="8">
        <f>IF($A1204="","",TEXT($A1204,"ddd"))</f>
        <v/>
      </c>
      <c r="E1204" s="8" t="inlineStr">
        <is>
          <t>Safety</t>
        </is>
      </c>
      <c r="F1204" s="8">
        <f>IFERROR(INDEX(Tbl_KPIMaster[Category],MATCH($G1204,Tbl_KPIMaster[KPI],0)),"")</f>
        <v/>
      </c>
      <c r="G1204" s="8" t="inlineStr">
        <is>
          <t>Near Miss Reports</t>
        </is>
      </c>
      <c r="H1204" s="8">
        <f>IFERROR(INDEX(Tbl_KPIMaster[Unit],MATCH($G1204,Tbl_KPIMaster[KPI],0)),"")</f>
        <v/>
      </c>
      <c r="I1204" s="9">
        <f>IFERROR(INDEX(Tbl_KPIMaster[Maximum Target],MATCH($G1204,Tbl_KPIMaster[KPI],0)),"")</f>
        <v/>
      </c>
      <c r="J1204" s="9" t="n">
        <v>2</v>
      </c>
      <c r="K1204" s="8">
        <f>IFERROR(INDEX(Tbl_KPIMaster[Tolerance],MATCH($G1204,Tbl_KPIMaster[KPI],0)),"")</f>
        <v/>
      </c>
      <c r="L1204" s="8">
        <f>IFERROR(INDEX(Tbl_KPIMaster[Owner],MATCH($G1204,Tbl_KPIMaster[KPI],0)),"")</f>
        <v/>
      </c>
      <c r="M1204" s="10" t="inlineStr">
        <is>
          <t>Manpower shortage</t>
        </is>
      </c>
      <c r="N1204" s="8" t="inlineStr"/>
      <c r="O1204" s="8" t="inlineStr">
        <is>
          <t>High</t>
        </is>
      </c>
      <c r="P1204" s="8" t="inlineStr">
        <is>
          <t>Closed</t>
        </is>
      </c>
      <c r="Q1204" s="9">
        <f>IFERROR(IF(INDEX(Tbl_KPIMaster[Direction],MATCH($G1204,Tbl_KPIMaster[KPI],0))="Lower is Better",IF($J1204=0,1,IF($I1204=0,0,$I1204/$J1204)),IF($I1204=0,1,$J1204/$I1204)),0)</f>
        <v/>
      </c>
      <c r="R1204" s="8">
        <f>IF(OR($I1204="",$J1204=""),"",$J1204-$I1204)</f>
        <v/>
      </c>
      <c r="S1204" s="8">
        <f>IFERROR(IF(INDEX(Tbl_KPIMaster[Direction],MATCH($G1204,Tbl_KPIMaster[KPI],0))="Lower is Better",IF($J1204&lt;=$I1204,"Green",IF($J1204&lt;=$I1204+IF($I1204=0,$K1204,$I1204*$K1204),"Amber","Red")),IF($J1204&gt;=$I1204,"Green",IF($J1204&gt;=$I1204-IF($I1204=0,$K1204,$I1204*$K1204),"Amber","Red"))),"")</f>
        <v/>
      </c>
      <c r="T1204" s="10" t="inlineStr"/>
    </row>
    <row r="1205">
      <c r="A1205" s="3" t="n">
        <v>46190</v>
      </c>
      <c r="B1205" s="4">
        <f>IF($A1205="","",TEXT($A1205,"mmm-yyyy"))</f>
        <v/>
      </c>
      <c r="C1205" s="4">
        <f>IF($A1205="","","W"&amp;WEEKNUM($A1205,2))</f>
        <v/>
      </c>
      <c r="D1205" s="4">
        <f>IF($A1205="","",TEXT($A1205,"ddd"))</f>
        <v/>
      </c>
      <c r="E1205" s="4" t="inlineStr">
        <is>
          <t>Production</t>
        </is>
      </c>
      <c r="F1205" s="4">
        <f>IFERROR(INDEX(Tbl_KPIMaster[Category],MATCH($G1205,Tbl_KPIMaster[KPI],0)),"")</f>
        <v/>
      </c>
      <c r="G1205" s="4" t="inlineStr">
        <is>
          <t>Production Output</t>
        </is>
      </c>
      <c r="H1205" s="4">
        <f>IFERROR(INDEX(Tbl_KPIMaster[Unit],MATCH($G1205,Tbl_KPIMaster[KPI],0)),"")</f>
        <v/>
      </c>
      <c r="I1205" s="5">
        <f>IFERROR(INDEX(Tbl_KPIMaster[Maximum Target],MATCH($G1205,Tbl_KPIMaster[KPI],0)),"")</f>
        <v/>
      </c>
      <c r="J1205" s="5" t="n">
        <v>959.96</v>
      </c>
      <c r="K1205" s="4">
        <f>IFERROR(INDEX(Tbl_KPIMaster[Tolerance],MATCH($G1205,Tbl_KPIMaster[KPI],0)),"")</f>
        <v/>
      </c>
      <c r="L1205" s="4">
        <f>IFERROR(INDEX(Tbl_KPIMaster[Owner],MATCH($G1205,Tbl_KPIMaster[KPI],0)),"")</f>
        <v/>
      </c>
      <c r="M1205" s="6" t="inlineStr"/>
      <c r="N1205" s="4" t="inlineStr">
        <is>
          <t>Engineering support needed</t>
        </is>
      </c>
      <c r="O1205" s="4" t="inlineStr">
        <is>
          <t>Low</t>
        </is>
      </c>
      <c r="P1205" s="4" t="inlineStr">
        <is>
          <t>Closed</t>
        </is>
      </c>
      <c r="Q1205" s="5">
        <f>IFERROR(IF(INDEX(Tbl_KPIMaster[Direction],MATCH($G1205,Tbl_KPIMaster[KPI],0))="Lower is Better",IF($J1205=0,1,IF($I1205=0,0,$I1205/$J1205)),IF($I1205=0,1,$J1205/$I1205)),0)</f>
        <v/>
      </c>
      <c r="R1205" s="4">
        <f>IF(OR($I1205="",$J1205=""),"",$J1205-$I1205)</f>
        <v/>
      </c>
      <c r="S1205" s="4">
        <f>IFERROR(IF(INDEX(Tbl_KPIMaster[Direction],MATCH($G1205,Tbl_KPIMaster[KPI],0))="Lower is Better",IF($J1205&lt;=$I1205,"Green",IF($J1205&lt;=$I1205+IF($I1205=0,$K1205,$I1205*$K1205),"Amber","Red")),IF($J1205&gt;=$I1205,"Green",IF($J1205&gt;=$I1205-IF($I1205=0,$K1205,$I1205*$K1205),"Amber","Red"))),"")</f>
        <v/>
      </c>
      <c r="T1205" s="6" t="inlineStr"/>
    </row>
    <row r="1206">
      <c r="A1206" s="7" t="n">
        <v>46190</v>
      </c>
      <c r="B1206" s="8">
        <f>IF($A1206="","",TEXT($A1206,"mmm-yyyy"))</f>
        <v/>
      </c>
      <c r="C1206" s="8">
        <f>IF($A1206="","","W"&amp;WEEKNUM($A1206,2))</f>
        <v/>
      </c>
      <c r="D1206" s="8">
        <f>IF($A1206="","",TEXT($A1206,"ddd"))</f>
        <v/>
      </c>
      <c r="E1206" s="8" t="inlineStr">
        <is>
          <t>Production</t>
        </is>
      </c>
      <c r="F1206" s="8">
        <f>IFERROR(INDEX(Tbl_KPIMaster[Category],MATCH($G1206,Tbl_KPIMaster[KPI],0)),"")</f>
        <v/>
      </c>
      <c r="G1206" s="8" t="inlineStr">
        <is>
          <t>OEE %</t>
        </is>
      </c>
      <c r="H1206" s="8">
        <f>IFERROR(INDEX(Tbl_KPIMaster[Unit],MATCH($G1206,Tbl_KPIMaster[KPI],0)),"")</f>
        <v/>
      </c>
      <c r="I1206" s="9">
        <f>IFERROR(INDEX(Tbl_KPIMaster[Maximum Target],MATCH($G1206,Tbl_KPIMaster[KPI],0)),"")</f>
        <v/>
      </c>
      <c r="J1206" s="9" t="n">
        <v>0.8881</v>
      </c>
      <c r="K1206" s="8">
        <f>IFERROR(INDEX(Tbl_KPIMaster[Tolerance],MATCH($G1206,Tbl_KPIMaster[KPI],0)),"")</f>
        <v/>
      </c>
      <c r="L1206" s="8">
        <f>IFERROR(INDEX(Tbl_KPIMaster[Owner],MATCH($G1206,Tbl_KPIMaster[KPI],0)),"")</f>
        <v/>
      </c>
      <c r="M1206" s="10" t="inlineStr">
        <is>
          <t>Preventive check done</t>
        </is>
      </c>
      <c r="N1206" s="8" t="inlineStr">
        <is>
          <t>Procurement follow-up</t>
        </is>
      </c>
      <c r="O1206" s="8" t="inlineStr">
        <is>
          <t>Low</t>
        </is>
      </c>
      <c r="P1206" s="8" t="inlineStr">
        <is>
          <t>Open</t>
        </is>
      </c>
      <c r="Q1206" s="9">
        <f>IFERROR(IF(INDEX(Tbl_KPIMaster[Direction],MATCH($G1206,Tbl_KPIMaster[KPI],0))="Lower is Better",IF($J1206=0,1,IF($I1206=0,0,$I1206/$J1206)),IF($I1206=0,1,$J1206/$I1206)),0)</f>
        <v/>
      </c>
      <c r="R1206" s="8">
        <f>IF(OR($I1206="",$J1206=""),"",$J1206-$I1206)</f>
        <v/>
      </c>
      <c r="S1206" s="8">
        <f>IFERROR(IF(INDEX(Tbl_KPIMaster[Direction],MATCH($G1206,Tbl_KPIMaster[KPI],0))="Lower is Better",IF($J1206&lt;=$I1206,"Green",IF($J1206&lt;=$I1206+IF($I1206=0,$K1206,$I1206*$K1206),"Amber","Red")),IF($J1206&gt;=$I1206,"Green",IF($J1206&gt;=$I1206-IF($I1206=0,$K1206,$I1206*$K1206),"Amber","Red"))),"")</f>
        <v/>
      </c>
      <c r="T1206" s="10" t="inlineStr"/>
    </row>
    <row r="1207">
      <c r="A1207" s="3" t="n">
        <v>46190</v>
      </c>
      <c r="B1207" s="4">
        <f>IF($A1207="","",TEXT($A1207,"mmm-yyyy"))</f>
        <v/>
      </c>
      <c r="C1207" s="4">
        <f>IF($A1207="","","W"&amp;WEEKNUM($A1207,2))</f>
        <v/>
      </c>
      <c r="D1207" s="4">
        <f>IF($A1207="","",TEXT($A1207,"ddd"))</f>
        <v/>
      </c>
      <c r="E1207" s="4" t="inlineStr">
        <is>
          <t>Quality</t>
        </is>
      </c>
      <c r="F1207" s="4">
        <f>IFERROR(INDEX(Tbl_KPIMaster[Category],MATCH($G1207,Tbl_KPIMaster[KPI],0)),"")</f>
        <v/>
      </c>
      <c r="G1207" s="4" t="inlineStr">
        <is>
          <t>Defect Rate %</t>
        </is>
      </c>
      <c r="H1207" s="4">
        <f>IFERROR(INDEX(Tbl_KPIMaster[Unit],MATCH($G1207,Tbl_KPIMaster[KPI],0)),"")</f>
        <v/>
      </c>
      <c r="I1207" s="5">
        <f>IFERROR(INDEX(Tbl_KPIMaster[Maximum Target],MATCH($G1207,Tbl_KPIMaster[KPI],0)),"")</f>
        <v/>
      </c>
      <c r="J1207" s="5" t="n">
        <v>0</v>
      </c>
      <c r="K1207" s="4">
        <f>IFERROR(INDEX(Tbl_KPIMaster[Tolerance],MATCH($G1207,Tbl_KPIMaster[KPI],0)),"")</f>
        <v/>
      </c>
      <c r="L1207" s="4">
        <f>IFERROR(INDEX(Tbl_KPIMaster[Owner],MATCH($G1207,Tbl_KPIMaster[KPI],0)),"")</f>
        <v/>
      </c>
      <c r="M1207" s="6" t="inlineStr">
        <is>
          <t>New operator training effect</t>
        </is>
      </c>
      <c r="N1207" s="4" t="inlineStr"/>
      <c r="O1207" s="4" t="inlineStr">
        <is>
          <t>Low</t>
        </is>
      </c>
      <c r="P1207" s="4" t="inlineStr">
        <is>
          <t>In Progress</t>
        </is>
      </c>
      <c r="Q1207" s="5">
        <f>IFERROR(IF(INDEX(Tbl_KPIMaster[Direction],MATCH($G1207,Tbl_KPIMaster[KPI],0))="Lower is Better",IF($J1207=0,1,IF($I1207=0,0,$I1207/$J1207)),IF($I1207=0,1,$J1207/$I1207)),0)</f>
        <v/>
      </c>
      <c r="R1207" s="4">
        <f>IF(OR($I1207="",$J1207=""),"",$J1207-$I1207)</f>
        <v/>
      </c>
      <c r="S1207" s="4">
        <f>IFERROR(IF(INDEX(Tbl_KPIMaster[Direction],MATCH($G1207,Tbl_KPIMaster[KPI],0))="Lower is Better",IF($J1207&lt;=$I1207,"Green",IF($J1207&lt;=$I1207+IF($I1207=0,$K1207,$I1207*$K1207),"Amber","Red")),IF($J1207&gt;=$I1207,"Green",IF($J1207&gt;=$I1207-IF($I1207=0,$K1207,$I1207*$K1207),"Amber","Red"))),"")</f>
        <v/>
      </c>
      <c r="T1207" s="6" t="inlineStr"/>
    </row>
    <row r="1208">
      <c r="A1208" s="7" t="n">
        <v>46190</v>
      </c>
      <c r="B1208" s="8">
        <f>IF($A1208="","",TEXT($A1208,"mmm-yyyy"))</f>
        <v/>
      </c>
      <c r="C1208" s="8">
        <f>IF($A1208="","","W"&amp;WEEKNUM($A1208,2))</f>
        <v/>
      </c>
      <c r="D1208" s="8">
        <f>IF($A1208="","",TEXT($A1208,"ddd"))</f>
        <v/>
      </c>
      <c r="E1208" s="8" t="inlineStr">
        <is>
          <t>Quality</t>
        </is>
      </c>
      <c r="F1208" s="8">
        <f>IFERROR(INDEX(Tbl_KPIMaster[Category],MATCH($G1208,Tbl_KPIMaster[KPI],0)),"")</f>
        <v/>
      </c>
      <c r="G1208" s="8" t="inlineStr">
        <is>
          <t>Customer Complaints</t>
        </is>
      </c>
      <c r="H1208" s="8">
        <f>IFERROR(INDEX(Tbl_KPIMaster[Unit],MATCH($G1208,Tbl_KPIMaster[KPI],0)),"")</f>
        <v/>
      </c>
      <c r="I1208" s="9">
        <f>IFERROR(INDEX(Tbl_KPIMaster[Maximum Target],MATCH($G1208,Tbl_KPIMaster[KPI],0)),"")</f>
        <v/>
      </c>
      <c r="J1208" s="9" t="n">
        <v>0</v>
      </c>
      <c r="K1208" s="8">
        <f>IFERROR(INDEX(Tbl_KPIMaster[Tolerance],MATCH($G1208,Tbl_KPIMaster[KPI],0)),"")</f>
        <v/>
      </c>
      <c r="L1208" s="8">
        <f>IFERROR(INDEX(Tbl_KPIMaster[Owner],MATCH($G1208,Tbl_KPIMaster[KPI],0)),"")</f>
        <v/>
      </c>
      <c r="M1208" s="10" t="inlineStr">
        <is>
          <t>New operator training effect</t>
        </is>
      </c>
      <c r="N1208" s="8" t="inlineStr"/>
      <c r="O1208" s="8" t="inlineStr">
        <is>
          <t>High</t>
        </is>
      </c>
      <c r="P1208" s="8" t="inlineStr">
        <is>
          <t>Open</t>
        </is>
      </c>
      <c r="Q1208" s="9">
        <f>IFERROR(IF(INDEX(Tbl_KPIMaster[Direction],MATCH($G1208,Tbl_KPIMaster[KPI],0))="Lower is Better",IF($J1208=0,1,IF($I1208=0,0,$I1208/$J1208)),IF($I1208=0,1,$J1208/$I1208)),0)</f>
        <v/>
      </c>
      <c r="R1208" s="8">
        <f>IF(OR($I1208="",$J1208=""),"",$J1208-$I1208)</f>
        <v/>
      </c>
      <c r="S1208" s="8">
        <f>IFERROR(IF(INDEX(Tbl_KPIMaster[Direction],MATCH($G1208,Tbl_KPIMaster[KPI],0))="Lower is Better",IF($J1208&lt;=$I1208,"Green",IF($J1208&lt;=$I1208+IF($I1208=0,$K1208,$I1208*$K1208),"Amber","Red")),IF($J1208&gt;=$I1208,"Green",IF($J1208&gt;=$I1208-IF($I1208=0,$K1208,$I1208*$K1208),"Amber","Red"))),"")</f>
        <v/>
      </c>
      <c r="T1208" s="10" t="inlineStr"/>
    </row>
    <row r="1209">
      <c r="A1209" s="3" t="n">
        <v>46190</v>
      </c>
      <c r="B1209" s="4">
        <f>IF($A1209="","",TEXT($A1209,"mmm-yyyy"))</f>
        <v/>
      </c>
      <c r="C1209" s="4">
        <f>IF($A1209="","","W"&amp;WEEKNUM($A1209,2))</f>
        <v/>
      </c>
      <c r="D1209" s="4">
        <f>IF($A1209="","",TEXT($A1209,"ddd"))</f>
        <v/>
      </c>
      <c r="E1209" s="4" t="inlineStr">
        <is>
          <t>Maintenance</t>
        </is>
      </c>
      <c r="F1209" s="4">
        <f>IFERROR(INDEX(Tbl_KPIMaster[Category],MATCH($G1209,Tbl_KPIMaster[KPI],0)),"")</f>
        <v/>
      </c>
      <c r="G1209" s="4" t="inlineStr">
        <is>
          <t>Unplanned Downtime</t>
        </is>
      </c>
      <c r="H1209" s="4">
        <f>IFERROR(INDEX(Tbl_KPIMaster[Unit],MATCH($G1209,Tbl_KPIMaster[KPI],0)),"")</f>
        <v/>
      </c>
      <c r="I1209" s="5">
        <f>IFERROR(INDEX(Tbl_KPIMaster[Maximum Target],MATCH($G1209,Tbl_KPIMaster[KPI],0)),"")</f>
        <v/>
      </c>
      <c r="J1209" s="5" t="n">
        <v>0</v>
      </c>
      <c r="K1209" s="4">
        <f>IFERROR(INDEX(Tbl_KPIMaster[Tolerance],MATCH($G1209,Tbl_KPIMaster[KPI],0)),"")</f>
        <v/>
      </c>
      <c r="L1209" s="4">
        <f>IFERROR(INDEX(Tbl_KPIMaster[Owner],MATCH($G1209,Tbl_KPIMaster[KPI],0)),"")</f>
        <v/>
      </c>
      <c r="M1209" s="6" t="inlineStr">
        <is>
          <t>Manpower shortage</t>
        </is>
      </c>
      <c r="N1209" s="4" t="inlineStr">
        <is>
          <t>Procurement follow-up</t>
        </is>
      </c>
      <c r="O1209" s="4" t="inlineStr">
        <is>
          <t>Low</t>
        </is>
      </c>
      <c r="P1209" s="4" t="inlineStr">
        <is>
          <t>Closed</t>
        </is>
      </c>
      <c r="Q1209" s="5">
        <f>IFERROR(IF(INDEX(Tbl_KPIMaster[Direction],MATCH($G1209,Tbl_KPIMaster[KPI],0))="Lower is Better",IF($J1209=0,1,IF($I1209=0,0,$I1209/$J1209)),IF($I1209=0,1,$J1209/$I1209)),0)</f>
        <v/>
      </c>
      <c r="R1209" s="4">
        <f>IF(OR($I1209="",$J1209=""),"",$J1209-$I1209)</f>
        <v/>
      </c>
      <c r="S1209" s="4">
        <f>IFERROR(IF(INDEX(Tbl_KPIMaster[Direction],MATCH($G1209,Tbl_KPIMaster[KPI],0))="Lower is Better",IF($J1209&lt;=$I1209,"Green",IF($J1209&lt;=$I1209+IF($I1209=0,$K1209,$I1209*$K1209),"Amber","Red")),IF($J1209&gt;=$I1209,"Green",IF($J1209&gt;=$I1209-IF($I1209=0,$K1209,$I1209*$K1209),"Amber","Red"))),"")</f>
        <v/>
      </c>
      <c r="T1209" s="6" t="inlineStr"/>
    </row>
    <row r="1210">
      <c r="A1210" s="7" t="n">
        <v>46190</v>
      </c>
      <c r="B1210" s="8">
        <f>IF($A1210="","",TEXT($A1210,"mmm-yyyy"))</f>
        <v/>
      </c>
      <c r="C1210" s="8">
        <f>IF($A1210="","","W"&amp;WEEKNUM($A1210,2))</f>
        <v/>
      </c>
      <c r="D1210" s="8">
        <f>IF($A1210="","",TEXT($A1210,"ddd"))</f>
        <v/>
      </c>
      <c r="E1210" s="8" t="inlineStr">
        <is>
          <t>Maintenance</t>
        </is>
      </c>
      <c r="F1210" s="8">
        <f>IFERROR(INDEX(Tbl_KPIMaster[Category],MATCH($G1210,Tbl_KPIMaster[KPI],0)),"")</f>
        <v/>
      </c>
      <c r="G1210" s="8" t="inlineStr">
        <is>
          <t>PM Compliance %</t>
        </is>
      </c>
      <c r="H1210" s="8">
        <f>IFERROR(INDEX(Tbl_KPIMaster[Unit],MATCH($G1210,Tbl_KPIMaster[KPI],0)),"")</f>
        <v/>
      </c>
      <c r="I1210" s="9">
        <f>IFERROR(INDEX(Tbl_KPIMaster[Maximum Target],MATCH($G1210,Tbl_KPIMaster[KPI],0)),"")</f>
        <v/>
      </c>
      <c r="J1210" s="9" t="n">
        <v>1.0513</v>
      </c>
      <c r="K1210" s="8">
        <f>IFERROR(INDEX(Tbl_KPIMaster[Tolerance],MATCH($G1210,Tbl_KPIMaster[KPI],0)),"")</f>
        <v/>
      </c>
      <c r="L1210" s="8">
        <f>IFERROR(INDEX(Tbl_KPIMaster[Owner],MATCH($G1210,Tbl_KPIMaster[KPI],0)),"")</f>
        <v/>
      </c>
      <c r="M1210" s="10" t="inlineStr">
        <is>
          <t>New operator training effect</t>
        </is>
      </c>
      <c r="N1210" s="8" t="inlineStr">
        <is>
          <t>Engineering support needed</t>
        </is>
      </c>
      <c r="O1210" s="8" t="inlineStr">
        <is>
          <t>Low</t>
        </is>
      </c>
      <c r="P1210" s="8" t="inlineStr">
        <is>
          <t>Closed</t>
        </is>
      </c>
      <c r="Q1210" s="9">
        <f>IFERROR(IF(INDEX(Tbl_KPIMaster[Direction],MATCH($G1210,Tbl_KPIMaster[KPI],0))="Lower is Better",IF($J1210=0,1,IF($I1210=0,0,$I1210/$J1210)),IF($I1210=0,1,$J1210/$I1210)),0)</f>
        <v/>
      </c>
      <c r="R1210" s="8">
        <f>IF(OR($I1210="",$J1210=""),"",$J1210-$I1210)</f>
        <v/>
      </c>
      <c r="S1210" s="8">
        <f>IFERROR(IF(INDEX(Tbl_KPIMaster[Direction],MATCH($G1210,Tbl_KPIMaster[KPI],0))="Lower is Better",IF($J1210&lt;=$I1210,"Green",IF($J1210&lt;=$I1210+IF($I1210=0,$K1210,$I1210*$K1210),"Amber","Red")),IF($J1210&gt;=$I1210,"Green",IF($J1210&gt;=$I1210-IF($I1210=0,$K1210,$I1210*$K1210),"Amber","Red"))),"")</f>
        <v/>
      </c>
      <c r="T1210" s="10" t="inlineStr"/>
    </row>
    <row r="1211">
      <c r="A1211" s="3" t="n">
        <v>46190</v>
      </c>
      <c r="B1211" s="4">
        <f>IF($A1211="","",TEXT($A1211,"mmm-yyyy"))</f>
        <v/>
      </c>
      <c r="C1211" s="4">
        <f>IF($A1211="","","W"&amp;WEEKNUM($A1211,2))</f>
        <v/>
      </c>
      <c r="D1211" s="4">
        <f>IF($A1211="","",TEXT($A1211,"ddd"))</f>
        <v/>
      </c>
      <c r="E1211" s="4" t="inlineStr">
        <is>
          <t>Utilities</t>
        </is>
      </c>
      <c r="F1211" s="4">
        <f>IFERROR(INDEX(Tbl_KPIMaster[Category],MATCH($G1211,Tbl_KPIMaster[KPI],0)),"")</f>
        <v/>
      </c>
      <c r="G1211" s="4" t="inlineStr">
        <is>
          <t>Power Consumption</t>
        </is>
      </c>
      <c r="H1211" s="4">
        <f>IFERROR(INDEX(Tbl_KPIMaster[Unit],MATCH($G1211,Tbl_KPIMaster[KPI],0)),"")</f>
        <v/>
      </c>
      <c r="I1211" s="5">
        <f>IFERROR(INDEX(Tbl_KPIMaster[Maximum Target],MATCH($G1211,Tbl_KPIMaster[KPI],0)),"")</f>
        <v/>
      </c>
      <c r="J1211" s="5" t="n">
        <v>2740.3</v>
      </c>
      <c r="K1211" s="4">
        <f>IFERROR(INDEX(Tbl_KPIMaster[Tolerance],MATCH($G1211,Tbl_KPIMaster[KPI],0)),"")</f>
        <v/>
      </c>
      <c r="L1211" s="4">
        <f>IFERROR(INDEX(Tbl_KPIMaster[Owner],MATCH($G1211,Tbl_KPIMaster[KPI],0)),"")</f>
        <v/>
      </c>
      <c r="M1211" s="6" t="inlineStr">
        <is>
          <t>Line changeover impact</t>
        </is>
      </c>
      <c r="N1211" s="4" t="inlineStr"/>
      <c r="O1211" s="4" t="inlineStr">
        <is>
          <t>Medium</t>
        </is>
      </c>
      <c r="P1211" s="4" t="inlineStr">
        <is>
          <t>In Progress</t>
        </is>
      </c>
      <c r="Q1211" s="5">
        <f>IFERROR(IF(INDEX(Tbl_KPIMaster[Direction],MATCH($G1211,Tbl_KPIMaster[KPI],0))="Lower is Better",IF($J1211=0,1,IF($I1211=0,0,$I1211/$J1211)),IF($I1211=0,1,$J1211/$I1211)),0)</f>
        <v/>
      </c>
      <c r="R1211" s="4">
        <f>IF(OR($I1211="",$J1211=""),"",$J1211-$I1211)</f>
        <v/>
      </c>
      <c r="S1211" s="4">
        <f>IFERROR(IF(INDEX(Tbl_KPIMaster[Direction],MATCH($G1211,Tbl_KPIMaster[KPI],0))="Lower is Better",IF($J1211&lt;=$I1211,"Green",IF($J1211&lt;=$I1211+IF($I1211=0,$K1211,$I1211*$K1211),"Amber","Red")),IF($J1211&gt;=$I1211,"Green",IF($J1211&gt;=$I1211-IF($I1211=0,$K1211,$I1211*$K1211),"Amber","Red"))),"")</f>
        <v/>
      </c>
      <c r="T1211" s="6" t="inlineStr"/>
    </row>
    <row r="1212">
      <c r="A1212" s="7" t="n">
        <v>46190</v>
      </c>
      <c r="B1212" s="8">
        <f>IF($A1212="","",TEXT($A1212,"mmm-yyyy"))</f>
        <v/>
      </c>
      <c r="C1212" s="8">
        <f>IF($A1212="","","W"&amp;WEEKNUM($A1212,2))</f>
        <v/>
      </c>
      <c r="D1212" s="8">
        <f>IF($A1212="","",TEXT($A1212,"ddd"))</f>
        <v/>
      </c>
      <c r="E1212" s="8" t="inlineStr">
        <is>
          <t>Utilities</t>
        </is>
      </c>
      <c r="F1212" s="8">
        <f>IFERROR(INDEX(Tbl_KPIMaster[Category],MATCH($G1212,Tbl_KPIMaster[KPI],0)),"")</f>
        <v/>
      </c>
      <c r="G1212" s="8" t="inlineStr">
        <is>
          <t>Water Consumption</t>
        </is>
      </c>
      <c r="H1212" s="8">
        <f>IFERROR(INDEX(Tbl_KPIMaster[Unit],MATCH($G1212,Tbl_KPIMaster[KPI],0)),"")</f>
        <v/>
      </c>
      <c r="I1212" s="9">
        <f>IFERROR(INDEX(Tbl_KPIMaster[Maximum Target],MATCH($G1212,Tbl_KPIMaster[KPI],0)),"")</f>
        <v/>
      </c>
      <c r="J1212" s="9" t="n">
        <v>29.63</v>
      </c>
      <c r="K1212" s="8">
        <f>IFERROR(INDEX(Tbl_KPIMaster[Tolerance],MATCH($G1212,Tbl_KPIMaster[KPI],0)),"")</f>
        <v/>
      </c>
      <c r="L1212" s="8">
        <f>IFERROR(INDEX(Tbl_KPIMaster[Owner],MATCH($G1212,Tbl_KPIMaster[KPI],0)),"")</f>
        <v/>
      </c>
      <c r="M1212" s="10" t="inlineStr">
        <is>
          <t>Awaiting spares</t>
        </is>
      </c>
      <c r="N1212" s="8" t="inlineStr">
        <is>
          <t>Management approval pending</t>
        </is>
      </c>
      <c r="O1212" s="8" t="inlineStr">
        <is>
          <t>High</t>
        </is>
      </c>
      <c r="P1212" s="8" t="inlineStr">
        <is>
          <t>Open</t>
        </is>
      </c>
      <c r="Q1212" s="9">
        <f>IFERROR(IF(INDEX(Tbl_KPIMaster[Direction],MATCH($G1212,Tbl_KPIMaster[KPI],0))="Lower is Better",IF($J1212=0,1,IF($I1212=0,0,$I1212/$J1212)),IF($I1212=0,1,$J1212/$I1212)),0)</f>
        <v/>
      </c>
      <c r="R1212" s="8">
        <f>IF(OR($I1212="",$J1212=""),"",$J1212-$I1212)</f>
        <v/>
      </c>
      <c r="S1212" s="8">
        <f>IFERROR(IF(INDEX(Tbl_KPIMaster[Direction],MATCH($G1212,Tbl_KPIMaster[KPI],0))="Lower is Better",IF($J1212&lt;=$I1212,"Green",IF($J1212&lt;=$I1212+IF($I1212=0,$K1212,$I1212*$K1212),"Amber","Red")),IF($J1212&gt;=$I1212,"Green",IF($J1212&gt;=$I1212-IF($I1212=0,$K1212,$I1212*$K1212),"Amber","Red"))),"")</f>
        <v/>
      </c>
      <c r="T1212" s="10" t="inlineStr"/>
    </row>
    <row r="1213">
      <c r="A1213" s="3" t="n">
        <v>46190</v>
      </c>
      <c r="B1213" s="4">
        <f>IF($A1213="","",TEXT($A1213,"mmm-yyyy"))</f>
        <v/>
      </c>
      <c r="C1213" s="4">
        <f>IF($A1213="","","W"&amp;WEEKNUM($A1213,2))</f>
        <v/>
      </c>
      <c r="D1213" s="4">
        <f>IF($A1213="","",TEXT($A1213,"ddd"))</f>
        <v/>
      </c>
      <c r="E1213" s="4" t="inlineStr">
        <is>
          <t>Warehouse</t>
        </is>
      </c>
      <c r="F1213" s="4">
        <f>IFERROR(INDEX(Tbl_KPIMaster[Category],MATCH($G1213,Tbl_KPIMaster[KPI],0)),"")</f>
        <v/>
      </c>
      <c r="G1213" s="4" t="inlineStr">
        <is>
          <t>On-Time Dispatch %</t>
        </is>
      </c>
      <c r="H1213" s="4">
        <f>IFERROR(INDEX(Tbl_KPIMaster[Unit],MATCH($G1213,Tbl_KPIMaster[KPI],0)),"")</f>
        <v/>
      </c>
      <c r="I1213" s="5">
        <f>IFERROR(INDEX(Tbl_KPIMaster[Maximum Target],MATCH($G1213,Tbl_KPIMaster[KPI],0)),"")</f>
        <v/>
      </c>
      <c r="J1213" s="5" t="n">
        <v>1.045</v>
      </c>
      <c r="K1213" s="4">
        <f>IFERROR(INDEX(Tbl_KPIMaster[Tolerance],MATCH($G1213,Tbl_KPIMaster[KPI],0)),"")</f>
        <v/>
      </c>
      <c r="L1213" s="4">
        <f>IFERROR(INDEX(Tbl_KPIMaster[Owner],MATCH($G1213,Tbl_KPIMaster[KPI],0)),"")</f>
        <v/>
      </c>
      <c r="M1213" s="6" t="inlineStr">
        <is>
          <t>Process improvement in progress</t>
        </is>
      </c>
      <c r="N1213" s="4" t="inlineStr">
        <is>
          <t>Procurement follow-up</t>
        </is>
      </c>
      <c r="O1213" s="4" t="inlineStr">
        <is>
          <t>High</t>
        </is>
      </c>
      <c r="P1213" s="4" t="inlineStr">
        <is>
          <t>In Progress</t>
        </is>
      </c>
      <c r="Q1213" s="5">
        <f>IFERROR(IF(INDEX(Tbl_KPIMaster[Direction],MATCH($G1213,Tbl_KPIMaster[KPI],0))="Lower is Better",IF($J1213=0,1,IF($I1213=0,0,$I1213/$J1213)),IF($I1213=0,1,$J1213/$I1213)),0)</f>
        <v/>
      </c>
      <c r="R1213" s="4">
        <f>IF(OR($I1213="",$J1213=""),"",$J1213-$I1213)</f>
        <v/>
      </c>
      <c r="S1213" s="4">
        <f>IFERROR(IF(INDEX(Tbl_KPIMaster[Direction],MATCH($G1213,Tbl_KPIMaster[KPI],0))="Lower is Better",IF($J1213&lt;=$I1213,"Green",IF($J1213&lt;=$I1213+IF($I1213=0,$K1213,$I1213*$K1213),"Amber","Red")),IF($J1213&gt;=$I1213,"Green",IF($J1213&gt;=$I1213-IF($I1213=0,$K1213,$I1213*$K1213),"Amber","Red"))),"")</f>
        <v/>
      </c>
      <c r="T1213" s="6" t="inlineStr"/>
    </row>
    <row r="1214">
      <c r="A1214" s="7" t="n">
        <v>46190</v>
      </c>
      <c r="B1214" s="8">
        <f>IF($A1214="","",TEXT($A1214,"mmm-yyyy"))</f>
        <v/>
      </c>
      <c r="C1214" s="8">
        <f>IF($A1214="","","W"&amp;WEEKNUM($A1214,2))</f>
        <v/>
      </c>
      <c r="D1214" s="8">
        <f>IF($A1214="","",TEXT($A1214,"ddd"))</f>
        <v/>
      </c>
      <c r="E1214" s="8" t="inlineStr">
        <is>
          <t>Warehouse</t>
        </is>
      </c>
      <c r="F1214" s="8">
        <f>IFERROR(INDEX(Tbl_KPIMaster[Category],MATCH($G1214,Tbl_KPIMaster[KPI],0)),"")</f>
        <v/>
      </c>
      <c r="G1214" s="8" t="inlineStr">
        <is>
          <t>Inventory Accuracy %</t>
        </is>
      </c>
      <c r="H1214" s="8">
        <f>IFERROR(INDEX(Tbl_KPIMaster[Unit],MATCH($G1214,Tbl_KPIMaster[KPI],0)),"")</f>
        <v/>
      </c>
      <c r="I1214" s="9">
        <f>IFERROR(INDEX(Tbl_KPIMaster[Maximum Target],MATCH($G1214,Tbl_KPIMaster[KPI],0)),"")</f>
        <v/>
      </c>
      <c r="J1214" s="9" t="n">
        <v>1.0589</v>
      </c>
      <c r="K1214" s="8">
        <f>IFERROR(INDEX(Tbl_KPIMaster[Tolerance],MATCH($G1214,Tbl_KPIMaster[KPI],0)),"")</f>
        <v/>
      </c>
      <c r="L1214" s="8">
        <f>IFERROR(INDEX(Tbl_KPIMaster[Owner],MATCH($G1214,Tbl_KPIMaster[KPI],0)),"")</f>
        <v/>
      </c>
      <c r="M1214" s="10" t="inlineStr">
        <is>
          <t>Process improvement in progress</t>
        </is>
      </c>
      <c r="N1214" s="8" t="inlineStr"/>
      <c r="O1214" s="8" t="inlineStr">
        <is>
          <t>Low</t>
        </is>
      </c>
      <c r="P1214" s="8" t="inlineStr">
        <is>
          <t>Open</t>
        </is>
      </c>
      <c r="Q1214" s="9">
        <f>IFERROR(IF(INDEX(Tbl_KPIMaster[Direction],MATCH($G1214,Tbl_KPIMaster[KPI],0))="Lower is Better",IF($J1214=0,1,IF($I1214=0,0,$I1214/$J1214)),IF($I1214=0,1,$J1214/$I1214)),0)</f>
        <v/>
      </c>
      <c r="R1214" s="8">
        <f>IF(OR($I1214="",$J1214=""),"",$J1214-$I1214)</f>
        <v/>
      </c>
      <c r="S1214" s="8">
        <f>IFERROR(IF(INDEX(Tbl_KPIMaster[Direction],MATCH($G1214,Tbl_KPIMaster[KPI],0))="Lower is Better",IF($J1214&lt;=$I1214,"Green",IF($J1214&lt;=$I1214+IF($I1214=0,$K1214,$I1214*$K1214),"Amber","Red")),IF($J1214&gt;=$I1214,"Green",IF($J1214&gt;=$I1214-IF($I1214=0,$K1214,$I1214*$K1214),"Amber","Red"))),"")</f>
        <v/>
      </c>
      <c r="T1214" s="10" t="inlineStr"/>
    </row>
    <row r="1215">
      <c r="A1215" s="3" t="n">
        <v>46190</v>
      </c>
      <c r="B1215" s="4">
        <f>IF($A1215="","",TEXT($A1215,"mmm-yyyy"))</f>
        <v/>
      </c>
      <c r="C1215" s="4">
        <f>IF($A1215="","","W"&amp;WEEKNUM($A1215,2))</f>
        <v/>
      </c>
      <c r="D1215" s="4">
        <f>IF($A1215="","",TEXT($A1215,"ddd"))</f>
        <v/>
      </c>
      <c r="E1215" s="4" t="inlineStr">
        <is>
          <t>HR</t>
        </is>
      </c>
      <c r="F1215" s="4">
        <f>IFERROR(INDEX(Tbl_KPIMaster[Category],MATCH($G1215,Tbl_KPIMaster[KPI],0)),"")</f>
        <v/>
      </c>
      <c r="G1215" s="4" t="inlineStr">
        <is>
          <t>Absenteeism %</t>
        </is>
      </c>
      <c r="H1215" s="4">
        <f>IFERROR(INDEX(Tbl_KPIMaster[Unit],MATCH($G1215,Tbl_KPIMaster[KPI],0)),"")</f>
        <v/>
      </c>
      <c r="I1215" s="5">
        <f>IFERROR(INDEX(Tbl_KPIMaster[Maximum Target],MATCH($G1215,Tbl_KPIMaster[KPI],0)),"")</f>
        <v/>
      </c>
      <c r="J1215" s="5" t="n">
        <v>0.1098</v>
      </c>
      <c r="K1215" s="4">
        <f>IFERROR(INDEX(Tbl_KPIMaster[Tolerance],MATCH($G1215,Tbl_KPIMaster[KPI],0)),"")</f>
        <v/>
      </c>
      <c r="L1215" s="4">
        <f>IFERROR(INDEX(Tbl_KPIMaster[Owner],MATCH($G1215,Tbl_KPIMaster[KPI],0)),"")</f>
        <v/>
      </c>
      <c r="M1215" s="6" t="inlineStr">
        <is>
          <t>Process improvement in progress</t>
        </is>
      </c>
      <c r="N1215" s="4" t="inlineStr">
        <is>
          <t>Engineering support needed</t>
        </is>
      </c>
      <c r="O1215" s="4" t="inlineStr">
        <is>
          <t>Low</t>
        </is>
      </c>
      <c r="P1215" s="4" t="inlineStr">
        <is>
          <t>Open</t>
        </is>
      </c>
      <c r="Q1215" s="5">
        <f>IFERROR(IF(INDEX(Tbl_KPIMaster[Direction],MATCH($G1215,Tbl_KPIMaster[KPI],0))="Lower is Better",IF($J1215=0,1,IF($I1215=0,0,$I1215/$J1215)),IF($I1215=0,1,$J1215/$I1215)),0)</f>
        <v/>
      </c>
      <c r="R1215" s="4">
        <f>IF(OR($I1215="",$J1215=""),"",$J1215-$I1215)</f>
        <v/>
      </c>
      <c r="S1215" s="4">
        <f>IFERROR(IF(INDEX(Tbl_KPIMaster[Direction],MATCH($G1215,Tbl_KPIMaster[KPI],0))="Lower is Better",IF($J1215&lt;=$I1215,"Green",IF($J1215&lt;=$I1215+IF($I1215=0,$K1215,$I1215*$K1215),"Amber","Red")),IF($J1215&gt;=$I1215,"Green",IF($J1215&gt;=$I1215-IF($I1215=0,$K1215,$I1215*$K1215),"Amber","Red"))),"")</f>
        <v/>
      </c>
      <c r="T1215" s="6" t="inlineStr"/>
    </row>
    <row r="1216">
      <c r="A1216" s="7" t="n">
        <v>46190</v>
      </c>
      <c r="B1216" s="8">
        <f>IF($A1216="","",TEXT($A1216,"mmm-yyyy"))</f>
        <v/>
      </c>
      <c r="C1216" s="8">
        <f>IF($A1216="","","W"&amp;WEEKNUM($A1216,2))</f>
        <v/>
      </c>
      <c r="D1216" s="8">
        <f>IF($A1216="","",TEXT($A1216,"ddd"))</f>
        <v/>
      </c>
      <c r="E1216" s="8" t="inlineStr">
        <is>
          <t>HR</t>
        </is>
      </c>
      <c r="F1216" s="8">
        <f>IFERROR(INDEX(Tbl_KPIMaster[Category],MATCH($G1216,Tbl_KPIMaster[KPI],0)),"")</f>
        <v/>
      </c>
      <c r="G1216" s="8" t="inlineStr">
        <is>
          <t>Training Hours</t>
        </is>
      </c>
      <c r="H1216" s="8">
        <f>IFERROR(INDEX(Tbl_KPIMaster[Unit],MATCH($G1216,Tbl_KPIMaster[KPI],0)),"")</f>
        <v/>
      </c>
      <c r="I1216" s="9">
        <f>IFERROR(INDEX(Tbl_KPIMaster[Maximum Target],MATCH($G1216,Tbl_KPIMaster[KPI],0)),"")</f>
        <v/>
      </c>
      <c r="J1216" s="9" t="n">
        <v>2.03</v>
      </c>
      <c r="K1216" s="8">
        <f>IFERROR(INDEX(Tbl_KPIMaster[Tolerance],MATCH($G1216,Tbl_KPIMaster[KPI],0)),"")</f>
        <v/>
      </c>
      <c r="L1216" s="8">
        <f>IFERROR(INDEX(Tbl_KPIMaster[Owner],MATCH($G1216,Tbl_KPIMaster[KPI],0)),"")</f>
        <v/>
      </c>
      <c r="M1216" s="10" t="inlineStr">
        <is>
          <t>Equipment breakdown</t>
        </is>
      </c>
      <c r="N1216" s="8" t="inlineStr"/>
      <c r="O1216" s="8" t="inlineStr">
        <is>
          <t>Low</t>
        </is>
      </c>
      <c r="P1216" s="8" t="inlineStr">
        <is>
          <t>In Progress</t>
        </is>
      </c>
      <c r="Q1216" s="9">
        <f>IFERROR(IF(INDEX(Tbl_KPIMaster[Direction],MATCH($G1216,Tbl_KPIMaster[KPI],0))="Lower is Better",IF($J1216=0,1,IF($I1216=0,0,$I1216/$J1216)),IF($I1216=0,1,$J1216/$I1216)),0)</f>
        <v/>
      </c>
      <c r="R1216" s="8">
        <f>IF(OR($I1216="",$J1216=""),"",$J1216-$I1216)</f>
        <v/>
      </c>
      <c r="S1216" s="8">
        <f>IFERROR(IF(INDEX(Tbl_KPIMaster[Direction],MATCH($G1216,Tbl_KPIMaster[KPI],0))="Lower is Better",IF($J1216&lt;=$I1216,"Green",IF($J1216&lt;=$I1216+IF($I1216=0,$K1216,$I1216*$K1216),"Amber","Red")),IF($J1216&gt;=$I1216,"Green",IF($J1216&gt;=$I1216-IF($I1216=0,$K1216,$I1216*$K1216),"Amber","Red"))),"")</f>
        <v/>
      </c>
      <c r="T1216" s="10" t="inlineStr"/>
    </row>
    <row r="1217">
      <c r="A1217" s="3" t="n">
        <v>46190</v>
      </c>
      <c r="B1217" s="4">
        <f>IF($A1217="","",TEXT($A1217,"mmm-yyyy"))</f>
        <v/>
      </c>
      <c r="C1217" s="4">
        <f>IF($A1217="","","W"&amp;WEEKNUM($A1217,2))</f>
        <v/>
      </c>
      <c r="D1217" s="4">
        <f>IF($A1217="","",TEXT($A1217,"ddd"))</f>
        <v/>
      </c>
      <c r="E1217" s="4" t="inlineStr">
        <is>
          <t>Engineering</t>
        </is>
      </c>
      <c r="F1217" s="4">
        <f>IFERROR(INDEX(Tbl_KPIMaster[Category],MATCH($G1217,Tbl_KPIMaster[KPI],0)),"")</f>
        <v/>
      </c>
      <c r="G1217" s="4" t="inlineStr">
        <is>
          <t>Project Milestone Adherence %</t>
        </is>
      </c>
      <c r="H1217" s="4">
        <f>IFERROR(INDEX(Tbl_KPIMaster[Unit],MATCH($G1217,Tbl_KPIMaster[KPI],0)),"")</f>
        <v/>
      </c>
      <c r="I1217" s="5">
        <f>IFERROR(INDEX(Tbl_KPIMaster[Maximum Target],MATCH($G1217,Tbl_KPIMaster[KPI],0)),"")</f>
        <v/>
      </c>
      <c r="J1217" s="5" t="n">
        <v>1.0818</v>
      </c>
      <c r="K1217" s="4">
        <f>IFERROR(INDEX(Tbl_KPIMaster[Tolerance],MATCH($G1217,Tbl_KPIMaster[KPI],0)),"")</f>
        <v/>
      </c>
      <c r="L1217" s="4">
        <f>IFERROR(INDEX(Tbl_KPIMaster[Owner],MATCH($G1217,Tbl_KPIMaster[KPI],0)),"")</f>
        <v/>
      </c>
      <c r="M1217" s="6" t="inlineStr">
        <is>
          <t>Manpower shortage</t>
        </is>
      </c>
      <c r="N1217" s="4" t="inlineStr"/>
      <c r="O1217" s="4" t="inlineStr">
        <is>
          <t>Low</t>
        </is>
      </c>
      <c r="P1217" s="4" t="inlineStr">
        <is>
          <t>Open</t>
        </is>
      </c>
      <c r="Q1217" s="5">
        <f>IFERROR(IF(INDEX(Tbl_KPIMaster[Direction],MATCH($G1217,Tbl_KPIMaster[KPI],0))="Lower is Better",IF($J1217=0,1,IF($I1217=0,0,$I1217/$J1217)),IF($I1217=0,1,$J1217/$I1217)),0)</f>
        <v/>
      </c>
      <c r="R1217" s="4">
        <f>IF(OR($I1217="",$J1217=""),"",$J1217-$I1217)</f>
        <v/>
      </c>
      <c r="S1217" s="4">
        <f>IFERROR(IF(INDEX(Tbl_KPIMaster[Direction],MATCH($G1217,Tbl_KPIMaster[KPI],0))="Lower is Better",IF($J1217&lt;=$I1217,"Green",IF($J1217&lt;=$I1217+IF($I1217=0,$K1217,$I1217*$K1217),"Amber","Red")),IF($J1217&gt;=$I1217,"Green",IF($J1217&gt;=$I1217-IF($I1217=0,$K1217,$I1217*$K1217),"Amber","Red"))),"")</f>
        <v/>
      </c>
      <c r="T1217" s="6" t="inlineStr"/>
    </row>
    <row r="1218">
      <c r="A1218" s="7" t="n">
        <v>46190</v>
      </c>
      <c r="B1218" s="8">
        <f>IF($A1218="","",TEXT($A1218,"mmm-yyyy"))</f>
        <v/>
      </c>
      <c r="C1218" s="8">
        <f>IF($A1218="","","W"&amp;WEEKNUM($A1218,2))</f>
        <v/>
      </c>
      <c r="D1218" s="8">
        <f>IF($A1218="","",TEXT($A1218,"ddd"))</f>
        <v/>
      </c>
      <c r="E1218" s="8" t="inlineStr">
        <is>
          <t>Engineering</t>
        </is>
      </c>
      <c r="F1218" s="8">
        <f>IFERROR(INDEX(Tbl_KPIMaster[Category],MATCH($G1218,Tbl_KPIMaster[KPI],0)),"")</f>
        <v/>
      </c>
      <c r="G1218" s="8" t="inlineStr">
        <is>
          <t>Breakdown Resolution Time</t>
        </is>
      </c>
      <c r="H1218" s="8">
        <f>IFERROR(INDEX(Tbl_KPIMaster[Unit],MATCH($G1218,Tbl_KPIMaster[KPI],0)),"")</f>
        <v/>
      </c>
      <c r="I1218" s="9">
        <f>IFERROR(INDEX(Tbl_KPIMaster[Maximum Target],MATCH($G1218,Tbl_KPIMaster[KPI],0)),"")</f>
        <v/>
      </c>
      <c r="J1218" s="9" t="n">
        <v>0</v>
      </c>
      <c r="K1218" s="8">
        <f>IFERROR(INDEX(Tbl_KPIMaster[Tolerance],MATCH($G1218,Tbl_KPIMaster[KPI],0)),"")</f>
        <v/>
      </c>
      <c r="L1218" s="8">
        <f>IFERROR(INDEX(Tbl_KPIMaster[Owner],MATCH($G1218,Tbl_KPIMaster[KPI],0)),"")</f>
        <v/>
      </c>
      <c r="M1218" s="10" t="inlineStr">
        <is>
          <t>Preventive check done</t>
        </is>
      </c>
      <c r="N1218" s="8" t="inlineStr">
        <is>
          <t>Management approval pending</t>
        </is>
      </c>
      <c r="O1218" s="8" t="inlineStr">
        <is>
          <t>High</t>
        </is>
      </c>
      <c r="P1218" s="8" t="inlineStr">
        <is>
          <t>Open</t>
        </is>
      </c>
      <c r="Q1218" s="9">
        <f>IFERROR(IF(INDEX(Tbl_KPIMaster[Direction],MATCH($G1218,Tbl_KPIMaster[KPI],0))="Lower is Better",IF($J1218=0,1,IF($I1218=0,0,$I1218/$J1218)),IF($I1218=0,1,$J1218/$I1218)),0)</f>
        <v/>
      </c>
      <c r="R1218" s="8">
        <f>IF(OR($I1218="",$J1218=""),"",$J1218-$I1218)</f>
        <v/>
      </c>
      <c r="S1218" s="8">
        <f>IFERROR(IF(INDEX(Tbl_KPIMaster[Direction],MATCH($G1218,Tbl_KPIMaster[KPI],0))="Lower is Better",IF($J1218&lt;=$I1218,"Green",IF($J1218&lt;=$I1218+IF($I1218=0,$K1218,$I1218*$K1218),"Amber","Red")),IF($J1218&gt;=$I1218,"Green",IF($J1218&gt;=$I1218-IF($I1218=0,$K1218,$I1218*$K1218),"Amber","Red"))),"")</f>
        <v/>
      </c>
      <c r="T1218" s="10" t="inlineStr"/>
    </row>
    <row r="1219">
      <c r="A1219" s="3" t="n">
        <v>46190</v>
      </c>
      <c r="B1219" s="4">
        <f>IF($A1219="","",TEXT($A1219,"mmm-yyyy"))</f>
        <v/>
      </c>
      <c r="C1219" s="4">
        <f>IF($A1219="","","W"&amp;WEEKNUM($A1219,2))</f>
        <v/>
      </c>
      <c r="D1219" s="4">
        <f>IF($A1219="","",TEXT($A1219,"ddd"))</f>
        <v/>
      </c>
      <c r="E1219" s="4" t="inlineStr">
        <is>
          <t>Cost</t>
        </is>
      </c>
      <c r="F1219" s="4">
        <f>IFERROR(INDEX(Tbl_KPIMaster[Category],MATCH($G1219,Tbl_KPIMaster[KPI],0)),"")</f>
        <v/>
      </c>
      <c r="G1219" s="4" t="inlineStr">
        <is>
          <t>Cost per Unit</t>
        </is>
      </c>
      <c r="H1219" s="4">
        <f>IFERROR(INDEX(Tbl_KPIMaster[Unit],MATCH($G1219,Tbl_KPIMaster[KPI],0)),"")</f>
        <v/>
      </c>
      <c r="I1219" s="5">
        <f>IFERROR(INDEX(Tbl_KPIMaster[Maximum Target],MATCH($G1219,Tbl_KPIMaster[KPI],0)),"")</f>
        <v/>
      </c>
      <c r="J1219" s="5" t="n">
        <v>32.07</v>
      </c>
      <c r="K1219" s="4">
        <f>IFERROR(INDEX(Tbl_KPIMaster[Tolerance],MATCH($G1219,Tbl_KPIMaster[KPI],0)),"")</f>
        <v/>
      </c>
      <c r="L1219" s="4">
        <f>IFERROR(INDEX(Tbl_KPIMaster[Owner],MATCH($G1219,Tbl_KPIMaster[KPI],0)),"")</f>
        <v/>
      </c>
      <c r="M1219" s="6" t="inlineStr">
        <is>
          <t>Manpower shortage</t>
        </is>
      </c>
      <c r="N1219" s="4" t="inlineStr">
        <is>
          <t>Engineering support needed</t>
        </is>
      </c>
      <c r="O1219" s="4" t="inlineStr">
        <is>
          <t>Low</t>
        </is>
      </c>
      <c r="P1219" s="4" t="inlineStr">
        <is>
          <t>Open</t>
        </is>
      </c>
      <c r="Q1219" s="5">
        <f>IFERROR(IF(INDEX(Tbl_KPIMaster[Direction],MATCH($G1219,Tbl_KPIMaster[KPI],0))="Lower is Better",IF($J1219=0,1,IF($I1219=0,0,$I1219/$J1219)),IF($I1219=0,1,$J1219/$I1219)),0)</f>
        <v/>
      </c>
      <c r="R1219" s="4">
        <f>IF(OR($I1219="",$J1219=""),"",$J1219-$I1219)</f>
        <v/>
      </c>
      <c r="S1219" s="4">
        <f>IFERROR(IF(INDEX(Tbl_KPIMaster[Direction],MATCH($G1219,Tbl_KPIMaster[KPI],0))="Lower is Better",IF($J1219&lt;=$I1219,"Green",IF($J1219&lt;=$I1219+IF($I1219=0,$K1219,$I1219*$K1219),"Amber","Red")),IF($J1219&gt;=$I1219,"Green",IF($J1219&gt;=$I1219-IF($I1219=0,$K1219,$I1219*$K1219),"Amber","Red"))),"")</f>
        <v/>
      </c>
      <c r="T1219" s="6" t="inlineStr"/>
    </row>
    <row r="1220">
      <c r="A1220" s="7" t="n">
        <v>46190</v>
      </c>
      <c r="B1220" s="8">
        <f>IF($A1220="","",TEXT($A1220,"mmm-yyyy"))</f>
        <v/>
      </c>
      <c r="C1220" s="8">
        <f>IF($A1220="","","W"&amp;WEEKNUM($A1220,2))</f>
        <v/>
      </c>
      <c r="D1220" s="8">
        <f>IF($A1220="","",TEXT($A1220,"ddd"))</f>
        <v/>
      </c>
      <c r="E1220" s="8" t="inlineStr">
        <is>
          <t>Cost</t>
        </is>
      </c>
      <c r="F1220" s="8">
        <f>IFERROR(INDEX(Tbl_KPIMaster[Category],MATCH($G1220,Tbl_KPIMaster[KPI],0)),"")</f>
        <v/>
      </c>
      <c r="G1220" s="8" t="inlineStr">
        <is>
          <t>Budget Variance %</t>
        </is>
      </c>
      <c r="H1220" s="8">
        <f>IFERROR(INDEX(Tbl_KPIMaster[Unit],MATCH($G1220,Tbl_KPIMaster[KPI],0)),"")</f>
        <v/>
      </c>
      <c r="I1220" s="9">
        <f>IFERROR(INDEX(Tbl_KPIMaster[Maximum Target],MATCH($G1220,Tbl_KPIMaster[KPI],0)),"")</f>
        <v/>
      </c>
      <c r="J1220" s="9" t="n">
        <v>0.4839</v>
      </c>
      <c r="K1220" s="8">
        <f>IFERROR(INDEX(Tbl_KPIMaster[Tolerance],MATCH($G1220,Tbl_KPIMaster[KPI],0)),"")</f>
        <v/>
      </c>
      <c r="L1220" s="8">
        <f>IFERROR(INDEX(Tbl_KPIMaster[Owner],MATCH($G1220,Tbl_KPIMaster[KPI],0)),"")</f>
        <v/>
      </c>
      <c r="M1220" s="10" t="inlineStr">
        <is>
          <t>Line changeover impact</t>
        </is>
      </c>
      <c r="N1220" s="8" t="inlineStr"/>
      <c r="O1220" s="8" t="inlineStr">
        <is>
          <t>Low</t>
        </is>
      </c>
      <c r="P1220" s="8" t="inlineStr">
        <is>
          <t>Closed</t>
        </is>
      </c>
      <c r="Q1220" s="9">
        <f>IFERROR(IF(INDEX(Tbl_KPIMaster[Direction],MATCH($G1220,Tbl_KPIMaster[KPI],0))="Lower is Better",IF($J1220=0,1,IF($I1220=0,0,$I1220/$J1220)),IF($I1220=0,1,$J1220/$I1220)),0)</f>
        <v/>
      </c>
      <c r="R1220" s="8">
        <f>IF(OR($I1220="",$J1220=""),"",$J1220-$I1220)</f>
        <v/>
      </c>
      <c r="S1220" s="8">
        <f>IFERROR(IF(INDEX(Tbl_KPIMaster[Direction],MATCH($G1220,Tbl_KPIMaster[KPI],0))="Lower is Better",IF($J1220&lt;=$I1220,"Green",IF($J1220&lt;=$I1220+IF($I1220=0,$K1220,$I1220*$K1220),"Amber","Red")),IF($J1220&gt;=$I1220,"Green",IF($J1220&gt;=$I1220-IF($I1220=0,$K1220,$I1220*$K1220),"Amber","Red"))),"")</f>
        <v/>
      </c>
      <c r="T1220" s="10" t="inlineStr"/>
    </row>
    <row r="1221">
      <c r="A1221" s="3" t="n">
        <v>46190</v>
      </c>
      <c r="B1221" s="4">
        <f>IF($A1221="","",TEXT($A1221,"mmm-yyyy"))</f>
        <v/>
      </c>
      <c r="C1221" s="4">
        <f>IF($A1221="","","W"&amp;WEEKNUM($A1221,2))</f>
        <v/>
      </c>
      <c r="D1221" s="4">
        <f>IF($A1221="","",TEXT($A1221,"ddd"))</f>
        <v/>
      </c>
      <c r="E1221" s="4" t="inlineStr">
        <is>
          <t>Energy</t>
        </is>
      </c>
      <c r="F1221" s="4">
        <f>IFERROR(INDEX(Tbl_KPIMaster[Category],MATCH($G1221,Tbl_KPIMaster[KPI],0)),"")</f>
        <v/>
      </c>
      <c r="G1221" s="4" t="inlineStr">
        <is>
          <t>Energy Intensity (kWh/unit)</t>
        </is>
      </c>
      <c r="H1221" s="4">
        <f>IFERROR(INDEX(Tbl_KPIMaster[Unit],MATCH($G1221,Tbl_KPIMaster[KPI],0)),"")</f>
        <v/>
      </c>
      <c r="I1221" s="5">
        <f>IFERROR(INDEX(Tbl_KPIMaster[Maximum Target],MATCH($G1221,Tbl_KPIMaster[KPI],0)),"")</f>
        <v/>
      </c>
      <c r="J1221" s="5" t="n">
        <v>5.99</v>
      </c>
      <c r="K1221" s="4">
        <f>IFERROR(INDEX(Tbl_KPIMaster[Tolerance],MATCH($G1221,Tbl_KPIMaster[KPI],0)),"")</f>
        <v/>
      </c>
      <c r="L1221" s="4">
        <f>IFERROR(INDEX(Tbl_KPIMaster[Owner],MATCH($G1221,Tbl_KPIMaster[KPI],0)),"")</f>
        <v/>
      </c>
      <c r="M1221" s="6" t="inlineStr">
        <is>
          <t>Awaiting spares</t>
        </is>
      </c>
      <c r="N1221" s="4" t="inlineStr">
        <is>
          <t>Engineering support needed</t>
        </is>
      </c>
      <c r="O1221" s="4" t="inlineStr">
        <is>
          <t>Low</t>
        </is>
      </c>
      <c r="P1221" s="4" t="inlineStr">
        <is>
          <t>Closed</t>
        </is>
      </c>
      <c r="Q1221" s="5">
        <f>IFERROR(IF(INDEX(Tbl_KPIMaster[Direction],MATCH($G1221,Tbl_KPIMaster[KPI],0))="Lower is Better",IF($J1221=0,1,IF($I1221=0,0,$I1221/$J1221)),IF($I1221=0,1,$J1221/$I1221)),0)</f>
        <v/>
      </c>
      <c r="R1221" s="4">
        <f>IF(OR($I1221="",$J1221=""),"",$J1221-$I1221)</f>
        <v/>
      </c>
      <c r="S1221" s="4">
        <f>IFERROR(IF(INDEX(Tbl_KPIMaster[Direction],MATCH($G1221,Tbl_KPIMaster[KPI],0))="Lower is Better",IF($J1221&lt;=$I1221,"Green",IF($J1221&lt;=$I1221+IF($I1221=0,$K1221,$I1221*$K1221),"Amber","Red")),IF($J1221&gt;=$I1221,"Green",IF($J1221&gt;=$I1221-IF($I1221=0,$K1221,$I1221*$K1221),"Amber","Red"))),"")</f>
        <v/>
      </c>
      <c r="T1221" s="6" t="inlineStr"/>
    </row>
    <row r="1222">
      <c r="A1222" s="7" t="n">
        <v>46190</v>
      </c>
      <c r="B1222" s="8">
        <f>IF($A1222="","",TEXT($A1222,"mmm-yyyy"))</f>
        <v/>
      </c>
      <c r="C1222" s="8">
        <f>IF($A1222="","","W"&amp;WEEKNUM($A1222,2))</f>
        <v/>
      </c>
      <c r="D1222" s="8">
        <f>IF($A1222="","",TEXT($A1222,"ddd"))</f>
        <v/>
      </c>
      <c r="E1222" s="8" t="inlineStr">
        <is>
          <t>Energy</t>
        </is>
      </c>
      <c r="F1222" s="8">
        <f>IFERROR(INDEX(Tbl_KPIMaster[Category],MATCH($G1222,Tbl_KPIMaster[KPI],0)),"")</f>
        <v/>
      </c>
      <c r="G1222" s="8" t="inlineStr">
        <is>
          <t>Renewable Energy Share %</t>
        </is>
      </c>
      <c r="H1222" s="8">
        <f>IFERROR(INDEX(Tbl_KPIMaster[Unit],MATCH($G1222,Tbl_KPIMaster[KPI],0)),"")</f>
        <v/>
      </c>
      <c r="I1222" s="9">
        <f>IFERROR(INDEX(Tbl_KPIMaster[Maximum Target],MATCH($G1222,Tbl_KPIMaster[KPI],0)),"")</f>
        <v/>
      </c>
      <c r="J1222" s="9" t="n">
        <v>0.2598</v>
      </c>
      <c r="K1222" s="8">
        <f>IFERROR(INDEX(Tbl_KPIMaster[Tolerance],MATCH($G1222,Tbl_KPIMaster[KPI],0)),"")</f>
        <v/>
      </c>
      <c r="L1222" s="8">
        <f>IFERROR(INDEX(Tbl_KPIMaster[Owner],MATCH($G1222,Tbl_KPIMaster[KPI],0)),"")</f>
        <v/>
      </c>
      <c r="M1222" s="10" t="inlineStr">
        <is>
          <t>Weather impact</t>
        </is>
      </c>
      <c r="N1222" s="8" t="inlineStr"/>
      <c r="O1222" s="8" t="inlineStr">
        <is>
          <t>Low</t>
        </is>
      </c>
      <c r="P1222" s="8" t="inlineStr">
        <is>
          <t>Closed</t>
        </is>
      </c>
      <c r="Q1222" s="9">
        <f>IFERROR(IF(INDEX(Tbl_KPIMaster[Direction],MATCH($G1222,Tbl_KPIMaster[KPI],0))="Lower is Better",IF($J1222=0,1,IF($I1222=0,0,$I1222/$J1222)),IF($I1222=0,1,$J1222/$I1222)),0)</f>
        <v/>
      </c>
      <c r="R1222" s="8">
        <f>IF(OR($I1222="",$J1222=""),"",$J1222-$I1222)</f>
        <v/>
      </c>
      <c r="S1222" s="8">
        <f>IFERROR(IF(INDEX(Tbl_KPIMaster[Direction],MATCH($G1222,Tbl_KPIMaster[KPI],0))="Lower is Better",IF($J1222&lt;=$I1222,"Green",IF($J1222&lt;=$I1222+IF($I1222=0,$K1222,$I1222*$K1222),"Amber","Red")),IF($J1222&gt;=$I1222,"Green",IF($J1222&gt;=$I1222-IF($I1222=0,$K1222,$I1222*$K1222),"Amber","Red"))),"")</f>
        <v/>
      </c>
      <c r="T1222" s="10" t="inlineStr"/>
    </row>
    <row r="1223">
      <c r="A1223" s="3" t="n">
        <v>46191</v>
      </c>
      <c r="B1223" s="4">
        <f>IF($A1223="","",TEXT($A1223,"mmm-yyyy"))</f>
        <v/>
      </c>
      <c r="C1223" s="4">
        <f>IF($A1223="","","W"&amp;WEEKNUM($A1223,2))</f>
        <v/>
      </c>
      <c r="D1223" s="4">
        <f>IF($A1223="","",TEXT($A1223,"ddd"))</f>
        <v/>
      </c>
      <c r="E1223" s="4" t="inlineStr">
        <is>
          <t>Safety</t>
        </is>
      </c>
      <c r="F1223" s="4">
        <f>IFERROR(INDEX(Tbl_KPIMaster[Category],MATCH($G1223,Tbl_KPIMaster[KPI],0)),"")</f>
        <v/>
      </c>
      <c r="G1223" s="4" t="inlineStr">
        <is>
          <t>Safety Incidents (LTI)</t>
        </is>
      </c>
      <c r="H1223" s="4">
        <f>IFERROR(INDEX(Tbl_KPIMaster[Unit],MATCH($G1223,Tbl_KPIMaster[KPI],0)),"")</f>
        <v/>
      </c>
      <c r="I1223" s="5">
        <f>IFERROR(INDEX(Tbl_KPIMaster[Maximum Target],MATCH($G1223,Tbl_KPIMaster[KPI],0)),"")</f>
        <v/>
      </c>
      <c r="J1223" s="5" t="n">
        <v>0</v>
      </c>
      <c r="K1223" s="4">
        <f>IFERROR(INDEX(Tbl_KPIMaster[Tolerance],MATCH($G1223,Tbl_KPIMaster[KPI],0)),"")</f>
        <v/>
      </c>
      <c r="L1223" s="4">
        <f>IFERROR(INDEX(Tbl_KPIMaster[Owner],MATCH($G1223,Tbl_KPIMaster[KPI],0)),"")</f>
        <v/>
      </c>
      <c r="M1223" s="6" t="inlineStr"/>
      <c r="N1223" s="4" t="inlineStr">
        <is>
          <t>Management approval pending</t>
        </is>
      </c>
      <c r="O1223" s="4" t="inlineStr">
        <is>
          <t>Low</t>
        </is>
      </c>
      <c r="P1223" s="4" t="inlineStr">
        <is>
          <t>Closed</t>
        </is>
      </c>
      <c r="Q1223" s="5">
        <f>IFERROR(IF(INDEX(Tbl_KPIMaster[Direction],MATCH($G1223,Tbl_KPIMaster[KPI],0))="Lower is Better",IF($J1223=0,1,IF($I1223=0,0,$I1223/$J1223)),IF($I1223=0,1,$J1223/$I1223)),0)</f>
        <v/>
      </c>
      <c r="R1223" s="4">
        <f>IF(OR($I1223="",$J1223=""),"",$J1223-$I1223)</f>
        <v/>
      </c>
      <c r="S1223" s="4">
        <f>IFERROR(IF(INDEX(Tbl_KPIMaster[Direction],MATCH($G1223,Tbl_KPIMaster[KPI],0))="Lower is Better",IF($J1223&lt;=$I1223,"Green",IF($J1223&lt;=$I1223+IF($I1223=0,$K1223,$I1223*$K1223),"Amber","Red")),IF($J1223&gt;=$I1223,"Green",IF($J1223&gt;=$I1223-IF($I1223=0,$K1223,$I1223*$K1223),"Amber","Red"))),"")</f>
        <v/>
      </c>
      <c r="T1223" s="6" t="inlineStr"/>
    </row>
    <row r="1224">
      <c r="A1224" s="7" t="n">
        <v>46191</v>
      </c>
      <c r="B1224" s="8">
        <f>IF($A1224="","",TEXT($A1224,"mmm-yyyy"))</f>
        <v/>
      </c>
      <c r="C1224" s="8">
        <f>IF($A1224="","","W"&amp;WEEKNUM($A1224,2))</f>
        <v/>
      </c>
      <c r="D1224" s="8">
        <f>IF($A1224="","",TEXT($A1224,"ddd"))</f>
        <v/>
      </c>
      <c r="E1224" s="8" t="inlineStr">
        <is>
          <t>Safety</t>
        </is>
      </c>
      <c r="F1224" s="8">
        <f>IFERROR(INDEX(Tbl_KPIMaster[Category],MATCH($G1224,Tbl_KPIMaster[KPI],0)),"")</f>
        <v/>
      </c>
      <c r="G1224" s="8" t="inlineStr">
        <is>
          <t>Near Miss Reports</t>
        </is>
      </c>
      <c r="H1224" s="8">
        <f>IFERROR(INDEX(Tbl_KPIMaster[Unit],MATCH($G1224,Tbl_KPIMaster[KPI],0)),"")</f>
        <v/>
      </c>
      <c r="I1224" s="9">
        <f>IFERROR(INDEX(Tbl_KPIMaster[Maximum Target],MATCH($G1224,Tbl_KPIMaster[KPI],0)),"")</f>
        <v/>
      </c>
      <c r="J1224" s="9" t="n">
        <v>2</v>
      </c>
      <c r="K1224" s="8">
        <f>IFERROR(INDEX(Tbl_KPIMaster[Tolerance],MATCH($G1224,Tbl_KPIMaster[KPI],0)),"")</f>
        <v/>
      </c>
      <c r="L1224" s="8">
        <f>IFERROR(INDEX(Tbl_KPIMaster[Owner],MATCH($G1224,Tbl_KPIMaster[KPI],0)),"")</f>
        <v/>
      </c>
      <c r="M1224" s="10" t="inlineStr">
        <is>
          <t>Process improvement in progress</t>
        </is>
      </c>
      <c r="N1224" s="8" t="inlineStr"/>
      <c r="O1224" s="8" t="inlineStr">
        <is>
          <t>Low</t>
        </is>
      </c>
      <c r="P1224" s="8" t="inlineStr">
        <is>
          <t>Closed</t>
        </is>
      </c>
      <c r="Q1224" s="9">
        <f>IFERROR(IF(INDEX(Tbl_KPIMaster[Direction],MATCH($G1224,Tbl_KPIMaster[KPI],0))="Lower is Better",IF($J1224=0,1,IF($I1224=0,0,$I1224/$J1224)),IF($I1224=0,1,$J1224/$I1224)),0)</f>
        <v/>
      </c>
      <c r="R1224" s="8">
        <f>IF(OR($I1224="",$J1224=""),"",$J1224-$I1224)</f>
        <v/>
      </c>
      <c r="S1224" s="8">
        <f>IFERROR(IF(INDEX(Tbl_KPIMaster[Direction],MATCH($G1224,Tbl_KPIMaster[KPI],0))="Lower is Better",IF($J1224&lt;=$I1224,"Green",IF($J1224&lt;=$I1224+IF($I1224=0,$K1224,$I1224*$K1224),"Amber","Red")),IF($J1224&gt;=$I1224,"Green",IF($J1224&gt;=$I1224-IF($I1224=0,$K1224,$I1224*$K1224),"Amber","Red"))),"")</f>
        <v/>
      </c>
      <c r="T1224" s="10" t="inlineStr"/>
    </row>
    <row r="1225">
      <c r="A1225" s="3" t="n">
        <v>46191</v>
      </c>
      <c r="B1225" s="4">
        <f>IF($A1225="","",TEXT($A1225,"mmm-yyyy"))</f>
        <v/>
      </c>
      <c r="C1225" s="4">
        <f>IF($A1225="","","W"&amp;WEEKNUM($A1225,2))</f>
        <v/>
      </c>
      <c r="D1225" s="4">
        <f>IF($A1225="","",TEXT($A1225,"ddd"))</f>
        <v/>
      </c>
      <c r="E1225" s="4" t="inlineStr">
        <is>
          <t>Production</t>
        </is>
      </c>
      <c r="F1225" s="4">
        <f>IFERROR(INDEX(Tbl_KPIMaster[Category],MATCH($G1225,Tbl_KPIMaster[KPI],0)),"")</f>
        <v/>
      </c>
      <c r="G1225" s="4" t="inlineStr">
        <is>
          <t>Production Output</t>
        </is>
      </c>
      <c r="H1225" s="4">
        <f>IFERROR(INDEX(Tbl_KPIMaster[Unit],MATCH($G1225,Tbl_KPIMaster[KPI],0)),"")</f>
        <v/>
      </c>
      <c r="I1225" s="5">
        <f>IFERROR(INDEX(Tbl_KPIMaster[Maximum Target],MATCH($G1225,Tbl_KPIMaster[KPI],0)),"")</f>
        <v/>
      </c>
      <c r="J1225" s="5" t="n">
        <v>1015.14</v>
      </c>
      <c r="K1225" s="4">
        <f>IFERROR(INDEX(Tbl_KPIMaster[Tolerance],MATCH($G1225,Tbl_KPIMaster[KPI],0)),"")</f>
        <v/>
      </c>
      <c r="L1225" s="4">
        <f>IFERROR(INDEX(Tbl_KPIMaster[Owner],MATCH($G1225,Tbl_KPIMaster[KPI],0)),"")</f>
        <v/>
      </c>
      <c r="M1225" s="6" t="inlineStr">
        <is>
          <t>Line changeover impact</t>
        </is>
      </c>
      <c r="N1225" s="4" t="inlineStr">
        <is>
          <t>Management approval pending</t>
        </is>
      </c>
      <c r="O1225" s="4" t="inlineStr">
        <is>
          <t>High</t>
        </is>
      </c>
      <c r="P1225" s="4" t="inlineStr">
        <is>
          <t>Closed</t>
        </is>
      </c>
      <c r="Q1225" s="5">
        <f>IFERROR(IF(INDEX(Tbl_KPIMaster[Direction],MATCH($G1225,Tbl_KPIMaster[KPI],0))="Lower is Better",IF($J1225=0,1,IF($I1225=0,0,$I1225/$J1225)),IF($I1225=0,1,$J1225/$I1225)),0)</f>
        <v/>
      </c>
      <c r="R1225" s="4">
        <f>IF(OR($I1225="",$J1225=""),"",$J1225-$I1225)</f>
        <v/>
      </c>
      <c r="S1225" s="4">
        <f>IFERROR(IF(INDEX(Tbl_KPIMaster[Direction],MATCH($G1225,Tbl_KPIMaster[KPI],0))="Lower is Better",IF($J1225&lt;=$I1225,"Green",IF($J1225&lt;=$I1225+IF($I1225=0,$K1225,$I1225*$K1225),"Amber","Red")),IF($J1225&gt;=$I1225,"Green",IF($J1225&gt;=$I1225-IF($I1225=0,$K1225,$I1225*$K1225),"Amber","Red"))),"")</f>
        <v/>
      </c>
      <c r="T1225" s="6" t="inlineStr"/>
    </row>
    <row r="1226">
      <c r="A1226" s="7" t="n">
        <v>46191</v>
      </c>
      <c r="B1226" s="8">
        <f>IF($A1226="","",TEXT($A1226,"mmm-yyyy"))</f>
        <v/>
      </c>
      <c r="C1226" s="8">
        <f>IF($A1226="","","W"&amp;WEEKNUM($A1226,2))</f>
        <v/>
      </c>
      <c r="D1226" s="8">
        <f>IF($A1226="","",TEXT($A1226,"ddd"))</f>
        <v/>
      </c>
      <c r="E1226" s="8" t="inlineStr">
        <is>
          <t>Production</t>
        </is>
      </c>
      <c r="F1226" s="8">
        <f>IFERROR(INDEX(Tbl_KPIMaster[Category],MATCH($G1226,Tbl_KPIMaster[KPI],0)),"")</f>
        <v/>
      </c>
      <c r="G1226" s="8" t="inlineStr">
        <is>
          <t>OEE %</t>
        </is>
      </c>
      <c r="H1226" s="8">
        <f>IFERROR(INDEX(Tbl_KPIMaster[Unit],MATCH($G1226,Tbl_KPIMaster[KPI],0)),"")</f>
        <v/>
      </c>
      <c r="I1226" s="9">
        <f>IFERROR(INDEX(Tbl_KPIMaster[Maximum Target],MATCH($G1226,Tbl_KPIMaster[KPI],0)),"")</f>
        <v/>
      </c>
      <c r="J1226" s="9" t="n">
        <v>0.7218</v>
      </c>
      <c r="K1226" s="8">
        <f>IFERROR(INDEX(Tbl_KPIMaster[Tolerance],MATCH($G1226,Tbl_KPIMaster[KPI],0)),"")</f>
        <v/>
      </c>
      <c r="L1226" s="8">
        <f>IFERROR(INDEX(Tbl_KPIMaster[Owner],MATCH($G1226,Tbl_KPIMaster[KPI],0)),"")</f>
        <v/>
      </c>
      <c r="M1226" s="10" t="inlineStr">
        <is>
          <t>New operator training effect</t>
        </is>
      </c>
      <c r="N1226" s="8" t="inlineStr">
        <is>
          <t>Engineering support needed</t>
        </is>
      </c>
      <c r="O1226" s="8" t="inlineStr">
        <is>
          <t>Low</t>
        </is>
      </c>
      <c r="P1226" s="8" t="inlineStr">
        <is>
          <t>Closed</t>
        </is>
      </c>
      <c r="Q1226" s="9">
        <f>IFERROR(IF(INDEX(Tbl_KPIMaster[Direction],MATCH($G1226,Tbl_KPIMaster[KPI],0))="Lower is Better",IF($J1226=0,1,IF($I1226=0,0,$I1226/$J1226)),IF($I1226=0,1,$J1226/$I1226)),0)</f>
        <v/>
      </c>
      <c r="R1226" s="8">
        <f>IF(OR($I1226="",$J1226=""),"",$J1226-$I1226)</f>
        <v/>
      </c>
      <c r="S1226" s="8">
        <f>IFERROR(IF(INDEX(Tbl_KPIMaster[Direction],MATCH($G1226,Tbl_KPIMaster[KPI],0))="Lower is Better",IF($J1226&lt;=$I1226,"Green",IF($J1226&lt;=$I1226+IF($I1226=0,$K1226,$I1226*$K1226),"Amber","Red")),IF($J1226&gt;=$I1226,"Green",IF($J1226&gt;=$I1226-IF($I1226=0,$K1226,$I1226*$K1226),"Amber","Red"))),"")</f>
        <v/>
      </c>
      <c r="T1226" s="10" t="inlineStr"/>
    </row>
    <row r="1227">
      <c r="A1227" s="3" t="n">
        <v>46191</v>
      </c>
      <c r="B1227" s="4">
        <f>IF($A1227="","",TEXT($A1227,"mmm-yyyy"))</f>
        <v/>
      </c>
      <c r="C1227" s="4">
        <f>IF($A1227="","","W"&amp;WEEKNUM($A1227,2))</f>
        <v/>
      </c>
      <c r="D1227" s="4">
        <f>IF($A1227="","",TEXT($A1227,"ddd"))</f>
        <v/>
      </c>
      <c r="E1227" s="4" t="inlineStr">
        <is>
          <t>Quality</t>
        </is>
      </c>
      <c r="F1227" s="4">
        <f>IFERROR(INDEX(Tbl_KPIMaster[Category],MATCH($G1227,Tbl_KPIMaster[KPI],0)),"")</f>
        <v/>
      </c>
      <c r="G1227" s="4" t="inlineStr">
        <is>
          <t>Defect Rate %</t>
        </is>
      </c>
      <c r="H1227" s="4">
        <f>IFERROR(INDEX(Tbl_KPIMaster[Unit],MATCH($G1227,Tbl_KPIMaster[KPI],0)),"")</f>
        <v/>
      </c>
      <c r="I1227" s="5">
        <f>IFERROR(INDEX(Tbl_KPIMaster[Maximum Target],MATCH($G1227,Tbl_KPIMaster[KPI],0)),"")</f>
        <v/>
      </c>
      <c r="J1227" s="5" t="n">
        <v>0.3657</v>
      </c>
      <c r="K1227" s="4">
        <f>IFERROR(INDEX(Tbl_KPIMaster[Tolerance],MATCH($G1227,Tbl_KPIMaster[KPI],0)),"")</f>
        <v/>
      </c>
      <c r="L1227" s="4">
        <f>IFERROR(INDEX(Tbl_KPIMaster[Owner],MATCH($G1227,Tbl_KPIMaster[KPI],0)),"")</f>
        <v/>
      </c>
      <c r="M1227" s="6" t="inlineStr"/>
      <c r="N1227" s="4" t="inlineStr"/>
      <c r="O1227" s="4" t="inlineStr">
        <is>
          <t>Medium</t>
        </is>
      </c>
      <c r="P1227" s="4" t="inlineStr">
        <is>
          <t>Closed</t>
        </is>
      </c>
      <c r="Q1227" s="5">
        <f>IFERROR(IF(INDEX(Tbl_KPIMaster[Direction],MATCH($G1227,Tbl_KPIMaster[KPI],0))="Lower is Better",IF($J1227=0,1,IF($I1227=0,0,$I1227/$J1227)),IF($I1227=0,1,$J1227/$I1227)),0)</f>
        <v/>
      </c>
      <c r="R1227" s="4">
        <f>IF(OR($I1227="",$J1227=""),"",$J1227-$I1227)</f>
        <v/>
      </c>
      <c r="S1227" s="4">
        <f>IFERROR(IF(INDEX(Tbl_KPIMaster[Direction],MATCH($G1227,Tbl_KPIMaster[KPI],0))="Lower is Better",IF($J1227&lt;=$I1227,"Green",IF($J1227&lt;=$I1227+IF($I1227=0,$K1227,$I1227*$K1227),"Amber","Red")),IF($J1227&gt;=$I1227,"Green",IF($J1227&gt;=$I1227-IF($I1227=0,$K1227,$I1227*$K1227),"Amber","Red"))),"")</f>
        <v/>
      </c>
      <c r="T1227" s="6" t="inlineStr"/>
    </row>
    <row r="1228">
      <c r="A1228" s="7" t="n">
        <v>46191</v>
      </c>
      <c r="B1228" s="8">
        <f>IF($A1228="","",TEXT($A1228,"mmm-yyyy"))</f>
        <v/>
      </c>
      <c r="C1228" s="8">
        <f>IF($A1228="","","W"&amp;WEEKNUM($A1228,2))</f>
        <v/>
      </c>
      <c r="D1228" s="8">
        <f>IF($A1228="","",TEXT($A1228,"ddd"))</f>
        <v/>
      </c>
      <c r="E1228" s="8" t="inlineStr">
        <is>
          <t>Quality</t>
        </is>
      </c>
      <c r="F1228" s="8">
        <f>IFERROR(INDEX(Tbl_KPIMaster[Category],MATCH($G1228,Tbl_KPIMaster[KPI],0)),"")</f>
        <v/>
      </c>
      <c r="G1228" s="8" t="inlineStr">
        <is>
          <t>Customer Complaints</t>
        </is>
      </c>
      <c r="H1228" s="8">
        <f>IFERROR(INDEX(Tbl_KPIMaster[Unit],MATCH($G1228,Tbl_KPIMaster[KPI],0)),"")</f>
        <v/>
      </c>
      <c r="I1228" s="9">
        <f>IFERROR(INDEX(Tbl_KPIMaster[Maximum Target],MATCH($G1228,Tbl_KPIMaster[KPI],0)),"")</f>
        <v/>
      </c>
      <c r="J1228" s="9" t="n">
        <v>0</v>
      </c>
      <c r="K1228" s="8">
        <f>IFERROR(INDEX(Tbl_KPIMaster[Tolerance],MATCH($G1228,Tbl_KPIMaster[KPI],0)),"")</f>
        <v/>
      </c>
      <c r="L1228" s="8">
        <f>IFERROR(INDEX(Tbl_KPIMaster[Owner],MATCH($G1228,Tbl_KPIMaster[KPI],0)),"")</f>
        <v/>
      </c>
      <c r="M1228" s="10" t="inlineStr">
        <is>
          <t>New operator training effect</t>
        </is>
      </c>
      <c r="N1228" s="8" t="inlineStr"/>
      <c r="O1228" s="8" t="inlineStr">
        <is>
          <t>High</t>
        </is>
      </c>
      <c r="P1228" s="8" t="inlineStr">
        <is>
          <t>Closed</t>
        </is>
      </c>
      <c r="Q1228" s="9">
        <f>IFERROR(IF(INDEX(Tbl_KPIMaster[Direction],MATCH($G1228,Tbl_KPIMaster[KPI],0))="Lower is Better",IF($J1228=0,1,IF($I1228=0,0,$I1228/$J1228)),IF($I1228=0,1,$J1228/$I1228)),0)</f>
        <v/>
      </c>
      <c r="R1228" s="8">
        <f>IF(OR($I1228="",$J1228=""),"",$J1228-$I1228)</f>
        <v/>
      </c>
      <c r="S1228" s="8">
        <f>IFERROR(IF(INDEX(Tbl_KPIMaster[Direction],MATCH($G1228,Tbl_KPIMaster[KPI],0))="Lower is Better",IF($J1228&lt;=$I1228,"Green",IF($J1228&lt;=$I1228+IF($I1228=0,$K1228,$I1228*$K1228),"Amber","Red")),IF($J1228&gt;=$I1228,"Green",IF($J1228&gt;=$I1228-IF($I1228=0,$K1228,$I1228*$K1228),"Amber","Red"))),"")</f>
        <v/>
      </c>
      <c r="T1228" s="10" t="inlineStr"/>
    </row>
    <row r="1229">
      <c r="A1229" s="3" t="n">
        <v>46191</v>
      </c>
      <c r="B1229" s="4">
        <f>IF($A1229="","",TEXT($A1229,"mmm-yyyy"))</f>
        <v/>
      </c>
      <c r="C1229" s="4">
        <f>IF($A1229="","","W"&amp;WEEKNUM($A1229,2))</f>
        <v/>
      </c>
      <c r="D1229" s="4">
        <f>IF($A1229="","",TEXT($A1229,"ddd"))</f>
        <v/>
      </c>
      <c r="E1229" s="4" t="inlineStr">
        <is>
          <t>Maintenance</t>
        </is>
      </c>
      <c r="F1229" s="4">
        <f>IFERROR(INDEX(Tbl_KPIMaster[Category],MATCH($G1229,Tbl_KPIMaster[KPI],0)),"")</f>
        <v/>
      </c>
      <c r="G1229" s="4" t="inlineStr">
        <is>
          <t>Unplanned Downtime</t>
        </is>
      </c>
      <c r="H1229" s="4">
        <f>IFERROR(INDEX(Tbl_KPIMaster[Unit],MATCH($G1229,Tbl_KPIMaster[KPI],0)),"")</f>
        <v/>
      </c>
      <c r="I1229" s="5">
        <f>IFERROR(INDEX(Tbl_KPIMaster[Maximum Target],MATCH($G1229,Tbl_KPIMaster[KPI],0)),"")</f>
        <v/>
      </c>
      <c r="J1229" s="5" t="n">
        <v>0.77</v>
      </c>
      <c r="K1229" s="4">
        <f>IFERROR(INDEX(Tbl_KPIMaster[Tolerance],MATCH($G1229,Tbl_KPIMaster[KPI],0)),"")</f>
        <v/>
      </c>
      <c r="L1229" s="4">
        <f>IFERROR(INDEX(Tbl_KPIMaster[Owner],MATCH($G1229,Tbl_KPIMaster[KPI],0)),"")</f>
        <v/>
      </c>
      <c r="M1229" s="6" t="inlineStr">
        <is>
          <t>Within normal range</t>
        </is>
      </c>
      <c r="N1229" s="4" t="inlineStr">
        <is>
          <t>Procurement follow-up</t>
        </is>
      </c>
      <c r="O1229" s="4" t="inlineStr">
        <is>
          <t>Low</t>
        </is>
      </c>
      <c r="P1229" s="4" t="inlineStr">
        <is>
          <t>Closed</t>
        </is>
      </c>
      <c r="Q1229" s="5">
        <f>IFERROR(IF(INDEX(Tbl_KPIMaster[Direction],MATCH($G1229,Tbl_KPIMaster[KPI],0))="Lower is Better",IF($J1229=0,1,IF($I1229=0,0,$I1229/$J1229)),IF($I1229=0,1,$J1229/$I1229)),0)</f>
        <v/>
      </c>
      <c r="R1229" s="4">
        <f>IF(OR($I1229="",$J1229=""),"",$J1229-$I1229)</f>
        <v/>
      </c>
      <c r="S1229" s="4">
        <f>IFERROR(IF(INDEX(Tbl_KPIMaster[Direction],MATCH($G1229,Tbl_KPIMaster[KPI],0))="Lower is Better",IF($J1229&lt;=$I1229,"Green",IF($J1229&lt;=$I1229+IF($I1229=0,$K1229,$I1229*$K1229),"Amber","Red")),IF($J1229&gt;=$I1229,"Green",IF($J1229&gt;=$I1229-IF($I1229=0,$K1229,$I1229*$K1229),"Amber","Red"))),"")</f>
        <v/>
      </c>
      <c r="T1229" s="6" t="inlineStr"/>
    </row>
    <row r="1230">
      <c r="A1230" s="7" t="n">
        <v>46191</v>
      </c>
      <c r="B1230" s="8">
        <f>IF($A1230="","",TEXT($A1230,"mmm-yyyy"))</f>
        <v/>
      </c>
      <c r="C1230" s="8">
        <f>IF($A1230="","","W"&amp;WEEKNUM($A1230,2))</f>
        <v/>
      </c>
      <c r="D1230" s="8">
        <f>IF($A1230="","",TEXT($A1230,"ddd"))</f>
        <v/>
      </c>
      <c r="E1230" s="8" t="inlineStr">
        <is>
          <t>Maintenance</t>
        </is>
      </c>
      <c r="F1230" s="8">
        <f>IFERROR(INDEX(Tbl_KPIMaster[Category],MATCH($G1230,Tbl_KPIMaster[KPI],0)),"")</f>
        <v/>
      </c>
      <c r="G1230" s="8" t="inlineStr">
        <is>
          <t>PM Compliance %</t>
        </is>
      </c>
      <c r="H1230" s="8">
        <f>IFERROR(INDEX(Tbl_KPIMaster[Unit],MATCH($G1230,Tbl_KPIMaster[KPI],0)),"")</f>
        <v/>
      </c>
      <c r="I1230" s="9">
        <f>IFERROR(INDEX(Tbl_KPIMaster[Maximum Target],MATCH($G1230,Tbl_KPIMaster[KPI],0)),"")</f>
        <v/>
      </c>
      <c r="J1230" s="9" t="n">
        <v>1.0494</v>
      </c>
      <c r="K1230" s="8">
        <f>IFERROR(INDEX(Tbl_KPIMaster[Tolerance],MATCH($G1230,Tbl_KPIMaster[KPI],0)),"")</f>
        <v/>
      </c>
      <c r="L1230" s="8">
        <f>IFERROR(INDEX(Tbl_KPIMaster[Owner],MATCH($G1230,Tbl_KPIMaster[KPI],0)),"")</f>
        <v/>
      </c>
      <c r="M1230" s="10" t="inlineStr">
        <is>
          <t>Weather impact</t>
        </is>
      </c>
      <c r="N1230" s="8" t="inlineStr">
        <is>
          <t>Management approval pending</t>
        </is>
      </c>
      <c r="O1230" s="8" t="inlineStr">
        <is>
          <t>Low</t>
        </is>
      </c>
      <c r="P1230" s="8" t="inlineStr">
        <is>
          <t>Closed</t>
        </is>
      </c>
      <c r="Q1230" s="9">
        <f>IFERROR(IF(INDEX(Tbl_KPIMaster[Direction],MATCH($G1230,Tbl_KPIMaster[KPI],0))="Lower is Better",IF($J1230=0,1,IF($I1230=0,0,$I1230/$J1230)),IF($I1230=0,1,$J1230/$I1230)),0)</f>
        <v/>
      </c>
      <c r="R1230" s="8">
        <f>IF(OR($I1230="",$J1230=""),"",$J1230-$I1230)</f>
        <v/>
      </c>
      <c r="S1230" s="8">
        <f>IFERROR(IF(INDEX(Tbl_KPIMaster[Direction],MATCH($G1230,Tbl_KPIMaster[KPI],0))="Lower is Better",IF($J1230&lt;=$I1230,"Green",IF($J1230&lt;=$I1230+IF($I1230=0,$K1230,$I1230*$K1230),"Amber","Red")),IF($J1230&gt;=$I1230,"Green",IF($J1230&gt;=$I1230-IF($I1230=0,$K1230,$I1230*$K1230),"Amber","Red"))),"")</f>
        <v/>
      </c>
      <c r="T1230" s="10" t="inlineStr"/>
    </row>
    <row r="1231">
      <c r="A1231" s="3" t="n">
        <v>46191</v>
      </c>
      <c r="B1231" s="4">
        <f>IF($A1231="","",TEXT($A1231,"mmm-yyyy"))</f>
        <v/>
      </c>
      <c r="C1231" s="4">
        <f>IF($A1231="","","W"&amp;WEEKNUM($A1231,2))</f>
        <v/>
      </c>
      <c r="D1231" s="4">
        <f>IF($A1231="","",TEXT($A1231,"ddd"))</f>
        <v/>
      </c>
      <c r="E1231" s="4" t="inlineStr">
        <is>
          <t>Utilities</t>
        </is>
      </c>
      <c r="F1231" s="4">
        <f>IFERROR(INDEX(Tbl_KPIMaster[Category],MATCH($G1231,Tbl_KPIMaster[KPI],0)),"")</f>
        <v/>
      </c>
      <c r="G1231" s="4" t="inlineStr">
        <is>
          <t>Power Consumption</t>
        </is>
      </c>
      <c r="H1231" s="4">
        <f>IFERROR(INDEX(Tbl_KPIMaster[Unit],MATCH($G1231,Tbl_KPIMaster[KPI],0)),"")</f>
        <v/>
      </c>
      <c r="I1231" s="5">
        <f>IFERROR(INDEX(Tbl_KPIMaster[Maximum Target],MATCH($G1231,Tbl_KPIMaster[KPI],0)),"")</f>
        <v/>
      </c>
      <c r="J1231" s="5" t="n">
        <v>4722.98</v>
      </c>
      <c r="K1231" s="4">
        <f>IFERROR(INDEX(Tbl_KPIMaster[Tolerance],MATCH($G1231,Tbl_KPIMaster[KPI],0)),"")</f>
        <v/>
      </c>
      <c r="L1231" s="4">
        <f>IFERROR(INDEX(Tbl_KPIMaster[Owner],MATCH($G1231,Tbl_KPIMaster[KPI],0)),"")</f>
        <v/>
      </c>
      <c r="M1231" s="6" t="inlineStr">
        <is>
          <t>Within normal range</t>
        </is>
      </c>
      <c r="N1231" s="4" t="inlineStr">
        <is>
          <t>Management approval pending</t>
        </is>
      </c>
      <c r="O1231" s="4" t="inlineStr">
        <is>
          <t>Low</t>
        </is>
      </c>
      <c r="P1231" s="4" t="inlineStr">
        <is>
          <t>Closed</t>
        </is>
      </c>
      <c r="Q1231" s="5">
        <f>IFERROR(IF(INDEX(Tbl_KPIMaster[Direction],MATCH($G1231,Tbl_KPIMaster[KPI],0))="Lower is Better",IF($J1231=0,1,IF($I1231=0,0,$I1231/$J1231)),IF($I1231=0,1,$J1231/$I1231)),0)</f>
        <v/>
      </c>
      <c r="R1231" s="4">
        <f>IF(OR($I1231="",$J1231=""),"",$J1231-$I1231)</f>
        <v/>
      </c>
      <c r="S1231" s="4">
        <f>IFERROR(IF(INDEX(Tbl_KPIMaster[Direction],MATCH($G1231,Tbl_KPIMaster[KPI],0))="Lower is Better",IF($J1231&lt;=$I1231,"Green",IF($J1231&lt;=$I1231+IF($I1231=0,$K1231,$I1231*$K1231),"Amber","Red")),IF($J1231&gt;=$I1231,"Green",IF($J1231&gt;=$I1231-IF($I1231=0,$K1231,$I1231*$K1231),"Amber","Red"))),"")</f>
        <v/>
      </c>
      <c r="T1231" s="6" t="inlineStr"/>
    </row>
    <row r="1232">
      <c r="A1232" s="7" t="n">
        <v>46191</v>
      </c>
      <c r="B1232" s="8">
        <f>IF($A1232="","",TEXT($A1232,"mmm-yyyy"))</f>
        <v/>
      </c>
      <c r="C1232" s="8">
        <f>IF($A1232="","","W"&amp;WEEKNUM($A1232,2))</f>
        <v/>
      </c>
      <c r="D1232" s="8">
        <f>IF($A1232="","",TEXT($A1232,"ddd"))</f>
        <v/>
      </c>
      <c r="E1232" s="8" t="inlineStr">
        <is>
          <t>Utilities</t>
        </is>
      </c>
      <c r="F1232" s="8">
        <f>IFERROR(INDEX(Tbl_KPIMaster[Category],MATCH($G1232,Tbl_KPIMaster[KPI],0)),"")</f>
        <v/>
      </c>
      <c r="G1232" s="8" t="inlineStr">
        <is>
          <t>Water Consumption</t>
        </is>
      </c>
      <c r="H1232" s="8">
        <f>IFERROR(INDEX(Tbl_KPIMaster[Unit],MATCH($G1232,Tbl_KPIMaster[KPI],0)),"")</f>
        <v/>
      </c>
      <c r="I1232" s="9">
        <f>IFERROR(INDEX(Tbl_KPIMaster[Maximum Target],MATCH($G1232,Tbl_KPIMaster[KPI],0)),"")</f>
        <v/>
      </c>
      <c r="J1232" s="9" t="n">
        <v>56.78</v>
      </c>
      <c r="K1232" s="8">
        <f>IFERROR(INDEX(Tbl_KPIMaster[Tolerance],MATCH($G1232,Tbl_KPIMaster[KPI],0)),"")</f>
        <v/>
      </c>
      <c r="L1232" s="8">
        <f>IFERROR(INDEX(Tbl_KPIMaster[Owner],MATCH($G1232,Tbl_KPIMaster[KPI],0)),"")</f>
        <v/>
      </c>
      <c r="M1232" s="10" t="inlineStr">
        <is>
          <t>Vendor delay</t>
        </is>
      </c>
      <c r="N1232" s="8" t="inlineStr"/>
      <c r="O1232" s="8" t="inlineStr">
        <is>
          <t>Medium</t>
        </is>
      </c>
      <c r="P1232" s="8" t="inlineStr">
        <is>
          <t>In Progress</t>
        </is>
      </c>
      <c r="Q1232" s="9">
        <f>IFERROR(IF(INDEX(Tbl_KPIMaster[Direction],MATCH($G1232,Tbl_KPIMaster[KPI],0))="Lower is Better",IF($J1232=0,1,IF($I1232=0,0,$I1232/$J1232)),IF($I1232=0,1,$J1232/$I1232)),0)</f>
        <v/>
      </c>
      <c r="R1232" s="8">
        <f>IF(OR($I1232="",$J1232=""),"",$J1232-$I1232)</f>
        <v/>
      </c>
      <c r="S1232" s="8">
        <f>IFERROR(IF(INDEX(Tbl_KPIMaster[Direction],MATCH($G1232,Tbl_KPIMaster[KPI],0))="Lower is Better",IF($J1232&lt;=$I1232,"Green",IF($J1232&lt;=$I1232+IF($I1232=0,$K1232,$I1232*$K1232),"Amber","Red")),IF($J1232&gt;=$I1232,"Green",IF($J1232&gt;=$I1232-IF($I1232=0,$K1232,$I1232*$K1232),"Amber","Red"))),"")</f>
        <v/>
      </c>
      <c r="T1232" s="10" t="inlineStr"/>
    </row>
    <row r="1233">
      <c r="A1233" s="3" t="n">
        <v>46191</v>
      </c>
      <c r="B1233" s="4">
        <f>IF($A1233="","",TEXT($A1233,"mmm-yyyy"))</f>
        <v/>
      </c>
      <c r="C1233" s="4">
        <f>IF($A1233="","","W"&amp;WEEKNUM($A1233,2))</f>
        <v/>
      </c>
      <c r="D1233" s="4">
        <f>IF($A1233="","",TEXT($A1233,"ddd"))</f>
        <v/>
      </c>
      <c r="E1233" s="4" t="inlineStr">
        <is>
          <t>Warehouse</t>
        </is>
      </c>
      <c r="F1233" s="4">
        <f>IFERROR(INDEX(Tbl_KPIMaster[Category],MATCH($G1233,Tbl_KPIMaster[KPI],0)),"")</f>
        <v/>
      </c>
      <c r="G1233" s="4" t="inlineStr">
        <is>
          <t>On-Time Dispatch %</t>
        </is>
      </c>
      <c r="H1233" s="4">
        <f>IFERROR(INDEX(Tbl_KPIMaster[Unit],MATCH($G1233,Tbl_KPIMaster[KPI],0)),"")</f>
        <v/>
      </c>
      <c r="I1233" s="5">
        <f>IFERROR(INDEX(Tbl_KPIMaster[Maximum Target],MATCH($G1233,Tbl_KPIMaster[KPI],0)),"")</f>
        <v/>
      </c>
      <c r="J1233" s="5" t="n">
        <v>1.1085</v>
      </c>
      <c r="K1233" s="4">
        <f>IFERROR(INDEX(Tbl_KPIMaster[Tolerance],MATCH($G1233,Tbl_KPIMaster[KPI],0)),"")</f>
        <v/>
      </c>
      <c r="L1233" s="4">
        <f>IFERROR(INDEX(Tbl_KPIMaster[Owner],MATCH($G1233,Tbl_KPIMaster[KPI],0)),"")</f>
        <v/>
      </c>
      <c r="M1233" s="6" t="inlineStr">
        <is>
          <t>Weather impact</t>
        </is>
      </c>
      <c r="N1233" s="4" t="inlineStr"/>
      <c r="O1233" s="4" t="inlineStr">
        <is>
          <t>Low</t>
        </is>
      </c>
      <c r="P1233" s="4" t="inlineStr">
        <is>
          <t>Closed</t>
        </is>
      </c>
      <c r="Q1233" s="5">
        <f>IFERROR(IF(INDEX(Tbl_KPIMaster[Direction],MATCH($G1233,Tbl_KPIMaster[KPI],0))="Lower is Better",IF($J1233=0,1,IF($I1233=0,0,$I1233/$J1233)),IF($I1233=0,1,$J1233/$I1233)),0)</f>
        <v/>
      </c>
      <c r="R1233" s="4">
        <f>IF(OR($I1233="",$J1233=""),"",$J1233-$I1233)</f>
        <v/>
      </c>
      <c r="S1233" s="4">
        <f>IFERROR(IF(INDEX(Tbl_KPIMaster[Direction],MATCH($G1233,Tbl_KPIMaster[KPI],0))="Lower is Better",IF($J1233&lt;=$I1233,"Green",IF($J1233&lt;=$I1233+IF($I1233=0,$K1233,$I1233*$K1233),"Amber","Red")),IF($J1233&gt;=$I1233,"Green",IF($J1233&gt;=$I1233-IF($I1233=0,$K1233,$I1233*$K1233),"Amber","Red"))),"")</f>
        <v/>
      </c>
      <c r="T1233" s="6" t="inlineStr"/>
    </row>
    <row r="1234">
      <c r="A1234" s="7" t="n">
        <v>46191</v>
      </c>
      <c r="B1234" s="8">
        <f>IF($A1234="","",TEXT($A1234,"mmm-yyyy"))</f>
        <v/>
      </c>
      <c r="C1234" s="8">
        <f>IF($A1234="","","W"&amp;WEEKNUM($A1234,2))</f>
        <v/>
      </c>
      <c r="D1234" s="8">
        <f>IF($A1234="","",TEXT($A1234,"ddd"))</f>
        <v/>
      </c>
      <c r="E1234" s="8" t="inlineStr">
        <is>
          <t>Warehouse</t>
        </is>
      </c>
      <c r="F1234" s="8">
        <f>IFERROR(INDEX(Tbl_KPIMaster[Category],MATCH($G1234,Tbl_KPIMaster[KPI],0)),"")</f>
        <v/>
      </c>
      <c r="G1234" s="8" t="inlineStr">
        <is>
          <t>Inventory Accuracy %</t>
        </is>
      </c>
      <c r="H1234" s="8">
        <f>IFERROR(INDEX(Tbl_KPIMaster[Unit],MATCH($G1234,Tbl_KPIMaster[KPI],0)),"")</f>
        <v/>
      </c>
      <c r="I1234" s="9">
        <f>IFERROR(INDEX(Tbl_KPIMaster[Maximum Target],MATCH($G1234,Tbl_KPIMaster[KPI],0)),"")</f>
        <v/>
      </c>
      <c r="J1234" s="9" t="n">
        <v>0.9794</v>
      </c>
      <c r="K1234" s="8">
        <f>IFERROR(INDEX(Tbl_KPIMaster[Tolerance],MATCH($G1234,Tbl_KPIMaster[KPI],0)),"")</f>
        <v/>
      </c>
      <c r="L1234" s="8">
        <f>IFERROR(INDEX(Tbl_KPIMaster[Owner],MATCH($G1234,Tbl_KPIMaster[KPI],0)),"")</f>
        <v/>
      </c>
      <c r="M1234" s="10" t="inlineStr"/>
      <c r="N1234" s="8" t="inlineStr">
        <is>
          <t>Procurement follow-up</t>
        </is>
      </c>
      <c r="O1234" s="8" t="inlineStr">
        <is>
          <t>Medium</t>
        </is>
      </c>
      <c r="P1234" s="8" t="inlineStr">
        <is>
          <t>Open</t>
        </is>
      </c>
      <c r="Q1234" s="9">
        <f>IFERROR(IF(INDEX(Tbl_KPIMaster[Direction],MATCH($G1234,Tbl_KPIMaster[KPI],0))="Lower is Better",IF($J1234=0,1,IF($I1234=0,0,$I1234/$J1234)),IF($I1234=0,1,$J1234/$I1234)),0)</f>
        <v/>
      </c>
      <c r="R1234" s="8">
        <f>IF(OR($I1234="",$J1234=""),"",$J1234-$I1234)</f>
        <v/>
      </c>
      <c r="S1234" s="8">
        <f>IFERROR(IF(INDEX(Tbl_KPIMaster[Direction],MATCH($G1234,Tbl_KPIMaster[KPI],0))="Lower is Better",IF($J1234&lt;=$I1234,"Green",IF($J1234&lt;=$I1234+IF($I1234=0,$K1234,$I1234*$K1234),"Amber","Red")),IF($J1234&gt;=$I1234,"Green",IF($J1234&gt;=$I1234-IF($I1234=0,$K1234,$I1234*$K1234),"Amber","Red"))),"")</f>
        <v/>
      </c>
      <c r="T1234" s="10" t="inlineStr"/>
    </row>
    <row r="1235">
      <c r="A1235" s="3" t="n">
        <v>46191</v>
      </c>
      <c r="B1235" s="4">
        <f>IF($A1235="","",TEXT($A1235,"mmm-yyyy"))</f>
        <v/>
      </c>
      <c r="C1235" s="4">
        <f>IF($A1235="","","W"&amp;WEEKNUM($A1235,2))</f>
        <v/>
      </c>
      <c r="D1235" s="4">
        <f>IF($A1235="","",TEXT($A1235,"ddd"))</f>
        <v/>
      </c>
      <c r="E1235" s="4" t="inlineStr">
        <is>
          <t>HR</t>
        </is>
      </c>
      <c r="F1235" s="4">
        <f>IFERROR(INDEX(Tbl_KPIMaster[Category],MATCH($G1235,Tbl_KPIMaster[KPI],0)),"")</f>
        <v/>
      </c>
      <c r="G1235" s="4" t="inlineStr">
        <is>
          <t>Absenteeism %</t>
        </is>
      </c>
      <c r="H1235" s="4">
        <f>IFERROR(INDEX(Tbl_KPIMaster[Unit],MATCH($G1235,Tbl_KPIMaster[KPI],0)),"")</f>
        <v/>
      </c>
      <c r="I1235" s="5">
        <f>IFERROR(INDEX(Tbl_KPIMaster[Maximum Target],MATCH($G1235,Tbl_KPIMaster[KPI],0)),"")</f>
        <v/>
      </c>
      <c r="J1235" s="5" t="n">
        <v>0</v>
      </c>
      <c r="K1235" s="4">
        <f>IFERROR(INDEX(Tbl_KPIMaster[Tolerance],MATCH($G1235,Tbl_KPIMaster[KPI],0)),"")</f>
        <v/>
      </c>
      <c r="L1235" s="4">
        <f>IFERROR(INDEX(Tbl_KPIMaster[Owner],MATCH($G1235,Tbl_KPIMaster[KPI],0)),"")</f>
        <v/>
      </c>
      <c r="M1235" s="6" t="inlineStr">
        <is>
          <t>Line changeover impact</t>
        </is>
      </c>
      <c r="N1235" s="4" t="inlineStr">
        <is>
          <t>Engineering support needed</t>
        </is>
      </c>
      <c r="O1235" s="4" t="inlineStr">
        <is>
          <t>Medium</t>
        </is>
      </c>
      <c r="P1235" s="4" t="inlineStr">
        <is>
          <t>Closed</t>
        </is>
      </c>
      <c r="Q1235" s="5">
        <f>IFERROR(IF(INDEX(Tbl_KPIMaster[Direction],MATCH($G1235,Tbl_KPIMaster[KPI],0))="Lower is Better",IF($J1235=0,1,IF($I1235=0,0,$I1235/$J1235)),IF($I1235=0,1,$J1235/$I1235)),0)</f>
        <v/>
      </c>
      <c r="R1235" s="4">
        <f>IF(OR($I1235="",$J1235=""),"",$J1235-$I1235)</f>
        <v/>
      </c>
      <c r="S1235" s="4">
        <f>IFERROR(IF(INDEX(Tbl_KPIMaster[Direction],MATCH($G1235,Tbl_KPIMaster[KPI],0))="Lower is Better",IF($J1235&lt;=$I1235,"Green",IF($J1235&lt;=$I1235+IF($I1235=0,$K1235,$I1235*$K1235),"Amber","Red")),IF($J1235&gt;=$I1235,"Green",IF($J1235&gt;=$I1235-IF($I1235=0,$K1235,$I1235*$K1235),"Amber","Red"))),"")</f>
        <v/>
      </c>
      <c r="T1235" s="6" t="inlineStr"/>
    </row>
    <row r="1236">
      <c r="A1236" s="7" t="n">
        <v>46191</v>
      </c>
      <c r="B1236" s="8">
        <f>IF($A1236="","",TEXT($A1236,"mmm-yyyy"))</f>
        <v/>
      </c>
      <c r="C1236" s="8">
        <f>IF($A1236="","","W"&amp;WEEKNUM($A1236,2))</f>
        <v/>
      </c>
      <c r="D1236" s="8">
        <f>IF($A1236="","",TEXT($A1236,"ddd"))</f>
        <v/>
      </c>
      <c r="E1236" s="8" t="inlineStr">
        <is>
          <t>HR</t>
        </is>
      </c>
      <c r="F1236" s="8">
        <f>IFERROR(INDEX(Tbl_KPIMaster[Category],MATCH($G1236,Tbl_KPIMaster[KPI],0)),"")</f>
        <v/>
      </c>
      <c r="G1236" s="8" t="inlineStr">
        <is>
          <t>Training Hours</t>
        </is>
      </c>
      <c r="H1236" s="8">
        <f>IFERROR(INDEX(Tbl_KPIMaster[Unit],MATCH($G1236,Tbl_KPIMaster[KPI],0)),"")</f>
        <v/>
      </c>
      <c r="I1236" s="9">
        <f>IFERROR(INDEX(Tbl_KPIMaster[Maximum Target],MATCH($G1236,Tbl_KPIMaster[KPI],0)),"")</f>
        <v/>
      </c>
      <c r="J1236" s="9" t="n">
        <v>2.29</v>
      </c>
      <c r="K1236" s="8">
        <f>IFERROR(INDEX(Tbl_KPIMaster[Tolerance],MATCH($G1236,Tbl_KPIMaster[KPI],0)),"")</f>
        <v/>
      </c>
      <c r="L1236" s="8">
        <f>IFERROR(INDEX(Tbl_KPIMaster[Owner],MATCH($G1236,Tbl_KPIMaster[KPI],0)),"")</f>
        <v/>
      </c>
      <c r="M1236" s="10" t="inlineStr">
        <is>
          <t>Equipment breakdown</t>
        </is>
      </c>
      <c r="N1236" s="8" t="inlineStr"/>
      <c r="O1236" s="8" t="inlineStr">
        <is>
          <t>Low</t>
        </is>
      </c>
      <c r="P1236" s="8" t="inlineStr">
        <is>
          <t>Closed</t>
        </is>
      </c>
      <c r="Q1236" s="9">
        <f>IFERROR(IF(INDEX(Tbl_KPIMaster[Direction],MATCH($G1236,Tbl_KPIMaster[KPI],0))="Lower is Better",IF($J1236=0,1,IF($I1236=0,0,$I1236/$J1236)),IF($I1236=0,1,$J1236/$I1236)),0)</f>
        <v/>
      </c>
      <c r="R1236" s="8">
        <f>IF(OR($I1236="",$J1236=""),"",$J1236-$I1236)</f>
        <v/>
      </c>
      <c r="S1236" s="8">
        <f>IFERROR(IF(INDEX(Tbl_KPIMaster[Direction],MATCH($G1236,Tbl_KPIMaster[KPI],0))="Lower is Better",IF($J1236&lt;=$I1236,"Green",IF($J1236&lt;=$I1236+IF($I1236=0,$K1236,$I1236*$K1236),"Amber","Red")),IF($J1236&gt;=$I1236,"Green",IF($J1236&gt;=$I1236-IF($I1236=0,$K1236,$I1236*$K1236),"Amber","Red"))),"")</f>
        <v/>
      </c>
      <c r="T1236" s="10" t="inlineStr"/>
    </row>
    <row r="1237">
      <c r="A1237" s="3" t="n">
        <v>46191</v>
      </c>
      <c r="B1237" s="4">
        <f>IF($A1237="","",TEXT($A1237,"mmm-yyyy"))</f>
        <v/>
      </c>
      <c r="C1237" s="4">
        <f>IF($A1237="","","W"&amp;WEEKNUM($A1237,2))</f>
        <v/>
      </c>
      <c r="D1237" s="4">
        <f>IF($A1237="","",TEXT($A1237,"ddd"))</f>
        <v/>
      </c>
      <c r="E1237" s="4" t="inlineStr">
        <is>
          <t>Engineering</t>
        </is>
      </c>
      <c r="F1237" s="4">
        <f>IFERROR(INDEX(Tbl_KPIMaster[Category],MATCH($G1237,Tbl_KPIMaster[KPI],0)),"")</f>
        <v/>
      </c>
      <c r="G1237" s="4" t="inlineStr">
        <is>
          <t>Project Milestone Adherence %</t>
        </is>
      </c>
      <c r="H1237" s="4">
        <f>IFERROR(INDEX(Tbl_KPIMaster[Unit],MATCH($G1237,Tbl_KPIMaster[KPI],0)),"")</f>
        <v/>
      </c>
      <c r="I1237" s="5">
        <f>IFERROR(INDEX(Tbl_KPIMaster[Maximum Target],MATCH($G1237,Tbl_KPIMaster[KPI],0)),"")</f>
        <v/>
      </c>
      <c r="J1237" s="5" t="n">
        <v>1.0065</v>
      </c>
      <c r="K1237" s="4">
        <f>IFERROR(INDEX(Tbl_KPIMaster[Tolerance],MATCH($G1237,Tbl_KPIMaster[KPI],0)),"")</f>
        <v/>
      </c>
      <c r="L1237" s="4">
        <f>IFERROR(INDEX(Tbl_KPIMaster[Owner],MATCH($G1237,Tbl_KPIMaster[KPI],0)),"")</f>
        <v/>
      </c>
      <c r="M1237" s="6" t="inlineStr">
        <is>
          <t>Manpower shortage</t>
        </is>
      </c>
      <c r="N1237" s="4" t="inlineStr"/>
      <c r="O1237" s="4" t="inlineStr">
        <is>
          <t>Low</t>
        </is>
      </c>
      <c r="P1237" s="4" t="inlineStr">
        <is>
          <t>Closed</t>
        </is>
      </c>
      <c r="Q1237" s="5">
        <f>IFERROR(IF(INDEX(Tbl_KPIMaster[Direction],MATCH($G1237,Tbl_KPIMaster[KPI],0))="Lower is Better",IF($J1237=0,1,IF($I1237=0,0,$I1237/$J1237)),IF($I1237=0,1,$J1237/$I1237)),0)</f>
        <v/>
      </c>
      <c r="R1237" s="4">
        <f>IF(OR($I1237="",$J1237=""),"",$J1237-$I1237)</f>
        <v/>
      </c>
      <c r="S1237" s="4">
        <f>IFERROR(IF(INDEX(Tbl_KPIMaster[Direction],MATCH($G1237,Tbl_KPIMaster[KPI],0))="Lower is Better",IF($J1237&lt;=$I1237,"Green",IF($J1237&lt;=$I1237+IF($I1237=0,$K1237,$I1237*$K1237),"Amber","Red")),IF($J1237&gt;=$I1237,"Green",IF($J1237&gt;=$I1237-IF($I1237=0,$K1237,$I1237*$K1237),"Amber","Red"))),"")</f>
        <v/>
      </c>
      <c r="T1237" s="6" t="inlineStr"/>
    </row>
    <row r="1238">
      <c r="A1238" s="7" t="n">
        <v>46191</v>
      </c>
      <c r="B1238" s="8">
        <f>IF($A1238="","",TEXT($A1238,"mmm-yyyy"))</f>
        <v/>
      </c>
      <c r="C1238" s="8">
        <f>IF($A1238="","","W"&amp;WEEKNUM($A1238,2))</f>
        <v/>
      </c>
      <c r="D1238" s="8">
        <f>IF($A1238="","",TEXT($A1238,"ddd"))</f>
        <v/>
      </c>
      <c r="E1238" s="8" t="inlineStr">
        <is>
          <t>Engineering</t>
        </is>
      </c>
      <c r="F1238" s="8">
        <f>IFERROR(INDEX(Tbl_KPIMaster[Category],MATCH($G1238,Tbl_KPIMaster[KPI],0)),"")</f>
        <v/>
      </c>
      <c r="G1238" s="8" t="inlineStr">
        <is>
          <t>Breakdown Resolution Time</t>
        </is>
      </c>
      <c r="H1238" s="8">
        <f>IFERROR(INDEX(Tbl_KPIMaster[Unit],MATCH($G1238,Tbl_KPIMaster[KPI],0)),"")</f>
        <v/>
      </c>
      <c r="I1238" s="9">
        <f>IFERROR(INDEX(Tbl_KPIMaster[Maximum Target],MATCH($G1238,Tbl_KPIMaster[KPI],0)),"")</f>
        <v/>
      </c>
      <c r="J1238" s="9" t="n">
        <v>0</v>
      </c>
      <c r="K1238" s="8">
        <f>IFERROR(INDEX(Tbl_KPIMaster[Tolerance],MATCH($G1238,Tbl_KPIMaster[KPI],0)),"")</f>
        <v/>
      </c>
      <c r="L1238" s="8">
        <f>IFERROR(INDEX(Tbl_KPIMaster[Owner],MATCH($G1238,Tbl_KPIMaster[KPI],0)),"")</f>
        <v/>
      </c>
      <c r="M1238" s="10" t="inlineStr">
        <is>
          <t>Line changeover impact</t>
        </is>
      </c>
      <c r="N1238" s="8" t="inlineStr"/>
      <c r="O1238" s="8" t="inlineStr">
        <is>
          <t>Low</t>
        </is>
      </c>
      <c r="P1238" s="8" t="inlineStr">
        <is>
          <t>In Progress</t>
        </is>
      </c>
      <c r="Q1238" s="9">
        <f>IFERROR(IF(INDEX(Tbl_KPIMaster[Direction],MATCH($G1238,Tbl_KPIMaster[KPI],0))="Lower is Better",IF($J1238=0,1,IF($I1238=0,0,$I1238/$J1238)),IF($I1238=0,1,$J1238/$I1238)),0)</f>
        <v/>
      </c>
      <c r="R1238" s="8">
        <f>IF(OR($I1238="",$J1238=""),"",$J1238-$I1238)</f>
        <v/>
      </c>
      <c r="S1238" s="8">
        <f>IFERROR(IF(INDEX(Tbl_KPIMaster[Direction],MATCH($G1238,Tbl_KPIMaster[KPI],0))="Lower is Better",IF($J1238&lt;=$I1238,"Green",IF($J1238&lt;=$I1238+IF($I1238=0,$K1238,$I1238*$K1238),"Amber","Red")),IF($J1238&gt;=$I1238,"Green",IF($J1238&gt;=$I1238-IF($I1238=0,$K1238,$I1238*$K1238),"Amber","Red"))),"")</f>
        <v/>
      </c>
      <c r="T1238" s="10" t="inlineStr"/>
    </row>
    <row r="1239">
      <c r="A1239" s="3" t="n">
        <v>46191</v>
      </c>
      <c r="B1239" s="4">
        <f>IF($A1239="","",TEXT($A1239,"mmm-yyyy"))</f>
        <v/>
      </c>
      <c r="C1239" s="4">
        <f>IF($A1239="","","W"&amp;WEEKNUM($A1239,2))</f>
        <v/>
      </c>
      <c r="D1239" s="4">
        <f>IF($A1239="","",TEXT($A1239,"ddd"))</f>
        <v/>
      </c>
      <c r="E1239" s="4" t="inlineStr">
        <is>
          <t>Cost</t>
        </is>
      </c>
      <c r="F1239" s="4">
        <f>IFERROR(INDEX(Tbl_KPIMaster[Category],MATCH($G1239,Tbl_KPIMaster[KPI],0)),"")</f>
        <v/>
      </c>
      <c r="G1239" s="4" t="inlineStr">
        <is>
          <t>Cost per Unit</t>
        </is>
      </c>
      <c r="H1239" s="4">
        <f>IFERROR(INDEX(Tbl_KPIMaster[Unit],MATCH($G1239,Tbl_KPIMaster[KPI],0)),"")</f>
        <v/>
      </c>
      <c r="I1239" s="5">
        <f>IFERROR(INDEX(Tbl_KPIMaster[Maximum Target],MATCH($G1239,Tbl_KPIMaster[KPI],0)),"")</f>
        <v/>
      </c>
      <c r="J1239" s="5" t="n">
        <v>38.06</v>
      </c>
      <c r="K1239" s="4">
        <f>IFERROR(INDEX(Tbl_KPIMaster[Tolerance],MATCH($G1239,Tbl_KPIMaster[KPI],0)),"")</f>
        <v/>
      </c>
      <c r="L1239" s="4">
        <f>IFERROR(INDEX(Tbl_KPIMaster[Owner],MATCH($G1239,Tbl_KPIMaster[KPI],0)),"")</f>
        <v/>
      </c>
      <c r="M1239" s="6" t="inlineStr">
        <is>
          <t>Awaiting spares</t>
        </is>
      </c>
      <c r="N1239" s="4" t="inlineStr"/>
      <c r="O1239" s="4" t="inlineStr">
        <is>
          <t>Medium</t>
        </is>
      </c>
      <c r="P1239" s="4" t="inlineStr">
        <is>
          <t>Closed</t>
        </is>
      </c>
      <c r="Q1239" s="5">
        <f>IFERROR(IF(INDEX(Tbl_KPIMaster[Direction],MATCH($G1239,Tbl_KPIMaster[KPI],0))="Lower is Better",IF($J1239=0,1,IF($I1239=0,0,$I1239/$J1239)),IF($I1239=0,1,$J1239/$I1239)),0)</f>
        <v/>
      </c>
      <c r="R1239" s="4">
        <f>IF(OR($I1239="",$J1239=""),"",$J1239-$I1239)</f>
        <v/>
      </c>
      <c r="S1239" s="4">
        <f>IFERROR(IF(INDEX(Tbl_KPIMaster[Direction],MATCH($G1239,Tbl_KPIMaster[KPI],0))="Lower is Better",IF($J1239&lt;=$I1239,"Green",IF($J1239&lt;=$I1239+IF($I1239=0,$K1239,$I1239*$K1239),"Amber","Red")),IF($J1239&gt;=$I1239,"Green",IF($J1239&gt;=$I1239-IF($I1239=0,$K1239,$I1239*$K1239),"Amber","Red"))),"")</f>
        <v/>
      </c>
      <c r="T1239" s="6" t="inlineStr"/>
    </row>
    <row r="1240">
      <c r="A1240" s="7" t="n">
        <v>46191</v>
      </c>
      <c r="B1240" s="8">
        <f>IF($A1240="","",TEXT($A1240,"mmm-yyyy"))</f>
        <v/>
      </c>
      <c r="C1240" s="8">
        <f>IF($A1240="","","W"&amp;WEEKNUM($A1240,2))</f>
        <v/>
      </c>
      <c r="D1240" s="8">
        <f>IF($A1240="","",TEXT($A1240,"ddd"))</f>
        <v/>
      </c>
      <c r="E1240" s="8" t="inlineStr">
        <is>
          <t>Cost</t>
        </is>
      </c>
      <c r="F1240" s="8">
        <f>IFERROR(INDEX(Tbl_KPIMaster[Category],MATCH($G1240,Tbl_KPIMaster[KPI],0)),"")</f>
        <v/>
      </c>
      <c r="G1240" s="8" t="inlineStr">
        <is>
          <t>Budget Variance %</t>
        </is>
      </c>
      <c r="H1240" s="8">
        <f>IFERROR(INDEX(Tbl_KPIMaster[Unit],MATCH($G1240,Tbl_KPIMaster[KPI],0)),"")</f>
        <v/>
      </c>
      <c r="I1240" s="9">
        <f>IFERROR(INDEX(Tbl_KPIMaster[Maximum Target],MATCH($G1240,Tbl_KPIMaster[KPI],0)),"")</f>
        <v/>
      </c>
      <c r="J1240" s="9" t="n">
        <v>0</v>
      </c>
      <c r="K1240" s="8">
        <f>IFERROR(INDEX(Tbl_KPIMaster[Tolerance],MATCH($G1240,Tbl_KPIMaster[KPI],0)),"")</f>
        <v/>
      </c>
      <c r="L1240" s="8">
        <f>IFERROR(INDEX(Tbl_KPIMaster[Owner],MATCH($G1240,Tbl_KPIMaster[KPI],0)),"")</f>
        <v/>
      </c>
      <c r="M1240" s="10" t="inlineStr">
        <is>
          <t>Line changeover impact</t>
        </is>
      </c>
      <c r="N1240" s="8" t="inlineStr">
        <is>
          <t>Management approval pending</t>
        </is>
      </c>
      <c r="O1240" s="8" t="inlineStr">
        <is>
          <t>Low</t>
        </is>
      </c>
      <c r="P1240" s="8" t="inlineStr">
        <is>
          <t>Closed</t>
        </is>
      </c>
      <c r="Q1240" s="9">
        <f>IFERROR(IF(INDEX(Tbl_KPIMaster[Direction],MATCH($G1240,Tbl_KPIMaster[KPI],0))="Lower is Better",IF($J1240=0,1,IF($I1240=0,0,$I1240/$J1240)),IF($I1240=0,1,$J1240/$I1240)),0)</f>
        <v/>
      </c>
      <c r="R1240" s="8">
        <f>IF(OR($I1240="",$J1240=""),"",$J1240-$I1240)</f>
        <v/>
      </c>
      <c r="S1240" s="8">
        <f>IFERROR(IF(INDEX(Tbl_KPIMaster[Direction],MATCH($G1240,Tbl_KPIMaster[KPI],0))="Lower is Better",IF($J1240&lt;=$I1240,"Green",IF($J1240&lt;=$I1240+IF($I1240=0,$K1240,$I1240*$K1240),"Amber","Red")),IF($J1240&gt;=$I1240,"Green",IF($J1240&gt;=$I1240-IF($I1240=0,$K1240,$I1240*$K1240),"Amber","Red"))),"")</f>
        <v/>
      </c>
      <c r="T1240" s="10" t="inlineStr"/>
    </row>
    <row r="1241">
      <c r="A1241" s="3" t="n">
        <v>46191</v>
      </c>
      <c r="B1241" s="4">
        <f>IF($A1241="","",TEXT($A1241,"mmm-yyyy"))</f>
        <v/>
      </c>
      <c r="C1241" s="4">
        <f>IF($A1241="","","W"&amp;WEEKNUM($A1241,2))</f>
        <v/>
      </c>
      <c r="D1241" s="4">
        <f>IF($A1241="","",TEXT($A1241,"ddd"))</f>
        <v/>
      </c>
      <c r="E1241" s="4" t="inlineStr">
        <is>
          <t>Energy</t>
        </is>
      </c>
      <c r="F1241" s="4">
        <f>IFERROR(INDEX(Tbl_KPIMaster[Category],MATCH($G1241,Tbl_KPIMaster[KPI],0)),"")</f>
        <v/>
      </c>
      <c r="G1241" s="4" t="inlineStr">
        <is>
          <t>Energy Intensity (kWh/unit)</t>
        </is>
      </c>
      <c r="H1241" s="4">
        <f>IFERROR(INDEX(Tbl_KPIMaster[Unit],MATCH($G1241,Tbl_KPIMaster[KPI],0)),"")</f>
        <v/>
      </c>
      <c r="I1241" s="5">
        <f>IFERROR(INDEX(Tbl_KPIMaster[Maximum Target],MATCH($G1241,Tbl_KPIMaster[KPI],0)),"")</f>
        <v/>
      </c>
      <c r="J1241" s="5" t="n">
        <v>4.04</v>
      </c>
      <c r="K1241" s="4">
        <f>IFERROR(INDEX(Tbl_KPIMaster[Tolerance],MATCH($G1241,Tbl_KPIMaster[KPI],0)),"")</f>
        <v/>
      </c>
      <c r="L1241" s="4">
        <f>IFERROR(INDEX(Tbl_KPIMaster[Owner],MATCH($G1241,Tbl_KPIMaster[KPI],0)),"")</f>
        <v/>
      </c>
      <c r="M1241" s="6" t="inlineStr">
        <is>
          <t>Process improvement in progress</t>
        </is>
      </c>
      <c r="N1241" s="4" t="inlineStr">
        <is>
          <t>Procurement follow-up</t>
        </is>
      </c>
      <c r="O1241" s="4" t="inlineStr">
        <is>
          <t>Low</t>
        </is>
      </c>
      <c r="P1241" s="4" t="inlineStr">
        <is>
          <t>Closed</t>
        </is>
      </c>
      <c r="Q1241" s="5">
        <f>IFERROR(IF(INDEX(Tbl_KPIMaster[Direction],MATCH($G1241,Tbl_KPIMaster[KPI],0))="Lower is Better",IF($J1241=0,1,IF($I1241=0,0,$I1241/$J1241)),IF($I1241=0,1,$J1241/$I1241)),0)</f>
        <v/>
      </c>
      <c r="R1241" s="4">
        <f>IF(OR($I1241="",$J1241=""),"",$J1241-$I1241)</f>
        <v/>
      </c>
      <c r="S1241" s="4">
        <f>IFERROR(IF(INDEX(Tbl_KPIMaster[Direction],MATCH($G1241,Tbl_KPIMaster[KPI],0))="Lower is Better",IF($J1241&lt;=$I1241,"Green",IF($J1241&lt;=$I1241+IF($I1241=0,$K1241,$I1241*$K1241),"Amber","Red")),IF($J1241&gt;=$I1241,"Green",IF($J1241&gt;=$I1241-IF($I1241=0,$K1241,$I1241*$K1241),"Amber","Red"))),"")</f>
        <v/>
      </c>
      <c r="T1241" s="6" t="inlineStr"/>
    </row>
    <row r="1242">
      <c r="A1242" s="7" t="n">
        <v>46191</v>
      </c>
      <c r="B1242" s="8">
        <f>IF($A1242="","",TEXT($A1242,"mmm-yyyy"))</f>
        <v/>
      </c>
      <c r="C1242" s="8">
        <f>IF($A1242="","","W"&amp;WEEKNUM($A1242,2))</f>
        <v/>
      </c>
      <c r="D1242" s="8">
        <f>IF($A1242="","",TEXT($A1242,"ddd"))</f>
        <v/>
      </c>
      <c r="E1242" s="8" t="inlineStr">
        <is>
          <t>Energy</t>
        </is>
      </c>
      <c r="F1242" s="8">
        <f>IFERROR(INDEX(Tbl_KPIMaster[Category],MATCH($G1242,Tbl_KPIMaster[KPI],0)),"")</f>
        <v/>
      </c>
      <c r="G1242" s="8" t="inlineStr">
        <is>
          <t>Renewable Energy Share %</t>
        </is>
      </c>
      <c r="H1242" s="8">
        <f>IFERROR(INDEX(Tbl_KPIMaster[Unit],MATCH($G1242,Tbl_KPIMaster[KPI],0)),"")</f>
        <v/>
      </c>
      <c r="I1242" s="9">
        <f>IFERROR(INDEX(Tbl_KPIMaster[Maximum Target],MATCH($G1242,Tbl_KPIMaster[KPI],0)),"")</f>
        <v/>
      </c>
      <c r="J1242" s="9" t="n">
        <v>0.2601</v>
      </c>
      <c r="K1242" s="8">
        <f>IFERROR(INDEX(Tbl_KPIMaster[Tolerance],MATCH($G1242,Tbl_KPIMaster[KPI],0)),"")</f>
        <v/>
      </c>
      <c r="L1242" s="8">
        <f>IFERROR(INDEX(Tbl_KPIMaster[Owner],MATCH($G1242,Tbl_KPIMaster[KPI],0)),"")</f>
        <v/>
      </c>
      <c r="M1242" s="10" t="inlineStr">
        <is>
          <t>Weather impact</t>
        </is>
      </c>
      <c r="N1242" s="8" t="inlineStr">
        <is>
          <t>Management approval pending</t>
        </is>
      </c>
      <c r="O1242" s="8" t="inlineStr">
        <is>
          <t>Low</t>
        </is>
      </c>
      <c r="P1242" s="8" t="inlineStr">
        <is>
          <t>Closed</t>
        </is>
      </c>
      <c r="Q1242" s="9">
        <f>IFERROR(IF(INDEX(Tbl_KPIMaster[Direction],MATCH($G1242,Tbl_KPIMaster[KPI],0))="Lower is Better",IF($J1242=0,1,IF($I1242=0,0,$I1242/$J1242)),IF($I1242=0,1,$J1242/$I1242)),0)</f>
        <v/>
      </c>
      <c r="R1242" s="8">
        <f>IF(OR($I1242="",$J1242=""),"",$J1242-$I1242)</f>
        <v/>
      </c>
      <c r="S1242" s="8">
        <f>IFERROR(IF(INDEX(Tbl_KPIMaster[Direction],MATCH($G1242,Tbl_KPIMaster[KPI],0))="Lower is Better",IF($J1242&lt;=$I1242,"Green",IF($J1242&lt;=$I1242+IF($I1242=0,$K1242,$I1242*$K1242),"Amber","Red")),IF($J1242&gt;=$I1242,"Green",IF($J1242&gt;=$I1242-IF($I1242=0,$K1242,$I1242*$K1242),"Amber","Red"))),"")</f>
        <v/>
      </c>
      <c r="T1242" s="10" t="inlineStr"/>
    </row>
    <row r="1243">
      <c r="A1243" s="3" t="n">
        <v>46192</v>
      </c>
      <c r="B1243" s="4">
        <f>IF($A1243="","",TEXT($A1243,"mmm-yyyy"))</f>
        <v/>
      </c>
      <c r="C1243" s="4">
        <f>IF($A1243="","","W"&amp;WEEKNUM($A1243,2))</f>
        <v/>
      </c>
      <c r="D1243" s="4">
        <f>IF($A1243="","",TEXT($A1243,"ddd"))</f>
        <v/>
      </c>
      <c r="E1243" s="4" t="inlineStr">
        <is>
          <t>Safety</t>
        </is>
      </c>
      <c r="F1243" s="4">
        <f>IFERROR(INDEX(Tbl_KPIMaster[Category],MATCH($G1243,Tbl_KPIMaster[KPI],0)),"")</f>
        <v/>
      </c>
      <c r="G1243" s="4" t="inlineStr">
        <is>
          <t>Safety Incidents (LTI)</t>
        </is>
      </c>
      <c r="H1243" s="4">
        <f>IFERROR(INDEX(Tbl_KPIMaster[Unit],MATCH($G1243,Tbl_KPIMaster[KPI],0)),"")</f>
        <v/>
      </c>
      <c r="I1243" s="5">
        <f>IFERROR(INDEX(Tbl_KPIMaster[Maximum Target],MATCH($G1243,Tbl_KPIMaster[KPI],0)),"")</f>
        <v/>
      </c>
      <c r="J1243" s="5" t="n">
        <v>0</v>
      </c>
      <c r="K1243" s="4">
        <f>IFERROR(INDEX(Tbl_KPIMaster[Tolerance],MATCH($G1243,Tbl_KPIMaster[KPI],0)),"")</f>
        <v/>
      </c>
      <c r="L1243" s="4">
        <f>IFERROR(INDEX(Tbl_KPIMaster[Owner],MATCH($G1243,Tbl_KPIMaster[KPI],0)),"")</f>
        <v/>
      </c>
      <c r="M1243" s="6" t="inlineStr">
        <is>
          <t>Weather impact</t>
        </is>
      </c>
      <c r="N1243" s="4" t="inlineStr">
        <is>
          <t>Engineering support needed</t>
        </is>
      </c>
      <c r="O1243" s="4" t="inlineStr">
        <is>
          <t>High</t>
        </is>
      </c>
      <c r="P1243" s="4" t="inlineStr">
        <is>
          <t>Closed</t>
        </is>
      </c>
      <c r="Q1243" s="5">
        <f>IFERROR(IF(INDEX(Tbl_KPIMaster[Direction],MATCH($G1243,Tbl_KPIMaster[KPI],0))="Lower is Better",IF($J1243=0,1,IF($I1243=0,0,$I1243/$J1243)),IF($I1243=0,1,$J1243/$I1243)),0)</f>
        <v/>
      </c>
      <c r="R1243" s="4">
        <f>IF(OR($I1243="",$J1243=""),"",$J1243-$I1243)</f>
        <v/>
      </c>
      <c r="S1243" s="4">
        <f>IFERROR(IF(INDEX(Tbl_KPIMaster[Direction],MATCH($G1243,Tbl_KPIMaster[KPI],0))="Lower is Better",IF($J1243&lt;=$I1243,"Green",IF($J1243&lt;=$I1243+IF($I1243=0,$K1243,$I1243*$K1243),"Amber","Red")),IF($J1243&gt;=$I1243,"Green",IF($J1243&gt;=$I1243-IF($I1243=0,$K1243,$I1243*$K1243),"Amber","Red"))),"")</f>
        <v/>
      </c>
      <c r="T1243" s="6" t="inlineStr"/>
    </row>
    <row r="1244">
      <c r="A1244" s="7" t="n">
        <v>46192</v>
      </c>
      <c r="B1244" s="8">
        <f>IF($A1244="","",TEXT($A1244,"mmm-yyyy"))</f>
        <v/>
      </c>
      <c r="C1244" s="8">
        <f>IF($A1244="","","W"&amp;WEEKNUM($A1244,2))</f>
        <v/>
      </c>
      <c r="D1244" s="8">
        <f>IF($A1244="","",TEXT($A1244,"ddd"))</f>
        <v/>
      </c>
      <c r="E1244" s="8" t="inlineStr">
        <is>
          <t>Safety</t>
        </is>
      </c>
      <c r="F1244" s="8">
        <f>IFERROR(INDEX(Tbl_KPIMaster[Category],MATCH($G1244,Tbl_KPIMaster[KPI],0)),"")</f>
        <v/>
      </c>
      <c r="G1244" s="8" t="inlineStr">
        <is>
          <t>Near Miss Reports</t>
        </is>
      </c>
      <c r="H1244" s="8">
        <f>IFERROR(INDEX(Tbl_KPIMaster[Unit],MATCH($G1244,Tbl_KPIMaster[KPI],0)),"")</f>
        <v/>
      </c>
      <c r="I1244" s="9">
        <f>IFERROR(INDEX(Tbl_KPIMaster[Maximum Target],MATCH($G1244,Tbl_KPIMaster[KPI],0)),"")</f>
        <v/>
      </c>
      <c r="J1244" s="9" t="n">
        <v>2</v>
      </c>
      <c r="K1244" s="8">
        <f>IFERROR(INDEX(Tbl_KPIMaster[Tolerance],MATCH($G1244,Tbl_KPIMaster[KPI],0)),"")</f>
        <v/>
      </c>
      <c r="L1244" s="8">
        <f>IFERROR(INDEX(Tbl_KPIMaster[Owner],MATCH($G1244,Tbl_KPIMaster[KPI],0)),"")</f>
        <v/>
      </c>
      <c r="M1244" s="10" t="inlineStr">
        <is>
          <t>Manpower shortage</t>
        </is>
      </c>
      <c r="N1244" s="8" t="inlineStr"/>
      <c r="O1244" s="8" t="inlineStr">
        <is>
          <t>Low</t>
        </is>
      </c>
      <c r="P1244" s="8" t="inlineStr">
        <is>
          <t>Closed</t>
        </is>
      </c>
      <c r="Q1244" s="9">
        <f>IFERROR(IF(INDEX(Tbl_KPIMaster[Direction],MATCH($G1244,Tbl_KPIMaster[KPI],0))="Lower is Better",IF($J1244=0,1,IF($I1244=0,0,$I1244/$J1244)),IF($I1244=0,1,$J1244/$I1244)),0)</f>
        <v/>
      </c>
      <c r="R1244" s="8">
        <f>IF(OR($I1244="",$J1244=""),"",$J1244-$I1244)</f>
        <v/>
      </c>
      <c r="S1244" s="8">
        <f>IFERROR(IF(INDEX(Tbl_KPIMaster[Direction],MATCH($G1244,Tbl_KPIMaster[KPI],0))="Lower is Better",IF($J1244&lt;=$I1244,"Green",IF($J1244&lt;=$I1244+IF($I1244=0,$K1244,$I1244*$K1244),"Amber","Red")),IF($J1244&gt;=$I1244,"Green",IF($J1244&gt;=$I1244-IF($I1244=0,$K1244,$I1244*$K1244),"Amber","Red"))),"")</f>
        <v/>
      </c>
      <c r="T1244" s="10" t="inlineStr"/>
    </row>
    <row r="1245">
      <c r="A1245" s="3" t="n">
        <v>46192</v>
      </c>
      <c r="B1245" s="4">
        <f>IF($A1245="","",TEXT($A1245,"mmm-yyyy"))</f>
        <v/>
      </c>
      <c r="C1245" s="4">
        <f>IF($A1245="","","W"&amp;WEEKNUM($A1245,2))</f>
        <v/>
      </c>
      <c r="D1245" s="4">
        <f>IF($A1245="","",TEXT($A1245,"ddd"))</f>
        <v/>
      </c>
      <c r="E1245" s="4" t="inlineStr">
        <is>
          <t>Production</t>
        </is>
      </c>
      <c r="F1245" s="4">
        <f>IFERROR(INDEX(Tbl_KPIMaster[Category],MATCH($G1245,Tbl_KPIMaster[KPI],0)),"")</f>
        <v/>
      </c>
      <c r="G1245" s="4" t="inlineStr">
        <is>
          <t>Production Output</t>
        </is>
      </c>
      <c r="H1245" s="4">
        <f>IFERROR(INDEX(Tbl_KPIMaster[Unit],MATCH($G1245,Tbl_KPIMaster[KPI],0)),"")</f>
        <v/>
      </c>
      <c r="I1245" s="5">
        <f>IFERROR(INDEX(Tbl_KPIMaster[Maximum Target],MATCH($G1245,Tbl_KPIMaster[KPI],0)),"")</f>
        <v/>
      </c>
      <c r="J1245" s="5" t="n">
        <v>974.21</v>
      </c>
      <c r="K1245" s="4">
        <f>IFERROR(INDEX(Tbl_KPIMaster[Tolerance],MATCH($G1245,Tbl_KPIMaster[KPI],0)),"")</f>
        <v/>
      </c>
      <c r="L1245" s="4">
        <f>IFERROR(INDEX(Tbl_KPIMaster[Owner],MATCH($G1245,Tbl_KPIMaster[KPI],0)),"")</f>
        <v/>
      </c>
      <c r="M1245" s="6" t="inlineStr">
        <is>
          <t>Process improvement in progress</t>
        </is>
      </c>
      <c r="N1245" s="4" t="inlineStr">
        <is>
          <t>Management approval pending</t>
        </is>
      </c>
      <c r="O1245" s="4" t="inlineStr">
        <is>
          <t>Low</t>
        </is>
      </c>
      <c r="P1245" s="4" t="inlineStr">
        <is>
          <t>Closed</t>
        </is>
      </c>
      <c r="Q1245" s="5">
        <f>IFERROR(IF(INDEX(Tbl_KPIMaster[Direction],MATCH($G1245,Tbl_KPIMaster[KPI],0))="Lower is Better",IF($J1245=0,1,IF($I1245=0,0,$I1245/$J1245)),IF($I1245=0,1,$J1245/$I1245)),0)</f>
        <v/>
      </c>
      <c r="R1245" s="4">
        <f>IF(OR($I1245="",$J1245=""),"",$J1245-$I1245)</f>
        <v/>
      </c>
      <c r="S1245" s="4">
        <f>IFERROR(IF(INDEX(Tbl_KPIMaster[Direction],MATCH($G1245,Tbl_KPIMaster[KPI],0))="Lower is Better",IF($J1245&lt;=$I1245,"Green",IF($J1245&lt;=$I1245+IF($I1245=0,$K1245,$I1245*$K1245),"Amber","Red")),IF($J1245&gt;=$I1245,"Green",IF($J1245&gt;=$I1245-IF($I1245=0,$K1245,$I1245*$K1245),"Amber","Red"))),"")</f>
        <v/>
      </c>
      <c r="T1245" s="6" t="inlineStr"/>
    </row>
    <row r="1246">
      <c r="A1246" s="7" t="n">
        <v>46192</v>
      </c>
      <c r="B1246" s="8">
        <f>IF($A1246="","",TEXT($A1246,"mmm-yyyy"))</f>
        <v/>
      </c>
      <c r="C1246" s="8">
        <f>IF($A1246="","","W"&amp;WEEKNUM($A1246,2))</f>
        <v/>
      </c>
      <c r="D1246" s="8">
        <f>IF($A1246="","",TEXT($A1246,"ddd"))</f>
        <v/>
      </c>
      <c r="E1246" s="8" t="inlineStr">
        <is>
          <t>Production</t>
        </is>
      </c>
      <c r="F1246" s="8">
        <f>IFERROR(INDEX(Tbl_KPIMaster[Category],MATCH($G1246,Tbl_KPIMaster[KPI],0)),"")</f>
        <v/>
      </c>
      <c r="G1246" s="8" t="inlineStr">
        <is>
          <t>OEE %</t>
        </is>
      </c>
      <c r="H1246" s="8">
        <f>IFERROR(INDEX(Tbl_KPIMaster[Unit],MATCH($G1246,Tbl_KPIMaster[KPI],0)),"")</f>
        <v/>
      </c>
      <c r="I1246" s="9">
        <f>IFERROR(INDEX(Tbl_KPIMaster[Maximum Target],MATCH($G1246,Tbl_KPIMaster[KPI],0)),"")</f>
        <v/>
      </c>
      <c r="J1246" s="9" t="n">
        <v>1.0503</v>
      </c>
      <c r="K1246" s="8">
        <f>IFERROR(INDEX(Tbl_KPIMaster[Tolerance],MATCH($G1246,Tbl_KPIMaster[KPI],0)),"")</f>
        <v/>
      </c>
      <c r="L1246" s="8">
        <f>IFERROR(INDEX(Tbl_KPIMaster[Owner],MATCH($G1246,Tbl_KPIMaster[KPI],0)),"")</f>
        <v/>
      </c>
      <c r="M1246" s="10" t="inlineStr">
        <is>
          <t>New operator training effect</t>
        </is>
      </c>
      <c r="N1246" s="8" t="inlineStr"/>
      <c r="O1246" s="8" t="inlineStr">
        <is>
          <t>Low</t>
        </is>
      </c>
      <c r="P1246" s="8" t="inlineStr">
        <is>
          <t>In Progress</t>
        </is>
      </c>
      <c r="Q1246" s="9">
        <f>IFERROR(IF(INDEX(Tbl_KPIMaster[Direction],MATCH($G1246,Tbl_KPIMaster[KPI],0))="Lower is Better",IF($J1246=0,1,IF($I1246=0,0,$I1246/$J1246)),IF($I1246=0,1,$J1246/$I1246)),0)</f>
        <v/>
      </c>
      <c r="R1246" s="8">
        <f>IF(OR($I1246="",$J1246=""),"",$J1246-$I1246)</f>
        <v/>
      </c>
      <c r="S1246" s="8">
        <f>IFERROR(IF(INDEX(Tbl_KPIMaster[Direction],MATCH($G1246,Tbl_KPIMaster[KPI],0))="Lower is Better",IF($J1246&lt;=$I1246,"Green",IF($J1246&lt;=$I1246+IF($I1246=0,$K1246,$I1246*$K1246),"Amber","Red")),IF($J1246&gt;=$I1246,"Green",IF($J1246&gt;=$I1246-IF($I1246=0,$K1246,$I1246*$K1246),"Amber","Red"))),"")</f>
        <v/>
      </c>
      <c r="T1246" s="10" t="inlineStr"/>
    </row>
    <row r="1247">
      <c r="A1247" s="3" t="n">
        <v>46192</v>
      </c>
      <c r="B1247" s="4">
        <f>IF($A1247="","",TEXT($A1247,"mmm-yyyy"))</f>
        <v/>
      </c>
      <c r="C1247" s="4">
        <f>IF($A1247="","","W"&amp;WEEKNUM($A1247,2))</f>
        <v/>
      </c>
      <c r="D1247" s="4">
        <f>IF($A1247="","",TEXT($A1247,"ddd"))</f>
        <v/>
      </c>
      <c r="E1247" s="4" t="inlineStr">
        <is>
          <t>Quality</t>
        </is>
      </c>
      <c r="F1247" s="4">
        <f>IFERROR(INDEX(Tbl_KPIMaster[Category],MATCH($G1247,Tbl_KPIMaster[KPI],0)),"")</f>
        <v/>
      </c>
      <c r="G1247" s="4" t="inlineStr">
        <is>
          <t>Defect Rate %</t>
        </is>
      </c>
      <c r="H1247" s="4">
        <f>IFERROR(INDEX(Tbl_KPIMaster[Unit],MATCH($G1247,Tbl_KPIMaster[KPI],0)),"")</f>
        <v/>
      </c>
      <c r="I1247" s="5">
        <f>IFERROR(INDEX(Tbl_KPIMaster[Maximum Target],MATCH($G1247,Tbl_KPIMaster[KPI],0)),"")</f>
        <v/>
      </c>
      <c r="J1247" s="5" t="n">
        <v>1.0599</v>
      </c>
      <c r="K1247" s="4">
        <f>IFERROR(INDEX(Tbl_KPIMaster[Tolerance],MATCH($G1247,Tbl_KPIMaster[KPI],0)),"")</f>
        <v/>
      </c>
      <c r="L1247" s="4">
        <f>IFERROR(INDEX(Tbl_KPIMaster[Owner],MATCH($G1247,Tbl_KPIMaster[KPI],0)),"")</f>
        <v/>
      </c>
      <c r="M1247" s="6" t="inlineStr"/>
      <c r="N1247" s="4" t="inlineStr">
        <is>
          <t>Procurement follow-up</t>
        </is>
      </c>
      <c r="O1247" s="4" t="inlineStr">
        <is>
          <t>Low</t>
        </is>
      </c>
      <c r="P1247" s="4" t="inlineStr">
        <is>
          <t>Closed</t>
        </is>
      </c>
      <c r="Q1247" s="5">
        <f>IFERROR(IF(INDEX(Tbl_KPIMaster[Direction],MATCH($G1247,Tbl_KPIMaster[KPI],0))="Lower is Better",IF($J1247=0,1,IF($I1247=0,0,$I1247/$J1247)),IF($I1247=0,1,$J1247/$I1247)),0)</f>
        <v/>
      </c>
      <c r="R1247" s="4">
        <f>IF(OR($I1247="",$J1247=""),"",$J1247-$I1247)</f>
        <v/>
      </c>
      <c r="S1247" s="4">
        <f>IFERROR(IF(INDEX(Tbl_KPIMaster[Direction],MATCH($G1247,Tbl_KPIMaster[KPI],0))="Lower is Better",IF($J1247&lt;=$I1247,"Green",IF($J1247&lt;=$I1247+IF($I1247=0,$K1247,$I1247*$K1247),"Amber","Red")),IF($J1247&gt;=$I1247,"Green",IF($J1247&gt;=$I1247-IF($I1247=0,$K1247,$I1247*$K1247),"Amber","Red"))),"")</f>
        <v/>
      </c>
      <c r="T1247" s="6" t="inlineStr"/>
    </row>
    <row r="1248">
      <c r="A1248" s="7" t="n">
        <v>46192</v>
      </c>
      <c r="B1248" s="8">
        <f>IF($A1248="","",TEXT($A1248,"mmm-yyyy"))</f>
        <v/>
      </c>
      <c r="C1248" s="8">
        <f>IF($A1248="","","W"&amp;WEEKNUM($A1248,2))</f>
        <v/>
      </c>
      <c r="D1248" s="8">
        <f>IF($A1248="","",TEXT($A1248,"ddd"))</f>
        <v/>
      </c>
      <c r="E1248" s="8" t="inlineStr">
        <is>
          <t>Quality</t>
        </is>
      </c>
      <c r="F1248" s="8">
        <f>IFERROR(INDEX(Tbl_KPIMaster[Category],MATCH($G1248,Tbl_KPIMaster[KPI],0)),"")</f>
        <v/>
      </c>
      <c r="G1248" s="8" t="inlineStr">
        <is>
          <t>Customer Complaints</t>
        </is>
      </c>
      <c r="H1248" s="8">
        <f>IFERROR(INDEX(Tbl_KPIMaster[Unit],MATCH($G1248,Tbl_KPIMaster[KPI],0)),"")</f>
        <v/>
      </c>
      <c r="I1248" s="9">
        <f>IFERROR(INDEX(Tbl_KPIMaster[Maximum Target],MATCH($G1248,Tbl_KPIMaster[KPI],0)),"")</f>
        <v/>
      </c>
      <c r="J1248" s="9" t="n">
        <v>1</v>
      </c>
      <c r="K1248" s="8">
        <f>IFERROR(INDEX(Tbl_KPIMaster[Tolerance],MATCH($G1248,Tbl_KPIMaster[KPI],0)),"")</f>
        <v/>
      </c>
      <c r="L1248" s="8">
        <f>IFERROR(INDEX(Tbl_KPIMaster[Owner],MATCH($G1248,Tbl_KPIMaster[KPI],0)),"")</f>
        <v/>
      </c>
      <c r="M1248" s="10" t="inlineStr">
        <is>
          <t>Manpower shortage</t>
        </is>
      </c>
      <c r="N1248" s="8" t="inlineStr">
        <is>
          <t>Engineering support needed</t>
        </is>
      </c>
      <c r="O1248" s="8" t="inlineStr">
        <is>
          <t>Low</t>
        </is>
      </c>
      <c r="P1248" s="8" t="inlineStr">
        <is>
          <t>Closed</t>
        </is>
      </c>
      <c r="Q1248" s="9">
        <f>IFERROR(IF(INDEX(Tbl_KPIMaster[Direction],MATCH($G1248,Tbl_KPIMaster[KPI],0))="Lower is Better",IF($J1248=0,1,IF($I1248=0,0,$I1248/$J1248)),IF($I1248=0,1,$J1248/$I1248)),0)</f>
        <v/>
      </c>
      <c r="R1248" s="8">
        <f>IF(OR($I1248="",$J1248=""),"",$J1248-$I1248)</f>
        <v/>
      </c>
      <c r="S1248" s="8">
        <f>IFERROR(IF(INDEX(Tbl_KPIMaster[Direction],MATCH($G1248,Tbl_KPIMaster[KPI],0))="Lower is Better",IF($J1248&lt;=$I1248,"Green",IF($J1248&lt;=$I1248+IF($I1248=0,$K1248,$I1248*$K1248),"Amber","Red")),IF($J1248&gt;=$I1248,"Green",IF($J1248&gt;=$I1248-IF($I1248=0,$K1248,$I1248*$K1248),"Amber","Red"))),"")</f>
        <v/>
      </c>
      <c r="T1248" s="10" t="inlineStr"/>
    </row>
    <row r="1249">
      <c r="A1249" s="3" t="n">
        <v>46192</v>
      </c>
      <c r="B1249" s="4">
        <f>IF($A1249="","",TEXT($A1249,"mmm-yyyy"))</f>
        <v/>
      </c>
      <c r="C1249" s="4">
        <f>IF($A1249="","","W"&amp;WEEKNUM($A1249,2))</f>
        <v/>
      </c>
      <c r="D1249" s="4">
        <f>IF($A1249="","",TEXT($A1249,"ddd"))</f>
        <v/>
      </c>
      <c r="E1249" s="4" t="inlineStr">
        <is>
          <t>Maintenance</t>
        </is>
      </c>
      <c r="F1249" s="4">
        <f>IFERROR(INDEX(Tbl_KPIMaster[Category],MATCH($G1249,Tbl_KPIMaster[KPI],0)),"")</f>
        <v/>
      </c>
      <c r="G1249" s="4" t="inlineStr">
        <is>
          <t>Unplanned Downtime</t>
        </is>
      </c>
      <c r="H1249" s="4">
        <f>IFERROR(INDEX(Tbl_KPIMaster[Unit],MATCH($G1249,Tbl_KPIMaster[KPI],0)),"")</f>
        <v/>
      </c>
      <c r="I1249" s="5">
        <f>IFERROR(INDEX(Tbl_KPIMaster[Maximum Target],MATCH($G1249,Tbl_KPIMaster[KPI],0)),"")</f>
        <v/>
      </c>
      <c r="J1249" s="5" t="n">
        <v>1</v>
      </c>
      <c r="K1249" s="4">
        <f>IFERROR(INDEX(Tbl_KPIMaster[Tolerance],MATCH($G1249,Tbl_KPIMaster[KPI],0)),"")</f>
        <v/>
      </c>
      <c r="L1249" s="4">
        <f>IFERROR(INDEX(Tbl_KPIMaster[Owner],MATCH($G1249,Tbl_KPIMaster[KPI],0)),"")</f>
        <v/>
      </c>
      <c r="M1249" s="6" t="inlineStr">
        <is>
          <t>Line changeover impact</t>
        </is>
      </c>
      <c r="N1249" s="4" t="inlineStr">
        <is>
          <t>Management approval pending</t>
        </is>
      </c>
      <c r="O1249" s="4" t="inlineStr">
        <is>
          <t>Medium</t>
        </is>
      </c>
      <c r="P1249" s="4" t="inlineStr">
        <is>
          <t>In Progress</t>
        </is>
      </c>
      <c r="Q1249" s="5">
        <f>IFERROR(IF(INDEX(Tbl_KPIMaster[Direction],MATCH($G1249,Tbl_KPIMaster[KPI],0))="Lower is Better",IF($J1249=0,1,IF($I1249=0,0,$I1249/$J1249)),IF($I1249=0,1,$J1249/$I1249)),0)</f>
        <v/>
      </c>
      <c r="R1249" s="4">
        <f>IF(OR($I1249="",$J1249=""),"",$J1249-$I1249)</f>
        <v/>
      </c>
      <c r="S1249" s="4">
        <f>IFERROR(IF(INDEX(Tbl_KPIMaster[Direction],MATCH($G1249,Tbl_KPIMaster[KPI],0))="Lower is Better",IF($J1249&lt;=$I1249,"Green",IF($J1249&lt;=$I1249+IF($I1249=0,$K1249,$I1249*$K1249),"Amber","Red")),IF($J1249&gt;=$I1249,"Green",IF($J1249&gt;=$I1249-IF($I1249=0,$K1249,$I1249*$K1249),"Amber","Red"))),"")</f>
        <v/>
      </c>
      <c r="T1249" s="6" t="inlineStr"/>
    </row>
    <row r="1250">
      <c r="A1250" s="7" t="n">
        <v>46192</v>
      </c>
      <c r="B1250" s="8">
        <f>IF($A1250="","",TEXT($A1250,"mmm-yyyy"))</f>
        <v/>
      </c>
      <c r="C1250" s="8">
        <f>IF($A1250="","","W"&amp;WEEKNUM($A1250,2))</f>
        <v/>
      </c>
      <c r="D1250" s="8">
        <f>IF($A1250="","",TEXT($A1250,"ddd"))</f>
        <v/>
      </c>
      <c r="E1250" s="8" t="inlineStr">
        <is>
          <t>Maintenance</t>
        </is>
      </c>
      <c r="F1250" s="8">
        <f>IFERROR(INDEX(Tbl_KPIMaster[Category],MATCH($G1250,Tbl_KPIMaster[KPI],0)),"")</f>
        <v/>
      </c>
      <c r="G1250" s="8" t="inlineStr">
        <is>
          <t>PM Compliance %</t>
        </is>
      </c>
      <c r="H1250" s="8">
        <f>IFERROR(INDEX(Tbl_KPIMaster[Unit],MATCH($G1250,Tbl_KPIMaster[KPI],0)),"")</f>
        <v/>
      </c>
      <c r="I1250" s="9">
        <f>IFERROR(INDEX(Tbl_KPIMaster[Maximum Target],MATCH($G1250,Tbl_KPIMaster[KPI],0)),"")</f>
        <v/>
      </c>
      <c r="J1250" s="9" t="n">
        <v>0.9886</v>
      </c>
      <c r="K1250" s="8">
        <f>IFERROR(INDEX(Tbl_KPIMaster[Tolerance],MATCH($G1250,Tbl_KPIMaster[KPI],0)),"")</f>
        <v/>
      </c>
      <c r="L1250" s="8">
        <f>IFERROR(INDEX(Tbl_KPIMaster[Owner],MATCH($G1250,Tbl_KPIMaster[KPI],0)),"")</f>
        <v/>
      </c>
      <c r="M1250" s="10" t="inlineStr">
        <is>
          <t>Equipment breakdown</t>
        </is>
      </c>
      <c r="N1250" s="8" t="inlineStr"/>
      <c r="O1250" s="8" t="inlineStr">
        <is>
          <t>Low</t>
        </is>
      </c>
      <c r="P1250" s="8" t="inlineStr">
        <is>
          <t>Closed</t>
        </is>
      </c>
      <c r="Q1250" s="9">
        <f>IFERROR(IF(INDEX(Tbl_KPIMaster[Direction],MATCH($G1250,Tbl_KPIMaster[KPI],0))="Lower is Better",IF($J1250=0,1,IF($I1250=0,0,$I1250/$J1250)),IF($I1250=0,1,$J1250/$I1250)),0)</f>
        <v/>
      </c>
      <c r="R1250" s="8">
        <f>IF(OR($I1250="",$J1250=""),"",$J1250-$I1250)</f>
        <v/>
      </c>
      <c r="S1250" s="8">
        <f>IFERROR(IF(INDEX(Tbl_KPIMaster[Direction],MATCH($G1250,Tbl_KPIMaster[KPI],0))="Lower is Better",IF($J1250&lt;=$I1250,"Green",IF($J1250&lt;=$I1250+IF($I1250=0,$K1250,$I1250*$K1250),"Amber","Red")),IF($J1250&gt;=$I1250,"Green",IF($J1250&gt;=$I1250-IF($I1250=0,$K1250,$I1250*$K1250),"Amber","Red"))),"")</f>
        <v/>
      </c>
      <c r="T1250" s="10" t="inlineStr"/>
    </row>
    <row r="1251">
      <c r="A1251" s="3" t="n">
        <v>46192</v>
      </c>
      <c r="B1251" s="4">
        <f>IF($A1251="","",TEXT($A1251,"mmm-yyyy"))</f>
        <v/>
      </c>
      <c r="C1251" s="4">
        <f>IF($A1251="","","W"&amp;WEEKNUM($A1251,2))</f>
        <v/>
      </c>
      <c r="D1251" s="4">
        <f>IF($A1251="","",TEXT($A1251,"ddd"))</f>
        <v/>
      </c>
      <c r="E1251" s="4" t="inlineStr">
        <is>
          <t>Utilities</t>
        </is>
      </c>
      <c r="F1251" s="4">
        <f>IFERROR(INDEX(Tbl_KPIMaster[Category],MATCH($G1251,Tbl_KPIMaster[KPI],0)),"")</f>
        <v/>
      </c>
      <c r="G1251" s="4" t="inlineStr">
        <is>
          <t>Power Consumption</t>
        </is>
      </c>
      <c r="H1251" s="4">
        <f>IFERROR(INDEX(Tbl_KPIMaster[Unit],MATCH($G1251,Tbl_KPIMaster[KPI],0)),"")</f>
        <v/>
      </c>
      <c r="I1251" s="5">
        <f>IFERROR(INDEX(Tbl_KPIMaster[Maximum Target],MATCH($G1251,Tbl_KPIMaster[KPI],0)),"")</f>
        <v/>
      </c>
      <c r="J1251" s="5" t="n">
        <v>4001.53</v>
      </c>
      <c r="K1251" s="4">
        <f>IFERROR(INDEX(Tbl_KPIMaster[Tolerance],MATCH($G1251,Tbl_KPIMaster[KPI],0)),"")</f>
        <v/>
      </c>
      <c r="L1251" s="4">
        <f>IFERROR(INDEX(Tbl_KPIMaster[Owner],MATCH($G1251,Tbl_KPIMaster[KPI],0)),"")</f>
        <v/>
      </c>
      <c r="M1251" s="6" t="inlineStr">
        <is>
          <t>Awaiting spares</t>
        </is>
      </c>
      <c r="N1251" s="4" t="inlineStr">
        <is>
          <t>Management approval pending</t>
        </is>
      </c>
      <c r="O1251" s="4" t="inlineStr">
        <is>
          <t>Medium</t>
        </is>
      </c>
      <c r="P1251" s="4" t="inlineStr">
        <is>
          <t>Open</t>
        </is>
      </c>
      <c r="Q1251" s="5">
        <f>IFERROR(IF(INDEX(Tbl_KPIMaster[Direction],MATCH($G1251,Tbl_KPIMaster[KPI],0))="Lower is Better",IF($J1251=0,1,IF($I1251=0,0,$I1251/$J1251)),IF($I1251=0,1,$J1251/$I1251)),0)</f>
        <v/>
      </c>
      <c r="R1251" s="4">
        <f>IF(OR($I1251="",$J1251=""),"",$J1251-$I1251)</f>
        <v/>
      </c>
      <c r="S1251" s="4">
        <f>IFERROR(IF(INDEX(Tbl_KPIMaster[Direction],MATCH($G1251,Tbl_KPIMaster[KPI],0))="Lower is Better",IF($J1251&lt;=$I1251,"Green",IF($J1251&lt;=$I1251+IF($I1251=0,$K1251,$I1251*$K1251),"Amber","Red")),IF($J1251&gt;=$I1251,"Green",IF($J1251&gt;=$I1251-IF($I1251=0,$K1251,$I1251*$K1251),"Amber","Red"))),"")</f>
        <v/>
      </c>
      <c r="T1251" s="6" t="inlineStr"/>
    </row>
    <row r="1252">
      <c r="A1252" s="7" t="n">
        <v>46192</v>
      </c>
      <c r="B1252" s="8">
        <f>IF($A1252="","",TEXT($A1252,"mmm-yyyy"))</f>
        <v/>
      </c>
      <c r="C1252" s="8">
        <f>IF($A1252="","","W"&amp;WEEKNUM($A1252,2))</f>
        <v/>
      </c>
      <c r="D1252" s="8">
        <f>IF($A1252="","",TEXT($A1252,"ddd"))</f>
        <v/>
      </c>
      <c r="E1252" s="8" t="inlineStr">
        <is>
          <t>Utilities</t>
        </is>
      </c>
      <c r="F1252" s="8">
        <f>IFERROR(INDEX(Tbl_KPIMaster[Category],MATCH($G1252,Tbl_KPIMaster[KPI],0)),"")</f>
        <v/>
      </c>
      <c r="G1252" s="8" t="inlineStr">
        <is>
          <t>Water Consumption</t>
        </is>
      </c>
      <c r="H1252" s="8">
        <f>IFERROR(INDEX(Tbl_KPIMaster[Unit],MATCH($G1252,Tbl_KPIMaster[KPI],0)),"")</f>
        <v/>
      </c>
      <c r="I1252" s="9">
        <f>IFERROR(INDEX(Tbl_KPIMaster[Maximum Target],MATCH($G1252,Tbl_KPIMaster[KPI],0)),"")</f>
        <v/>
      </c>
      <c r="J1252" s="9" t="n">
        <v>59.46</v>
      </c>
      <c r="K1252" s="8">
        <f>IFERROR(INDEX(Tbl_KPIMaster[Tolerance],MATCH($G1252,Tbl_KPIMaster[KPI],0)),"")</f>
        <v/>
      </c>
      <c r="L1252" s="8">
        <f>IFERROR(INDEX(Tbl_KPIMaster[Owner],MATCH($G1252,Tbl_KPIMaster[KPI],0)),"")</f>
        <v/>
      </c>
      <c r="M1252" s="10" t="inlineStr">
        <is>
          <t>Vendor delay</t>
        </is>
      </c>
      <c r="N1252" s="8" t="inlineStr"/>
      <c r="O1252" s="8" t="inlineStr">
        <is>
          <t>Low</t>
        </is>
      </c>
      <c r="P1252" s="8" t="inlineStr">
        <is>
          <t>Open</t>
        </is>
      </c>
      <c r="Q1252" s="9">
        <f>IFERROR(IF(INDEX(Tbl_KPIMaster[Direction],MATCH($G1252,Tbl_KPIMaster[KPI],0))="Lower is Better",IF($J1252=0,1,IF($I1252=0,0,$I1252/$J1252)),IF($I1252=0,1,$J1252/$I1252)),0)</f>
        <v/>
      </c>
      <c r="R1252" s="8">
        <f>IF(OR($I1252="",$J1252=""),"",$J1252-$I1252)</f>
        <v/>
      </c>
      <c r="S1252" s="8">
        <f>IFERROR(IF(INDEX(Tbl_KPIMaster[Direction],MATCH($G1252,Tbl_KPIMaster[KPI],0))="Lower is Better",IF($J1252&lt;=$I1252,"Green",IF($J1252&lt;=$I1252+IF($I1252=0,$K1252,$I1252*$K1252),"Amber","Red")),IF($J1252&gt;=$I1252,"Green",IF($J1252&gt;=$I1252-IF($I1252=0,$K1252,$I1252*$K1252),"Amber","Red"))),"")</f>
        <v/>
      </c>
      <c r="T1252" s="10" t="inlineStr"/>
    </row>
    <row r="1253">
      <c r="A1253" s="3" t="n">
        <v>46192</v>
      </c>
      <c r="B1253" s="4">
        <f>IF($A1253="","",TEXT($A1253,"mmm-yyyy"))</f>
        <v/>
      </c>
      <c r="C1253" s="4">
        <f>IF($A1253="","","W"&amp;WEEKNUM($A1253,2))</f>
        <v/>
      </c>
      <c r="D1253" s="4">
        <f>IF($A1253="","",TEXT($A1253,"ddd"))</f>
        <v/>
      </c>
      <c r="E1253" s="4" t="inlineStr">
        <is>
          <t>Warehouse</t>
        </is>
      </c>
      <c r="F1253" s="4">
        <f>IFERROR(INDEX(Tbl_KPIMaster[Category],MATCH($G1253,Tbl_KPIMaster[KPI],0)),"")</f>
        <v/>
      </c>
      <c r="G1253" s="4" t="inlineStr">
        <is>
          <t>On-Time Dispatch %</t>
        </is>
      </c>
      <c r="H1253" s="4">
        <f>IFERROR(INDEX(Tbl_KPIMaster[Unit],MATCH($G1253,Tbl_KPIMaster[KPI],0)),"")</f>
        <v/>
      </c>
      <c r="I1253" s="5">
        <f>IFERROR(INDEX(Tbl_KPIMaster[Maximum Target],MATCH($G1253,Tbl_KPIMaster[KPI],0)),"")</f>
        <v/>
      </c>
      <c r="J1253" s="5" t="n">
        <v>0.919</v>
      </c>
      <c r="K1253" s="4">
        <f>IFERROR(INDEX(Tbl_KPIMaster[Tolerance],MATCH($G1253,Tbl_KPIMaster[KPI],0)),"")</f>
        <v/>
      </c>
      <c r="L1253" s="4">
        <f>IFERROR(INDEX(Tbl_KPIMaster[Owner],MATCH($G1253,Tbl_KPIMaster[KPI],0)),"")</f>
        <v/>
      </c>
      <c r="M1253" s="6" t="inlineStr">
        <is>
          <t>Awaiting spares</t>
        </is>
      </c>
      <c r="N1253" s="4" t="inlineStr">
        <is>
          <t>Management approval pending</t>
        </is>
      </c>
      <c r="O1253" s="4" t="inlineStr">
        <is>
          <t>Low</t>
        </is>
      </c>
      <c r="P1253" s="4" t="inlineStr">
        <is>
          <t>Closed</t>
        </is>
      </c>
      <c r="Q1253" s="5">
        <f>IFERROR(IF(INDEX(Tbl_KPIMaster[Direction],MATCH($G1253,Tbl_KPIMaster[KPI],0))="Lower is Better",IF($J1253=0,1,IF($I1253=0,0,$I1253/$J1253)),IF($I1253=0,1,$J1253/$I1253)),0)</f>
        <v/>
      </c>
      <c r="R1253" s="4">
        <f>IF(OR($I1253="",$J1253=""),"",$J1253-$I1253)</f>
        <v/>
      </c>
      <c r="S1253" s="4">
        <f>IFERROR(IF(INDEX(Tbl_KPIMaster[Direction],MATCH($G1253,Tbl_KPIMaster[KPI],0))="Lower is Better",IF($J1253&lt;=$I1253,"Green",IF($J1253&lt;=$I1253+IF($I1253=0,$K1253,$I1253*$K1253),"Amber","Red")),IF($J1253&gt;=$I1253,"Green",IF($J1253&gt;=$I1253-IF($I1253=0,$K1253,$I1253*$K1253),"Amber","Red"))),"")</f>
        <v/>
      </c>
      <c r="T1253" s="6" t="inlineStr"/>
    </row>
    <row r="1254">
      <c r="A1254" s="7" t="n">
        <v>46192</v>
      </c>
      <c r="B1254" s="8">
        <f>IF($A1254="","",TEXT($A1254,"mmm-yyyy"))</f>
        <v/>
      </c>
      <c r="C1254" s="8">
        <f>IF($A1254="","","W"&amp;WEEKNUM($A1254,2))</f>
        <v/>
      </c>
      <c r="D1254" s="8">
        <f>IF($A1254="","",TEXT($A1254,"ddd"))</f>
        <v/>
      </c>
      <c r="E1254" s="8" t="inlineStr">
        <is>
          <t>Warehouse</t>
        </is>
      </c>
      <c r="F1254" s="8">
        <f>IFERROR(INDEX(Tbl_KPIMaster[Category],MATCH($G1254,Tbl_KPIMaster[KPI],0)),"")</f>
        <v/>
      </c>
      <c r="G1254" s="8" t="inlineStr">
        <is>
          <t>Inventory Accuracy %</t>
        </is>
      </c>
      <c r="H1254" s="8">
        <f>IFERROR(INDEX(Tbl_KPIMaster[Unit],MATCH($G1254,Tbl_KPIMaster[KPI],0)),"")</f>
        <v/>
      </c>
      <c r="I1254" s="9">
        <f>IFERROR(INDEX(Tbl_KPIMaster[Maximum Target],MATCH($G1254,Tbl_KPIMaster[KPI],0)),"")</f>
        <v/>
      </c>
      <c r="J1254" s="9" t="n">
        <v>0.858</v>
      </c>
      <c r="K1254" s="8">
        <f>IFERROR(INDEX(Tbl_KPIMaster[Tolerance],MATCH($G1254,Tbl_KPIMaster[KPI],0)),"")</f>
        <v/>
      </c>
      <c r="L1254" s="8">
        <f>IFERROR(INDEX(Tbl_KPIMaster[Owner],MATCH($G1254,Tbl_KPIMaster[KPI],0)),"")</f>
        <v/>
      </c>
      <c r="M1254" s="10" t="inlineStr">
        <is>
          <t>Equipment breakdown</t>
        </is>
      </c>
      <c r="N1254" s="8" t="inlineStr">
        <is>
          <t>Procurement follow-up</t>
        </is>
      </c>
      <c r="O1254" s="8" t="inlineStr">
        <is>
          <t>Low</t>
        </is>
      </c>
      <c r="P1254" s="8" t="inlineStr">
        <is>
          <t>Closed</t>
        </is>
      </c>
      <c r="Q1254" s="9">
        <f>IFERROR(IF(INDEX(Tbl_KPIMaster[Direction],MATCH($G1254,Tbl_KPIMaster[KPI],0))="Lower is Better",IF($J1254=0,1,IF($I1254=0,0,$I1254/$J1254)),IF($I1254=0,1,$J1254/$I1254)),0)</f>
        <v/>
      </c>
      <c r="R1254" s="8">
        <f>IF(OR($I1254="",$J1254=""),"",$J1254-$I1254)</f>
        <v/>
      </c>
      <c r="S1254" s="8">
        <f>IFERROR(IF(INDEX(Tbl_KPIMaster[Direction],MATCH($G1254,Tbl_KPIMaster[KPI],0))="Lower is Better",IF($J1254&lt;=$I1254,"Green",IF($J1254&lt;=$I1254+IF($I1254=0,$K1254,$I1254*$K1254),"Amber","Red")),IF($J1254&gt;=$I1254,"Green",IF($J1254&gt;=$I1254-IF($I1254=0,$K1254,$I1254*$K1254),"Amber","Red"))),"")</f>
        <v/>
      </c>
      <c r="T1254" s="10" t="inlineStr"/>
    </row>
    <row r="1255">
      <c r="A1255" s="3" t="n">
        <v>46192</v>
      </c>
      <c r="B1255" s="4">
        <f>IF($A1255="","",TEXT($A1255,"mmm-yyyy"))</f>
        <v/>
      </c>
      <c r="C1255" s="4">
        <f>IF($A1255="","","W"&amp;WEEKNUM($A1255,2))</f>
        <v/>
      </c>
      <c r="D1255" s="4">
        <f>IF($A1255="","",TEXT($A1255,"ddd"))</f>
        <v/>
      </c>
      <c r="E1255" s="4" t="inlineStr">
        <is>
          <t>HR</t>
        </is>
      </c>
      <c r="F1255" s="4">
        <f>IFERROR(INDEX(Tbl_KPIMaster[Category],MATCH($G1255,Tbl_KPIMaster[KPI],0)),"")</f>
        <v/>
      </c>
      <c r="G1255" s="4" t="inlineStr">
        <is>
          <t>Absenteeism %</t>
        </is>
      </c>
      <c r="H1255" s="4">
        <f>IFERROR(INDEX(Tbl_KPIMaster[Unit],MATCH($G1255,Tbl_KPIMaster[KPI],0)),"")</f>
        <v/>
      </c>
      <c r="I1255" s="5">
        <f>IFERROR(INDEX(Tbl_KPIMaster[Maximum Target],MATCH($G1255,Tbl_KPIMaster[KPI],0)),"")</f>
        <v/>
      </c>
      <c r="J1255" s="5" t="n">
        <v>0</v>
      </c>
      <c r="K1255" s="4">
        <f>IFERROR(INDEX(Tbl_KPIMaster[Tolerance],MATCH($G1255,Tbl_KPIMaster[KPI],0)),"")</f>
        <v/>
      </c>
      <c r="L1255" s="4">
        <f>IFERROR(INDEX(Tbl_KPIMaster[Owner],MATCH($G1255,Tbl_KPIMaster[KPI],0)),"")</f>
        <v/>
      </c>
      <c r="M1255" s="6" t="inlineStr">
        <is>
          <t>Manpower shortage</t>
        </is>
      </c>
      <c r="N1255" s="4" t="inlineStr">
        <is>
          <t>Procurement follow-up</t>
        </is>
      </c>
      <c r="O1255" s="4" t="inlineStr">
        <is>
          <t>Medium</t>
        </is>
      </c>
      <c r="P1255" s="4" t="inlineStr">
        <is>
          <t>In Progress</t>
        </is>
      </c>
      <c r="Q1255" s="5">
        <f>IFERROR(IF(INDEX(Tbl_KPIMaster[Direction],MATCH($G1255,Tbl_KPIMaster[KPI],0))="Lower is Better",IF($J1255=0,1,IF($I1255=0,0,$I1255/$J1255)),IF($I1255=0,1,$J1255/$I1255)),0)</f>
        <v/>
      </c>
      <c r="R1255" s="4">
        <f>IF(OR($I1255="",$J1255=""),"",$J1255-$I1255)</f>
        <v/>
      </c>
      <c r="S1255" s="4">
        <f>IFERROR(IF(INDEX(Tbl_KPIMaster[Direction],MATCH($G1255,Tbl_KPIMaster[KPI],0))="Lower is Better",IF($J1255&lt;=$I1255,"Green",IF($J1255&lt;=$I1255+IF($I1255=0,$K1255,$I1255*$K1255),"Amber","Red")),IF($J1255&gt;=$I1255,"Green",IF($J1255&gt;=$I1255-IF($I1255=0,$K1255,$I1255*$K1255),"Amber","Red"))),"")</f>
        <v/>
      </c>
      <c r="T1255" s="6" t="inlineStr"/>
    </row>
    <row r="1256">
      <c r="A1256" s="7" t="n">
        <v>46192</v>
      </c>
      <c r="B1256" s="8">
        <f>IF($A1256="","",TEXT($A1256,"mmm-yyyy"))</f>
        <v/>
      </c>
      <c r="C1256" s="8">
        <f>IF($A1256="","","W"&amp;WEEKNUM($A1256,2))</f>
        <v/>
      </c>
      <c r="D1256" s="8">
        <f>IF($A1256="","",TEXT($A1256,"ddd"))</f>
        <v/>
      </c>
      <c r="E1256" s="8" t="inlineStr">
        <is>
          <t>HR</t>
        </is>
      </c>
      <c r="F1256" s="8">
        <f>IFERROR(INDEX(Tbl_KPIMaster[Category],MATCH($G1256,Tbl_KPIMaster[KPI],0)),"")</f>
        <v/>
      </c>
      <c r="G1256" s="8" t="inlineStr">
        <is>
          <t>Training Hours</t>
        </is>
      </c>
      <c r="H1256" s="8">
        <f>IFERROR(INDEX(Tbl_KPIMaster[Unit],MATCH($G1256,Tbl_KPIMaster[KPI],0)),"")</f>
        <v/>
      </c>
      <c r="I1256" s="9">
        <f>IFERROR(INDEX(Tbl_KPIMaster[Maximum Target],MATCH($G1256,Tbl_KPIMaster[KPI],0)),"")</f>
        <v/>
      </c>
      <c r="J1256" s="9" t="n">
        <v>2.14</v>
      </c>
      <c r="K1256" s="8">
        <f>IFERROR(INDEX(Tbl_KPIMaster[Tolerance],MATCH($G1256,Tbl_KPIMaster[KPI],0)),"")</f>
        <v/>
      </c>
      <c r="L1256" s="8">
        <f>IFERROR(INDEX(Tbl_KPIMaster[Owner],MATCH($G1256,Tbl_KPIMaster[KPI],0)),"")</f>
        <v/>
      </c>
      <c r="M1256" s="10" t="inlineStr">
        <is>
          <t>Manpower shortage</t>
        </is>
      </c>
      <c r="N1256" s="8" t="inlineStr"/>
      <c r="O1256" s="8" t="inlineStr">
        <is>
          <t>Medium</t>
        </is>
      </c>
      <c r="P1256" s="8" t="inlineStr">
        <is>
          <t>In Progress</t>
        </is>
      </c>
      <c r="Q1256" s="9">
        <f>IFERROR(IF(INDEX(Tbl_KPIMaster[Direction],MATCH($G1256,Tbl_KPIMaster[KPI],0))="Lower is Better",IF($J1256=0,1,IF($I1256=0,0,$I1256/$J1256)),IF($I1256=0,1,$J1256/$I1256)),0)</f>
        <v/>
      </c>
      <c r="R1256" s="8">
        <f>IF(OR($I1256="",$J1256=""),"",$J1256-$I1256)</f>
        <v/>
      </c>
      <c r="S1256" s="8">
        <f>IFERROR(IF(INDEX(Tbl_KPIMaster[Direction],MATCH($G1256,Tbl_KPIMaster[KPI],0))="Lower is Better",IF($J1256&lt;=$I1256,"Green",IF($J1256&lt;=$I1256+IF($I1256=0,$K1256,$I1256*$K1256),"Amber","Red")),IF($J1256&gt;=$I1256,"Green",IF($J1256&gt;=$I1256-IF($I1256=0,$K1256,$I1256*$K1256),"Amber","Red"))),"")</f>
        <v/>
      </c>
      <c r="T1256" s="10" t="inlineStr"/>
    </row>
    <row r="1257">
      <c r="A1257" s="3" t="n">
        <v>46192</v>
      </c>
      <c r="B1257" s="4">
        <f>IF($A1257="","",TEXT($A1257,"mmm-yyyy"))</f>
        <v/>
      </c>
      <c r="C1257" s="4">
        <f>IF($A1257="","","W"&amp;WEEKNUM($A1257,2))</f>
        <v/>
      </c>
      <c r="D1257" s="4">
        <f>IF($A1257="","",TEXT($A1257,"ddd"))</f>
        <v/>
      </c>
      <c r="E1257" s="4" t="inlineStr">
        <is>
          <t>Engineering</t>
        </is>
      </c>
      <c r="F1257" s="4">
        <f>IFERROR(INDEX(Tbl_KPIMaster[Category],MATCH($G1257,Tbl_KPIMaster[KPI],0)),"")</f>
        <v/>
      </c>
      <c r="G1257" s="4" t="inlineStr">
        <is>
          <t>Project Milestone Adherence %</t>
        </is>
      </c>
      <c r="H1257" s="4">
        <f>IFERROR(INDEX(Tbl_KPIMaster[Unit],MATCH($G1257,Tbl_KPIMaster[KPI],0)),"")</f>
        <v/>
      </c>
      <c r="I1257" s="5">
        <f>IFERROR(INDEX(Tbl_KPIMaster[Maximum Target],MATCH($G1257,Tbl_KPIMaster[KPI],0)),"")</f>
        <v/>
      </c>
      <c r="J1257" s="5" t="n">
        <v>1.0644</v>
      </c>
      <c r="K1257" s="4">
        <f>IFERROR(INDEX(Tbl_KPIMaster[Tolerance],MATCH($G1257,Tbl_KPIMaster[KPI],0)),"")</f>
        <v/>
      </c>
      <c r="L1257" s="4">
        <f>IFERROR(INDEX(Tbl_KPIMaster[Owner],MATCH($G1257,Tbl_KPIMaster[KPI],0)),"")</f>
        <v/>
      </c>
      <c r="M1257" s="6" t="inlineStr">
        <is>
          <t>Preventive check done</t>
        </is>
      </c>
      <c r="N1257" s="4" t="inlineStr"/>
      <c r="O1257" s="4" t="inlineStr">
        <is>
          <t>Medium</t>
        </is>
      </c>
      <c r="P1257" s="4" t="inlineStr">
        <is>
          <t>Open</t>
        </is>
      </c>
      <c r="Q1257" s="5">
        <f>IFERROR(IF(INDEX(Tbl_KPIMaster[Direction],MATCH($G1257,Tbl_KPIMaster[KPI],0))="Lower is Better",IF($J1257=0,1,IF($I1257=0,0,$I1257/$J1257)),IF($I1257=0,1,$J1257/$I1257)),0)</f>
        <v/>
      </c>
      <c r="R1257" s="4">
        <f>IF(OR($I1257="",$J1257=""),"",$J1257-$I1257)</f>
        <v/>
      </c>
      <c r="S1257" s="4">
        <f>IFERROR(IF(INDEX(Tbl_KPIMaster[Direction],MATCH($G1257,Tbl_KPIMaster[KPI],0))="Lower is Better",IF($J1257&lt;=$I1257,"Green",IF($J1257&lt;=$I1257+IF($I1257=0,$K1257,$I1257*$K1257),"Amber","Red")),IF($J1257&gt;=$I1257,"Green",IF($J1257&gt;=$I1257-IF($I1257=0,$K1257,$I1257*$K1257),"Amber","Red"))),"")</f>
        <v/>
      </c>
      <c r="T1257" s="6" t="inlineStr"/>
    </row>
    <row r="1258">
      <c r="A1258" s="7" t="n">
        <v>46192</v>
      </c>
      <c r="B1258" s="8">
        <f>IF($A1258="","",TEXT($A1258,"mmm-yyyy"))</f>
        <v/>
      </c>
      <c r="C1258" s="8">
        <f>IF($A1258="","","W"&amp;WEEKNUM($A1258,2))</f>
        <v/>
      </c>
      <c r="D1258" s="8">
        <f>IF($A1258="","",TEXT($A1258,"ddd"))</f>
        <v/>
      </c>
      <c r="E1258" s="8" t="inlineStr">
        <is>
          <t>Engineering</t>
        </is>
      </c>
      <c r="F1258" s="8">
        <f>IFERROR(INDEX(Tbl_KPIMaster[Category],MATCH($G1258,Tbl_KPIMaster[KPI],0)),"")</f>
        <v/>
      </c>
      <c r="G1258" s="8" t="inlineStr">
        <is>
          <t>Breakdown Resolution Time</t>
        </is>
      </c>
      <c r="H1258" s="8">
        <f>IFERROR(INDEX(Tbl_KPIMaster[Unit],MATCH($G1258,Tbl_KPIMaster[KPI],0)),"")</f>
        <v/>
      </c>
      <c r="I1258" s="9">
        <f>IFERROR(INDEX(Tbl_KPIMaster[Maximum Target],MATCH($G1258,Tbl_KPIMaster[KPI],0)),"")</f>
        <v/>
      </c>
      <c r="J1258" s="9" t="n">
        <v>0.33</v>
      </c>
      <c r="K1258" s="8">
        <f>IFERROR(INDEX(Tbl_KPIMaster[Tolerance],MATCH($G1258,Tbl_KPIMaster[KPI],0)),"")</f>
        <v/>
      </c>
      <c r="L1258" s="8">
        <f>IFERROR(INDEX(Tbl_KPIMaster[Owner],MATCH($G1258,Tbl_KPIMaster[KPI],0)),"")</f>
        <v/>
      </c>
      <c r="M1258" s="10" t="inlineStr">
        <is>
          <t>Equipment breakdown</t>
        </is>
      </c>
      <c r="N1258" s="8" t="inlineStr"/>
      <c r="O1258" s="8" t="inlineStr">
        <is>
          <t>Low</t>
        </is>
      </c>
      <c r="P1258" s="8" t="inlineStr">
        <is>
          <t>Closed</t>
        </is>
      </c>
      <c r="Q1258" s="9">
        <f>IFERROR(IF(INDEX(Tbl_KPIMaster[Direction],MATCH($G1258,Tbl_KPIMaster[KPI],0))="Lower is Better",IF($J1258=0,1,IF($I1258=0,0,$I1258/$J1258)),IF($I1258=0,1,$J1258/$I1258)),0)</f>
        <v/>
      </c>
      <c r="R1258" s="8">
        <f>IF(OR($I1258="",$J1258=""),"",$J1258-$I1258)</f>
        <v/>
      </c>
      <c r="S1258" s="8">
        <f>IFERROR(IF(INDEX(Tbl_KPIMaster[Direction],MATCH($G1258,Tbl_KPIMaster[KPI],0))="Lower is Better",IF($J1258&lt;=$I1258,"Green",IF($J1258&lt;=$I1258+IF($I1258=0,$K1258,$I1258*$K1258),"Amber","Red")),IF($J1258&gt;=$I1258,"Green",IF($J1258&gt;=$I1258-IF($I1258=0,$K1258,$I1258*$K1258),"Amber","Red"))),"")</f>
        <v/>
      </c>
      <c r="T1258" s="10" t="inlineStr"/>
    </row>
    <row r="1259">
      <c r="A1259" s="3" t="n">
        <v>46192</v>
      </c>
      <c r="B1259" s="4">
        <f>IF($A1259="","",TEXT($A1259,"mmm-yyyy"))</f>
        <v/>
      </c>
      <c r="C1259" s="4">
        <f>IF($A1259="","","W"&amp;WEEKNUM($A1259,2))</f>
        <v/>
      </c>
      <c r="D1259" s="4">
        <f>IF($A1259="","",TEXT($A1259,"ddd"))</f>
        <v/>
      </c>
      <c r="E1259" s="4" t="inlineStr">
        <is>
          <t>Cost</t>
        </is>
      </c>
      <c r="F1259" s="4">
        <f>IFERROR(INDEX(Tbl_KPIMaster[Category],MATCH($G1259,Tbl_KPIMaster[KPI],0)),"")</f>
        <v/>
      </c>
      <c r="G1259" s="4" t="inlineStr">
        <is>
          <t>Cost per Unit</t>
        </is>
      </c>
      <c r="H1259" s="4">
        <f>IFERROR(INDEX(Tbl_KPIMaster[Unit],MATCH($G1259,Tbl_KPIMaster[KPI],0)),"")</f>
        <v/>
      </c>
      <c r="I1259" s="5">
        <f>IFERROR(INDEX(Tbl_KPIMaster[Maximum Target],MATCH($G1259,Tbl_KPIMaster[KPI],0)),"")</f>
        <v/>
      </c>
      <c r="J1259" s="5" t="n">
        <v>32</v>
      </c>
      <c r="K1259" s="4">
        <f>IFERROR(INDEX(Tbl_KPIMaster[Tolerance],MATCH($G1259,Tbl_KPIMaster[KPI],0)),"")</f>
        <v/>
      </c>
      <c r="L1259" s="4">
        <f>IFERROR(INDEX(Tbl_KPIMaster[Owner],MATCH($G1259,Tbl_KPIMaster[KPI],0)),"")</f>
        <v/>
      </c>
      <c r="M1259" s="6" t="inlineStr">
        <is>
          <t>Preventive check done</t>
        </is>
      </c>
      <c r="N1259" s="4" t="inlineStr"/>
      <c r="O1259" s="4" t="inlineStr">
        <is>
          <t>Low</t>
        </is>
      </c>
      <c r="P1259" s="4" t="inlineStr">
        <is>
          <t>Closed</t>
        </is>
      </c>
      <c r="Q1259" s="5">
        <f>IFERROR(IF(INDEX(Tbl_KPIMaster[Direction],MATCH($G1259,Tbl_KPIMaster[KPI],0))="Lower is Better",IF($J1259=0,1,IF($I1259=0,0,$I1259/$J1259)),IF($I1259=0,1,$J1259/$I1259)),0)</f>
        <v/>
      </c>
      <c r="R1259" s="4">
        <f>IF(OR($I1259="",$J1259=""),"",$J1259-$I1259)</f>
        <v/>
      </c>
      <c r="S1259" s="4">
        <f>IFERROR(IF(INDEX(Tbl_KPIMaster[Direction],MATCH($G1259,Tbl_KPIMaster[KPI],0))="Lower is Better",IF($J1259&lt;=$I1259,"Green",IF($J1259&lt;=$I1259+IF($I1259=0,$K1259,$I1259*$K1259),"Amber","Red")),IF($J1259&gt;=$I1259,"Green",IF($J1259&gt;=$I1259-IF($I1259=0,$K1259,$I1259*$K1259),"Amber","Red"))),"")</f>
        <v/>
      </c>
      <c r="T1259" s="6" t="inlineStr"/>
    </row>
    <row r="1260">
      <c r="A1260" s="7" t="n">
        <v>46192</v>
      </c>
      <c r="B1260" s="8">
        <f>IF($A1260="","",TEXT($A1260,"mmm-yyyy"))</f>
        <v/>
      </c>
      <c r="C1260" s="8">
        <f>IF($A1260="","","W"&amp;WEEKNUM($A1260,2))</f>
        <v/>
      </c>
      <c r="D1260" s="8">
        <f>IF($A1260="","",TEXT($A1260,"ddd"))</f>
        <v/>
      </c>
      <c r="E1260" s="8" t="inlineStr">
        <is>
          <t>Cost</t>
        </is>
      </c>
      <c r="F1260" s="8">
        <f>IFERROR(INDEX(Tbl_KPIMaster[Category],MATCH($G1260,Tbl_KPIMaster[KPI],0)),"")</f>
        <v/>
      </c>
      <c r="G1260" s="8" t="inlineStr">
        <is>
          <t>Budget Variance %</t>
        </is>
      </c>
      <c r="H1260" s="8">
        <f>IFERROR(INDEX(Tbl_KPIMaster[Unit],MATCH($G1260,Tbl_KPIMaster[KPI],0)),"")</f>
        <v/>
      </c>
      <c r="I1260" s="9">
        <f>IFERROR(INDEX(Tbl_KPIMaster[Maximum Target],MATCH($G1260,Tbl_KPIMaster[KPI],0)),"")</f>
        <v/>
      </c>
      <c r="J1260" s="9" t="n">
        <v>0.8978</v>
      </c>
      <c r="K1260" s="8">
        <f>IFERROR(INDEX(Tbl_KPIMaster[Tolerance],MATCH($G1260,Tbl_KPIMaster[KPI],0)),"")</f>
        <v/>
      </c>
      <c r="L1260" s="8">
        <f>IFERROR(INDEX(Tbl_KPIMaster[Owner],MATCH($G1260,Tbl_KPIMaster[KPI],0)),"")</f>
        <v/>
      </c>
      <c r="M1260" s="10" t="inlineStr">
        <is>
          <t>Within normal range</t>
        </is>
      </c>
      <c r="N1260" s="8" t="inlineStr"/>
      <c r="O1260" s="8" t="inlineStr">
        <is>
          <t>High</t>
        </is>
      </c>
      <c r="P1260" s="8" t="inlineStr">
        <is>
          <t>Closed</t>
        </is>
      </c>
      <c r="Q1260" s="9">
        <f>IFERROR(IF(INDEX(Tbl_KPIMaster[Direction],MATCH($G1260,Tbl_KPIMaster[KPI],0))="Lower is Better",IF($J1260=0,1,IF($I1260=0,0,$I1260/$J1260)),IF($I1260=0,1,$J1260/$I1260)),0)</f>
        <v/>
      </c>
      <c r="R1260" s="8">
        <f>IF(OR($I1260="",$J1260=""),"",$J1260-$I1260)</f>
        <v/>
      </c>
      <c r="S1260" s="8">
        <f>IFERROR(IF(INDEX(Tbl_KPIMaster[Direction],MATCH($G1260,Tbl_KPIMaster[KPI],0))="Lower is Better",IF($J1260&lt;=$I1260,"Green",IF($J1260&lt;=$I1260+IF($I1260=0,$K1260,$I1260*$K1260),"Amber","Red")),IF($J1260&gt;=$I1260,"Green",IF($J1260&gt;=$I1260-IF($I1260=0,$K1260,$I1260*$K1260),"Amber","Red"))),"")</f>
        <v/>
      </c>
      <c r="T1260" s="10" t="inlineStr"/>
    </row>
    <row r="1261">
      <c r="A1261" s="3" t="n">
        <v>46192</v>
      </c>
      <c r="B1261" s="4">
        <f>IF($A1261="","",TEXT($A1261,"mmm-yyyy"))</f>
        <v/>
      </c>
      <c r="C1261" s="4">
        <f>IF($A1261="","","W"&amp;WEEKNUM($A1261,2))</f>
        <v/>
      </c>
      <c r="D1261" s="4">
        <f>IF($A1261="","",TEXT($A1261,"ddd"))</f>
        <v/>
      </c>
      <c r="E1261" s="4" t="inlineStr">
        <is>
          <t>Energy</t>
        </is>
      </c>
      <c r="F1261" s="4">
        <f>IFERROR(INDEX(Tbl_KPIMaster[Category],MATCH($G1261,Tbl_KPIMaster[KPI],0)),"")</f>
        <v/>
      </c>
      <c r="G1261" s="4" t="inlineStr">
        <is>
          <t>Energy Intensity (kWh/unit)</t>
        </is>
      </c>
      <c r="H1261" s="4">
        <f>IFERROR(INDEX(Tbl_KPIMaster[Unit],MATCH($G1261,Tbl_KPIMaster[KPI],0)),"")</f>
        <v/>
      </c>
      <c r="I1261" s="5">
        <f>IFERROR(INDEX(Tbl_KPIMaster[Maximum Target],MATCH($G1261,Tbl_KPIMaster[KPI],0)),"")</f>
        <v/>
      </c>
      <c r="J1261" s="5" t="n">
        <v>4.29</v>
      </c>
      <c r="K1261" s="4">
        <f>IFERROR(INDEX(Tbl_KPIMaster[Tolerance],MATCH($G1261,Tbl_KPIMaster[KPI],0)),"")</f>
        <v/>
      </c>
      <c r="L1261" s="4">
        <f>IFERROR(INDEX(Tbl_KPIMaster[Owner],MATCH($G1261,Tbl_KPIMaster[KPI],0)),"")</f>
        <v/>
      </c>
      <c r="M1261" s="6" t="inlineStr">
        <is>
          <t>New operator training effect</t>
        </is>
      </c>
      <c r="N1261" s="4" t="inlineStr">
        <is>
          <t>Management approval pending</t>
        </is>
      </c>
      <c r="O1261" s="4" t="inlineStr">
        <is>
          <t>High</t>
        </is>
      </c>
      <c r="P1261" s="4" t="inlineStr">
        <is>
          <t>Closed</t>
        </is>
      </c>
      <c r="Q1261" s="5">
        <f>IFERROR(IF(INDEX(Tbl_KPIMaster[Direction],MATCH($G1261,Tbl_KPIMaster[KPI],0))="Lower is Better",IF($J1261=0,1,IF($I1261=0,0,$I1261/$J1261)),IF($I1261=0,1,$J1261/$I1261)),0)</f>
        <v/>
      </c>
      <c r="R1261" s="4">
        <f>IF(OR($I1261="",$J1261=""),"",$J1261-$I1261)</f>
        <v/>
      </c>
      <c r="S1261" s="4">
        <f>IFERROR(IF(INDEX(Tbl_KPIMaster[Direction],MATCH($G1261,Tbl_KPIMaster[KPI],0))="Lower is Better",IF($J1261&lt;=$I1261,"Green",IF($J1261&lt;=$I1261+IF($I1261=0,$K1261,$I1261*$K1261),"Amber","Red")),IF($J1261&gt;=$I1261,"Green",IF($J1261&gt;=$I1261-IF($I1261=0,$K1261,$I1261*$K1261),"Amber","Red"))),"")</f>
        <v/>
      </c>
      <c r="T1261" s="6" t="inlineStr"/>
    </row>
    <row r="1262">
      <c r="A1262" s="7" t="n">
        <v>46192</v>
      </c>
      <c r="B1262" s="8">
        <f>IF($A1262="","",TEXT($A1262,"mmm-yyyy"))</f>
        <v/>
      </c>
      <c r="C1262" s="8">
        <f>IF($A1262="","","W"&amp;WEEKNUM($A1262,2))</f>
        <v/>
      </c>
      <c r="D1262" s="8">
        <f>IF($A1262="","",TEXT($A1262,"ddd"))</f>
        <v/>
      </c>
      <c r="E1262" s="8" t="inlineStr">
        <is>
          <t>Energy</t>
        </is>
      </c>
      <c r="F1262" s="8">
        <f>IFERROR(INDEX(Tbl_KPIMaster[Category],MATCH($G1262,Tbl_KPIMaster[KPI],0)),"")</f>
        <v/>
      </c>
      <c r="G1262" s="8" t="inlineStr">
        <is>
          <t>Renewable Energy Share %</t>
        </is>
      </c>
      <c r="H1262" s="8">
        <f>IFERROR(INDEX(Tbl_KPIMaster[Unit],MATCH($G1262,Tbl_KPIMaster[KPI],0)),"")</f>
        <v/>
      </c>
      <c r="I1262" s="9">
        <f>IFERROR(INDEX(Tbl_KPIMaster[Maximum Target],MATCH($G1262,Tbl_KPIMaster[KPI],0)),"")</f>
        <v/>
      </c>
      <c r="J1262" s="9" t="n">
        <v>0.2018</v>
      </c>
      <c r="K1262" s="8">
        <f>IFERROR(INDEX(Tbl_KPIMaster[Tolerance],MATCH($G1262,Tbl_KPIMaster[KPI],0)),"")</f>
        <v/>
      </c>
      <c r="L1262" s="8">
        <f>IFERROR(INDEX(Tbl_KPIMaster[Owner],MATCH($G1262,Tbl_KPIMaster[KPI],0)),"")</f>
        <v/>
      </c>
      <c r="M1262" s="10" t="inlineStr">
        <is>
          <t>Awaiting spares</t>
        </is>
      </c>
      <c r="N1262" s="8" t="inlineStr">
        <is>
          <t>Management approval pending</t>
        </is>
      </c>
      <c r="O1262" s="8" t="inlineStr">
        <is>
          <t>Medium</t>
        </is>
      </c>
      <c r="P1262" s="8" t="inlineStr">
        <is>
          <t>Closed</t>
        </is>
      </c>
      <c r="Q1262" s="9">
        <f>IFERROR(IF(INDEX(Tbl_KPIMaster[Direction],MATCH($G1262,Tbl_KPIMaster[KPI],0))="Lower is Better",IF($J1262=0,1,IF($I1262=0,0,$I1262/$J1262)),IF($I1262=0,1,$J1262/$I1262)),0)</f>
        <v/>
      </c>
      <c r="R1262" s="8">
        <f>IF(OR($I1262="",$J1262=""),"",$J1262-$I1262)</f>
        <v/>
      </c>
      <c r="S1262" s="8">
        <f>IFERROR(IF(INDEX(Tbl_KPIMaster[Direction],MATCH($G1262,Tbl_KPIMaster[KPI],0))="Lower is Better",IF($J1262&lt;=$I1262,"Green",IF($J1262&lt;=$I1262+IF($I1262=0,$K1262,$I1262*$K1262),"Amber","Red")),IF($J1262&gt;=$I1262,"Green",IF($J1262&gt;=$I1262-IF($I1262=0,$K1262,$I1262*$K1262),"Amber","Red"))),"")</f>
        <v/>
      </c>
      <c r="T1262" s="10" t="inlineStr"/>
    </row>
    <row r="1263">
      <c r="A1263" s="3" t="n">
        <v>46193</v>
      </c>
      <c r="B1263" s="4">
        <f>IF($A1263="","",TEXT($A1263,"mmm-yyyy"))</f>
        <v/>
      </c>
      <c r="C1263" s="4">
        <f>IF($A1263="","","W"&amp;WEEKNUM($A1263,2))</f>
        <v/>
      </c>
      <c r="D1263" s="4">
        <f>IF($A1263="","",TEXT($A1263,"ddd"))</f>
        <v/>
      </c>
      <c r="E1263" s="4" t="inlineStr">
        <is>
          <t>Safety</t>
        </is>
      </c>
      <c r="F1263" s="4">
        <f>IFERROR(INDEX(Tbl_KPIMaster[Category],MATCH($G1263,Tbl_KPIMaster[KPI],0)),"")</f>
        <v/>
      </c>
      <c r="G1263" s="4" t="inlineStr">
        <is>
          <t>Safety Incidents (LTI)</t>
        </is>
      </c>
      <c r="H1263" s="4">
        <f>IFERROR(INDEX(Tbl_KPIMaster[Unit],MATCH($G1263,Tbl_KPIMaster[KPI],0)),"")</f>
        <v/>
      </c>
      <c r="I1263" s="5">
        <f>IFERROR(INDEX(Tbl_KPIMaster[Maximum Target],MATCH($G1263,Tbl_KPIMaster[KPI],0)),"")</f>
        <v/>
      </c>
      <c r="J1263" s="5" t="n">
        <v>0</v>
      </c>
      <c r="K1263" s="4">
        <f>IFERROR(INDEX(Tbl_KPIMaster[Tolerance],MATCH($G1263,Tbl_KPIMaster[KPI],0)),"")</f>
        <v/>
      </c>
      <c r="L1263" s="4">
        <f>IFERROR(INDEX(Tbl_KPIMaster[Owner],MATCH($G1263,Tbl_KPIMaster[KPI],0)),"")</f>
        <v/>
      </c>
      <c r="M1263" s="6" t="inlineStr">
        <is>
          <t>Process improvement in progress</t>
        </is>
      </c>
      <c r="N1263" s="4" t="inlineStr">
        <is>
          <t>Management approval pending</t>
        </is>
      </c>
      <c r="O1263" s="4" t="inlineStr">
        <is>
          <t>High</t>
        </is>
      </c>
      <c r="P1263" s="4" t="inlineStr">
        <is>
          <t>Open</t>
        </is>
      </c>
      <c r="Q1263" s="5">
        <f>IFERROR(IF(INDEX(Tbl_KPIMaster[Direction],MATCH($G1263,Tbl_KPIMaster[KPI],0))="Lower is Better",IF($J1263=0,1,IF($I1263=0,0,$I1263/$J1263)),IF($I1263=0,1,$J1263/$I1263)),0)</f>
        <v/>
      </c>
      <c r="R1263" s="4">
        <f>IF(OR($I1263="",$J1263=""),"",$J1263-$I1263)</f>
        <v/>
      </c>
      <c r="S1263" s="4">
        <f>IFERROR(IF(INDEX(Tbl_KPIMaster[Direction],MATCH($G1263,Tbl_KPIMaster[KPI],0))="Lower is Better",IF($J1263&lt;=$I1263,"Green",IF($J1263&lt;=$I1263+IF($I1263=0,$K1263,$I1263*$K1263),"Amber","Red")),IF($J1263&gt;=$I1263,"Green",IF($J1263&gt;=$I1263-IF($I1263=0,$K1263,$I1263*$K1263),"Amber","Red"))),"")</f>
        <v/>
      </c>
      <c r="T1263" s="6" t="inlineStr"/>
    </row>
    <row r="1264">
      <c r="A1264" s="7" t="n">
        <v>46193</v>
      </c>
      <c r="B1264" s="8">
        <f>IF($A1264="","",TEXT($A1264,"mmm-yyyy"))</f>
        <v/>
      </c>
      <c r="C1264" s="8">
        <f>IF($A1264="","","W"&amp;WEEKNUM($A1264,2))</f>
        <v/>
      </c>
      <c r="D1264" s="8">
        <f>IF($A1264="","",TEXT($A1264,"ddd"))</f>
        <v/>
      </c>
      <c r="E1264" s="8" t="inlineStr">
        <is>
          <t>Safety</t>
        </is>
      </c>
      <c r="F1264" s="8">
        <f>IFERROR(INDEX(Tbl_KPIMaster[Category],MATCH($G1264,Tbl_KPIMaster[KPI],0)),"")</f>
        <v/>
      </c>
      <c r="G1264" s="8" t="inlineStr">
        <is>
          <t>Near Miss Reports</t>
        </is>
      </c>
      <c r="H1264" s="8">
        <f>IFERROR(INDEX(Tbl_KPIMaster[Unit],MATCH($G1264,Tbl_KPIMaster[KPI],0)),"")</f>
        <v/>
      </c>
      <c r="I1264" s="9">
        <f>IFERROR(INDEX(Tbl_KPIMaster[Maximum Target],MATCH($G1264,Tbl_KPIMaster[KPI],0)),"")</f>
        <v/>
      </c>
      <c r="J1264" s="9" t="n">
        <v>2</v>
      </c>
      <c r="K1264" s="8">
        <f>IFERROR(INDEX(Tbl_KPIMaster[Tolerance],MATCH($G1264,Tbl_KPIMaster[KPI],0)),"")</f>
        <v/>
      </c>
      <c r="L1264" s="8">
        <f>IFERROR(INDEX(Tbl_KPIMaster[Owner],MATCH($G1264,Tbl_KPIMaster[KPI],0)),"")</f>
        <v/>
      </c>
      <c r="M1264" s="10" t="inlineStr">
        <is>
          <t>Manpower shortage</t>
        </is>
      </c>
      <c r="N1264" s="8" t="inlineStr">
        <is>
          <t>Management approval pending</t>
        </is>
      </c>
      <c r="O1264" s="8" t="inlineStr">
        <is>
          <t>Low</t>
        </is>
      </c>
      <c r="P1264" s="8" t="inlineStr">
        <is>
          <t>Closed</t>
        </is>
      </c>
      <c r="Q1264" s="9">
        <f>IFERROR(IF(INDEX(Tbl_KPIMaster[Direction],MATCH($G1264,Tbl_KPIMaster[KPI],0))="Lower is Better",IF($J1264=0,1,IF($I1264=0,0,$I1264/$J1264)),IF($I1264=0,1,$J1264/$I1264)),0)</f>
        <v/>
      </c>
      <c r="R1264" s="8">
        <f>IF(OR($I1264="",$J1264=""),"",$J1264-$I1264)</f>
        <v/>
      </c>
      <c r="S1264" s="8">
        <f>IFERROR(IF(INDEX(Tbl_KPIMaster[Direction],MATCH($G1264,Tbl_KPIMaster[KPI],0))="Lower is Better",IF($J1264&lt;=$I1264,"Green",IF($J1264&lt;=$I1264+IF($I1264=0,$K1264,$I1264*$K1264),"Amber","Red")),IF($J1264&gt;=$I1264,"Green",IF($J1264&gt;=$I1264-IF($I1264=0,$K1264,$I1264*$K1264),"Amber","Red"))),"")</f>
        <v/>
      </c>
      <c r="T1264" s="10" t="inlineStr"/>
    </row>
    <row r="1265">
      <c r="A1265" s="3" t="n">
        <v>46193</v>
      </c>
      <c r="B1265" s="4">
        <f>IF($A1265="","",TEXT($A1265,"mmm-yyyy"))</f>
        <v/>
      </c>
      <c r="C1265" s="4">
        <f>IF($A1265="","","W"&amp;WEEKNUM($A1265,2))</f>
        <v/>
      </c>
      <c r="D1265" s="4">
        <f>IF($A1265="","",TEXT($A1265,"ddd"))</f>
        <v/>
      </c>
      <c r="E1265" s="4" t="inlineStr">
        <is>
          <t>Production</t>
        </is>
      </c>
      <c r="F1265" s="4">
        <f>IFERROR(INDEX(Tbl_KPIMaster[Category],MATCH($G1265,Tbl_KPIMaster[KPI],0)),"")</f>
        <v/>
      </c>
      <c r="G1265" s="4" t="inlineStr">
        <is>
          <t>Production Output</t>
        </is>
      </c>
      <c r="H1265" s="4">
        <f>IFERROR(INDEX(Tbl_KPIMaster[Unit],MATCH($G1265,Tbl_KPIMaster[KPI],0)),"")</f>
        <v/>
      </c>
      <c r="I1265" s="5">
        <f>IFERROR(INDEX(Tbl_KPIMaster[Maximum Target],MATCH($G1265,Tbl_KPIMaster[KPI],0)),"")</f>
        <v/>
      </c>
      <c r="J1265" s="5" t="n">
        <v>1025.53</v>
      </c>
      <c r="K1265" s="4">
        <f>IFERROR(INDEX(Tbl_KPIMaster[Tolerance],MATCH($G1265,Tbl_KPIMaster[KPI],0)),"")</f>
        <v/>
      </c>
      <c r="L1265" s="4">
        <f>IFERROR(INDEX(Tbl_KPIMaster[Owner],MATCH($G1265,Tbl_KPIMaster[KPI],0)),"")</f>
        <v/>
      </c>
      <c r="M1265" s="6" t="inlineStr">
        <is>
          <t>Weather impact</t>
        </is>
      </c>
      <c r="N1265" s="4" t="inlineStr"/>
      <c r="O1265" s="4" t="inlineStr">
        <is>
          <t>High</t>
        </is>
      </c>
      <c r="P1265" s="4" t="inlineStr">
        <is>
          <t>Open</t>
        </is>
      </c>
      <c r="Q1265" s="5">
        <f>IFERROR(IF(INDEX(Tbl_KPIMaster[Direction],MATCH($G1265,Tbl_KPIMaster[KPI],0))="Lower is Better",IF($J1265=0,1,IF($I1265=0,0,$I1265/$J1265)),IF($I1265=0,1,$J1265/$I1265)),0)</f>
        <v/>
      </c>
      <c r="R1265" s="4">
        <f>IF(OR($I1265="",$J1265=""),"",$J1265-$I1265)</f>
        <v/>
      </c>
      <c r="S1265" s="4">
        <f>IFERROR(IF(INDEX(Tbl_KPIMaster[Direction],MATCH($G1265,Tbl_KPIMaster[KPI],0))="Lower is Better",IF($J1265&lt;=$I1265,"Green",IF($J1265&lt;=$I1265+IF($I1265=0,$K1265,$I1265*$K1265),"Amber","Red")),IF($J1265&gt;=$I1265,"Green",IF($J1265&gt;=$I1265-IF($I1265=0,$K1265,$I1265*$K1265),"Amber","Red"))),"")</f>
        <v/>
      </c>
      <c r="T1265" s="6" t="inlineStr"/>
    </row>
    <row r="1266">
      <c r="A1266" s="7" t="n">
        <v>46193</v>
      </c>
      <c r="B1266" s="8">
        <f>IF($A1266="","",TEXT($A1266,"mmm-yyyy"))</f>
        <v/>
      </c>
      <c r="C1266" s="8">
        <f>IF($A1266="","","W"&amp;WEEKNUM($A1266,2))</f>
        <v/>
      </c>
      <c r="D1266" s="8">
        <f>IF($A1266="","",TEXT($A1266,"ddd"))</f>
        <v/>
      </c>
      <c r="E1266" s="8" t="inlineStr">
        <is>
          <t>Production</t>
        </is>
      </c>
      <c r="F1266" s="8">
        <f>IFERROR(INDEX(Tbl_KPIMaster[Category],MATCH($G1266,Tbl_KPIMaster[KPI],0)),"")</f>
        <v/>
      </c>
      <c r="G1266" s="8" t="inlineStr">
        <is>
          <t>OEE %</t>
        </is>
      </c>
      <c r="H1266" s="8">
        <f>IFERROR(INDEX(Tbl_KPIMaster[Unit],MATCH($G1266,Tbl_KPIMaster[KPI],0)),"")</f>
        <v/>
      </c>
      <c r="I1266" s="9">
        <f>IFERROR(INDEX(Tbl_KPIMaster[Maximum Target],MATCH($G1266,Tbl_KPIMaster[KPI],0)),"")</f>
        <v/>
      </c>
      <c r="J1266" s="9" t="n">
        <v>0.9559</v>
      </c>
      <c r="K1266" s="8">
        <f>IFERROR(INDEX(Tbl_KPIMaster[Tolerance],MATCH($G1266,Tbl_KPIMaster[KPI],0)),"")</f>
        <v/>
      </c>
      <c r="L1266" s="8">
        <f>IFERROR(INDEX(Tbl_KPIMaster[Owner],MATCH($G1266,Tbl_KPIMaster[KPI],0)),"")</f>
        <v/>
      </c>
      <c r="M1266" s="10" t="inlineStr">
        <is>
          <t>Manpower shortage</t>
        </is>
      </c>
      <c r="N1266" s="8" t="inlineStr">
        <is>
          <t>Management approval pending</t>
        </is>
      </c>
      <c r="O1266" s="8" t="inlineStr">
        <is>
          <t>Medium</t>
        </is>
      </c>
      <c r="P1266" s="8" t="inlineStr">
        <is>
          <t>Closed</t>
        </is>
      </c>
      <c r="Q1266" s="9">
        <f>IFERROR(IF(INDEX(Tbl_KPIMaster[Direction],MATCH($G1266,Tbl_KPIMaster[KPI],0))="Lower is Better",IF($J1266=0,1,IF($I1266=0,0,$I1266/$J1266)),IF($I1266=0,1,$J1266/$I1266)),0)</f>
        <v/>
      </c>
      <c r="R1266" s="8">
        <f>IF(OR($I1266="",$J1266=""),"",$J1266-$I1266)</f>
        <v/>
      </c>
      <c r="S1266" s="8">
        <f>IFERROR(IF(INDEX(Tbl_KPIMaster[Direction],MATCH($G1266,Tbl_KPIMaster[KPI],0))="Lower is Better",IF($J1266&lt;=$I1266,"Green",IF($J1266&lt;=$I1266+IF($I1266=0,$K1266,$I1266*$K1266),"Amber","Red")),IF($J1266&gt;=$I1266,"Green",IF($J1266&gt;=$I1266-IF($I1266=0,$K1266,$I1266*$K1266),"Amber","Red"))),"")</f>
        <v/>
      </c>
      <c r="T1266" s="10" t="inlineStr"/>
    </row>
    <row r="1267">
      <c r="A1267" s="3" t="n">
        <v>46193</v>
      </c>
      <c r="B1267" s="4">
        <f>IF($A1267="","",TEXT($A1267,"mmm-yyyy"))</f>
        <v/>
      </c>
      <c r="C1267" s="4">
        <f>IF($A1267="","","W"&amp;WEEKNUM($A1267,2))</f>
        <v/>
      </c>
      <c r="D1267" s="4">
        <f>IF($A1267="","",TEXT($A1267,"ddd"))</f>
        <v/>
      </c>
      <c r="E1267" s="4" t="inlineStr">
        <is>
          <t>Quality</t>
        </is>
      </c>
      <c r="F1267" s="4">
        <f>IFERROR(INDEX(Tbl_KPIMaster[Category],MATCH($G1267,Tbl_KPIMaster[KPI],0)),"")</f>
        <v/>
      </c>
      <c r="G1267" s="4" t="inlineStr">
        <is>
          <t>Defect Rate %</t>
        </is>
      </c>
      <c r="H1267" s="4">
        <f>IFERROR(INDEX(Tbl_KPIMaster[Unit],MATCH($G1267,Tbl_KPIMaster[KPI],0)),"")</f>
        <v/>
      </c>
      <c r="I1267" s="5">
        <f>IFERROR(INDEX(Tbl_KPIMaster[Maximum Target],MATCH($G1267,Tbl_KPIMaster[KPI],0)),"")</f>
        <v/>
      </c>
      <c r="J1267" s="5" t="n">
        <v>0.2145</v>
      </c>
      <c r="K1267" s="4">
        <f>IFERROR(INDEX(Tbl_KPIMaster[Tolerance],MATCH($G1267,Tbl_KPIMaster[KPI],0)),"")</f>
        <v/>
      </c>
      <c r="L1267" s="4">
        <f>IFERROR(INDEX(Tbl_KPIMaster[Owner],MATCH($G1267,Tbl_KPIMaster[KPI],0)),"")</f>
        <v/>
      </c>
      <c r="M1267" s="6" t="inlineStr">
        <is>
          <t>Process improvement in progress</t>
        </is>
      </c>
      <c r="N1267" s="4" t="inlineStr">
        <is>
          <t>Procurement follow-up</t>
        </is>
      </c>
      <c r="O1267" s="4" t="inlineStr">
        <is>
          <t>Low</t>
        </is>
      </c>
      <c r="P1267" s="4" t="inlineStr">
        <is>
          <t>Closed</t>
        </is>
      </c>
      <c r="Q1267" s="5">
        <f>IFERROR(IF(INDEX(Tbl_KPIMaster[Direction],MATCH($G1267,Tbl_KPIMaster[KPI],0))="Lower is Better",IF($J1267=0,1,IF($I1267=0,0,$I1267/$J1267)),IF($I1267=0,1,$J1267/$I1267)),0)</f>
        <v/>
      </c>
      <c r="R1267" s="4">
        <f>IF(OR($I1267="",$J1267=""),"",$J1267-$I1267)</f>
        <v/>
      </c>
      <c r="S1267" s="4">
        <f>IFERROR(IF(INDEX(Tbl_KPIMaster[Direction],MATCH($G1267,Tbl_KPIMaster[KPI],0))="Lower is Better",IF($J1267&lt;=$I1267,"Green",IF($J1267&lt;=$I1267+IF($I1267=0,$K1267,$I1267*$K1267),"Amber","Red")),IF($J1267&gt;=$I1267,"Green",IF($J1267&gt;=$I1267-IF($I1267=0,$K1267,$I1267*$K1267),"Amber","Red"))),"")</f>
        <v/>
      </c>
      <c r="T1267" s="6" t="inlineStr"/>
    </row>
    <row r="1268">
      <c r="A1268" s="7" t="n">
        <v>46193</v>
      </c>
      <c r="B1268" s="8">
        <f>IF($A1268="","",TEXT($A1268,"mmm-yyyy"))</f>
        <v/>
      </c>
      <c r="C1268" s="8">
        <f>IF($A1268="","","W"&amp;WEEKNUM($A1268,2))</f>
        <v/>
      </c>
      <c r="D1268" s="8">
        <f>IF($A1268="","",TEXT($A1268,"ddd"))</f>
        <v/>
      </c>
      <c r="E1268" s="8" t="inlineStr">
        <is>
          <t>Quality</t>
        </is>
      </c>
      <c r="F1268" s="8">
        <f>IFERROR(INDEX(Tbl_KPIMaster[Category],MATCH($G1268,Tbl_KPIMaster[KPI],0)),"")</f>
        <v/>
      </c>
      <c r="G1268" s="8" t="inlineStr">
        <is>
          <t>Customer Complaints</t>
        </is>
      </c>
      <c r="H1268" s="8">
        <f>IFERROR(INDEX(Tbl_KPIMaster[Unit],MATCH($G1268,Tbl_KPIMaster[KPI],0)),"")</f>
        <v/>
      </c>
      <c r="I1268" s="9">
        <f>IFERROR(INDEX(Tbl_KPIMaster[Maximum Target],MATCH($G1268,Tbl_KPIMaster[KPI],0)),"")</f>
        <v/>
      </c>
      <c r="J1268" s="9" t="n">
        <v>0</v>
      </c>
      <c r="K1268" s="8">
        <f>IFERROR(INDEX(Tbl_KPIMaster[Tolerance],MATCH($G1268,Tbl_KPIMaster[KPI],0)),"")</f>
        <v/>
      </c>
      <c r="L1268" s="8">
        <f>IFERROR(INDEX(Tbl_KPIMaster[Owner],MATCH($G1268,Tbl_KPIMaster[KPI],0)),"")</f>
        <v/>
      </c>
      <c r="M1268" s="10" t="inlineStr">
        <is>
          <t>Within normal range</t>
        </is>
      </c>
      <c r="N1268" s="8" t="inlineStr"/>
      <c r="O1268" s="8" t="inlineStr">
        <is>
          <t>High</t>
        </is>
      </c>
      <c r="P1268" s="8" t="inlineStr">
        <is>
          <t>Closed</t>
        </is>
      </c>
      <c r="Q1268" s="9">
        <f>IFERROR(IF(INDEX(Tbl_KPIMaster[Direction],MATCH($G1268,Tbl_KPIMaster[KPI],0))="Lower is Better",IF($J1268=0,1,IF($I1268=0,0,$I1268/$J1268)),IF($I1268=0,1,$J1268/$I1268)),0)</f>
        <v/>
      </c>
      <c r="R1268" s="8">
        <f>IF(OR($I1268="",$J1268=""),"",$J1268-$I1268)</f>
        <v/>
      </c>
      <c r="S1268" s="8">
        <f>IFERROR(IF(INDEX(Tbl_KPIMaster[Direction],MATCH($G1268,Tbl_KPIMaster[KPI],0))="Lower is Better",IF($J1268&lt;=$I1268,"Green",IF($J1268&lt;=$I1268+IF($I1268=0,$K1268,$I1268*$K1268),"Amber","Red")),IF($J1268&gt;=$I1268,"Green",IF($J1268&gt;=$I1268-IF($I1268=0,$K1268,$I1268*$K1268),"Amber","Red"))),"")</f>
        <v/>
      </c>
      <c r="T1268" s="10" t="inlineStr"/>
    </row>
    <row r="1269">
      <c r="A1269" s="3" t="n">
        <v>46193</v>
      </c>
      <c r="B1269" s="4">
        <f>IF($A1269="","",TEXT($A1269,"mmm-yyyy"))</f>
        <v/>
      </c>
      <c r="C1269" s="4">
        <f>IF($A1269="","","W"&amp;WEEKNUM($A1269,2))</f>
        <v/>
      </c>
      <c r="D1269" s="4">
        <f>IF($A1269="","",TEXT($A1269,"ddd"))</f>
        <v/>
      </c>
      <c r="E1269" s="4" t="inlineStr">
        <is>
          <t>Maintenance</t>
        </is>
      </c>
      <c r="F1269" s="4">
        <f>IFERROR(INDEX(Tbl_KPIMaster[Category],MATCH($G1269,Tbl_KPIMaster[KPI],0)),"")</f>
        <v/>
      </c>
      <c r="G1269" s="4" t="inlineStr">
        <is>
          <t>Unplanned Downtime</t>
        </is>
      </c>
      <c r="H1269" s="4">
        <f>IFERROR(INDEX(Tbl_KPIMaster[Unit],MATCH($G1269,Tbl_KPIMaster[KPI],0)),"")</f>
        <v/>
      </c>
      <c r="I1269" s="5">
        <f>IFERROR(INDEX(Tbl_KPIMaster[Maximum Target],MATCH($G1269,Tbl_KPIMaster[KPI],0)),"")</f>
        <v/>
      </c>
      <c r="J1269" s="5" t="n">
        <v>0</v>
      </c>
      <c r="K1269" s="4">
        <f>IFERROR(INDEX(Tbl_KPIMaster[Tolerance],MATCH($G1269,Tbl_KPIMaster[KPI],0)),"")</f>
        <v/>
      </c>
      <c r="L1269" s="4">
        <f>IFERROR(INDEX(Tbl_KPIMaster[Owner],MATCH($G1269,Tbl_KPIMaster[KPI],0)),"")</f>
        <v/>
      </c>
      <c r="M1269" s="6" t="inlineStr">
        <is>
          <t>Manpower shortage</t>
        </is>
      </c>
      <c r="N1269" s="4" t="inlineStr"/>
      <c r="O1269" s="4" t="inlineStr">
        <is>
          <t>Medium</t>
        </is>
      </c>
      <c r="P1269" s="4" t="inlineStr">
        <is>
          <t>Closed</t>
        </is>
      </c>
      <c r="Q1269" s="5">
        <f>IFERROR(IF(INDEX(Tbl_KPIMaster[Direction],MATCH($G1269,Tbl_KPIMaster[KPI],0))="Lower is Better",IF($J1269=0,1,IF($I1269=0,0,$I1269/$J1269)),IF($I1269=0,1,$J1269/$I1269)),0)</f>
        <v/>
      </c>
      <c r="R1269" s="4">
        <f>IF(OR($I1269="",$J1269=""),"",$J1269-$I1269)</f>
        <v/>
      </c>
      <c r="S1269" s="4">
        <f>IFERROR(IF(INDEX(Tbl_KPIMaster[Direction],MATCH($G1269,Tbl_KPIMaster[KPI],0))="Lower is Better",IF($J1269&lt;=$I1269,"Green",IF($J1269&lt;=$I1269+IF($I1269=0,$K1269,$I1269*$K1269),"Amber","Red")),IF($J1269&gt;=$I1269,"Green",IF($J1269&gt;=$I1269-IF($I1269=0,$K1269,$I1269*$K1269),"Amber","Red"))),"")</f>
        <v/>
      </c>
      <c r="T1269" s="6" t="inlineStr"/>
    </row>
    <row r="1270">
      <c r="A1270" s="7" t="n">
        <v>46193</v>
      </c>
      <c r="B1270" s="8">
        <f>IF($A1270="","",TEXT($A1270,"mmm-yyyy"))</f>
        <v/>
      </c>
      <c r="C1270" s="8">
        <f>IF($A1270="","","W"&amp;WEEKNUM($A1270,2))</f>
        <v/>
      </c>
      <c r="D1270" s="8">
        <f>IF($A1270="","",TEXT($A1270,"ddd"))</f>
        <v/>
      </c>
      <c r="E1270" s="8" t="inlineStr">
        <is>
          <t>Maintenance</t>
        </is>
      </c>
      <c r="F1270" s="8">
        <f>IFERROR(INDEX(Tbl_KPIMaster[Category],MATCH($G1270,Tbl_KPIMaster[KPI],0)),"")</f>
        <v/>
      </c>
      <c r="G1270" s="8" t="inlineStr">
        <is>
          <t>PM Compliance %</t>
        </is>
      </c>
      <c r="H1270" s="8">
        <f>IFERROR(INDEX(Tbl_KPIMaster[Unit],MATCH($G1270,Tbl_KPIMaster[KPI],0)),"")</f>
        <v/>
      </c>
      <c r="I1270" s="9">
        <f>IFERROR(INDEX(Tbl_KPIMaster[Maximum Target],MATCH($G1270,Tbl_KPIMaster[KPI],0)),"")</f>
        <v/>
      </c>
      <c r="J1270" s="9" t="n">
        <v>1.0101</v>
      </c>
      <c r="K1270" s="8">
        <f>IFERROR(INDEX(Tbl_KPIMaster[Tolerance],MATCH($G1270,Tbl_KPIMaster[KPI],0)),"")</f>
        <v/>
      </c>
      <c r="L1270" s="8">
        <f>IFERROR(INDEX(Tbl_KPIMaster[Owner],MATCH($G1270,Tbl_KPIMaster[KPI],0)),"")</f>
        <v/>
      </c>
      <c r="M1270" s="10" t="inlineStr">
        <is>
          <t>Manpower shortage</t>
        </is>
      </c>
      <c r="N1270" s="8" t="inlineStr"/>
      <c r="O1270" s="8" t="inlineStr">
        <is>
          <t>Low</t>
        </is>
      </c>
      <c r="P1270" s="8" t="inlineStr">
        <is>
          <t>Closed</t>
        </is>
      </c>
      <c r="Q1270" s="9">
        <f>IFERROR(IF(INDEX(Tbl_KPIMaster[Direction],MATCH($G1270,Tbl_KPIMaster[KPI],0))="Lower is Better",IF($J1270=0,1,IF($I1270=0,0,$I1270/$J1270)),IF($I1270=0,1,$J1270/$I1270)),0)</f>
        <v/>
      </c>
      <c r="R1270" s="8">
        <f>IF(OR($I1270="",$J1270=""),"",$J1270-$I1270)</f>
        <v/>
      </c>
      <c r="S1270" s="8">
        <f>IFERROR(IF(INDEX(Tbl_KPIMaster[Direction],MATCH($G1270,Tbl_KPIMaster[KPI],0))="Lower is Better",IF($J1270&lt;=$I1270,"Green",IF($J1270&lt;=$I1270+IF($I1270=0,$K1270,$I1270*$K1270),"Amber","Red")),IF($J1270&gt;=$I1270,"Green",IF($J1270&gt;=$I1270-IF($I1270=0,$K1270,$I1270*$K1270),"Amber","Red"))),"")</f>
        <v/>
      </c>
      <c r="T1270" s="10" t="inlineStr"/>
    </row>
    <row r="1271">
      <c r="A1271" s="3" t="n">
        <v>46193</v>
      </c>
      <c r="B1271" s="4">
        <f>IF($A1271="","",TEXT($A1271,"mmm-yyyy"))</f>
        <v/>
      </c>
      <c r="C1271" s="4">
        <f>IF($A1271="","","W"&amp;WEEKNUM($A1271,2))</f>
        <v/>
      </c>
      <c r="D1271" s="4">
        <f>IF($A1271="","",TEXT($A1271,"ddd"))</f>
        <v/>
      </c>
      <c r="E1271" s="4" t="inlineStr">
        <is>
          <t>Utilities</t>
        </is>
      </c>
      <c r="F1271" s="4">
        <f>IFERROR(INDEX(Tbl_KPIMaster[Category],MATCH($G1271,Tbl_KPIMaster[KPI],0)),"")</f>
        <v/>
      </c>
      <c r="G1271" s="4" t="inlineStr">
        <is>
          <t>Power Consumption</t>
        </is>
      </c>
      <c r="H1271" s="4">
        <f>IFERROR(INDEX(Tbl_KPIMaster[Unit],MATCH($G1271,Tbl_KPIMaster[KPI],0)),"")</f>
        <v/>
      </c>
      <c r="I1271" s="5">
        <f>IFERROR(INDEX(Tbl_KPIMaster[Maximum Target],MATCH($G1271,Tbl_KPIMaster[KPI],0)),"")</f>
        <v/>
      </c>
      <c r="J1271" s="5" t="n">
        <v>5702.63</v>
      </c>
      <c r="K1271" s="4">
        <f>IFERROR(INDEX(Tbl_KPIMaster[Tolerance],MATCH($G1271,Tbl_KPIMaster[KPI],0)),"")</f>
        <v/>
      </c>
      <c r="L1271" s="4">
        <f>IFERROR(INDEX(Tbl_KPIMaster[Owner],MATCH($G1271,Tbl_KPIMaster[KPI],0)),"")</f>
        <v/>
      </c>
      <c r="M1271" s="6" t="inlineStr">
        <is>
          <t>Manpower shortage</t>
        </is>
      </c>
      <c r="N1271" s="4" t="inlineStr"/>
      <c r="O1271" s="4" t="inlineStr">
        <is>
          <t>Medium</t>
        </is>
      </c>
      <c r="P1271" s="4" t="inlineStr">
        <is>
          <t>Closed</t>
        </is>
      </c>
      <c r="Q1271" s="5">
        <f>IFERROR(IF(INDEX(Tbl_KPIMaster[Direction],MATCH($G1271,Tbl_KPIMaster[KPI],0))="Lower is Better",IF($J1271=0,1,IF($I1271=0,0,$I1271/$J1271)),IF($I1271=0,1,$J1271/$I1271)),0)</f>
        <v/>
      </c>
      <c r="R1271" s="4">
        <f>IF(OR($I1271="",$J1271=""),"",$J1271-$I1271)</f>
        <v/>
      </c>
      <c r="S1271" s="4">
        <f>IFERROR(IF(INDEX(Tbl_KPIMaster[Direction],MATCH($G1271,Tbl_KPIMaster[KPI],0))="Lower is Better",IF($J1271&lt;=$I1271,"Green",IF($J1271&lt;=$I1271+IF($I1271=0,$K1271,$I1271*$K1271),"Amber","Red")),IF($J1271&gt;=$I1271,"Green",IF($J1271&gt;=$I1271-IF($I1271=0,$K1271,$I1271*$K1271),"Amber","Red"))),"")</f>
        <v/>
      </c>
      <c r="T1271" s="6" t="inlineStr"/>
    </row>
    <row r="1272">
      <c r="A1272" s="7" t="n">
        <v>46193</v>
      </c>
      <c r="B1272" s="8">
        <f>IF($A1272="","",TEXT($A1272,"mmm-yyyy"))</f>
        <v/>
      </c>
      <c r="C1272" s="8">
        <f>IF($A1272="","","W"&amp;WEEKNUM($A1272,2))</f>
        <v/>
      </c>
      <c r="D1272" s="8">
        <f>IF($A1272="","",TEXT($A1272,"ddd"))</f>
        <v/>
      </c>
      <c r="E1272" s="8" t="inlineStr">
        <is>
          <t>Utilities</t>
        </is>
      </c>
      <c r="F1272" s="8">
        <f>IFERROR(INDEX(Tbl_KPIMaster[Category],MATCH($G1272,Tbl_KPIMaster[KPI],0)),"")</f>
        <v/>
      </c>
      <c r="G1272" s="8" t="inlineStr">
        <is>
          <t>Water Consumption</t>
        </is>
      </c>
      <c r="H1272" s="8">
        <f>IFERROR(INDEX(Tbl_KPIMaster[Unit],MATCH($G1272,Tbl_KPIMaster[KPI],0)),"")</f>
        <v/>
      </c>
      <c r="I1272" s="9">
        <f>IFERROR(INDEX(Tbl_KPIMaster[Maximum Target],MATCH($G1272,Tbl_KPIMaster[KPI],0)),"")</f>
        <v/>
      </c>
      <c r="J1272" s="9" t="n">
        <v>56.15</v>
      </c>
      <c r="K1272" s="8">
        <f>IFERROR(INDEX(Tbl_KPIMaster[Tolerance],MATCH($G1272,Tbl_KPIMaster[KPI],0)),"")</f>
        <v/>
      </c>
      <c r="L1272" s="8">
        <f>IFERROR(INDEX(Tbl_KPIMaster[Owner],MATCH($G1272,Tbl_KPIMaster[KPI],0)),"")</f>
        <v/>
      </c>
      <c r="M1272" s="10" t="inlineStr">
        <is>
          <t>New operator training effect</t>
        </is>
      </c>
      <c r="N1272" s="8" t="inlineStr"/>
      <c r="O1272" s="8" t="inlineStr">
        <is>
          <t>Low</t>
        </is>
      </c>
      <c r="P1272" s="8" t="inlineStr">
        <is>
          <t>Closed</t>
        </is>
      </c>
      <c r="Q1272" s="9">
        <f>IFERROR(IF(INDEX(Tbl_KPIMaster[Direction],MATCH($G1272,Tbl_KPIMaster[KPI],0))="Lower is Better",IF($J1272=0,1,IF($I1272=0,0,$I1272/$J1272)),IF($I1272=0,1,$J1272/$I1272)),0)</f>
        <v/>
      </c>
      <c r="R1272" s="8">
        <f>IF(OR($I1272="",$J1272=""),"",$J1272-$I1272)</f>
        <v/>
      </c>
      <c r="S1272" s="8">
        <f>IFERROR(IF(INDEX(Tbl_KPIMaster[Direction],MATCH($G1272,Tbl_KPIMaster[KPI],0))="Lower is Better",IF($J1272&lt;=$I1272,"Green",IF($J1272&lt;=$I1272+IF($I1272=0,$K1272,$I1272*$K1272),"Amber","Red")),IF($J1272&gt;=$I1272,"Green",IF($J1272&gt;=$I1272-IF($I1272=0,$K1272,$I1272*$K1272),"Amber","Red"))),"")</f>
        <v/>
      </c>
      <c r="T1272" s="10" t="inlineStr"/>
    </row>
    <row r="1273">
      <c r="A1273" s="3" t="n">
        <v>46193</v>
      </c>
      <c r="B1273" s="4">
        <f>IF($A1273="","",TEXT($A1273,"mmm-yyyy"))</f>
        <v/>
      </c>
      <c r="C1273" s="4">
        <f>IF($A1273="","","W"&amp;WEEKNUM($A1273,2))</f>
        <v/>
      </c>
      <c r="D1273" s="4">
        <f>IF($A1273="","",TEXT($A1273,"ddd"))</f>
        <v/>
      </c>
      <c r="E1273" s="4" t="inlineStr">
        <is>
          <t>Warehouse</t>
        </is>
      </c>
      <c r="F1273" s="4">
        <f>IFERROR(INDEX(Tbl_KPIMaster[Category],MATCH($G1273,Tbl_KPIMaster[KPI],0)),"")</f>
        <v/>
      </c>
      <c r="G1273" s="4" t="inlineStr">
        <is>
          <t>On-Time Dispatch %</t>
        </is>
      </c>
      <c r="H1273" s="4">
        <f>IFERROR(INDEX(Tbl_KPIMaster[Unit],MATCH($G1273,Tbl_KPIMaster[KPI],0)),"")</f>
        <v/>
      </c>
      <c r="I1273" s="5">
        <f>IFERROR(INDEX(Tbl_KPIMaster[Maximum Target],MATCH($G1273,Tbl_KPIMaster[KPI],0)),"")</f>
        <v/>
      </c>
      <c r="J1273" s="5" t="n">
        <v>1.0594</v>
      </c>
      <c r="K1273" s="4">
        <f>IFERROR(INDEX(Tbl_KPIMaster[Tolerance],MATCH($G1273,Tbl_KPIMaster[KPI],0)),"")</f>
        <v/>
      </c>
      <c r="L1273" s="4">
        <f>IFERROR(INDEX(Tbl_KPIMaster[Owner],MATCH($G1273,Tbl_KPIMaster[KPI],0)),"")</f>
        <v/>
      </c>
      <c r="M1273" s="6" t="inlineStr">
        <is>
          <t>Process improvement in progress</t>
        </is>
      </c>
      <c r="N1273" s="4" t="inlineStr"/>
      <c r="O1273" s="4" t="inlineStr">
        <is>
          <t>Medium</t>
        </is>
      </c>
      <c r="P1273" s="4" t="inlineStr">
        <is>
          <t>Closed</t>
        </is>
      </c>
      <c r="Q1273" s="5">
        <f>IFERROR(IF(INDEX(Tbl_KPIMaster[Direction],MATCH($G1273,Tbl_KPIMaster[KPI],0))="Lower is Better",IF($J1273=0,1,IF($I1273=0,0,$I1273/$J1273)),IF($I1273=0,1,$J1273/$I1273)),0)</f>
        <v/>
      </c>
      <c r="R1273" s="4">
        <f>IF(OR($I1273="",$J1273=""),"",$J1273-$I1273)</f>
        <v/>
      </c>
      <c r="S1273" s="4">
        <f>IFERROR(IF(INDEX(Tbl_KPIMaster[Direction],MATCH($G1273,Tbl_KPIMaster[KPI],0))="Lower is Better",IF($J1273&lt;=$I1273,"Green",IF($J1273&lt;=$I1273+IF($I1273=0,$K1273,$I1273*$K1273),"Amber","Red")),IF($J1273&gt;=$I1273,"Green",IF($J1273&gt;=$I1273-IF($I1273=0,$K1273,$I1273*$K1273),"Amber","Red"))),"")</f>
        <v/>
      </c>
      <c r="T1273" s="6" t="inlineStr"/>
    </row>
    <row r="1274">
      <c r="A1274" s="7" t="n">
        <v>46193</v>
      </c>
      <c r="B1274" s="8">
        <f>IF($A1274="","",TEXT($A1274,"mmm-yyyy"))</f>
        <v/>
      </c>
      <c r="C1274" s="8">
        <f>IF($A1274="","","W"&amp;WEEKNUM($A1274,2))</f>
        <v/>
      </c>
      <c r="D1274" s="8">
        <f>IF($A1274="","",TEXT($A1274,"ddd"))</f>
        <v/>
      </c>
      <c r="E1274" s="8" t="inlineStr">
        <is>
          <t>Warehouse</t>
        </is>
      </c>
      <c r="F1274" s="8">
        <f>IFERROR(INDEX(Tbl_KPIMaster[Category],MATCH($G1274,Tbl_KPIMaster[KPI],0)),"")</f>
        <v/>
      </c>
      <c r="G1274" s="8" t="inlineStr">
        <is>
          <t>Inventory Accuracy %</t>
        </is>
      </c>
      <c r="H1274" s="8">
        <f>IFERROR(INDEX(Tbl_KPIMaster[Unit],MATCH($G1274,Tbl_KPIMaster[KPI],0)),"")</f>
        <v/>
      </c>
      <c r="I1274" s="9">
        <f>IFERROR(INDEX(Tbl_KPIMaster[Maximum Target],MATCH($G1274,Tbl_KPIMaster[KPI],0)),"")</f>
        <v/>
      </c>
      <c r="J1274" s="9" t="n">
        <v>0.881</v>
      </c>
      <c r="K1274" s="8">
        <f>IFERROR(INDEX(Tbl_KPIMaster[Tolerance],MATCH($G1274,Tbl_KPIMaster[KPI],0)),"")</f>
        <v/>
      </c>
      <c r="L1274" s="8">
        <f>IFERROR(INDEX(Tbl_KPIMaster[Owner],MATCH($G1274,Tbl_KPIMaster[KPI],0)),"")</f>
        <v/>
      </c>
      <c r="M1274" s="10" t="inlineStr">
        <is>
          <t>Equipment breakdown</t>
        </is>
      </c>
      <c r="N1274" s="8" t="inlineStr">
        <is>
          <t>Engineering support needed</t>
        </is>
      </c>
      <c r="O1274" s="8" t="inlineStr">
        <is>
          <t>High</t>
        </is>
      </c>
      <c r="P1274" s="8" t="inlineStr">
        <is>
          <t>Closed</t>
        </is>
      </c>
      <c r="Q1274" s="9">
        <f>IFERROR(IF(INDEX(Tbl_KPIMaster[Direction],MATCH($G1274,Tbl_KPIMaster[KPI],0))="Lower is Better",IF($J1274=0,1,IF($I1274=0,0,$I1274/$J1274)),IF($I1274=0,1,$J1274/$I1274)),0)</f>
        <v/>
      </c>
      <c r="R1274" s="8">
        <f>IF(OR($I1274="",$J1274=""),"",$J1274-$I1274)</f>
        <v/>
      </c>
      <c r="S1274" s="8">
        <f>IFERROR(IF(INDEX(Tbl_KPIMaster[Direction],MATCH($G1274,Tbl_KPIMaster[KPI],0))="Lower is Better",IF($J1274&lt;=$I1274,"Green",IF($J1274&lt;=$I1274+IF($I1274=0,$K1274,$I1274*$K1274),"Amber","Red")),IF($J1274&gt;=$I1274,"Green",IF($J1274&gt;=$I1274-IF($I1274=0,$K1274,$I1274*$K1274),"Amber","Red"))),"")</f>
        <v/>
      </c>
      <c r="T1274" s="10" t="inlineStr"/>
    </row>
    <row r="1275">
      <c r="A1275" s="3" t="n">
        <v>46193</v>
      </c>
      <c r="B1275" s="4">
        <f>IF($A1275="","",TEXT($A1275,"mmm-yyyy"))</f>
        <v/>
      </c>
      <c r="C1275" s="4">
        <f>IF($A1275="","","W"&amp;WEEKNUM($A1275,2))</f>
        <v/>
      </c>
      <c r="D1275" s="4">
        <f>IF($A1275="","",TEXT($A1275,"ddd"))</f>
        <v/>
      </c>
      <c r="E1275" s="4" t="inlineStr">
        <is>
          <t>HR</t>
        </is>
      </c>
      <c r="F1275" s="4">
        <f>IFERROR(INDEX(Tbl_KPIMaster[Category],MATCH($G1275,Tbl_KPIMaster[KPI],0)),"")</f>
        <v/>
      </c>
      <c r="G1275" s="4" t="inlineStr">
        <is>
          <t>Absenteeism %</t>
        </is>
      </c>
      <c r="H1275" s="4">
        <f>IFERROR(INDEX(Tbl_KPIMaster[Unit],MATCH($G1275,Tbl_KPIMaster[KPI],0)),"")</f>
        <v/>
      </c>
      <c r="I1275" s="5">
        <f>IFERROR(INDEX(Tbl_KPIMaster[Maximum Target],MATCH($G1275,Tbl_KPIMaster[KPI],0)),"")</f>
        <v/>
      </c>
      <c r="J1275" s="5" t="n">
        <v>0.2254</v>
      </c>
      <c r="K1275" s="4">
        <f>IFERROR(INDEX(Tbl_KPIMaster[Tolerance],MATCH($G1275,Tbl_KPIMaster[KPI],0)),"")</f>
        <v/>
      </c>
      <c r="L1275" s="4">
        <f>IFERROR(INDEX(Tbl_KPIMaster[Owner],MATCH($G1275,Tbl_KPIMaster[KPI],0)),"")</f>
        <v/>
      </c>
      <c r="M1275" s="6" t="inlineStr">
        <is>
          <t>New operator training effect</t>
        </is>
      </c>
      <c r="N1275" s="4" t="inlineStr"/>
      <c r="O1275" s="4" t="inlineStr">
        <is>
          <t>High</t>
        </is>
      </c>
      <c r="P1275" s="4" t="inlineStr">
        <is>
          <t>Closed</t>
        </is>
      </c>
      <c r="Q1275" s="5">
        <f>IFERROR(IF(INDEX(Tbl_KPIMaster[Direction],MATCH($G1275,Tbl_KPIMaster[KPI],0))="Lower is Better",IF($J1275=0,1,IF($I1275=0,0,$I1275/$J1275)),IF($I1275=0,1,$J1275/$I1275)),0)</f>
        <v/>
      </c>
      <c r="R1275" s="4">
        <f>IF(OR($I1275="",$J1275=""),"",$J1275-$I1275)</f>
        <v/>
      </c>
      <c r="S1275" s="4">
        <f>IFERROR(IF(INDEX(Tbl_KPIMaster[Direction],MATCH($G1275,Tbl_KPIMaster[KPI],0))="Lower is Better",IF($J1275&lt;=$I1275,"Green",IF($J1275&lt;=$I1275+IF($I1275=0,$K1275,$I1275*$K1275),"Amber","Red")),IF($J1275&gt;=$I1275,"Green",IF($J1275&gt;=$I1275-IF($I1275=0,$K1275,$I1275*$K1275),"Amber","Red"))),"")</f>
        <v/>
      </c>
      <c r="T1275" s="6" t="inlineStr"/>
    </row>
    <row r="1276">
      <c r="A1276" s="7" t="n">
        <v>46193</v>
      </c>
      <c r="B1276" s="8">
        <f>IF($A1276="","",TEXT($A1276,"mmm-yyyy"))</f>
        <v/>
      </c>
      <c r="C1276" s="8">
        <f>IF($A1276="","","W"&amp;WEEKNUM($A1276,2))</f>
        <v/>
      </c>
      <c r="D1276" s="8">
        <f>IF($A1276="","",TEXT($A1276,"ddd"))</f>
        <v/>
      </c>
      <c r="E1276" s="8" t="inlineStr">
        <is>
          <t>HR</t>
        </is>
      </c>
      <c r="F1276" s="8">
        <f>IFERROR(INDEX(Tbl_KPIMaster[Category],MATCH($G1276,Tbl_KPIMaster[KPI],0)),"")</f>
        <v/>
      </c>
      <c r="G1276" s="8" t="inlineStr">
        <is>
          <t>Training Hours</t>
        </is>
      </c>
      <c r="H1276" s="8">
        <f>IFERROR(INDEX(Tbl_KPIMaster[Unit],MATCH($G1276,Tbl_KPIMaster[KPI],0)),"")</f>
        <v/>
      </c>
      <c r="I1276" s="9">
        <f>IFERROR(INDEX(Tbl_KPIMaster[Maximum Target],MATCH($G1276,Tbl_KPIMaster[KPI],0)),"")</f>
        <v/>
      </c>
      <c r="J1276" s="9" t="n">
        <v>2.35</v>
      </c>
      <c r="K1276" s="8">
        <f>IFERROR(INDEX(Tbl_KPIMaster[Tolerance],MATCH($G1276,Tbl_KPIMaster[KPI],0)),"")</f>
        <v/>
      </c>
      <c r="L1276" s="8">
        <f>IFERROR(INDEX(Tbl_KPIMaster[Owner],MATCH($G1276,Tbl_KPIMaster[KPI],0)),"")</f>
        <v/>
      </c>
      <c r="M1276" s="10" t="inlineStr">
        <is>
          <t>Process improvement in progress</t>
        </is>
      </c>
      <c r="N1276" s="8" t="inlineStr"/>
      <c r="O1276" s="8" t="inlineStr">
        <is>
          <t>Low</t>
        </is>
      </c>
      <c r="P1276" s="8" t="inlineStr">
        <is>
          <t>Closed</t>
        </is>
      </c>
      <c r="Q1276" s="9">
        <f>IFERROR(IF(INDEX(Tbl_KPIMaster[Direction],MATCH($G1276,Tbl_KPIMaster[KPI],0))="Lower is Better",IF($J1276=0,1,IF($I1276=0,0,$I1276/$J1276)),IF($I1276=0,1,$J1276/$I1276)),0)</f>
        <v/>
      </c>
      <c r="R1276" s="8">
        <f>IF(OR($I1276="",$J1276=""),"",$J1276-$I1276)</f>
        <v/>
      </c>
      <c r="S1276" s="8">
        <f>IFERROR(IF(INDEX(Tbl_KPIMaster[Direction],MATCH($G1276,Tbl_KPIMaster[KPI],0))="Lower is Better",IF($J1276&lt;=$I1276,"Green",IF($J1276&lt;=$I1276+IF($I1276=0,$K1276,$I1276*$K1276),"Amber","Red")),IF($J1276&gt;=$I1276,"Green",IF($J1276&gt;=$I1276-IF($I1276=0,$K1276,$I1276*$K1276),"Amber","Red"))),"")</f>
        <v/>
      </c>
      <c r="T1276" s="10" t="inlineStr"/>
    </row>
    <row r="1277">
      <c r="A1277" s="3" t="n">
        <v>46193</v>
      </c>
      <c r="B1277" s="4">
        <f>IF($A1277="","",TEXT($A1277,"mmm-yyyy"))</f>
        <v/>
      </c>
      <c r="C1277" s="4">
        <f>IF($A1277="","","W"&amp;WEEKNUM($A1277,2))</f>
        <v/>
      </c>
      <c r="D1277" s="4">
        <f>IF($A1277="","",TEXT($A1277,"ddd"))</f>
        <v/>
      </c>
      <c r="E1277" s="4" t="inlineStr">
        <is>
          <t>Engineering</t>
        </is>
      </c>
      <c r="F1277" s="4">
        <f>IFERROR(INDEX(Tbl_KPIMaster[Category],MATCH($G1277,Tbl_KPIMaster[KPI],0)),"")</f>
        <v/>
      </c>
      <c r="G1277" s="4" t="inlineStr">
        <is>
          <t>Project Milestone Adherence %</t>
        </is>
      </c>
      <c r="H1277" s="4">
        <f>IFERROR(INDEX(Tbl_KPIMaster[Unit],MATCH($G1277,Tbl_KPIMaster[KPI],0)),"")</f>
        <v/>
      </c>
      <c r="I1277" s="5">
        <f>IFERROR(INDEX(Tbl_KPIMaster[Maximum Target],MATCH($G1277,Tbl_KPIMaster[KPI],0)),"")</f>
        <v/>
      </c>
      <c r="J1277" s="5" t="n">
        <v>1.0934</v>
      </c>
      <c r="K1277" s="4">
        <f>IFERROR(INDEX(Tbl_KPIMaster[Tolerance],MATCH($G1277,Tbl_KPIMaster[KPI],0)),"")</f>
        <v/>
      </c>
      <c r="L1277" s="4">
        <f>IFERROR(INDEX(Tbl_KPIMaster[Owner],MATCH($G1277,Tbl_KPIMaster[KPI],0)),"")</f>
        <v/>
      </c>
      <c r="M1277" s="6" t="inlineStr">
        <is>
          <t>Equipment breakdown</t>
        </is>
      </c>
      <c r="N1277" s="4" t="inlineStr">
        <is>
          <t>Management approval pending</t>
        </is>
      </c>
      <c r="O1277" s="4" t="inlineStr">
        <is>
          <t>Low</t>
        </is>
      </c>
      <c r="P1277" s="4" t="inlineStr">
        <is>
          <t>Closed</t>
        </is>
      </c>
      <c r="Q1277" s="5">
        <f>IFERROR(IF(INDEX(Tbl_KPIMaster[Direction],MATCH($G1277,Tbl_KPIMaster[KPI],0))="Lower is Better",IF($J1277=0,1,IF($I1277=0,0,$I1277/$J1277)),IF($I1277=0,1,$J1277/$I1277)),0)</f>
        <v/>
      </c>
      <c r="R1277" s="4">
        <f>IF(OR($I1277="",$J1277=""),"",$J1277-$I1277)</f>
        <v/>
      </c>
      <c r="S1277" s="4">
        <f>IFERROR(IF(INDEX(Tbl_KPIMaster[Direction],MATCH($G1277,Tbl_KPIMaster[KPI],0))="Lower is Better",IF($J1277&lt;=$I1277,"Green",IF($J1277&lt;=$I1277+IF($I1277=0,$K1277,$I1277*$K1277),"Amber","Red")),IF($J1277&gt;=$I1277,"Green",IF($J1277&gt;=$I1277-IF($I1277=0,$K1277,$I1277*$K1277),"Amber","Red"))),"")</f>
        <v/>
      </c>
      <c r="T1277" s="6" t="inlineStr"/>
    </row>
    <row r="1278">
      <c r="A1278" s="7" t="n">
        <v>46193</v>
      </c>
      <c r="B1278" s="8">
        <f>IF($A1278="","",TEXT($A1278,"mmm-yyyy"))</f>
        <v/>
      </c>
      <c r="C1278" s="8">
        <f>IF($A1278="","","W"&amp;WEEKNUM($A1278,2))</f>
        <v/>
      </c>
      <c r="D1278" s="8">
        <f>IF($A1278="","",TEXT($A1278,"ddd"))</f>
        <v/>
      </c>
      <c r="E1278" s="8" t="inlineStr">
        <is>
          <t>Engineering</t>
        </is>
      </c>
      <c r="F1278" s="8">
        <f>IFERROR(INDEX(Tbl_KPIMaster[Category],MATCH($G1278,Tbl_KPIMaster[KPI],0)),"")</f>
        <v/>
      </c>
      <c r="G1278" s="8" t="inlineStr">
        <is>
          <t>Breakdown Resolution Time</t>
        </is>
      </c>
      <c r="H1278" s="8">
        <f>IFERROR(INDEX(Tbl_KPIMaster[Unit],MATCH($G1278,Tbl_KPIMaster[KPI],0)),"")</f>
        <v/>
      </c>
      <c r="I1278" s="9">
        <f>IFERROR(INDEX(Tbl_KPIMaster[Maximum Target],MATCH($G1278,Tbl_KPIMaster[KPI],0)),"")</f>
        <v/>
      </c>
      <c r="J1278" s="9" t="n">
        <v>0.98</v>
      </c>
      <c r="K1278" s="8">
        <f>IFERROR(INDEX(Tbl_KPIMaster[Tolerance],MATCH($G1278,Tbl_KPIMaster[KPI],0)),"")</f>
        <v/>
      </c>
      <c r="L1278" s="8">
        <f>IFERROR(INDEX(Tbl_KPIMaster[Owner],MATCH($G1278,Tbl_KPIMaster[KPI],0)),"")</f>
        <v/>
      </c>
      <c r="M1278" s="10" t="inlineStr">
        <is>
          <t>New operator training effect</t>
        </is>
      </c>
      <c r="N1278" s="8" t="inlineStr"/>
      <c r="O1278" s="8" t="inlineStr">
        <is>
          <t>Medium</t>
        </is>
      </c>
      <c r="P1278" s="8" t="inlineStr">
        <is>
          <t>Closed</t>
        </is>
      </c>
      <c r="Q1278" s="9">
        <f>IFERROR(IF(INDEX(Tbl_KPIMaster[Direction],MATCH($G1278,Tbl_KPIMaster[KPI],0))="Lower is Better",IF($J1278=0,1,IF($I1278=0,0,$I1278/$J1278)),IF($I1278=0,1,$J1278/$I1278)),0)</f>
        <v/>
      </c>
      <c r="R1278" s="8">
        <f>IF(OR($I1278="",$J1278=""),"",$J1278-$I1278)</f>
        <v/>
      </c>
      <c r="S1278" s="8">
        <f>IFERROR(IF(INDEX(Tbl_KPIMaster[Direction],MATCH($G1278,Tbl_KPIMaster[KPI],0))="Lower is Better",IF($J1278&lt;=$I1278,"Green",IF($J1278&lt;=$I1278+IF($I1278=0,$K1278,$I1278*$K1278),"Amber","Red")),IF($J1278&gt;=$I1278,"Green",IF($J1278&gt;=$I1278-IF($I1278=0,$K1278,$I1278*$K1278),"Amber","Red"))),"")</f>
        <v/>
      </c>
      <c r="T1278" s="10" t="inlineStr"/>
    </row>
    <row r="1279">
      <c r="A1279" s="3" t="n">
        <v>46193</v>
      </c>
      <c r="B1279" s="4">
        <f>IF($A1279="","",TEXT($A1279,"mmm-yyyy"))</f>
        <v/>
      </c>
      <c r="C1279" s="4">
        <f>IF($A1279="","","W"&amp;WEEKNUM($A1279,2))</f>
        <v/>
      </c>
      <c r="D1279" s="4">
        <f>IF($A1279="","",TEXT($A1279,"ddd"))</f>
        <v/>
      </c>
      <c r="E1279" s="4" t="inlineStr">
        <is>
          <t>Cost</t>
        </is>
      </c>
      <c r="F1279" s="4">
        <f>IFERROR(INDEX(Tbl_KPIMaster[Category],MATCH($G1279,Tbl_KPIMaster[KPI],0)),"")</f>
        <v/>
      </c>
      <c r="G1279" s="4" t="inlineStr">
        <is>
          <t>Cost per Unit</t>
        </is>
      </c>
      <c r="H1279" s="4">
        <f>IFERROR(INDEX(Tbl_KPIMaster[Unit],MATCH($G1279,Tbl_KPIMaster[KPI],0)),"")</f>
        <v/>
      </c>
      <c r="I1279" s="5">
        <f>IFERROR(INDEX(Tbl_KPIMaster[Maximum Target],MATCH($G1279,Tbl_KPIMaster[KPI],0)),"")</f>
        <v/>
      </c>
      <c r="J1279" s="5" t="n">
        <v>39.99</v>
      </c>
      <c r="K1279" s="4">
        <f>IFERROR(INDEX(Tbl_KPIMaster[Tolerance],MATCH($G1279,Tbl_KPIMaster[KPI],0)),"")</f>
        <v/>
      </c>
      <c r="L1279" s="4">
        <f>IFERROR(INDEX(Tbl_KPIMaster[Owner],MATCH($G1279,Tbl_KPIMaster[KPI],0)),"")</f>
        <v/>
      </c>
      <c r="M1279" s="6" t="inlineStr">
        <is>
          <t>Line changeover impact</t>
        </is>
      </c>
      <c r="N1279" s="4" t="inlineStr"/>
      <c r="O1279" s="4" t="inlineStr">
        <is>
          <t>Medium</t>
        </is>
      </c>
      <c r="P1279" s="4" t="inlineStr">
        <is>
          <t>Closed</t>
        </is>
      </c>
      <c r="Q1279" s="5">
        <f>IFERROR(IF(INDEX(Tbl_KPIMaster[Direction],MATCH($G1279,Tbl_KPIMaster[KPI],0))="Lower is Better",IF($J1279=0,1,IF($I1279=0,0,$I1279/$J1279)),IF($I1279=0,1,$J1279/$I1279)),0)</f>
        <v/>
      </c>
      <c r="R1279" s="4">
        <f>IF(OR($I1279="",$J1279=""),"",$J1279-$I1279)</f>
        <v/>
      </c>
      <c r="S1279" s="4">
        <f>IFERROR(IF(INDEX(Tbl_KPIMaster[Direction],MATCH($G1279,Tbl_KPIMaster[KPI],0))="Lower is Better",IF($J1279&lt;=$I1279,"Green",IF($J1279&lt;=$I1279+IF($I1279=0,$K1279,$I1279*$K1279),"Amber","Red")),IF($J1279&gt;=$I1279,"Green",IF($J1279&gt;=$I1279-IF($I1279=0,$K1279,$I1279*$K1279),"Amber","Red"))),"")</f>
        <v/>
      </c>
      <c r="T1279" s="6" t="inlineStr"/>
    </row>
    <row r="1280">
      <c r="A1280" s="7" t="n">
        <v>46193</v>
      </c>
      <c r="B1280" s="8">
        <f>IF($A1280="","",TEXT($A1280,"mmm-yyyy"))</f>
        <v/>
      </c>
      <c r="C1280" s="8">
        <f>IF($A1280="","","W"&amp;WEEKNUM($A1280,2))</f>
        <v/>
      </c>
      <c r="D1280" s="8">
        <f>IF($A1280="","",TEXT($A1280,"ddd"))</f>
        <v/>
      </c>
      <c r="E1280" s="8" t="inlineStr">
        <is>
          <t>Cost</t>
        </is>
      </c>
      <c r="F1280" s="8">
        <f>IFERROR(INDEX(Tbl_KPIMaster[Category],MATCH($G1280,Tbl_KPIMaster[KPI],0)),"")</f>
        <v/>
      </c>
      <c r="G1280" s="8" t="inlineStr">
        <is>
          <t>Budget Variance %</t>
        </is>
      </c>
      <c r="H1280" s="8">
        <f>IFERROR(INDEX(Tbl_KPIMaster[Unit],MATCH($G1280,Tbl_KPIMaster[KPI],0)),"")</f>
        <v/>
      </c>
      <c r="I1280" s="9">
        <f>IFERROR(INDEX(Tbl_KPIMaster[Maximum Target],MATCH($G1280,Tbl_KPIMaster[KPI],0)),"")</f>
        <v/>
      </c>
      <c r="J1280" s="9" t="n">
        <v>0.4822</v>
      </c>
      <c r="K1280" s="8">
        <f>IFERROR(INDEX(Tbl_KPIMaster[Tolerance],MATCH($G1280,Tbl_KPIMaster[KPI],0)),"")</f>
        <v/>
      </c>
      <c r="L1280" s="8">
        <f>IFERROR(INDEX(Tbl_KPIMaster[Owner],MATCH($G1280,Tbl_KPIMaster[KPI],0)),"")</f>
        <v/>
      </c>
      <c r="M1280" s="10" t="inlineStr">
        <is>
          <t>Vendor delay</t>
        </is>
      </c>
      <c r="N1280" s="8" t="inlineStr"/>
      <c r="O1280" s="8" t="inlineStr">
        <is>
          <t>Low</t>
        </is>
      </c>
      <c r="P1280" s="8" t="inlineStr">
        <is>
          <t>Closed</t>
        </is>
      </c>
      <c r="Q1280" s="9">
        <f>IFERROR(IF(INDEX(Tbl_KPIMaster[Direction],MATCH($G1280,Tbl_KPIMaster[KPI],0))="Lower is Better",IF($J1280=0,1,IF($I1280=0,0,$I1280/$J1280)),IF($I1280=0,1,$J1280/$I1280)),0)</f>
        <v/>
      </c>
      <c r="R1280" s="8">
        <f>IF(OR($I1280="",$J1280=""),"",$J1280-$I1280)</f>
        <v/>
      </c>
      <c r="S1280" s="8">
        <f>IFERROR(IF(INDEX(Tbl_KPIMaster[Direction],MATCH($G1280,Tbl_KPIMaster[KPI],0))="Lower is Better",IF($J1280&lt;=$I1280,"Green",IF($J1280&lt;=$I1280+IF($I1280=0,$K1280,$I1280*$K1280),"Amber","Red")),IF($J1280&gt;=$I1280,"Green",IF($J1280&gt;=$I1280-IF($I1280=0,$K1280,$I1280*$K1280),"Amber","Red"))),"")</f>
        <v/>
      </c>
      <c r="T1280" s="10" t="inlineStr"/>
    </row>
    <row r="1281">
      <c r="A1281" s="3" t="n">
        <v>46193</v>
      </c>
      <c r="B1281" s="4">
        <f>IF($A1281="","",TEXT($A1281,"mmm-yyyy"))</f>
        <v/>
      </c>
      <c r="C1281" s="4">
        <f>IF($A1281="","","W"&amp;WEEKNUM($A1281,2))</f>
        <v/>
      </c>
      <c r="D1281" s="4">
        <f>IF($A1281="","",TEXT($A1281,"ddd"))</f>
        <v/>
      </c>
      <c r="E1281" s="4" t="inlineStr">
        <is>
          <t>Energy</t>
        </is>
      </c>
      <c r="F1281" s="4">
        <f>IFERROR(INDEX(Tbl_KPIMaster[Category],MATCH($G1281,Tbl_KPIMaster[KPI],0)),"")</f>
        <v/>
      </c>
      <c r="G1281" s="4" t="inlineStr">
        <is>
          <t>Energy Intensity (kWh/unit)</t>
        </is>
      </c>
      <c r="H1281" s="4">
        <f>IFERROR(INDEX(Tbl_KPIMaster[Unit],MATCH($G1281,Tbl_KPIMaster[KPI],0)),"")</f>
        <v/>
      </c>
      <c r="I1281" s="5">
        <f>IFERROR(INDEX(Tbl_KPIMaster[Maximum Target],MATCH($G1281,Tbl_KPIMaster[KPI],0)),"")</f>
        <v/>
      </c>
      <c r="J1281" s="5" t="n">
        <v>3.67</v>
      </c>
      <c r="K1281" s="4">
        <f>IFERROR(INDEX(Tbl_KPIMaster[Tolerance],MATCH($G1281,Tbl_KPIMaster[KPI],0)),"")</f>
        <v/>
      </c>
      <c r="L1281" s="4">
        <f>IFERROR(INDEX(Tbl_KPIMaster[Owner],MATCH($G1281,Tbl_KPIMaster[KPI],0)),"")</f>
        <v/>
      </c>
      <c r="M1281" s="6" t="inlineStr">
        <is>
          <t>Preventive check done</t>
        </is>
      </c>
      <c r="N1281" s="4" t="inlineStr">
        <is>
          <t>Engineering support needed</t>
        </is>
      </c>
      <c r="O1281" s="4" t="inlineStr">
        <is>
          <t>Medium</t>
        </is>
      </c>
      <c r="P1281" s="4" t="inlineStr">
        <is>
          <t>Closed</t>
        </is>
      </c>
      <c r="Q1281" s="5">
        <f>IFERROR(IF(INDEX(Tbl_KPIMaster[Direction],MATCH($G1281,Tbl_KPIMaster[KPI],0))="Lower is Better",IF($J1281=0,1,IF($I1281=0,0,$I1281/$J1281)),IF($I1281=0,1,$J1281/$I1281)),0)</f>
        <v/>
      </c>
      <c r="R1281" s="4">
        <f>IF(OR($I1281="",$J1281=""),"",$J1281-$I1281)</f>
        <v/>
      </c>
      <c r="S1281" s="4">
        <f>IFERROR(IF(INDEX(Tbl_KPIMaster[Direction],MATCH($G1281,Tbl_KPIMaster[KPI],0))="Lower is Better",IF($J1281&lt;=$I1281,"Green",IF($J1281&lt;=$I1281+IF($I1281=0,$K1281,$I1281*$K1281),"Amber","Red")),IF($J1281&gt;=$I1281,"Green",IF($J1281&gt;=$I1281-IF($I1281=0,$K1281,$I1281*$K1281),"Amber","Red"))),"")</f>
        <v/>
      </c>
      <c r="T1281" s="6" t="inlineStr"/>
    </row>
    <row r="1282">
      <c r="A1282" s="7" t="n">
        <v>46193</v>
      </c>
      <c r="B1282" s="8">
        <f>IF($A1282="","",TEXT($A1282,"mmm-yyyy"))</f>
        <v/>
      </c>
      <c r="C1282" s="8">
        <f>IF($A1282="","","W"&amp;WEEKNUM($A1282,2))</f>
        <v/>
      </c>
      <c r="D1282" s="8">
        <f>IF($A1282="","",TEXT($A1282,"ddd"))</f>
        <v/>
      </c>
      <c r="E1282" s="8" t="inlineStr">
        <is>
          <t>Energy</t>
        </is>
      </c>
      <c r="F1282" s="8">
        <f>IFERROR(INDEX(Tbl_KPIMaster[Category],MATCH($G1282,Tbl_KPIMaster[KPI],0)),"")</f>
        <v/>
      </c>
      <c r="G1282" s="8" t="inlineStr">
        <is>
          <t>Renewable Energy Share %</t>
        </is>
      </c>
      <c r="H1282" s="8">
        <f>IFERROR(INDEX(Tbl_KPIMaster[Unit],MATCH($G1282,Tbl_KPIMaster[KPI],0)),"")</f>
        <v/>
      </c>
      <c r="I1282" s="9">
        <f>IFERROR(INDEX(Tbl_KPIMaster[Maximum Target],MATCH($G1282,Tbl_KPIMaster[KPI],0)),"")</f>
        <v/>
      </c>
      <c r="J1282" s="9" t="n">
        <v>0.2655</v>
      </c>
      <c r="K1282" s="8">
        <f>IFERROR(INDEX(Tbl_KPIMaster[Tolerance],MATCH($G1282,Tbl_KPIMaster[KPI],0)),"")</f>
        <v/>
      </c>
      <c r="L1282" s="8">
        <f>IFERROR(INDEX(Tbl_KPIMaster[Owner],MATCH($G1282,Tbl_KPIMaster[KPI],0)),"")</f>
        <v/>
      </c>
      <c r="M1282" s="10" t="inlineStr">
        <is>
          <t>Awaiting spares</t>
        </is>
      </c>
      <c r="N1282" s="8" t="inlineStr"/>
      <c r="O1282" s="8" t="inlineStr">
        <is>
          <t>Medium</t>
        </is>
      </c>
      <c r="P1282" s="8" t="inlineStr">
        <is>
          <t>Closed</t>
        </is>
      </c>
      <c r="Q1282" s="9">
        <f>IFERROR(IF(INDEX(Tbl_KPIMaster[Direction],MATCH($G1282,Tbl_KPIMaster[KPI],0))="Lower is Better",IF($J1282=0,1,IF($I1282=0,0,$I1282/$J1282)),IF($I1282=0,1,$J1282/$I1282)),0)</f>
        <v/>
      </c>
      <c r="R1282" s="8">
        <f>IF(OR($I1282="",$J1282=""),"",$J1282-$I1282)</f>
        <v/>
      </c>
      <c r="S1282" s="8">
        <f>IFERROR(IF(INDEX(Tbl_KPIMaster[Direction],MATCH($G1282,Tbl_KPIMaster[KPI],0))="Lower is Better",IF($J1282&lt;=$I1282,"Green",IF($J1282&lt;=$I1282+IF($I1282=0,$K1282,$I1282*$K1282),"Amber","Red")),IF($J1282&gt;=$I1282,"Green",IF($J1282&gt;=$I1282-IF($I1282=0,$K1282,$I1282*$K1282),"Amber","Red"))),"")</f>
        <v/>
      </c>
      <c r="T1282" s="10" t="inlineStr"/>
    </row>
    <row r="1283">
      <c r="A1283" s="3" t="n">
        <v>46194</v>
      </c>
      <c r="B1283" s="4">
        <f>IF($A1283="","",TEXT($A1283,"mmm-yyyy"))</f>
        <v/>
      </c>
      <c r="C1283" s="4">
        <f>IF($A1283="","","W"&amp;WEEKNUM($A1283,2))</f>
        <v/>
      </c>
      <c r="D1283" s="4">
        <f>IF($A1283="","",TEXT($A1283,"ddd"))</f>
        <v/>
      </c>
      <c r="E1283" s="4" t="inlineStr">
        <is>
          <t>Safety</t>
        </is>
      </c>
      <c r="F1283" s="4">
        <f>IFERROR(INDEX(Tbl_KPIMaster[Category],MATCH($G1283,Tbl_KPIMaster[KPI],0)),"")</f>
        <v/>
      </c>
      <c r="G1283" s="4" t="inlineStr">
        <is>
          <t>Safety Incidents (LTI)</t>
        </is>
      </c>
      <c r="H1283" s="4">
        <f>IFERROR(INDEX(Tbl_KPIMaster[Unit],MATCH($G1283,Tbl_KPIMaster[KPI],0)),"")</f>
        <v/>
      </c>
      <c r="I1283" s="5">
        <f>IFERROR(INDEX(Tbl_KPIMaster[Maximum Target],MATCH($G1283,Tbl_KPIMaster[KPI],0)),"")</f>
        <v/>
      </c>
      <c r="J1283" s="5" t="n">
        <v>0</v>
      </c>
      <c r="K1283" s="4">
        <f>IFERROR(INDEX(Tbl_KPIMaster[Tolerance],MATCH($G1283,Tbl_KPIMaster[KPI],0)),"")</f>
        <v/>
      </c>
      <c r="L1283" s="4">
        <f>IFERROR(INDEX(Tbl_KPIMaster[Owner],MATCH($G1283,Tbl_KPIMaster[KPI],0)),"")</f>
        <v/>
      </c>
      <c r="M1283" s="6" t="inlineStr">
        <is>
          <t>Manpower shortage</t>
        </is>
      </c>
      <c r="N1283" s="4" t="inlineStr"/>
      <c r="O1283" s="4" t="inlineStr">
        <is>
          <t>Low</t>
        </is>
      </c>
      <c r="P1283" s="4" t="inlineStr">
        <is>
          <t>Closed</t>
        </is>
      </c>
      <c r="Q1283" s="5">
        <f>IFERROR(IF(INDEX(Tbl_KPIMaster[Direction],MATCH($G1283,Tbl_KPIMaster[KPI],0))="Lower is Better",IF($J1283=0,1,IF($I1283=0,0,$I1283/$J1283)),IF($I1283=0,1,$J1283/$I1283)),0)</f>
        <v/>
      </c>
      <c r="R1283" s="4">
        <f>IF(OR($I1283="",$J1283=""),"",$J1283-$I1283)</f>
        <v/>
      </c>
      <c r="S1283" s="4">
        <f>IFERROR(IF(INDEX(Tbl_KPIMaster[Direction],MATCH($G1283,Tbl_KPIMaster[KPI],0))="Lower is Better",IF($J1283&lt;=$I1283,"Green",IF($J1283&lt;=$I1283+IF($I1283=0,$K1283,$I1283*$K1283),"Amber","Red")),IF($J1283&gt;=$I1283,"Green",IF($J1283&gt;=$I1283-IF($I1283=0,$K1283,$I1283*$K1283),"Amber","Red"))),"")</f>
        <v/>
      </c>
      <c r="T1283" s="6" t="inlineStr"/>
    </row>
    <row r="1284">
      <c r="A1284" s="7" t="n">
        <v>46194</v>
      </c>
      <c r="B1284" s="8">
        <f>IF($A1284="","",TEXT($A1284,"mmm-yyyy"))</f>
        <v/>
      </c>
      <c r="C1284" s="8">
        <f>IF($A1284="","","W"&amp;WEEKNUM($A1284,2))</f>
        <v/>
      </c>
      <c r="D1284" s="8">
        <f>IF($A1284="","",TEXT($A1284,"ddd"))</f>
        <v/>
      </c>
      <c r="E1284" s="8" t="inlineStr">
        <is>
          <t>Safety</t>
        </is>
      </c>
      <c r="F1284" s="8">
        <f>IFERROR(INDEX(Tbl_KPIMaster[Category],MATCH($G1284,Tbl_KPIMaster[KPI],0)),"")</f>
        <v/>
      </c>
      <c r="G1284" s="8" t="inlineStr">
        <is>
          <t>Near Miss Reports</t>
        </is>
      </c>
      <c r="H1284" s="8">
        <f>IFERROR(INDEX(Tbl_KPIMaster[Unit],MATCH($G1284,Tbl_KPIMaster[KPI],0)),"")</f>
        <v/>
      </c>
      <c r="I1284" s="9">
        <f>IFERROR(INDEX(Tbl_KPIMaster[Maximum Target],MATCH($G1284,Tbl_KPIMaster[KPI],0)),"")</f>
        <v/>
      </c>
      <c r="J1284" s="9" t="n">
        <v>2</v>
      </c>
      <c r="K1284" s="8">
        <f>IFERROR(INDEX(Tbl_KPIMaster[Tolerance],MATCH($G1284,Tbl_KPIMaster[KPI],0)),"")</f>
        <v/>
      </c>
      <c r="L1284" s="8">
        <f>IFERROR(INDEX(Tbl_KPIMaster[Owner],MATCH($G1284,Tbl_KPIMaster[KPI],0)),"")</f>
        <v/>
      </c>
      <c r="M1284" s="10" t="inlineStr">
        <is>
          <t>Awaiting spares</t>
        </is>
      </c>
      <c r="N1284" s="8" t="inlineStr">
        <is>
          <t>Engineering support needed</t>
        </is>
      </c>
      <c r="O1284" s="8" t="inlineStr">
        <is>
          <t>Low</t>
        </is>
      </c>
      <c r="P1284" s="8" t="inlineStr">
        <is>
          <t>Closed</t>
        </is>
      </c>
      <c r="Q1284" s="9">
        <f>IFERROR(IF(INDEX(Tbl_KPIMaster[Direction],MATCH($G1284,Tbl_KPIMaster[KPI],0))="Lower is Better",IF($J1284=0,1,IF($I1284=0,0,$I1284/$J1284)),IF($I1284=0,1,$J1284/$I1284)),0)</f>
        <v/>
      </c>
      <c r="R1284" s="8">
        <f>IF(OR($I1284="",$J1284=""),"",$J1284-$I1284)</f>
        <v/>
      </c>
      <c r="S1284" s="8">
        <f>IFERROR(IF(INDEX(Tbl_KPIMaster[Direction],MATCH($G1284,Tbl_KPIMaster[KPI],0))="Lower is Better",IF($J1284&lt;=$I1284,"Green",IF($J1284&lt;=$I1284+IF($I1284=0,$K1284,$I1284*$K1284),"Amber","Red")),IF($J1284&gt;=$I1284,"Green",IF($J1284&gt;=$I1284-IF($I1284=0,$K1284,$I1284*$K1284),"Amber","Red"))),"")</f>
        <v/>
      </c>
      <c r="T1284" s="10" t="inlineStr"/>
    </row>
    <row r="1285">
      <c r="A1285" s="3" t="n">
        <v>46194</v>
      </c>
      <c r="B1285" s="4">
        <f>IF($A1285="","",TEXT($A1285,"mmm-yyyy"))</f>
        <v/>
      </c>
      <c r="C1285" s="4">
        <f>IF($A1285="","","W"&amp;WEEKNUM($A1285,2))</f>
        <v/>
      </c>
      <c r="D1285" s="4">
        <f>IF($A1285="","",TEXT($A1285,"ddd"))</f>
        <v/>
      </c>
      <c r="E1285" s="4" t="inlineStr">
        <is>
          <t>Production</t>
        </is>
      </c>
      <c r="F1285" s="4">
        <f>IFERROR(INDEX(Tbl_KPIMaster[Category],MATCH($G1285,Tbl_KPIMaster[KPI],0)),"")</f>
        <v/>
      </c>
      <c r="G1285" s="4" t="inlineStr">
        <is>
          <t>Production Output</t>
        </is>
      </c>
      <c r="H1285" s="4">
        <f>IFERROR(INDEX(Tbl_KPIMaster[Unit],MATCH($G1285,Tbl_KPIMaster[KPI],0)),"")</f>
        <v/>
      </c>
      <c r="I1285" s="5">
        <f>IFERROR(INDEX(Tbl_KPIMaster[Maximum Target],MATCH($G1285,Tbl_KPIMaster[KPI],0)),"")</f>
        <v/>
      </c>
      <c r="J1285" s="5" t="n">
        <v>1057.76</v>
      </c>
      <c r="K1285" s="4">
        <f>IFERROR(INDEX(Tbl_KPIMaster[Tolerance],MATCH($G1285,Tbl_KPIMaster[KPI],0)),"")</f>
        <v/>
      </c>
      <c r="L1285" s="4">
        <f>IFERROR(INDEX(Tbl_KPIMaster[Owner],MATCH($G1285,Tbl_KPIMaster[KPI],0)),"")</f>
        <v/>
      </c>
      <c r="M1285" s="6" t="inlineStr">
        <is>
          <t>Process improvement in progress</t>
        </is>
      </c>
      <c r="N1285" s="4" t="inlineStr">
        <is>
          <t>Management approval pending</t>
        </is>
      </c>
      <c r="O1285" s="4" t="inlineStr">
        <is>
          <t>Low</t>
        </is>
      </c>
      <c r="P1285" s="4" t="inlineStr">
        <is>
          <t>Closed</t>
        </is>
      </c>
      <c r="Q1285" s="5">
        <f>IFERROR(IF(INDEX(Tbl_KPIMaster[Direction],MATCH($G1285,Tbl_KPIMaster[KPI],0))="Lower is Better",IF($J1285=0,1,IF($I1285=0,0,$I1285/$J1285)),IF($I1285=0,1,$J1285/$I1285)),0)</f>
        <v/>
      </c>
      <c r="R1285" s="4">
        <f>IF(OR($I1285="",$J1285=""),"",$J1285-$I1285)</f>
        <v/>
      </c>
      <c r="S1285" s="4">
        <f>IFERROR(IF(INDEX(Tbl_KPIMaster[Direction],MATCH($G1285,Tbl_KPIMaster[KPI],0))="Lower is Better",IF($J1285&lt;=$I1285,"Green",IF($J1285&lt;=$I1285+IF($I1285=0,$K1285,$I1285*$K1285),"Amber","Red")),IF($J1285&gt;=$I1285,"Green",IF($J1285&gt;=$I1285-IF($I1285=0,$K1285,$I1285*$K1285),"Amber","Red"))),"")</f>
        <v/>
      </c>
      <c r="T1285" s="6" t="inlineStr"/>
    </row>
    <row r="1286">
      <c r="A1286" s="7" t="n">
        <v>46194</v>
      </c>
      <c r="B1286" s="8">
        <f>IF($A1286="","",TEXT($A1286,"mmm-yyyy"))</f>
        <v/>
      </c>
      <c r="C1286" s="8">
        <f>IF($A1286="","","W"&amp;WEEKNUM($A1286,2))</f>
        <v/>
      </c>
      <c r="D1286" s="8">
        <f>IF($A1286="","",TEXT($A1286,"ddd"))</f>
        <v/>
      </c>
      <c r="E1286" s="8" t="inlineStr">
        <is>
          <t>Production</t>
        </is>
      </c>
      <c r="F1286" s="8">
        <f>IFERROR(INDEX(Tbl_KPIMaster[Category],MATCH($G1286,Tbl_KPIMaster[KPI],0)),"")</f>
        <v/>
      </c>
      <c r="G1286" s="8" t="inlineStr">
        <is>
          <t>OEE %</t>
        </is>
      </c>
      <c r="H1286" s="8">
        <f>IFERROR(INDEX(Tbl_KPIMaster[Unit],MATCH($G1286,Tbl_KPIMaster[KPI],0)),"")</f>
        <v/>
      </c>
      <c r="I1286" s="9">
        <f>IFERROR(INDEX(Tbl_KPIMaster[Maximum Target],MATCH($G1286,Tbl_KPIMaster[KPI],0)),"")</f>
        <v/>
      </c>
      <c r="J1286" s="9" t="n">
        <v>0.9041</v>
      </c>
      <c r="K1286" s="8">
        <f>IFERROR(INDEX(Tbl_KPIMaster[Tolerance],MATCH($G1286,Tbl_KPIMaster[KPI],0)),"")</f>
        <v/>
      </c>
      <c r="L1286" s="8">
        <f>IFERROR(INDEX(Tbl_KPIMaster[Owner],MATCH($G1286,Tbl_KPIMaster[KPI],0)),"")</f>
        <v/>
      </c>
      <c r="M1286" s="10" t="inlineStr"/>
      <c r="N1286" s="8" t="inlineStr">
        <is>
          <t>Procurement follow-up</t>
        </is>
      </c>
      <c r="O1286" s="8" t="inlineStr">
        <is>
          <t>Low</t>
        </is>
      </c>
      <c r="P1286" s="8" t="inlineStr">
        <is>
          <t>In Progress</t>
        </is>
      </c>
      <c r="Q1286" s="9">
        <f>IFERROR(IF(INDEX(Tbl_KPIMaster[Direction],MATCH($G1286,Tbl_KPIMaster[KPI],0))="Lower is Better",IF($J1286=0,1,IF($I1286=0,0,$I1286/$J1286)),IF($I1286=0,1,$J1286/$I1286)),0)</f>
        <v/>
      </c>
      <c r="R1286" s="8">
        <f>IF(OR($I1286="",$J1286=""),"",$J1286-$I1286)</f>
        <v/>
      </c>
      <c r="S1286" s="8">
        <f>IFERROR(IF(INDEX(Tbl_KPIMaster[Direction],MATCH($G1286,Tbl_KPIMaster[KPI],0))="Lower is Better",IF($J1286&lt;=$I1286,"Green",IF($J1286&lt;=$I1286+IF($I1286=0,$K1286,$I1286*$K1286),"Amber","Red")),IF($J1286&gt;=$I1286,"Green",IF($J1286&gt;=$I1286-IF($I1286=0,$K1286,$I1286*$K1286),"Amber","Red"))),"")</f>
        <v/>
      </c>
      <c r="T1286" s="10" t="inlineStr"/>
    </row>
    <row r="1287">
      <c r="A1287" s="3" t="n">
        <v>46194</v>
      </c>
      <c r="B1287" s="4">
        <f>IF($A1287="","",TEXT($A1287,"mmm-yyyy"))</f>
        <v/>
      </c>
      <c r="C1287" s="4">
        <f>IF($A1287="","","W"&amp;WEEKNUM($A1287,2))</f>
        <v/>
      </c>
      <c r="D1287" s="4">
        <f>IF($A1287="","",TEXT($A1287,"ddd"))</f>
        <v/>
      </c>
      <c r="E1287" s="4" t="inlineStr">
        <is>
          <t>Quality</t>
        </is>
      </c>
      <c r="F1287" s="4">
        <f>IFERROR(INDEX(Tbl_KPIMaster[Category],MATCH($G1287,Tbl_KPIMaster[KPI],0)),"")</f>
        <v/>
      </c>
      <c r="G1287" s="4" t="inlineStr">
        <is>
          <t>Defect Rate %</t>
        </is>
      </c>
      <c r="H1287" s="4">
        <f>IFERROR(INDEX(Tbl_KPIMaster[Unit],MATCH($G1287,Tbl_KPIMaster[KPI],0)),"")</f>
        <v/>
      </c>
      <c r="I1287" s="5">
        <f>IFERROR(INDEX(Tbl_KPIMaster[Maximum Target],MATCH($G1287,Tbl_KPIMaster[KPI],0)),"")</f>
        <v/>
      </c>
      <c r="J1287" s="5" t="n">
        <v>0.7724</v>
      </c>
      <c r="K1287" s="4">
        <f>IFERROR(INDEX(Tbl_KPIMaster[Tolerance],MATCH($G1287,Tbl_KPIMaster[KPI],0)),"")</f>
        <v/>
      </c>
      <c r="L1287" s="4">
        <f>IFERROR(INDEX(Tbl_KPIMaster[Owner],MATCH($G1287,Tbl_KPIMaster[KPI],0)),"")</f>
        <v/>
      </c>
      <c r="M1287" s="6" t="inlineStr">
        <is>
          <t>Line changeover impact</t>
        </is>
      </c>
      <c r="N1287" s="4" t="inlineStr">
        <is>
          <t>Engineering support needed</t>
        </is>
      </c>
      <c r="O1287" s="4" t="inlineStr">
        <is>
          <t>High</t>
        </is>
      </c>
      <c r="P1287" s="4" t="inlineStr">
        <is>
          <t>Closed</t>
        </is>
      </c>
      <c r="Q1287" s="5">
        <f>IFERROR(IF(INDEX(Tbl_KPIMaster[Direction],MATCH($G1287,Tbl_KPIMaster[KPI],0))="Lower is Better",IF($J1287=0,1,IF($I1287=0,0,$I1287/$J1287)),IF($I1287=0,1,$J1287/$I1287)),0)</f>
        <v/>
      </c>
      <c r="R1287" s="4">
        <f>IF(OR($I1287="",$J1287=""),"",$J1287-$I1287)</f>
        <v/>
      </c>
      <c r="S1287" s="4">
        <f>IFERROR(IF(INDEX(Tbl_KPIMaster[Direction],MATCH($G1287,Tbl_KPIMaster[KPI],0))="Lower is Better",IF($J1287&lt;=$I1287,"Green",IF($J1287&lt;=$I1287+IF($I1287=0,$K1287,$I1287*$K1287),"Amber","Red")),IF($J1287&gt;=$I1287,"Green",IF($J1287&gt;=$I1287-IF($I1287=0,$K1287,$I1287*$K1287),"Amber","Red"))),"")</f>
        <v/>
      </c>
      <c r="T1287" s="6" t="inlineStr"/>
    </row>
    <row r="1288">
      <c r="A1288" s="7" t="n">
        <v>46194</v>
      </c>
      <c r="B1288" s="8">
        <f>IF($A1288="","",TEXT($A1288,"mmm-yyyy"))</f>
        <v/>
      </c>
      <c r="C1288" s="8">
        <f>IF($A1288="","","W"&amp;WEEKNUM($A1288,2))</f>
        <v/>
      </c>
      <c r="D1288" s="8">
        <f>IF($A1288="","",TEXT($A1288,"ddd"))</f>
        <v/>
      </c>
      <c r="E1288" s="8" t="inlineStr">
        <is>
          <t>Quality</t>
        </is>
      </c>
      <c r="F1288" s="8">
        <f>IFERROR(INDEX(Tbl_KPIMaster[Category],MATCH($G1288,Tbl_KPIMaster[KPI],0)),"")</f>
        <v/>
      </c>
      <c r="G1288" s="8" t="inlineStr">
        <is>
          <t>Customer Complaints</t>
        </is>
      </c>
      <c r="H1288" s="8">
        <f>IFERROR(INDEX(Tbl_KPIMaster[Unit],MATCH($G1288,Tbl_KPIMaster[KPI],0)),"")</f>
        <v/>
      </c>
      <c r="I1288" s="9">
        <f>IFERROR(INDEX(Tbl_KPIMaster[Maximum Target],MATCH($G1288,Tbl_KPIMaster[KPI],0)),"")</f>
        <v/>
      </c>
      <c r="J1288" s="9" t="n">
        <v>0</v>
      </c>
      <c r="K1288" s="8">
        <f>IFERROR(INDEX(Tbl_KPIMaster[Tolerance],MATCH($G1288,Tbl_KPIMaster[KPI],0)),"")</f>
        <v/>
      </c>
      <c r="L1288" s="8">
        <f>IFERROR(INDEX(Tbl_KPIMaster[Owner],MATCH($G1288,Tbl_KPIMaster[KPI],0)),"")</f>
        <v/>
      </c>
      <c r="M1288" s="10" t="inlineStr">
        <is>
          <t>Process improvement in progress</t>
        </is>
      </c>
      <c r="N1288" s="8" t="inlineStr"/>
      <c r="O1288" s="8" t="inlineStr">
        <is>
          <t>Medium</t>
        </is>
      </c>
      <c r="P1288" s="8" t="inlineStr">
        <is>
          <t>Open</t>
        </is>
      </c>
      <c r="Q1288" s="9">
        <f>IFERROR(IF(INDEX(Tbl_KPIMaster[Direction],MATCH($G1288,Tbl_KPIMaster[KPI],0))="Lower is Better",IF($J1288=0,1,IF($I1288=0,0,$I1288/$J1288)),IF($I1288=0,1,$J1288/$I1288)),0)</f>
        <v/>
      </c>
      <c r="R1288" s="8">
        <f>IF(OR($I1288="",$J1288=""),"",$J1288-$I1288)</f>
        <v/>
      </c>
      <c r="S1288" s="8">
        <f>IFERROR(IF(INDEX(Tbl_KPIMaster[Direction],MATCH($G1288,Tbl_KPIMaster[KPI],0))="Lower is Better",IF($J1288&lt;=$I1288,"Green",IF($J1288&lt;=$I1288+IF($I1288=0,$K1288,$I1288*$K1288),"Amber","Red")),IF($J1288&gt;=$I1288,"Green",IF($J1288&gt;=$I1288-IF($I1288=0,$K1288,$I1288*$K1288),"Amber","Red"))),"")</f>
        <v/>
      </c>
      <c r="T1288" s="10" t="inlineStr"/>
    </row>
    <row r="1289">
      <c r="A1289" s="3" t="n">
        <v>46194</v>
      </c>
      <c r="B1289" s="4">
        <f>IF($A1289="","",TEXT($A1289,"mmm-yyyy"))</f>
        <v/>
      </c>
      <c r="C1289" s="4">
        <f>IF($A1289="","","W"&amp;WEEKNUM($A1289,2))</f>
        <v/>
      </c>
      <c r="D1289" s="4">
        <f>IF($A1289="","",TEXT($A1289,"ddd"))</f>
        <v/>
      </c>
      <c r="E1289" s="4" t="inlineStr">
        <is>
          <t>Maintenance</t>
        </is>
      </c>
      <c r="F1289" s="4">
        <f>IFERROR(INDEX(Tbl_KPIMaster[Category],MATCH($G1289,Tbl_KPIMaster[KPI],0)),"")</f>
        <v/>
      </c>
      <c r="G1289" s="4" t="inlineStr">
        <is>
          <t>Unplanned Downtime</t>
        </is>
      </c>
      <c r="H1289" s="4">
        <f>IFERROR(INDEX(Tbl_KPIMaster[Unit],MATCH($G1289,Tbl_KPIMaster[KPI],0)),"")</f>
        <v/>
      </c>
      <c r="I1289" s="5">
        <f>IFERROR(INDEX(Tbl_KPIMaster[Maximum Target],MATCH($G1289,Tbl_KPIMaster[KPI],0)),"")</f>
        <v/>
      </c>
      <c r="J1289" s="5" t="n">
        <v>0.13</v>
      </c>
      <c r="K1289" s="4">
        <f>IFERROR(INDEX(Tbl_KPIMaster[Tolerance],MATCH($G1289,Tbl_KPIMaster[KPI],0)),"")</f>
        <v/>
      </c>
      <c r="L1289" s="4">
        <f>IFERROR(INDEX(Tbl_KPIMaster[Owner],MATCH($G1289,Tbl_KPIMaster[KPI],0)),"")</f>
        <v/>
      </c>
      <c r="M1289" s="6" t="inlineStr">
        <is>
          <t>Awaiting spares</t>
        </is>
      </c>
      <c r="N1289" s="4" t="inlineStr">
        <is>
          <t>Procurement follow-up</t>
        </is>
      </c>
      <c r="O1289" s="4" t="inlineStr">
        <is>
          <t>Medium</t>
        </is>
      </c>
      <c r="P1289" s="4" t="inlineStr">
        <is>
          <t>Open</t>
        </is>
      </c>
      <c r="Q1289" s="5">
        <f>IFERROR(IF(INDEX(Tbl_KPIMaster[Direction],MATCH($G1289,Tbl_KPIMaster[KPI],0))="Lower is Better",IF($J1289=0,1,IF($I1289=0,0,$I1289/$J1289)),IF($I1289=0,1,$J1289/$I1289)),0)</f>
        <v/>
      </c>
      <c r="R1289" s="4">
        <f>IF(OR($I1289="",$J1289=""),"",$J1289-$I1289)</f>
        <v/>
      </c>
      <c r="S1289" s="4">
        <f>IFERROR(IF(INDEX(Tbl_KPIMaster[Direction],MATCH($G1289,Tbl_KPIMaster[KPI],0))="Lower is Better",IF($J1289&lt;=$I1289,"Green",IF($J1289&lt;=$I1289+IF($I1289=0,$K1289,$I1289*$K1289),"Amber","Red")),IF($J1289&gt;=$I1289,"Green",IF($J1289&gt;=$I1289-IF($I1289=0,$K1289,$I1289*$K1289),"Amber","Red"))),"")</f>
        <v/>
      </c>
      <c r="T1289" s="6" t="inlineStr"/>
    </row>
    <row r="1290">
      <c r="A1290" s="7" t="n">
        <v>46194</v>
      </c>
      <c r="B1290" s="8">
        <f>IF($A1290="","",TEXT($A1290,"mmm-yyyy"))</f>
        <v/>
      </c>
      <c r="C1290" s="8">
        <f>IF($A1290="","","W"&amp;WEEKNUM($A1290,2))</f>
        <v/>
      </c>
      <c r="D1290" s="8">
        <f>IF($A1290="","",TEXT($A1290,"ddd"))</f>
        <v/>
      </c>
      <c r="E1290" s="8" t="inlineStr">
        <is>
          <t>Maintenance</t>
        </is>
      </c>
      <c r="F1290" s="8">
        <f>IFERROR(INDEX(Tbl_KPIMaster[Category],MATCH($G1290,Tbl_KPIMaster[KPI],0)),"")</f>
        <v/>
      </c>
      <c r="G1290" s="8" t="inlineStr">
        <is>
          <t>PM Compliance %</t>
        </is>
      </c>
      <c r="H1290" s="8">
        <f>IFERROR(INDEX(Tbl_KPIMaster[Unit],MATCH($G1290,Tbl_KPIMaster[KPI],0)),"")</f>
        <v/>
      </c>
      <c r="I1290" s="9">
        <f>IFERROR(INDEX(Tbl_KPIMaster[Maximum Target],MATCH($G1290,Tbl_KPIMaster[KPI],0)),"")</f>
        <v/>
      </c>
      <c r="J1290" s="9" t="n">
        <v>1.034</v>
      </c>
      <c r="K1290" s="8">
        <f>IFERROR(INDEX(Tbl_KPIMaster[Tolerance],MATCH($G1290,Tbl_KPIMaster[KPI],0)),"")</f>
        <v/>
      </c>
      <c r="L1290" s="8">
        <f>IFERROR(INDEX(Tbl_KPIMaster[Owner],MATCH($G1290,Tbl_KPIMaster[KPI],0)),"")</f>
        <v/>
      </c>
      <c r="M1290" s="10" t="inlineStr">
        <is>
          <t>Awaiting spares</t>
        </is>
      </c>
      <c r="N1290" s="8" t="inlineStr">
        <is>
          <t>Management approval pending</t>
        </is>
      </c>
      <c r="O1290" s="8" t="inlineStr">
        <is>
          <t>Low</t>
        </is>
      </c>
      <c r="P1290" s="8" t="inlineStr">
        <is>
          <t>Closed</t>
        </is>
      </c>
      <c r="Q1290" s="9">
        <f>IFERROR(IF(INDEX(Tbl_KPIMaster[Direction],MATCH($G1290,Tbl_KPIMaster[KPI],0))="Lower is Better",IF($J1290=0,1,IF($I1290=0,0,$I1290/$J1290)),IF($I1290=0,1,$J1290/$I1290)),0)</f>
        <v/>
      </c>
      <c r="R1290" s="8">
        <f>IF(OR($I1290="",$J1290=""),"",$J1290-$I1290)</f>
        <v/>
      </c>
      <c r="S1290" s="8">
        <f>IFERROR(IF(INDEX(Tbl_KPIMaster[Direction],MATCH($G1290,Tbl_KPIMaster[KPI],0))="Lower is Better",IF($J1290&lt;=$I1290,"Green",IF($J1290&lt;=$I1290+IF($I1290=0,$K1290,$I1290*$K1290),"Amber","Red")),IF($J1290&gt;=$I1290,"Green",IF($J1290&gt;=$I1290-IF($I1290=0,$K1290,$I1290*$K1290),"Amber","Red"))),"")</f>
        <v/>
      </c>
      <c r="T1290" s="10" t="inlineStr"/>
    </row>
    <row r="1291">
      <c r="A1291" s="3" t="n">
        <v>46194</v>
      </c>
      <c r="B1291" s="4">
        <f>IF($A1291="","",TEXT($A1291,"mmm-yyyy"))</f>
        <v/>
      </c>
      <c r="C1291" s="4">
        <f>IF($A1291="","","W"&amp;WEEKNUM($A1291,2))</f>
        <v/>
      </c>
      <c r="D1291" s="4">
        <f>IF($A1291="","",TEXT($A1291,"ddd"))</f>
        <v/>
      </c>
      <c r="E1291" s="4" t="inlineStr">
        <is>
          <t>Utilities</t>
        </is>
      </c>
      <c r="F1291" s="4">
        <f>IFERROR(INDEX(Tbl_KPIMaster[Category],MATCH($G1291,Tbl_KPIMaster[KPI],0)),"")</f>
        <v/>
      </c>
      <c r="G1291" s="4" t="inlineStr">
        <is>
          <t>Power Consumption</t>
        </is>
      </c>
      <c r="H1291" s="4">
        <f>IFERROR(INDEX(Tbl_KPIMaster[Unit],MATCH($G1291,Tbl_KPIMaster[KPI],0)),"")</f>
        <v/>
      </c>
      <c r="I1291" s="5">
        <f>IFERROR(INDEX(Tbl_KPIMaster[Maximum Target],MATCH($G1291,Tbl_KPIMaster[KPI],0)),"")</f>
        <v/>
      </c>
      <c r="J1291" s="5" t="n">
        <v>4332.95</v>
      </c>
      <c r="K1291" s="4">
        <f>IFERROR(INDEX(Tbl_KPIMaster[Tolerance],MATCH($G1291,Tbl_KPIMaster[KPI],0)),"")</f>
        <v/>
      </c>
      <c r="L1291" s="4">
        <f>IFERROR(INDEX(Tbl_KPIMaster[Owner],MATCH($G1291,Tbl_KPIMaster[KPI],0)),"")</f>
        <v/>
      </c>
      <c r="M1291" s="6" t="inlineStr">
        <is>
          <t>Process improvement in progress</t>
        </is>
      </c>
      <c r="N1291" s="4" t="inlineStr">
        <is>
          <t>Management approval pending</t>
        </is>
      </c>
      <c r="O1291" s="4" t="inlineStr">
        <is>
          <t>Low</t>
        </is>
      </c>
      <c r="P1291" s="4" t="inlineStr">
        <is>
          <t>Closed</t>
        </is>
      </c>
      <c r="Q1291" s="5">
        <f>IFERROR(IF(INDEX(Tbl_KPIMaster[Direction],MATCH($G1291,Tbl_KPIMaster[KPI],0))="Lower is Better",IF($J1291=0,1,IF($I1291=0,0,$I1291/$J1291)),IF($I1291=0,1,$J1291/$I1291)),0)</f>
        <v/>
      </c>
      <c r="R1291" s="4">
        <f>IF(OR($I1291="",$J1291=""),"",$J1291-$I1291)</f>
        <v/>
      </c>
      <c r="S1291" s="4">
        <f>IFERROR(IF(INDEX(Tbl_KPIMaster[Direction],MATCH($G1291,Tbl_KPIMaster[KPI],0))="Lower is Better",IF($J1291&lt;=$I1291,"Green",IF($J1291&lt;=$I1291+IF($I1291=0,$K1291,$I1291*$K1291),"Amber","Red")),IF($J1291&gt;=$I1291,"Green",IF($J1291&gt;=$I1291-IF($I1291=0,$K1291,$I1291*$K1291),"Amber","Red"))),"")</f>
        <v/>
      </c>
      <c r="T1291" s="6" t="inlineStr"/>
    </row>
    <row r="1292">
      <c r="A1292" s="7" t="n">
        <v>46194</v>
      </c>
      <c r="B1292" s="8">
        <f>IF($A1292="","",TEXT($A1292,"mmm-yyyy"))</f>
        <v/>
      </c>
      <c r="C1292" s="8">
        <f>IF($A1292="","","W"&amp;WEEKNUM($A1292,2))</f>
        <v/>
      </c>
      <c r="D1292" s="8">
        <f>IF($A1292="","",TEXT($A1292,"ddd"))</f>
        <v/>
      </c>
      <c r="E1292" s="8" t="inlineStr">
        <is>
          <t>Utilities</t>
        </is>
      </c>
      <c r="F1292" s="8">
        <f>IFERROR(INDEX(Tbl_KPIMaster[Category],MATCH($G1292,Tbl_KPIMaster[KPI],0)),"")</f>
        <v/>
      </c>
      <c r="G1292" s="8" t="inlineStr">
        <is>
          <t>Water Consumption</t>
        </is>
      </c>
      <c r="H1292" s="8">
        <f>IFERROR(INDEX(Tbl_KPIMaster[Unit],MATCH($G1292,Tbl_KPIMaster[KPI],0)),"")</f>
        <v/>
      </c>
      <c r="I1292" s="9">
        <f>IFERROR(INDEX(Tbl_KPIMaster[Maximum Target],MATCH($G1292,Tbl_KPIMaster[KPI],0)),"")</f>
        <v/>
      </c>
      <c r="J1292" s="9" t="n">
        <v>53.12</v>
      </c>
      <c r="K1292" s="8">
        <f>IFERROR(INDEX(Tbl_KPIMaster[Tolerance],MATCH($G1292,Tbl_KPIMaster[KPI],0)),"")</f>
        <v/>
      </c>
      <c r="L1292" s="8">
        <f>IFERROR(INDEX(Tbl_KPIMaster[Owner],MATCH($G1292,Tbl_KPIMaster[KPI],0)),"")</f>
        <v/>
      </c>
      <c r="M1292" s="10" t="inlineStr">
        <is>
          <t>Awaiting spares</t>
        </is>
      </c>
      <c r="N1292" s="8" t="inlineStr">
        <is>
          <t>Management approval pending</t>
        </is>
      </c>
      <c r="O1292" s="8" t="inlineStr">
        <is>
          <t>Medium</t>
        </is>
      </c>
      <c r="P1292" s="8" t="inlineStr">
        <is>
          <t>Closed</t>
        </is>
      </c>
      <c r="Q1292" s="9">
        <f>IFERROR(IF(INDEX(Tbl_KPIMaster[Direction],MATCH($G1292,Tbl_KPIMaster[KPI],0))="Lower is Better",IF($J1292=0,1,IF($I1292=0,0,$I1292/$J1292)),IF($I1292=0,1,$J1292/$I1292)),0)</f>
        <v/>
      </c>
      <c r="R1292" s="8">
        <f>IF(OR($I1292="",$J1292=""),"",$J1292-$I1292)</f>
        <v/>
      </c>
      <c r="S1292" s="8">
        <f>IFERROR(IF(INDEX(Tbl_KPIMaster[Direction],MATCH($G1292,Tbl_KPIMaster[KPI],0))="Lower is Better",IF($J1292&lt;=$I1292,"Green",IF($J1292&lt;=$I1292+IF($I1292=0,$K1292,$I1292*$K1292),"Amber","Red")),IF($J1292&gt;=$I1292,"Green",IF($J1292&gt;=$I1292-IF($I1292=0,$K1292,$I1292*$K1292),"Amber","Red"))),"")</f>
        <v/>
      </c>
      <c r="T1292" s="10" t="inlineStr"/>
    </row>
    <row r="1293">
      <c r="A1293" s="3" t="n">
        <v>46194</v>
      </c>
      <c r="B1293" s="4">
        <f>IF($A1293="","",TEXT($A1293,"mmm-yyyy"))</f>
        <v/>
      </c>
      <c r="C1293" s="4">
        <f>IF($A1293="","","W"&amp;WEEKNUM($A1293,2))</f>
        <v/>
      </c>
      <c r="D1293" s="4">
        <f>IF($A1293="","",TEXT($A1293,"ddd"))</f>
        <v/>
      </c>
      <c r="E1293" s="4" t="inlineStr">
        <is>
          <t>Warehouse</t>
        </is>
      </c>
      <c r="F1293" s="4">
        <f>IFERROR(INDEX(Tbl_KPIMaster[Category],MATCH($G1293,Tbl_KPIMaster[KPI],0)),"")</f>
        <v/>
      </c>
      <c r="G1293" s="4" t="inlineStr">
        <is>
          <t>On-Time Dispatch %</t>
        </is>
      </c>
      <c r="H1293" s="4">
        <f>IFERROR(INDEX(Tbl_KPIMaster[Unit],MATCH($G1293,Tbl_KPIMaster[KPI],0)),"")</f>
        <v/>
      </c>
      <c r="I1293" s="5">
        <f>IFERROR(INDEX(Tbl_KPIMaster[Maximum Target],MATCH($G1293,Tbl_KPIMaster[KPI],0)),"")</f>
        <v/>
      </c>
      <c r="J1293" s="5" t="n">
        <v>1.0089</v>
      </c>
      <c r="K1293" s="4">
        <f>IFERROR(INDEX(Tbl_KPIMaster[Tolerance],MATCH($G1293,Tbl_KPIMaster[KPI],0)),"")</f>
        <v/>
      </c>
      <c r="L1293" s="4">
        <f>IFERROR(INDEX(Tbl_KPIMaster[Owner],MATCH($G1293,Tbl_KPIMaster[KPI],0)),"")</f>
        <v/>
      </c>
      <c r="M1293" s="6" t="inlineStr"/>
      <c r="N1293" s="4" t="inlineStr">
        <is>
          <t>Management approval pending</t>
        </is>
      </c>
      <c r="O1293" s="4" t="inlineStr">
        <is>
          <t>Low</t>
        </is>
      </c>
      <c r="P1293" s="4" t="inlineStr">
        <is>
          <t>Open</t>
        </is>
      </c>
      <c r="Q1293" s="5">
        <f>IFERROR(IF(INDEX(Tbl_KPIMaster[Direction],MATCH($G1293,Tbl_KPIMaster[KPI],0))="Lower is Better",IF($J1293=0,1,IF($I1293=0,0,$I1293/$J1293)),IF($I1293=0,1,$J1293/$I1293)),0)</f>
        <v/>
      </c>
      <c r="R1293" s="4">
        <f>IF(OR($I1293="",$J1293=""),"",$J1293-$I1293)</f>
        <v/>
      </c>
      <c r="S1293" s="4">
        <f>IFERROR(IF(INDEX(Tbl_KPIMaster[Direction],MATCH($G1293,Tbl_KPIMaster[KPI],0))="Lower is Better",IF($J1293&lt;=$I1293,"Green",IF($J1293&lt;=$I1293+IF($I1293=0,$K1293,$I1293*$K1293),"Amber","Red")),IF($J1293&gt;=$I1293,"Green",IF($J1293&gt;=$I1293-IF($I1293=0,$K1293,$I1293*$K1293),"Amber","Red"))),"")</f>
        <v/>
      </c>
      <c r="T1293" s="6" t="inlineStr"/>
    </row>
    <row r="1294">
      <c r="A1294" s="7" t="n">
        <v>46194</v>
      </c>
      <c r="B1294" s="8">
        <f>IF($A1294="","",TEXT($A1294,"mmm-yyyy"))</f>
        <v/>
      </c>
      <c r="C1294" s="8">
        <f>IF($A1294="","","W"&amp;WEEKNUM($A1294,2))</f>
        <v/>
      </c>
      <c r="D1294" s="8">
        <f>IF($A1294="","",TEXT($A1294,"ddd"))</f>
        <v/>
      </c>
      <c r="E1294" s="8" t="inlineStr">
        <is>
          <t>Warehouse</t>
        </is>
      </c>
      <c r="F1294" s="8">
        <f>IFERROR(INDEX(Tbl_KPIMaster[Category],MATCH($G1294,Tbl_KPIMaster[KPI],0)),"")</f>
        <v/>
      </c>
      <c r="G1294" s="8" t="inlineStr">
        <is>
          <t>Inventory Accuracy %</t>
        </is>
      </c>
      <c r="H1294" s="8">
        <f>IFERROR(INDEX(Tbl_KPIMaster[Unit],MATCH($G1294,Tbl_KPIMaster[KPI],0)),"")</f>
        <v/>
      </c>
      <c r="I1294" s="9">
        <f>IFERROR(INDEX(Tbl_KPIMaster[Maximum Target],MATCH($G1294,Tbl_KPIMaster[KPI],0)),"")</f>
        <v/>
      </c>
      <c r="J1294" s="9" t="n">
        <v>0.7854</v>
      </c>
      <c r="K1294" s="8">
        <f>IFERROR(INDEX(Tbl_KPIMaster[Tolerance],MATCH($G1294,Tbl_KPIMaster[KPI],0)),"")</f>
        <v/>
      </c>
      <c r="L1294" s="8">
        <f>IFERROR(INDEX(Tbl_KPIMaster[Owner],MATCH($G1294,Tbl_KPIMaster[KPI],0)),"")</f>
        <v/>
      </c>
      <c r="M1294" s="10" t="inlineStr"/>
      <c r="N1294" s="8" t="inlineStr"/>
      <c r="O1294" s="8" t="inlineStr">
        <is>
          <t>Low</t>
        </is>
      </c>
      <c r="P1294" s="8" t="inlineStr">
        <is>
          <t>Open</t>
        </is>
      </c>
      <c r="Q1294" s="9">
        <f>IFERROR(IF(INDEX(Tbl_KPIMaster[Direction],MATCH($G1294,Tbl_KPIMaster[KPI],0))="Lower is Better",IF($J1294=0,1,IF($I1294=0,0,$I1294/$J1294)),IF($I1294=0,1,$J1294/$I1294)),0)</f>
        <v/>
      </c>
      <c r="R1294" s="8">
        <f>IF(OR($I1294="",$J1294=""),"",$J1294-$I1294)</f>
        <v/>
      </c>
      <c r="S1294" s="8">
        <f>IFERROR(IF(INDEX(Tbl_KPIMaster[Direction],MATCH($G1294,Tbl_KPIMaster[KPI],0))="Lower is Better",IF($J1294&lt;=$I1294,"Green",IF($J1294&lt;=$I1294+IF($I1294=0,$K1294,$I1294*$K1294),"Amber","Red")),IF($J1294&gt;=$I1294,"Green",IF($J1294&gt;=$I1294-IF($I1294=0,$K1294,$I1294*$K1294),"Amber","Red"))),"")</f>
        <v/>
      </c>
      <c r="T1294" s="10" t="inlineStr"/>
    </row>
    <row r="1295">
      <c r="A1295" s="3" t="n">
        <v>46194</v>
      </c>
      <c r="B1295" s="4">
        <f>IF($A1295="","",TEXT($A1295,"mmm-yyyy"))</f>
        <v/>
      </c>
      <c r="C1295" s="4">
        <f>IF($A1295="","","W"&amp;WEEKNUM($A1295,2))</f>
        <v/>
      </c>
      <c r="D1295" s="4">
        <f>IF($A1295="","",TEXT($A1295,"ddd"))</f>
        <v/>
      </c>
      <c r="E1295" s="4" t="inlineStr">
        <is>
          <t>HR</t>
        </is>
      </c>
      <c r="F1295" s="4">
        <f>IFERROR(INDEX(Tbl_KPIMaster[Category],MATCH($G1295,Tbl_KPIMaster[KPI],0)),"")</f>
        <v/>
      </c>
      <c r="G1295" s="4" t="inlineStr">
        <is>
          <t>Absenteeism %</t>
        </is>
      </c>
      <c r="H1295" s="4">
        <f>IFERROR(INDEX(Tbl_KPIMaster[Unit],MATCH($G1295,Tbl_KPIMaster[KPI],0)),"")</f>
        <v/>
      </c>
      <c r="I1295" s="5">
        <f>IFERROR(INDEX(Tbl_KPIMaster[Maximum Target],MATCH($G1295,Tbl_KPIMaster[KPI],0)),"")</f>
        <v/>
      </c>
      <c r="J1295" s="5" t="n">
        <v>0.3834</v>
      </c>
      <c r="K1295" s="4">
        <f>IFERROR(INDEX(Tbl_KPIMaster[Tolerance],MATCH($G1295,Tbl_KPIMaster[KPI],0)),"")</f>
        <v/>
      </c>
      <c r="L1295" s="4">
        <f>IFERROR(INDEX(Tbl_KPIMaster[Owner],MATCH($G1295,Tbl_KPIMaster[KPI],0)),"")</f>
        <v/>
      </c>
      <c r="M1295" s="6" t="inlineStr"/>
      <c r="N1295" s="4" t="inlineStr"/>
      <c r="O1295" s="4" t="inlineStr">
        <is>
          <t>Low</t>
        </is>
      </c>
      <c r="P1295" s="4" t="inlineStr">
        <is>
          <t>Open</t>
        </is>
      </c>
      <c r="Q1295" s="5">
        <f>IFERROR(IF(INDEX(Tbl_KPIMaster[Direction],MATCH($G1295,Tbl_KPIMaster[KPI],0))="Lower is Better",IF($J1295=0,1,IF($I1295=0,0,$I1295/$J1295)),IF($I1295=0,1,$J1295/$I1295)),0)</f>
        <v/>
      </c>
      <c r="R1295" s="4">
        <f>IF(OR($I1295="",$J1295=""),"",$J1295-$I1295)</f>
        <v/>
      </c>
      <c r="S1295" s="4">
        <f>IFERROR(IF(INDEX(Tbl_KPIMaster[Direction],MATCH($G1295,Tbl_KPIMaster[KPI],0))="Lower is Better",IF($J1295&lt;=$I1295,"Green",IF($J1295&lt;=$I1295+IF($I1295=0,$K1295,$I1295*$K1295),"Amber","Red")),IF($J1295&gt;=$I1295,"Green",IF($J1295&gt;=$I1295-IF($I1295=0,$K1295,$I1295*$K1295),"Amber","Red"))),"")</f>
        <v/>
      </c>
      <c r="T1295" s="6" t="inlineStr"/>
    </row>
    <row r="1296">
      <c r="A1296" s="7" t="n">
        <v>46194</v>
      </c>
      <c r="B1296" s="8">
        <f>IF($A1296="","",TEXT($A1296,"mmm-yyyy"))</f>
        <v/>
      </c>
      <c r="C1296" s="8">
        <f>IF($A1296="","","W"&amp;WEEKNUM($A1296,2))</f>
        <v/>
      </c>
      <c r="D1296" s="8">
        <f>IF($A1296="","",TEXT($A1296,"ddd"))</f>
        <v/>
      </c>
      <c r="E1296" s="8" t="inlineStr">
        <is>
          <t>HR</t>
        </is>
      </c>
      <c r="F1296" s="8">
        <f>IFERROR(INDEX(Tbl_KPIMaster[Category],MATCH($G1296,Tbl_KPIMaster[KPI],0)),"")</f>
        <v/>
      </c>
      <c r="G1296" s="8" t="inlineStr">
        <is>
          <t>Training Hours</t>
        </is>
      </c>
      <c r="H1296" s="8">
        <f>IFERROR(INDEX(Tbl_KPIMaster[Unit],MATCH($G1296,Tbl_KPIMaster[KPI],0)),"")</f>
        <v/>
      </c>
      <c r="I1296" s="9">
        <f>IFERROR(INDEX(Tbl_KPIMaster[Maximum Target],MATCH($G1296,Tbl_KPIMaster[KPI],0)),"")</f>
        <v/>
      </c>
      <c r="J1296" s="9" t="n">
        <v>1.77</v>
      </c>
      <c r="K1296" s="8">
        <f>IFERROR(INDEX(Tbl_KPIMaster[Tolerance],MATCH($G1296,Tbl_KPIMaster[KPI],0)),"")</f>
        <v/>
      </c>
      <c r="L1296" s="8">
        <f>IFERROR(INDEX(Tbl_KPIMaster[Owner],MATCH($G1296,Tbl_KPIMaster[KPI],0)),"")</f>
        <v/>
      </c>
      <c r="M1296" s="10" t="inlineStr"/>
      <c r="N1296" s="8" t="inlineStr">
        <is>
          <t>Management approval pending</t>
        </is>
      </c>
      <c r="O1296" s="8" t="inlineStr">
        <is>
          <t>High</t>
        </is>
      </c>
      <c r="P1296" s="8" t="inlineStr">
        <is>
          <t>Closed</t>
        </is>
      </c>
      <c r="Q1296" s="9">
        <f>IFERROR(IF(INDEX(Tbl_KPIMaster[Direction],MATCH($G1296,Tbl_KPIMaster[KPI],0))="Lower is Better",IF($J1296=0,1,IF($I1296=0,0,$I1296/$J1296)),IF($I1296=0,1,$J1296/$I1296)),0)</f>
        <v/>
      </c>
      <c r="R1296" s="8">
        <f>IF(OR($I1296="",$J1296=""),"",$J1296-$I1296)</f>
        <v/>
      </c>
      <c r="S1296" s="8">
        <f>IFERROR(IF(INDEX(Tbl_KPIMaster[Direction],MATCH($G1296,Tbl_KPIMaster[KPI],0))="Lower is Better",IF($J1296&lt;=$I1296,"Green",IF($J1296&lt;=$I1296+IF($I1296=0,$K1296,$I1296*$K1296),"Amber","Red")),IF($J1296&gt;=$I1296,"Green",IF($J1296&gt;=$I1296-IF($I1296=0,$K1296,$I1296*$K1296),"Amber","Red"))),"")</f>
        <v/>
      </c>
      <c r="T1296" s="10" t="inlineStr"/>
    </row>
    <row r="1297">
      <c r="A1297" s="3" t="n">
        <v>46194</v>
      </c>
      <c r="B1297" s="4">
        <f>IF($A1297="","",TEXT($A1297,"mmm-yyyy"))</f>
        <v/>
      </c>
      <c r="C1297" s="4">
        <f>IF($A1297="","","W"&amp;WEEKNUM($A1297,2))</f>
        <v/>
      </c>
      <c r="D1297" s="4">
        <f>IF($A1297="","",TEXT($A1297,"ddd"))</f>
        <v/>
      </c>
      <c r="E1297" s="4" t="inlineStr">
        <is>
          <t>Engineering</t>
        </is>
      </c>
      <c r="F1297" s="4">
        <f>IFERROR(INDEX(Tbl_KPIMaster[Category],MATCH($G1297,Tbl_KPIMaster[KPI],0)),"")</f>
        <v/>
      </c>
      <c r="G1297" s="4" t="inlineStr">
        <is>
          <t>Project Milestone Adherence %</t>
        </is>
      </c>
      <c r="H1297" s="4">
        <f>IFERROR(INDEX(Tbl_KPIMaster[Unit],MATCH($G1297,Tbl_KPIMaster[KPI],0)),"")</f>
        <v/>
      </c>
      <c r="I1297" s="5">
        <f>IFERROR(INDEX(Tbl_KPIMaster[Maximum Target],MATCH($G1297,Tbl_KPIMaster[KPI],0)),"")</f>
        <v/>
      </c>
      <c r="J1297" s="5" t="n">
        <v>0.7803</v>
      </c>
      <c r="K1297" s="4">
        <f>IFERROR(INDEX(Tbl_KPIMaster[Tolerance],MATCH($G1297,Tbl_KPIMaster[KPI],0)),"")</f>
        <v/>
      </c>
      <c r="L1297" s="4">
        <f>IFERROR(INDEX(Tbl_KPIMaster[Owner],MATCH($G1297,Tbl_KPIMaster[KPI],0)),"")</f>
        <v/>
      </c>
      <c r="M1297" s="6" t="inlineStr">
        <is>
          <t>Equipment breakdown</t>
        </is>
      </c>
      <c r="N1297" s="4" t="inlineStr"/>
      <c r="O1297" s="4" t="inlineStr">
        <is>
          <t>Medium</t>
        </is>
      </c>
      <c r="P1297" s="4" t="inlineStr">
        <is>
          <t>Closed</t>
        </is>
      </c>
      <c r="Q1297" s="5">
        <f>IFERROR(IF(INDEX(Tbl_KPIMaster[Direction],MATCH($G1297,Tbl_KPIMaster[KPI],0))="Lower is Better",IF($J1297=0,1,IF($I1297=0,0,$I1297/$J1297)),IF($I1297=0,1,$J1297/$I1297)),0)</f>
        <v/>
      </c>
      <c r="R1297" s="4">
        <f>IF(OR($I1297="",$J1297=""),"",$J1297-$I1297)</f>
        <v/>
      </c>
      <c r="S1297" s="4">
        <f>IFERROR(IF(INDEX(Tbl_KPIMaster[Direction],MATCH($G1297,Tbl_KPIMaster[KPI],0))="Lower is Better",IF($J1297&lt;=$I1297,"Green",IF($J1297&lt;=$I1297+IF($I1297=0,$K1297,$I1297*$K1297),"Amber","Red")),IF($J1297&gt;=$I1297,"Green",IF($J1297&gt;=$I1297-IF($I1297=0,$K1297,$I1297*$K1297),"Amber","Red"))),"")</f>
        <v/>
      </c>
      <c r="T1297" s="6" t="inlineStr"/>
    </row>
    <row r="1298">
      <c r="A1298" s="7" t="n">
        <v>46194</v>
      </c>
      <c r="B1298" s="8">
        <f>IF($A1298="","",TEXT($A1298,"mmm-yyyy"))</f>
        <v/>
      </c>
      <c r="C1298" s="8">
        <f>IF($A1298="","","W"&amp;WEEKNUM($A1298,2))</f>
        <v/>
      </c>
      <c r="D1298" s="8">
        <f>IF($A1298="","",TEXT($A1298,"ddd"))</f>
        <v/>
      </c>
      <c r="E1298" s="8" t="inlineStr">
        <is>
          <t>Engineering</t>
        </is>
      </c>
      <c r="F1298" s="8">
        <f>IFERROR(INDEX(Tbl_KPIMaster[Category],MATCH($G1298,Tbl_KPIMaster[KPI],0)),"")</f>
        <v/>
      </c>
      <c r="G1298" s="8" t="inlineStr">
        <is>
          <t>Breakdown Resolution Time</t>
        </is>
      </c>
      <c r="H1298" s="8">
        <f>IFERROR(INDEX(Tbl_KPIMaster[Unit],MATCH($G1298,Tbl_KPIMaster[KPI],0)),"")</f>
        <v/>
      </c>
      <c r="I1298" s="9">
        <f>IFERROR(INDEX(Tbl_KPIMaster[Maximum Target],MATCH($G1298,Tbl_KPIMaster[KPI],0)),"")</f>
        <v/>
      </c>
      <c r="J1298" s="9" t="n">
        <v>0.29</v>
      </c>
      <c r="K1298" s="8">
        <f>IFERROR(INDEX(Tbl_KPIMaster[Tolerance],MATCH($G1298,Tbl_KPIMaster[KPI],0)),"")</f>
        <v/>
      </c>
      <c r="L1298" s="8">
        <f>IFERROR(INDEX(Tbl_KPIMaster[Owner],MATCH($G1298,Tbl_KPIMaster[KPI],0)),"")</f>
        <v/>
      </c>
      <c r="M1298" s="10" t="inlineStr">
        <is>
          <t>Process improvement in progress</t>
        </is>
      </c>
      <c r="N1298" s="8" t="inlineStr"/>
      <c r="O1298" s="8" t="inlineStr">
        <is>
          <t>High</t>
        </is>
      </c>
      <c r="P1298" s="8" t="inlineStr">
        <is>
          <t>Closed</t>
        </is>
      </c>
      <c r="Q1298" s="9">
        <f>IFERROR(IF(INDEX(Tbl_KPIMaster[Direction],MATCH($G1298,Tbl_KPIMaster[KPI],0))="Lower is Better",IF($J1298=0,1,IF($I1298=0,0,$I1298/$J1298)),IF($I1298=0,1,$J1298/$I1298)),0)</f>
        <v/>
      </c>
      <c r="R1298" s="8">
        <f>IF(OR($I1298="",$J1298=""),"",$J1298-$I1298)</f>
        <v/>
      </c>
      <c r="S1298" s="8">
        <f>IFERROR(IF(INDEX(Tbl_KPIMaster[Direction],MATCH($G1298,Tbl_KPIMaster[KPI],0))="Lower is Better",IF($J1298&lt;=$I1298,"Green",IF($J1298&lt;=$I1298+IF($I1298=0,$K1298,$I1298*$K1298),"Amber","Red")),IF($J1298&gt;=$I1298,"Green",IF($J1298&gt;=$I1298-IF($I1298=0,$K1298,$I1298*$K1298),"Amber","Red"))),"")</f>
        <v/>
      </c>
      <c r="T1298" s="10" t="inlineStr"/>
    </row>
    <row r="1299">
      <c r="A1299" s="3" t="n">
        <v>46194</v>
      </c>
      <c r="B1299" s="4">
        <f>IF($A1299="","",TEXT($A1299,"mmm-yyyy"))</f>
        <v/>
      </c>
      <c r="C1299" s="4">
        <f>IF($A1299="","","W"&amp;WEEKNUM($A1299,2))</f>
        <v/>
      </c>
      <c r="D1299" s="4">
        <f>IF($A1299="","",TEXT($A1299,"ddd"))</f>
        <v/>
      </c>
      <c r="E1299" s="4" t="inlineStr">
        <is>
          <t>Cost</t>
        </is>
      </c>
      <c r="F1299" s="4">
        <f>IFERROR(INDEX(Tbl_KPIMaster[Category],MATCH($G1299,Tbl_KPIMaster[KPI],0)),"")</f>
        <v/>
      </c>
      <c r="G1299" s="4" t="inlineStr">
        <is>
          <t>Cost per Unit</t>
        </is>
      </c>
      <c r="H1299" s="4">
        <f>IFERROR(INDEX(Tbl_KPIMaster[Unit],MATCH($G1299,Tbl_KPIMaster[KPI],0)),"")</f>
        <v/>
      </c>
      <c r="I1299" s="5">
        <f>IFERROR(INDEX(Tbl_KPIMaster[Maximum Target],MATCH($G1299,Tbl_KPIMaster[KPI],0)),"")</f>
        <v/>
      </c>
      <c r="J1299" s="5" t="n">
        <v>33.78</v>
      </c>
      <c r="K1299" s="4">
        <f>IFERROR(INDEX(Tbl_KPIMaster[Tolerance],MATCH($G1299,Tbl_KPIMaster[KPI],0)),"")</f>
        <v/>
      </c>
      <c r="L1299" s="4">
        <f>IFERROR(INDEX(Tbl_KPIMaster[Owner],MATCH($G1299,Tbl_KPIMaster[KPI],0)),"")</f>
        <v/>
      </c>
      <c r="M1299" s="6" t="inlineStr">
        <is>
          <t>Preventive check done</t>
        </is>
      </c>
      <c r="N1299" s="4" t="inlineStr">
        <is>
          <t>Procurement follow-up</t>
        </is>
      </c>
      <c r="O1299" s="4" t="inlineStr">
        <is>
          <t>High</t>
        </is>
      </c>
      <c r="P1299" s="4" t="inlineStr">
        <is>
          <t>Open</t>
        </is>
      </c>
      <c r="Q1299" s="5">
        <f>IFERROR(IF(INDEX(Tbl_KPIMaster[Direction],MATCH($G1299,Tbl_KPIMaster[KPI],0))="Lower is Better",IF($J1299=0,1,IF($I1299=0,0,$I1299/$J1299)),IF($I1299=0,1,$J1299/$I1299)),0)</f>
        <v/>
      </c>
      <c r="R1299" s="4">
        <f>IF(OR($I1299="",$J1299=""),"",$J1299-$I1299)</f>
        <v/>
      </c>
      <c r="S1299" s="4">
        <f>IFERROR(IF(INDEX(Tbl_KPIMaster[Direction],MATCH($G1299,Tbl_KPIMaster[KPI],0))="Lower is Better",IF($J1299&lt;=$I1299,"Green",IF($J1299&lt;=$I1299+IF($I1299=0,$K1299,$I1299*$K1299),"Amber","Red")),IF($J1299&gt;=$I1299,"Green",IF($J1299&gt;=$I1299-IF($I1299=0,$K1299,$I1299*$K1299),"Amber","Red"))),"")</f>
        <v/>
      </c>
      <c r="T1299" s="6" t="inlineStr"/>
    </row>
    <row r="1300">
      <c r="A1300" s="7" t="n">
        <v>46194</v>
      </c>
      <c r="B1300" s="8">
        <f>IF($A1300="","",TEXT($A1300,"mmm-yyyy"))</f>
        <v/>
      </c>
      <c r="C1300" s="8">
        <f>IF($A1300="","","W"&amp;WEEKNUM($A1300,2))</f>
        <v/>
      </c>
      <c r="D1300" s="8">
        <f>IF($A1300="","",TEXT($A1300,"ddd"))</f>
        <v/>
      </c>
      <c r="E1300" s="8" t="inlineStr">
        <is>
          <t>Cost</t>
        </is>
      </c>
      <c r="F1300" s="8">
        <f>IFERROR(INDEX(Tbl_KPIMaster[Category],MATCH($G1300,Tbl_KPIMaster[KPI],0)),"")</f>
        <v/>
      </c>
      <c r="G1300" s="8" t="inlineStr">
        <is>
          <t>Budget Variance %</t>
        </is>
      </c>
      <c r="H1300" s="8">
        <f>IFERROR(INDEX(Tbl_KPIMaster[Unit],MATCH($G1300,Tbl_KPIMaster[KPI],0)),"")</f>
        <v/>
      </c>
      <c r="I1300" s="9">
        <f>IFERROR(INDEX(Tbl_KPIMaster[Maximum Target],MATCH($G1300,Tbl_KPIMaster[KPI],0)),"")</f>
        <v/>
      </c>
      <c r="J1300" s="9" t="n">
        <v>0.4012</v>
      </c>
      <c r="K1300" s="8">
        <f>IFERROR(INDEX(Tbl_KPIMaster[Tolerance],MATCH($G1300,Tbl_KPIMaster[KPI],0)),"")</f>
        <v/>
      </c>
      <c r="L1300" s="8">
        <f>IFERROR(INDEX(Tbl_KPIMaster[Owner],MATCH($G1300,Tbl_KPIMaster[KPI],0)),"")</f>
        <v/>
      </c>
      <c r="M1300" s="10" t="inlineStr">
        <is>
          <t>Process improvement in progress</t>
        </is>
      </c>
      <c r="N1300" s="8" t="inlineStr">
        <is>
          <t>Procurement follow-up</t>
        </is>
      </c>
      <c r="O1300" s="8" t="inlineStr">
        <is>
          <t>Low</t>
        </is>
      </c>
      <c r="P1300" s="8" t="inlineStr">
        <is>
          <t>Closed</t>
        </is>
      </c>
      <c r="Q1300" s="9">
        <f>IFERROR(IF(INDEX(Tbl_KPIMaster[Direction],MATCH($G1300,Tbl_KPIMaster[KPI],0))="Lower is Better",IF($J1300=0,1,IF($I1300=0,0,$I1300/$J1300)),IF($I1300=0,1,$J1300/$I1300)),0)</f>
        <v/>
      </c>
      <c r="R1300" s="8">
        <f>IF(OR($I1300="",$J1300=""),"",$J1300-$I1300)</f>
        <v/>
      </c>
      <c r="S1300" s="8">
        <f>IFERROR(IF(INDEX(Tbl_KPIMaster[Direction],MATCH($G1300,Tbl_KPIMaster[KPI],0))="Lower is Better",IF($J1300&lt;=$I1300,"Green",IF($J1300&lt;=$I1300+IF($I1300=0,$K1300,$I1300*$K1300),"Amber","Red")),IF($J1300&gt;=$I1300,"Green",IF($J1300&gt;=$I1300-IF($I1300=0,$K1300,$I1300*$K1300),"Amber","Red"))),"")</f>
        <v/>
      </c>
      <c r="T1300" s="10" t="inlineStr"/>
    </row>
    <row r="1301">
      <c r="A1301" s="3" t="n">
        <v>46194</v>
      </c>
      <c r="B1301" s="4">
        <f>IF($A1301="","",TEXT($A1301,"mmm-yyyy"))</f>
        <v/>
      </c>
      <c r="C1301" s="4">
        <f>IF($A1301="","","W"&amp;WEEKNUM($A1301,2))</f>
        <v/>
      </c>
      <c r="D1301" s="4">
        <f>IF($A1301="","",TEXT($A1301,"ddd"))</f>
        <v/>
      </c>
      <c r="E1301" s="4" t="inlineStr">
        <is>
          <t>Energy</t>
        </is>
      </c>
      <c r="F1301" s="4">
        <f>IFERROR(INDEX(Tbl_KPIMaster[Category],MATCH($G1301,Tbl_KPIMaster[KPI],0)),"")</f>
        <v/>
      </c>
      <c r="G1301" s="4" t="inlineStr">
        <is>
          <t>Energy Intensity (kWh/unit)</t>
        </is>
      </c>
      <c r="H1301" s="4">
        <f>IFERROR(INDEX(Tbl_KPIMaster[Unit],MATCH($G1301,Tbl_KPIMaster[KPI],0)),"")</f>
        <v/>
      </c>
      <c r="I1301" s="5">
        <f>IFERROR(INDEX(Tbl_KPIMaster[Maximum Target],MATCH($G1301,Tbl_KPIMaster[KPI],0)),"")</f>
        <v/>
      </c>
      <c r="J1301" s="5" t="n">
        <v>5.62</v>
      </c>
      <c r="K1301" s="4">
        <f>IFERROR(INDEX(Tbl_KPIMaster[Tolerance],MATCH($G1301,Tbl_KPIMaster[KPI],0)),"")</f>
        <v/>
      </c>
      <c r="L1301" s="4">
        <f>IFERROR(INDEX(Tbl_KPIMaster[Owner],MATCH($G1301,Tbl_KPIMaster[KPI],0)),"")</f>
        <v/>
      </c>
      <c r="M1301" s="6" t="inlineStr">
        <is>
          <t>Line changeover impact</t>
        </is>
      </c>
      <c r="N1301" s="4" t="inlineStr"/>
      <c r="O1301" s="4" t="inlineStr">
        <is>
          <t>Medium</t>
        </is>
      </c>
      <c r="P1301" s="4" t="inlineStr">
        <is>
          <t>Open</t>
        </is>
      </c>
      <c r="Q1301" s="5">
        <f>IFERROR(IF(INDEX(Tbl_KPIMaster[Direction],MATCH($G1301,Tbl_KPIMaster[KPI],0))="Lower is Better",IF($J1301=0,1,IF($I1301=0,0,$I1301/$J1301)),IF($I1301=0,1,$J1301/$I1301)),0)</f>
        <v/>
      </c>
      <c r="R1301" s="4">
        <f>IF(OR($I1301="",$J1301=""),"",$J1301-$I1301)</f>
        <v/>
      </c>
      <c r="S1301" s="4">
        <f>IFERROR(IF(INDEX(Tbl_KPIMaster[Direction],MATCH($G1301,Tbl_KPIMaster[KPI],0))="Lower is Better",IF($J1301&lt;=$I1301,"Green",IF($J1301&lt;=$I1301+IF($I1301=0,$K1301,$I1301*$K1301),"Amber","Red")),IF($J1301&gt;=$I1301,"Green",IF($J1301&gt;=$I1301-IF($I1301=0,$K1301,$I1301*$K1301),"Amber","Red"))),"")</f>
        <v/>
      </c>
      <c r="T1301" s="6" t="inlineStr"/>
    </row>
    <row r="1302">
      <c r="A1302" s="7" t="n">
        <v>46194</v>
      </c>
      <c r="B1302" s="8">
        <f>IF($A1302="","",TEXT($A1302,"mmm-yyyy"))</f>
        <v/>
      </c>
      <c r="C1302" s="8">
        <f>IF($A1302="","","W"&amp;WEEKNUM($A1302,2))</f>
        <v/>
      </c>
      <c r="D1302" s="8">
        <f>IF($A1302="","",TEXT($A1302,"ddd"))</f>
        <v/>
      </c>
      <c r="E1302" s="8" t="inlineStr">
        <is>
          <t>Energy</t>
        </is>
      </c>
      <c r="F1302" s="8">
        <f>IFERROR(INDEX(Tbl_KPIMaster[Category],MATCH($G1302,Tbl_KPIMaster[KPI],0)),"")</f>
        <v/>
      </c>
      <c r="G1302" s="8" t="inlineStr">
        <is>
          <t>Renewable Energy Share %</t>
        </is>
      </c>
      <c r="H1302" s="8">
        <f>IFERROR(INDEX(Tbl_KPIMaster[Unit],MATCH($G1302,Tbl_KPIMaster[KPI],0)),"")</f>
        <v/>
      </c>
      <c r="I1302" s="9">
        <f>IFERROR(INDEX(Tbl_KPIMaster[Maximum Target],MATCH($G1302,Tbl_KPIMaster[KPI],0)),"")</f>
        <v/>
      </c>
      <c r="J1302" s="9" t="n">
        <v>0.2796</v>
      </c>
      <c r="K1302" s="8">
        <f>IFERROR(INDEX(Tbl_KPIMaster[Tolerance],MATCH($G1302,Tbl_KPIMaster[KPI],0)),"")</f>
        <v/>
      </c>
      <c r="L1302" s="8">
        <f>IFERROR(INDEX(Tbl_KPIMaster[Owner],MATCH($G1302,Tbl_KPIMaster[KPI],0)),"")</f>
        <v/>
      </c>
      <c r="M1302" s="10" t="inlineStr">
        <is>
          <t>Awaiting spares</t>
        </is>
      </c>
      <c r="N1302" s="8" t="inlineStr"/>
      <c r="O1302" s="8" t="inlineStr">
        <is>
          <t>Low</t>
        </is>
      </c>
      <c r="P1302" s="8" t="inlineStr">
        <is>
          <t>Closed</t>
        </is>
      </c>
      <c r="Q1302" s="9">
        <f>IFERROR(IF(INDEX(Tbl_KPIMaster[Direction],MATCH($G1302,Tbl_KPIMaster[KPI],0))="Lower is Better",IF($J1302=0,1,IF($I1302=0,0,$I1302/$J1302)),IF($I1302=0,1,$J1302/$I1302)),0)</f>
        <v/>
      </c>
      <c r="R1302" s="8">
        <f>IF(OR($I1302="",$J1302=""),"",$J1302-$I1302)</f>
        <v/>
      </c>
      <c r="S1302" s="8">
        <f>IFERROR(IF(INDEX(Tbl_KPIMaster[Direction],MATCH($G1302,Tbl_KPIMaster[KPI],0))="Lower is Better",IF($J1302&lt;=$I1302,"Green",IF($J1302&lt;=$I1302+IF($I1302=0,$K1302,$I1302*$K1302),"Amber","Red")),IF($J1302&gt;=$I1302,"Green",IF($J1302&gt;=$I1302-IF($I1302=0,$K1302,$I1302*$K1302),"Amber","Red"))),"")</f>
        <v/>
      </c>
      <c r="T1302" s="10" t="inlineStr"/>
    </row>
    <row r="1303">
      <c r="A1303" s="3" t="n">
        <v>46195</v>
      </c>
      <c r="B1303" s="4">
        <f>IF($A1303="","",TEXT($A1303,"mmm-yyyy"))</f>
        <v/>
      </c>
      <c r="C1303" s="4">
        <f>IF($A1303="","","W"&amp;WEEKNUM($A1303,2))</f>
        <v/>
      </c>
      <c r="D1303" s="4">
        <f>IF($A1303="","",TEXT($A1303,"ddd"))</f>
        <v/>
      </c>
      <c r="E1303" s="4" t="inlineStr">
        <is>
          <t>Safety</t>
        </is>
      </c>
      <c r="F1303" s="4">
        <f>IFERROR(INDEX(Tbl_KPIMaster[Category],MATCH($G1303,Tbl_KPIMaster[KPI],0)),"")</f>
        <v/>
      </c>
      <c r="G1303" s="4" t="inlineStr">
        <is>
          <t>Safety Incidents (LTI)</t>
        </is>
      </c>
      <c r="H1303" s="4">
        <f>IFERROR(INDEX(Tbl_KPIMaster[Unit],MATCH($G1303,Tbl_KPIMaster[KPI],0)),"")</f>
        <v/>
      </c>
      <c r="I1303" s="5">
        <f>IFERROR(INDEX(Tbl_KPIMaster[Maximum Target],MATCH($G1303,Tbl_KPIMaster[KPI],0)),"")</f>
        <v/>
      </c>
      <c r="J1303" s="5" t="n">
        <v>1</v>
      </c>
      <c r="K1303" s="4">
        <f>IFERROR(INDEX(Tbl_KPIMaster[Tolerance],MATCH($G1303,Tbl_KPIMaster[KPI],0)),"")</f>
        <v/>
      </c>
      <c r="L1303" s="4">
        <f>IFERROR(INDEX(Tbl_KPIMaster[Owner],MATCH($G1303,Tbl_KPIMaster[KPI],0)),"")</f>
        <v/>
      </c>
      <c r="M1303" s="6" t="inlineStr">
        <is>
          <t>Process improvement in progress</t>
        </is>
      </c>
      <c r="N1303" s="4" t="inlineStr">
        <is>
          <t>Management approval pending</t>
        </is>
      </c>
      <c r="O1303" s="4" t="inlineStr">
        <is>
          <t>Low</t>
        </is>
      </c>
      <c r="P1303" s="4" t="inlineStr">
        <is>
          <t>In Progress</t>
        </is>
      </c>
      <c r="Q1303" s="5">
        <f>IFERROR(IF(INDEX(Tbl_KPIMaster[Direction],MATCH($G1303,Tbl_KPIMaster[KPI],0))="Lower is Better",IF($J1303=0,1,IF($I1303=0,0,$I1303/$J1303)),IF($I1303=0,1,$J1303/$I1303)),0)</f>
        <v/>
      </c>
      <c r="R1303" s="4">
        <f>IF(OR($I1303="",$J1303=""),"",$J1303-$I1303)</f>
        <v/>
      </c>
      <c r="S1303" s="4">
        <f>IFERROR(IF(INDEX(Tbl_KPIMaster[Direction],MATCH($G1303,Tbl_KPIMaster[KPI],0))="Lower is Better",IF($J1303&lt;=$I1303,"Green",IF($J1303&lt;=$I1303+IF($I1303=0,$K1303,$I1303*$K1303),"Amber","Red")),IF($J1303&gt;=$I1303,"Green",IF($J1303&gt;=$I1303-IF($I1303=0,$K1303,$I1303*$K1303),"Amber","Red"))),"")</f>
        <v/>
      </c>
      <c r="T1303" s="6" t="inlineStr"/>
    </row>
    <row r="1304">
      <c r="A1304" s="7" t="n">
        <v>46195</v>
      </c>
      <c r="B1304" s="8">
        <f>IF($A1304="","",TEXT($A1304,"mmm-yyyy"))</f>
        <v/>
      </c>
      <c r="C1304" s="8">
        <f>IF($A1304="","","W"&amp;WEEKNUM($A1304,2))</f>
        <v/>
      </c>
      <c r="D1304" s="8">
        <f>IF($A1304="","",TEXT($A1304,"ddd"))</f>
        <v/>
      </c>
      <c r="E1304" s="8" t="inlineStr">
        <is>
          <t>Safety</t>
        </is>
      </c>
      <c r="F1304" s="8">
        <f>IFERROR(INDEX(Tbl_KPIMaster[Category],MATCH($G1304,Tbl_KPIMaster[KPI],0)),"")</f>
        <v/>
      </c>
      <c r="G1304" s="8" t="inlineStr">
        <is>
          <t>Near Miss Reports</t>
        </is>
      </c>
      <c r="H1304" s="8">
        <f>IFERROR(INDEX(Tbl_KPIMaster[Unit],MATCH($G1304,Tbl_KPIMaster[KPI],0)),"")</f>
        <v/>
      </c>
      <c r="I1304" s="9">
        <f>IFERROR(INDEX(Tbl_KPIMaster[Maximum Target],MATCH($G1304,Tbl_KPIMaster[KPI],0)),"")</f>
        <v/>
      </c>
      <c r="J1304" s="9" t="n">
        <v>2</v>
      </c>
      <c r="K1304" s="8">
        <f>IFERROR(INDEX(Tbl_KPIMaster[Tolerance],MATCH($G1304,Tbl_KPIMaster[KPI],0)),"")</f>
        <v/>
      </c>
      <c r="L1304" s="8">
        <f>IFERROR(INDEX(Tbl_KPIMaster[Owner],MATCH($G1304,Tbl_KPIMaster[KPI],0)),"")</f>
        <v/>
      </c>
      <c r="M1304" s="10" t="inlineStr">
        <is>
          <t>New operator training effect</t>
        </is>
      </c>
      <c r="N1304" s="8" t="inlineStr"/>
      <c r="O1304" s="8" t="inlineStr">
        <is>
          <t>Low</t>
        </is>
      </c>
      <c r="P1304" s="8" t="inlineStr">
        <is>
          <t>Open</t>
        </is>
      </c>
      <c r="Q1304" s="9">
        <f>IFERROR(IF(INDEX(Tbl_KPIMaster[Direction],MATCH($G1304,Tbl_KPIMaster[KPI],0))="Lower is Better",IF($J1304=0,1,IF($I1304=0,0,$I1304/$J1304)),IF($I1304=0,1,$J1304/$I1304)),0)</f>
        <v/>
      </c>
      <c r="R1304" s="8">
        <f>IF(OR($I1304="",$J1304=""),"",$J1304-$I1304)</f>
        <v/>
      </c>
      <c r="S1304" s="8">
        <f>IFERROR(IF(INDEX(Tbl_KPIMaster[Direction],MATCH($G1304,Tbl_KPIMaster[KPI],0))="Lower is Better",IF($J1304&lt;=$I1304,"Green",IF($J1304&lt;=$I1304+IF($I1304=0,$K1304,$I1304*$K1304),"Amber","Red")),IF($J1304&gt;=$I1304,"Green",IF($J1304&gt;=$I1304-IF($I1304=0,$K1304,$I1304*$K1304),"Amber","Red"))),"")</f>
        <v/>
      </c>
      <c r="T1304" s="10" t="inlineStr"/>
    </row>
    <row r="1305">
      <c r="A1305" s="3" t="n">
        <v>46195</v>
      </c>
      <c r="B1305" s="4">
        <f>IF($A1305="","",TEXT($A1305,"mmm-yyyy"))</f>
        <v/>
      </c>
      <c r="C1305" s="4">
        <f>IF($A1305="","","W"&amp;WEEKNUM($A1305,2))</f>
        <v/>
      </c>
      <c r="D1305" s="4">
        <f>IF($A1305="","",TEXT($A1305,"ddd"))</f>
        <v/>
      </c>
      <c r="E1305" s="4" t="inlineStr">
        <is>
          <t>Production</t>
        </is>
      </c>
      <c r="F1305" s="4">
        <f>IFERROR(INDEX(Tbl_KPIMaster[Category],MATCH($G1305,Tbl_KPIMaster[KPI],0)),"")</f>
        <v/>
      </c>
      <c r="G1305" s="4" t="inlineStr">
        <is>
          <t>Production Output</t>
        </is>
      </c>
      <c r="H1305" s="4">
        <f>IFERROR(INDEX(Tbl_KPIMaster[Unit],MATCH($G1305,Tbl_KPIMaster[KPI],0)),"")</f>
        <v/>
      </c>
      <c r="I1305" s="5">
        <f>IFERROR(INDEX(Tbl_KPIMaster[Maximum Target],MATCH($G1305,Tbl_KPIMaster[KPI],0)),"")</f>
        <v/>
      </c>
      <c r="J1305" s="5" t="n">
        <v>1131.51</v>
      </c>
      <c r="K1305" s="4">
        <f>IFERROR(INDEX(Tbl_KPIMaster[Tolerance],MATCH($G1305,Tbl_KPIMaster[KPI],0)),"")</f>
        <v/>
      </c>
      <c r="L1305" s="4">
        <f>IFERROR(INDEX(Tbl_KPIMaster[Owner],MATCH($G1305,Tbl_KPIMaster[KPI],0)),"")</f>
        <v/>
      </c>
      <c r="M1305" s="6" t="inlineStr">
        <is>
          <t>Process improvement in progress</t>
        </is>
      </c>
      <c r="N1305" s="4" t="inlineStr">
        <is>
          <t>Procurement follow-up</t>
        </is>
      </c>
      <c r="O1305" s="4" t="inlineStr">
        <is>
          <t>Low</t>
        </is>
      </c>
      <c r="P1305" s="4" t="inlineStr">
        <is>
          <t>Closed</t>
        </is>
      </c>
      <c r="Q1305" s="5">
        <f>IFERROR(IF(INDEX(Tbl_KPIMaster[Direction],MATCH($G1305,Tbl_KPIMaster[KPI],0))="Lower is Better",IF($J1305=0,1,IF($I1305=0,0,$I1305/$J1305)),IF($I1305=0,1,$J1305/$I1305)),0)</f>
        <v/>
      </c>
      <c r="R1305" s="4">
        <f>IF(OR($I1305="",$J1305=""),"",$J1305-$I1305)</f>
        <v/>
      </c>
      <c r="S1305" s="4">
        <f>IFERROR(IF(INDEX(Tbl_KPIMaster[Direction],MATCH($G1305,Tbl_KPIMaster[KPI],0))="Lower is Better",IF($J1305&lt;=$I1305,"Green",IF($J1305&lt;=$I1305+IF($I1305=0,$K1305,$I1305*$K1305),"Amber","Red")),IF($J1305&gt;=$I1305,"Green",IF($J1305&gt;=$I1305-IF($I1305=0,$K1305,$I1305*$K1305),"Amber","Red"))),"")</f>
        <v/>
      </c>
      <c r="T1305" s="6" t="inlineStr"/>
    </row>
    <row r="1306">
      <c r="A1306" s="7" t="n">
        <v>46195</v>
      </c>
      <c r="B1306" s="8">
        <f>IF($A1306="","",TEXT($A1306,"mmm-yyyy"))</f>
        <v/>
      </c>
      <c r="C1306" s="8">
        <f>IF($A1306="","","W"&amp;WEEKNUM($A1306,2))</f>
        <v/>
      </c>
      <c r="D1306" s="8">
        <f>IF($A1306="","",TEXT($A1306,"ddd"))</f>
        <v/>
      </c>
      <c r="E1306" s="8" t="inlineStr">
        <is>
          <t>Production</t>
        </is>
      </c>
      <c r="F1306" s="8">
        <f>IFERROR(INDEX(Tbl_KPIMaster[Category],MATCH($G1306,Tbl_KPIMaster[KPI],0)),"")</f>
        <v/>
      </c>
      <c r="G1306" s="8" t="inlineStr">
        <is>
          <t>OEE %</t>
        </is>
      </c>
      <c r="H1306" s="8">
        <f>IFERROR(INDEX(Tbl_KPIMaster[Unit],MATCH($G1306,Tbl_KPIMaster[KPI],0)),"")</f>
        <v/>
      </c>
      <c r="I1306" s="9">
        <f>IFERROR(INDEX(Tbl_KPIMaster[Maximum Target],MATCH($G1306,Tbl_KPIMaster[KPI],0)),"")</f>
        <v/>
      </c>
      <c r="J1306" s="9" t="n">
        <v>0.9154</v>
      </c>
      <c r="K1306" s="8">
        <f>IFERROR(INDEX(Tbl_KPIMaster[Tolerance],MATCH($G1306,Tbl_KPIMaster[KPI],0)),"")</f>
        <v/>
      </c>
      <c r="L1306" s="8">
        <f>IFERROR(INDEX(Tbl_KPIMaster[Owner],MATCH($G1306,Tbl_KPIMaster[KPI],0)),"")</f>
        <v/>
      </c>
      <c r="M1306" s="10" t="inlineStr">
        <is>
          <t>Process improvement in progress</t>
        </is>
      </c>
      <c r="N1306" s="8" t="inlineStr"/>
      <c r="O1306" s="8" t="inlineStr">
        <is>
          <t>Low</t>
        </is>
      </c>
      <c r="P1306" s="8" t="inlineStr">
        <is>
          <t>Closed</t>
        </is>
      </c>
      <c r="Q1306" s="9">
        <f>IFERROR(IF(INDEX(Tbl_KPIMaster[Direction],MATCH($G1306,Tbl_KPIMaster[KPI],0))="Lower is Better",IF($J1306=0,1,IF($I1306=0,0,$I1306/$J1306)),IF($I1306=0,1,$J1306/$I1306)),0)</f>
        <v/>
      </c>
      <c r="R1306" s="8">
        <f>IF(OR($I1306="",$J1306=""),"",$J1306-$I1306)</f>
        <v/>
      </c>
      <c r="S1306" s="8">
        <f>IFERROR(IF(INDEX(Tbl_KPIMaster[Direction],MATCH($G1306,Tbl_KPIMaster[KPI],0))="Lower is Better",IF($J1306&lt;=$I1306,"Green",IF($J1306&lt;=$I1306+IF($I1306=0,$K1306,$I1306*$K1306),"Amber","Red")),IF($J1306&gt;=$I1306,"Green",IF($J1306&gt;=$I1306-IF($I1306=0,$K1306,$I1306*$K1306),"Amber","Red"))),"")</f>
        <v/>
      </c>
      <c r="T1306" s="10" t="inlineStr"/>
    </row>
    <row r="1307">
      <c r="A1307" s="3" t="n">
        <v>46195</v>
      </c>
      <c r="B1307" s="4">
        <f>IF($A1307="","",TEXT($A1307,"mmm-yyyy"))</f>
        <v/>
      </c>
      <c r="C1307" s="4">
        <f>IF($A1307="","","W"&amp;WEEKNUM($A1307,2))</f>
        <v/>
      </c>
      <c r="D1307" s="4">
        <f>IF($A1307="","",TEXT($A1307,"ddd"))</f>
        <v/>
      </c>
      <c r="E1307" s="4" t="inlineStr">
        <is>
          <t>Quality</t>
        </is>
      </c>
      <c r="F1307" s="4">
        <f>IFERROR(INDEX(Tbl_KPIMaster[Category],MATCH($G1307,Tbl_KPIMaster[KPI],0)),"")</f>
        <v/>
      </c>
      <c r="G1307" s="4" t="inlineStr">
        <is>
          <t>Defect Rate %</t>
        </is>
      </c>
      <c r="H1307" s="4">
        <f>IFERROR(INDEX(Tbl_KPIMaster[Unit],MATCH($G1307,Tbl_KPIMaster[KPI],0)),"")</f>
        <v/>
      </c>
      <c r="I1307" s="5">
        <f>IFERROR(INDEX(Tbl_KPIMaster[Maximum Target],MATCH($G1307,Tbl_KPIMaster[KPI],0)),"")</f>
        <v/>
      </c>
      <c r="J1307" s="5" t="n">
        <v>0.1386</v>
      </c>
      <c r="K1307" s="4">
        <f>IFERROR(INDEX(Tbl_KPIMaster[Tolerance],MATCH($G1307,Tbl_KPIMaster[KPI],0)),"")</f>
        <v/>
      </c>
      <c r="L1307" s="4">
        <f>IFERROR(INDEX(Tbl_KPIMaster[Owner],MATCH($G1307,Tbl_KPIMaster[KPI],0)),"")</f>
        <v/>
      </c>
      <c r="M1307" s="6" t="inlineStr">
        <is>
          <t>Vendor delay</t>
        </is>
      </c>
      <c r="N1307" s="4" t="inlineStr"/>
      <c r="O1307" s="4" t="inlineStr">
        <is>
          <t>Low</t>
        </is>
      </c>
      <c r="P1307" s="4" t="inlineStr">
        <is>
          <t>Closed</t>
        </is>
      </c>
      <c r="Q1307" s="5">
        <f>IFERROR(IF(INDEX(Tbl_KPIMaster[Direction],MATCH($G1307,Tbl_KPIMaster[KPI],0))="Lower is Better",IF($J1307=0,1,IF($I1307=0,0,$I1307/$J1307)),IF($I1307=0,1,$J1307/$I1307)),0)</f>
        <v/>
      </c>
      <c r="R1307" s="4">
        <f>IF(OR($I1307="",$J1307=""),"",$J1307-$I1307)</f>
        <v/>
      </c>
      <c r="S1307" s="4">
        <f>IFERROR(IF(INDEX(Tbl_KPIMaster[Direction],MATCH($G1307,Tbl_KPIMaster[KPI],0))="Lower is Better",IF($J1307&lt;=$I1307,"Green",IF($J1307&lt;=$I1307+IF($I1307=0,$K1307,$I1307*$K1307),"Amber","Red")),IF($J1307&gt;=$I1307,"Green",IF($J1307&gt;=$I1307-IF($I1307=0,$K1307,$I1307*$K1307),"Amber","Red"))),"")</f>
        <v/>
      </c>
      <c r="T1307" s="6" t="inlineStr"/>
    </row>
    <row r="1308">
      <c r="A1308" s="7" t="n">
        <v>46195</v>
      </c>
      <c r="B1308" s="8">
        <f>IF($A1308="","",TEXT($A1308,"mmm-yyyy"))</f>
        <v/>
      </c>
      <c r="C1308" s="8">
        <f>IF($A1308="","","W"&amp;WEEKNUM($A1308,2))</f>
        <v/>
      </c>
      <c r="D1308" s="8">
        <f>IF($A1308="","",TEXT($A1308,"ddd"))</f>
        <v/>
      </c>
      <c r="E1308" s="8" t="inlineStr">
        <is>
          <t>Quality</t>
        </is>
      </c>
      <c r="F1308" s="8">
        <f>IFERROR(INDEX(Tbl_KPIMaster[Category],MATCH($G1308,Tbl_KPIMaster[KPI],0)),"")</f>
        <v/>
      </c>
      <c r="G1308" s="8" t="inlineStr">
        <is>
          <t>Customer Complaints</t>
        </is>
      </c>
      <c r="H1308" s="8">
        <f>IFERROR(INDEX(Tbl_KPIMaster[Unit],MATCH($G1308,Tbl_KPIMaster[KPI],0)),"")</f>
        <v/>
      </c>
      <c r="I1308" s="9">
        <f>IFERROR(INDEX(Tbl_KPIMaster[Maximum Target],MATCH($G1308,Tbl_KPIMaster[KPI],0)),"")</f>
        <v/>
      </c>
      <c r="J1308" s="9" t="n">
        <v>0</v>
      </c>
      <c r="K1308" s="8">
        <f>IFERROR(INDEX(Tbl_KPIMaster[Tolerance],MATCH($G1308,Tbl_KPIMaster[KPI],0)),"")</f>
        <v/>
      </c>
      <c r="L1308" s="8">
        <f>IFERROR(INDEX(Tbl_KPIMaster[Owner],MATCH($G1308,Tbl_KPIMaster[KPI],0)),"")</f>
        <v/>
      </c>
      <c r="M1308" s="10" t="inlineStr">
        <is>
          <t>Line changeover impact</t>
        </is>
      </c>
      <c r="N1308" s="8" t="inlineStr">
        <is>
          <t>Engineering support needed</t>
        </is>
      </c>
      <c r="O1308" s="8" t="inlineStr">
        <is>
          <t>Medium</t>
        </is>
      </c>
      <c r="P1308" s="8" t="inlineStr">
        <is>
          <t>Closed</t>
        </is>
      </c>
      <c r="Q1308" s="9">
        <f>IFERROR(IF(INDEX(Tbl_KPIMaster[Direction],MATCH($G1308,Tbl_KPIMaster[KPI],0))="Lower is Better",IF($J1308=0,1,IF($I1308=0,0,$I1308/$J1308)),IF($I1308=0,1,$J1308/$I1308)),0)</f>
        <v/>
      </c>
      <c r="R1308" s="8">
        <f>IF(OR($I1308="",$J1308=""),"",$J1308-$I1308)</f>
        <v/>
      </c>
      <c r="S1308" s="8">
        <f>IFERROR(IF(INDEX(Tbl_KPIMaster[Direction],MATCH($G1308,Tbl_KPIMaster[KPI],0))="Lower is Better",IF($J1308&lt;=$I1308,"Green",IF($J1308&lt;=$I1308+IF($I1308=0,$K1308,$I1308*$K1308),"Amber","Red")),IF($J1308&gt;=$I1308,"Green",IF($J1308&gt;=$I1308-IF($I1308=0,$K1308,$I1308*$K1308),"Amber","Red"))),"")</f>
        <v/>
      </c>
      <c r="T1308" s="10" t="inlineStr"/>
    </row>
    <row r="1309">
      <c r="A1309" s="3" t="n">
        <v>46195</v>
      </c>
      <c r="B1309" s="4">
        <f>IF($A1309="","",TEXT($A1309,"mmm-yyyy"))</f>
        <v/>
      </c>
      <c r="C1309" s="4">
        <f>IF($A1309="","","W"&amp;WEEKNUM($A1309,2))</f>
        <v/>
      </c>
      <c r="D1309" s="4">
        <f>IF($A1309="","",TEXT($A1309,"ddd"))</f>
        <v/>
      </c>
      <c r="E1309" s="4" t="inlineStr">
        <is>
          <t>Maintenance</t>
        </is>
      </c>
      <c r="F1309" s="4">
        <f>IFERROR(INDEX(Tbl_KPIMaster[Category],MATCH($G1309,Tbl_KPIMaster[KPI],0)),"")</f>
        <v/>
      </c>
      <c r="G1309" s="4" t="inlineStr">
        <is>
          <t>Unplanned Downtime</t>
        </is>
      </c>
      <c r="H1309" s="4">
        <f>IFERROR(INDEX(Tbl_KPIMaster[Unit],MATCH($G1309,Tbl_KPIMaster[KPI],0)),"")</f>
        <v/>
      </c>
      <c r="I1309" s="5">
        <f>IFERROR(INDEX(Tbl_KPIMaster[Maximum Target],MATCH($G1309,Tbl_KPIMaster[KPI],0)),"")</f>
        <v/>
      </c>
      <c r="J1309" s="5" t="n">
        <v>0</v>
      </c>
      <c r="K1309" s="4">
        <f>IFERROR(INDEX(Tbl_KPIMaster[Tolerance],MATCH($G1309,Tbl_KPIMaster[KPI],0)),"")</f>
        <v/>
      </c>
      <c r="L1309" s="4">
        <f>IFERROR(INDEX(Tbl_KPIMaster[Owner],MATCH($G1309,Tbl_KPIMaster[KPI],0)),"")</f>
        <v/>
      </c>
      <c r="M1309" s="6" t="inlineStr">
        <is>
          <t>Manpower shortage</t>
        </is>
      </c>
      <c r="N1309" s="4" t="inlineStr"/>
      <c r="O1309" s="4" t="inlineStr">
        <is>
          <t>Medium</t>
        </is>
      </c>
      <c r="P1309" s="4" t="inlineStr">
        <is>
          <t>In Progress</t>
        </is>
      </c>
      <c r="Q1309" s="5">
        <f>IFERROR(IF(INDEX(Tbl_KPIMaster[Direction],MATCH($G1309,Tbl_KPIMaster[KPI],0))="Lower is Better",IF($J1309=0,1,IF($I1309=0,0,$I1309/$J1309)),IF($I1309=0,1,$J1309/$I1309)),0)</f>
        <v/>
      </c>
      <c r="R1309" s="4">
        <f>IF(OR($I1309="",$J1309=""),"",$J1309-$I1309)</f>
        <v/>
      </c>
      <c r="S1309" s="4">
        <f>IFERROR(IF(INDEX(Tbl_KPIMaster[Direction],MATCH($G1309,Tbl_KPIMaster[KPI],0))="Lower is Better",IF($J1309&lt;=$I1309,"Green",IF($J1309&lt;=$I1309+IF($I1309=0,$K1309,$I1309*$K1309),"Amber","Red")),IF($J1309&gt;=$I1309,"Green",IF($J1309&gt;=$I1309-IF($I1309=0,$K1309,$I1309*$K1309),"Amber","Red"))),"")</f>
        <v/>
      </c>
      <c r="T1309" s="6" t="inlineStr"/>
    </row>
    <row r="1310">
      <c r="A1310" s="7" t="n">
        <v>46195</v>
      </c>
      <c r="B1310" s="8">
        <f>IF($A1310="","",TEXT($A1310,"mmm-yyyy"))</f>
        <v/>
      </c>
      <c r="C1310" s="8">
        <f>IF($A1310="","","W"&amp;WEEKNUM($A1310,2))</f>
        <v/>
      </c>
      <c r="D1310" s="8">
        <f>IF($A1310="","",TEXT($A1310,"ddd"))</f>
        <v/>
      </c>
      <c r="E1310" s="8" t="inlineStr">
        <is>
          <t>Maintenance</t>
        </is>
      </c>
      <c r="F1310" s="8">
        <f>IFERROR(INDEX(Tbl_KPIMaster[Category],MATCH($G1310,Tbl_KPIMaster[KPI],0)),"")</f>
        <v/>
      </c>
      <c r="G1310" s="8" t="inlineStr">
        <is>
          <t>PM Compliance %</t>
        </is>
      </c>
      <c r="H1310" s="8">
        <f>IFERROR(INDEX(Tbl_KPIMaster[Unit],MATCH($G1310,Tbl_KPIMaster[KPI],0)),"")</f>
        <v/>
      </c>
      <c r="I1310" s="9">
        <f>IFERROR(INDEX(Tbl_KPIMaster[Maximum Target],MATCH($G1310,Tbl_KPIMaster[KPI],0)),"")</f>
        <v/>
      </c>
      <c r="J1310" s="9" t="n">
        <v>1.1374</v>
      </c>
      <c r="K1310" s="8">
        <f>IFERROR(INDEX(Tbl_KPIMaster[Tolerance],MATCH($G1310,Tbl_KPIMaster[KPI],0)),"")</f>
        <v/>
      </c>
      <c r="L1310" s="8">
        <f>IFERROR(INDEX(Tbl_KPIMaster[Owner],MATCH($G1310,Tbl_KPIMaster[KPI],0)),"")</f>
        <v/>
      </c>
      <c r="M1310" s="10" t="inlineStr">
        <is>
          <t>Manpower shortage</t>
        </is>
      </c>
      <c r="N1310" s="8" t="inlineStr"/>
      <c r="O1310" s="8" t="inlineStr">
        <is>
          <t>High</t>
        </is>
      </c>
      <c r="P1310" s="8" t="inlineStr">
        <is>
          <t>In Progress</t>
        </is>
      </c>
      <c r="Q1310" s="9">
        <f>IFERROR(IF(INDEX(Tbl_KPIMaster[Direction],MATCH($G1310,Tbl_KPIMaster[KPI],0))="Lower is Better",IF($J1310=0,1,IF($I1310=0,0,$I1310/$J1310)),IF($I1310=0,1,$J1310/$I1310)),0)</f>
        <v/>
      </c>
      <c r="R1310" s="8">
        <f>IF(OR($I1310="",$J1310=""),"",$J1310-$I1310)</f>
        <v/>
      </c>
      <c r="S1310" s="8">
        <f>IFERROR(IF(INDEX(Tbl_KPIMaster[Direction],MATCH($G1310,Tbl_KPIMaster[KPI],0))="Lower is Better",IF($J1310&lt;=$I1310,"Green",IF($J1310&lt;=$I1310+IF($I1310=0,$K1310,$I1310*$K1310),"Amber","Red")),IF($J1310&gt;=$I1310,"Green",IF($J1310&gt;=$I1310-IF($I1310=0,$K1310,$I1310*$K1310),"Amber","Red"))),"")</f>
        <v/>
      </c>
      <c r="T1310" s="10" t="inlineStr"/>
    </row>
    <row r="1311">
      <c r="A1311" s="3" t="n">
        <v>46195</v>
      </c>
      <c r="B1311" s="4">
        <f>IF($A1311="","",TEXT($A1311,"mmm-yyyy"))</f>
        <v/>
      </c>
      <c r="C1311" s="4">
        <f>IF($A1311="","","W"&amp;WEEKNUM($A1311,2))</f>
        <v/>
      </c>
      <c r="D1311" s="4">
        <f>IF($A1311="","",TEXT($A1311,"ddd"))</f>
        <v/>
      </c>
      <c r="E1311" s="4" t="inlineStr">
        <is>
          <t>Utilities</t>
        </is>
      </c>
      <c r="F1311" s="4">
        <f>IFERROR(INDEX(Tbl_KPIMaster[Category],MATCH($G1311,Tbl_KPIMaster[KPI],0)),"")</f>
        <v/>
      </c>
      <c r="G1311" s="4" t="inlineStr">
        <is>
          <t>Power Consumption</t>
        </is>
      </c>
      <c r="H1311" s="4">
        <f>IFERROR(INDEX(Tbl_KPIMaster[Unit],MATCH($G1311,Tbl_KPIMaster[KPI],0)),"")</f>
        <v/>
      </c>
      <c r="I1311" s="5">
        <f>IFERROR(INDEX(Tbl_KPIMaster[Maximum Target],MATCH($G1311,Tbl_KPIMaster[KPI],0)),"")</f>
        <v/>
      </c>
      <c r="J1311" s="5" t="n">
        <v>3954.61</v>
      </c>
      <c r="K1311" s="4">
        <f>IFERROR(INDEX(Tbl_KPIMaster[Tolerance],MATCH($G1311,Tbl_KPIMaster[KPI],0)),"")</f>
        <v/>
      </c>
      <c r="L1311" s="4">
        <f>IFERROR(INDEX(Tbl_KPIMaster[Owner],MATCH($G1311,Tbl_KPIMaster[KPI],0)),"")</f>
        <v/>
      </c>
      <c r="M1311" s="6" t="inlineStr">
        <is>
          <t>New operator training effect</t>
        </is>
      </c>
      <c r="N1311" s="4" t="inlineStr">
        <is>
          <t>Management approval pending</t>
        </is>
      </c>
      <c r="O1311" s="4" t="inlineStr">
        <is>
          <t>High</t>
        </is>
      </c>
      <c r="P1311" s="4" t="inlineStr">
        <is>
          <t>Closed</t>
        </is>
      </c>
      <c r="Q1311" s="5">
        <f>IFERROR(IF(INDEX(Tbl_KPIMaster[Direction],MATCH($G1311,Tbl_KPIMaster[KPI],0))="Lower is Better",IF($J1311=0,1,IF($I1311=0,0,$I1311/$J1311)),IF($I1311=0,1,$J1311/$I1311)),0)</f>
        <v/>
      </c>
      <c r="R1311" s="4">
        <f>IF(OR($I1311="",$J1311=""),"",$J1311-$I1311)</f>
        <v/>
      </c>
      <c r="S1311" s="4">
        <f>IFERROR(IF(INDEX(Tbl_KPIMaster[Direction],MATCH($G1311,Tbl_KPIMaster[KPI],0))="Lower is Better",IF($J1311&lt;=$I1311,"Green",IF($J1311&lt;=$I1311+IF($I1311=0,$K1311,$I1311*$K1311),"Amber","Red")),IF($J1311&gt;=$I1311,"Green",IF($J1311&gt;=$I1311-IF($I1311=0,$K1311,$I1311*$K1311),"Amber","Red"))),"")</f>
        <v/>
      </c>
      <c r="T1311" s="6" t="inlineStr"/>
    </row>
    <row r="1312">
      <c r="A1312" s="7" t="n">
        <v>46195</v>
      </c>
      <c r="B1312" s="8">
        <f>IF($A1312="","",TEXT($A1312,"mmm-yyyy"))</f>
        <v/>
      </c>
      <c r="C1312" s="8">
        <f>IF($A1312="","","W"&amp;WEEKNUM($A1312,2))</f>
        <v/>
      </c>
      <c r="D1312" s="8">
        <f>IF($A1312="","",TEXT($A1312,"ddd"))</f>
        <v/>
      </c>
      <c r="E1312" s="8" t="inlineStr">
        <is>
          <t>Utilities</t>
        </is>
      </c>
      <c r="F1312" s="8">
        <f>IFERROR(INDEX(Tbl_KPIMaster[Category],MATCH($G1312,Tbl_KPIMaster[KPI],0)),"")</f>
        <v/>
      </c>
      <c r="G1312" s="8" t="inlineStr">
        <is>
          <t>Water Consumption</t>
        </is>
      </c>
      <c r="H1312" s="8">
        <f>IFERROR(INDEX(Tbl_KPIMaster[Unit],MATCH($G1312,Tbl_KPIMaster[KPI],0)),"")</f>
        <v/>
      </c>
      <c r="I1312" s="9">
        <f>IFERROR(INDEX(Tbl_KPIMaster[Maximum Target],MATCH($G1312,Tbl_KPIMaster[KPI],0)),"")</f>
        <v/>
      </c>
      <c r="J1312" s="9" t="n">
        <v>51.93</v>
      </c>
      <c r="K1312" s="8">
        <f>IFERROR(INDEX(Tbl_KPIMaster[Tolerance],MATCH($G1312,Tbl_KPIMaster[KPI],0)),"")</f>
        <v/>
      </c>
      <c r="L1312" s="8">
        <f>IFERROR(INDEX(Tbl_KPIMaster[Owner],MATCH($G1312,Tbl_KPIMaster[KPI],0)),"")</f>
        <v/>
      </c>
      <c r="M1312" s="10" t="inlineStr"/>
      <c r="N1312" s="8" t="inlineStr"/>
      <c r="O1312" s="8" t="inlineStr">
        <is>
          <t>Low</t>
        </is>
      </c>
      <c r="P1312" s="8" t="inlineStr">
        <is>
          <t>Closed</t>
        </is>
      </c>
      <c r="Q1312" s="9">
        <f>IFERROR(IF(INDEX(Tbl_KPIMaster[Direction],MATCH($G1312,Tbl_KPIMaster[KPI],0))="Lower is Better",IF($J1312=0,1,IF($I1312=0,0,$I1312/$J1312)),IF($I1312=0,1,$J1312/$I1312)),0)</f>
        <v/>
      </c>
      <c r="R1312" s="8">
        <f>IF(OR($I1312="",$J1312=""),"",$J1312-$I1312)</f>
        <v/>
      </c>
      <c r="S1312" s="8">
        <f>IFERROR(IF(INDEX(Tbl_KPIMaster[Direction],MATCH($G1312,Tbl_KPIMaster[KPI],0))="Lower is Better",IF($J1312&lt;=$I1312,"Green",IF($J1312&lt;=$I1312+IF($I1312=0,$K1312,$I1312*$K1312),"Amber","Red")),IF($J1312&gt;=$I1312,"Green",IF($J1312&gt;=$I1312-IF($I1312=0,$K1312,$I1312*$K1312),"Amber","Red"))),"")</f>
        <v/>
      </c>
      <c r="T1312" s="10" t="inlineStr"/>
    </row>
    <row r="1313">
      <c r="A1313" s="3" t="n">
        <v>46195</v>
      </c>
      <c r="B1313" s="4">
        <f>IF($A1313="","",TEXT($A1313,"mmm-yyyy"))</f>
        <v/>
      </c>
      <c r="C1313" s="4">
        <f>IF($A1313="","","W"&amp;WEEKNUM($A1313,2))</f>
        <v/>
      </c>
      <c r="D1313" s="4">
        <f>IF($A1313="","",TEXT($A1313,"ddd"))</f>
        <v/>
      </c>
      <c r="E1313" s="4" t="inlineStr">
        <is>
          <t>Warehouse</t>
        </is>
      </c>
      <c r="F1313" s="4">
        <f>IFERROR(INDEX(Tbl_KPIMaster[Category],MATCH($G1313,Tbl_KPIMaster[KPI],0)),"")</f>
        <v/>
      </c>
      <c r="G1313" s="4" t="inlineStr">
        <is>
          <t>On-Time Dispatch %</t>
        </is>
      </c>
      <c r="H1313" s="4">
        <f>IFERROR(INDEX(Tbl_KPIMaster[Unit],MATCH($G1313,Tbl_KPIMaster[KPI],0)),"")</f>
        <v/>
      </c>
      <c r="I1313" s="5">
        <f>IFERROR(INDEX(Tbl_KPIMaster[Maximum Target],MATCH($G1313,Tbl_KPIMaster[KPI],0)),"")</f>
        <v/>
      </c>
      <c r="J1313" s="5" t="n">
        <v>0.9225</v>
      </c>
      <c r="K1313" s="4">
        <f>IFERROR(INDEX(Tbl_KPIMaster[Tolerance],MATCH($G1313,Tbl_KPIMaster[KPI],0)),"")</f>
        <v/>
      </c>
      <c r="L1313" s="4">
        <f>IFERROR(INDEX(Tbl_KPIMaster[Owner],MATCH($G1313,Tbl_KPIMaster[KPI],0)),"")</f>
        <v/>
      </c>
      <c r="M1313" s="6" t="inlineStr">
        <is>
          <t>Line changeover impact</t>
        </is>
      </c>
      <c r="N1313" s="4" t="inlineStr"/>
      <c r="O1313" s="4" t="inlineStr">
        <is>
          <t>Low</t>
        </is>
      </c>
      <c r="P1313" s="4" t="inlineStr">
        <is>
          <t>Closed</t>
        </is>
      </c>
      <c r="Q1313" s="5">
        <f>IFERROR(IF(INDEX(Tbl_KPIMaster[Direction],MATCH($G1313,Tbl_KPIMaster[KPI],0))="Lower is Better",IF($J1313=0,1,IF($I1313=0,0,$I1313/$J1313)),IF($I1313=0,1,$J1313/$I1313)),0)</f>
        <v/>
      </c>
      <c r="R1313" s="4">
        <f>IF(OR($I1313="",$J1313=""),"",$J1313-$I1313)</f>
        <v/>
      </c>
      <c r="S1313" s="4">
        <f>IFERROR(IF(INDEX(Tbl_KPIMaster[Direction],MATCH($G1313,Tbl_KPIMaster[KPI],0))="Lower is Better",IF($J1313&lt;=$I1313,"Green",IF($J1313&lt;=$I1313+IF($I1313=0,$K1313,$I1313*$K1313),"Amber","Red")),IF($J1313&gt;=$I1313,"Green",IF($J1313&gt;=$I1313-IF($I1313=0,$K1313,$I1313*$K1313),"Amber","Red"))),"")</f>
        <v/>
      </c>
      <c r="T1313" s="6" t="inlineStr"/>
    </row>
    <row r="1314">
      <c r="A1314" s="7" t="n">
        <v>46195</v>
      </c>
      <c r="B1314" s="8">
        <f>IF($A1314="","",TEXT($A1314,"mmm-yyyy"))</f>
        <v/>
      </c>
      <c r="C1314" s="8">
        <f>IF($A1314="","","W"&amp;WEEKNUM($A1314,2))</f>
        <v/>
      </c>
      <c r="D1314" s="8">
        <f>IF($A1314="","",TEXT($A1314,"ddd"))</f>
        <v/>
      </c>
      <c r="E1314" s="8" t="inlineStr">
        <is>
          <t>Warehouse</t>
        </is>
      </c>
      <c r="F1314" s="8">
        <f>IFERROR(INDEX(Tbl_KPIMaster[Category],MATCH($G1314,Tbl_KPIMaster[KPI],0)),"")</f>
        <v/>
      </c>
      <c r="G1314" s="8" t="inlineStr">
        <is>
          <t>Inventory Accuracy %</t>
        </is>
      </c>
      <c r="H1314" s="8">
        <f>IFERROR(INDEX(Tbl_KPIMaster[Unit],MATCH($G1314,Tbl_KPIMaster[KPI],0)),"")</f>
        <v/>
      </c>
      <c r="I1314" s="9">
        <f>IFERROR(INDEX(Tbl_KPIMaster[Maximum Target],MATCH($G1314,Tbl_KPIMaster[KPI],0)),"")</f>
        <v/>
      </c>
      <c r="J1314" s="9" t="n">
        <v>0.9818</v>
      </c>
      <c r="K1314" s="8">
        <f>IFERROR(INDEX(Tbl_KPIMaster[Tolerance],MATCH($G1314,Tbl_KPIMaster[KPI],0)),"")</f>
        <v/>
      </c>
      <c r="L1314" s="8">
        <f>IFERROR(INDEX(Tbl_KPIMaster[Owner],MATCH($G1314,Tbl_KPIMaster[KPI],0)),"")</f>
        <v/>
      </c>
      <c r="M1314" s="10" t="inlineStr">
        <is>
          <t>Manpower shortage</t>
        </is>
      </c>
      <c r="N1314" s="8" t="inlineStr">
        <is>
          <t>Engineering support needed</t>
        </is>
      </c>
      <c r="O1314" s="8" t="inlineStr">
        <is>
          <t>Low</t>
        </is>
      </c>
      <c r="P1314" s="8" t="inlineStr">
        <is>
          <t>Open</t>
        </is>
      </c>
      <c r="Q1314" s="9">
        <f>IFERROR(IF(INDEX(Tbl_KPIMaster[Direction],MATCH($G1314,Tbl_KPIMaster[KPI],0))="Lower is Better",IF($J1314=0,1,IF($I1314=0,0,$I1314/$J1314)),IF($I1314=0,1,$J1314/$I1314)),0)</f>
        <v/>
      </c>
      <c r="R1314" s="8">
        <f>IF(OR($I1314="",$J1314=""),"",$J1314-$I1314)</f>
        <v/>
      </c>
      <c r="S1314" s="8">
        <f>IFERROR(IF(INDEX(Tbl_KPIMaster[Direction],MATCH($G1314,Tbl_KPIMaster[KPI],0))="Lower is Better",IF($J1314&lt;=$I1314,"Green",IF($J1314&lt;=$I1314+IF($I1314=0,$K1314,$I1314*$K1314),"Amber","Red")),IF($J1314&gt;=$I1314,"Green",IF($J1314&gt;=$I1314-IF($I1314=0,$K1314,$I1314*$K1314),"Amber","Red"))),"")</f>
        <v/>
      </c>
      <c r="T1314" s="10" t="inlineStr"/>
    </row>
    <row r="1315">
      <c r="A1315" s="3" t="n">
        <v>46195</v>
      </c>
      <c r="B1315" s="4">
        <f>IF($A1315="","",TEXT($A1315,"mmm-yyyy"))</f>
        <v/>
      </c>
      <c r="C1315" s="4">
        <f>IF($A1315="","","W"&amp;WEEKNUM($A1315,2))</f>
        <v/>
      </c>
      <c r="D1315" s="4">
        <f>IF($A1315="","",TEXT($A1315,"ddd"))</f>
        <v/>
      </c>
      <c r="E1315" s="4" t="inlineStr">
        <is>
          <t>HR</t>
        </is>
      </c>
      <c r="F1315" s="4">
        <f>IFERROR(INDEX(Tbl_KPIMaster[Category],MATCH($G1315,Tbl_KPIMaster[KPI],0)),"")</f>
        <v/>
      </c>
      <c r="G1315" s="4" t="inlineStr">
        <is>
          <t>Absenteeism %</t>
        </is>
      </c>
      <c r="H1315" s="4">
        <f>IFERROR(INDEX(Tbl_KPIMaster[Unit],MATCH($G1315,Tbl_KPIMaster[KPI],0)),"")</f>
        <v/>
      </c>
      <c r="I1315" s="5">
        <f>IFERROR(INDEX(Tbl_KPIMaster[Maximum Target],MATCH($G1315,Tbl_KPIMaster[KPI],0)),"")</f>
        <v/>
      </c>
      <c r="J1315" s="5" t="n">
        <v>0</v>
      </c>
      <c r="K1315" s="4">
        <f>IFERROR(INDEX(Tbl_KPIMaster[Tolerance],MATCH($G1315,Tbl_KPIMaster[KPI],0)),"")</f>
        <v/>
      </c>
      <c r="L1315" s="4">
        <f>IFERROR(INDEX(Tbl_KPIMaster[Owner],MATCH($G1315,Tbl_KPIMaster[KPI],0)),"")</f>
        <v/>
      </c>
      <c r="M1315" s="6" t="inlineStr">
        <is>
          <t>Within normal range</t>
        </is>
      </c>
      <c r="N1315" s="4" t="inlineStr"/>
      <c r="O1315" s="4" t="inlineStr">
        <is>
          <t>Low</t>
        </is>
      </c>
      <c r="P1315" s="4" t="inlineStr">
        <is>
          <t>In Progress</t>
        </is>
      </c>
      <c r="Q1315" s="5">
        <f>IFERROR(IF(INDEX(Tbl_KPIMaster[Direction],MATCH($G1315,Tbl_KPIMaster[KPI],0))="Lower is Better",IF($J1315=0,1,IF($I1315=0,0,$I1315/$J1315)),IF($I1315=0,1,$J1315/$I1315)),0)</f>
        <v/>
      </c>
      <c r="R1315" s="4">
        <f>IF(OR($I1315="",$J1315=""),"",$J1315-$I1315)</f>
        <v/>
      </c>
      <c r="S1315" s="4">
        <f>IFERROR(IF(INDEX(Tbl_KPIMaster[Direction],MATCH($G1315,Tbl_KPIMaster[KPI],0))="Lower is Better",IF($J1315&lt;=$I1315,"Green",IF($J1315&lt;=$I1315+IF($I1315=0,$K1315,$I1315*$K1315),"Amber","Red")),IF($J1315&gt;=$I1315,"Green",IF($J1315&gt;=$I1315-IF($I1315=0,$K1315,$I1315*$K1315),"Amber","Red"))),"")</f>
        <v/>
      </c>
      <c r="T1315" s="6" t="inlineStr"/>
    </row>
    <row r="1316">
      <c r="A1316" s="7" t="n">
        <v>46195</v>
      </c>
      <c r="B1316" s="8">
        <f>IF($A1316="","",TEXT($A1316,"mmm-yyyy"))</f>
        <v/>
      </c>
      <c r="C1316" s="8">
        <f>IF($A1316="","","W"&amp;WEEKNUM($A1316,2))</f>
        <v/>
      </c>
      <c r="D1316" s="8">
        <f>IF($A1316="","",TEXT($A1316,"ddd"))</f>
        <v/>
      </c>
      <c r="E1316" s="8" t="inlineStr">
        <is>
          <t>HR</t>
        </is>
      </c>
      <c r="F1316" s="8">
        <f>IFERROR(INDEX(Tbl_KPIMaster[Category],MATCH($G1316,Tbl_KPIMaster[KPI],0)),"")</f>
        <v/>
      </c>
      <c r="G1316" s="8" t="inlineStr">
        <is>
          <t>Training Hours</t>
        </is>
      </c>
      <c r="H1316" s="8">
        <f>IFERROR(INDEX(Tbl_KPIMaster[Unit],MATCH($G1316,Tbl_KPIMaster[KPI],0)),"")</f>
        <v/>
      </c>
      <c r="I1316" s="9">
        <f>IFERROR(INDEX(Tbl_KPIMaster[Maximum Target],MATCH($G1316,Tbl_KPIMaster[KPI],0)),"")</f>
        <v/>
      </c>
      <c r="J1316" s="9" t="n">
        <v>1.88</v>
      </c>
      <c r="K1316" s="8">
        <f>IFERROR(INDEX(Tbl_KPIMaster[Tolerance],MATCH($G1316,Tbl_KPIMaster[KPI],0)),"")</f>
        <v/>
      </c>
      <c r="L1316" s="8">
        <f>IFERROR(INDEX(Tbl_KPIMaster[Owner],MATCH($G1316,Tbl_KPIMaster[KPI],0)),"")</f>
        <v/>
      </c>
      <c r="M1316" s="10" t="inlineStr"/>
      <c r="N1316" s="8" t="inlineStr">
        <is>
          <t>Procurement follow-up</t>
        </is>
      </c>
      <c r="O1316" s="8" t="inlineStr">
        <is>
          <t>Medium</t>
        </is>
      </c>
      <c r="P1316" s="8" t="inlineStr">
        <is>
          <t>Closed</t>
        </is>
      </c>
      <c r="Q1316" s="9">
        <f>IFERROR(IF(INDEX(Tbl_KPIMaster[Direction],MATCH($G1316,Tbl_KPIMaster[KPI],0))="Lower is Better",IF($J1316=0,1,IF($I1316=0,0,$I1316/$J1316)),IF($I1316=0,1,$J1316/$I1316)),0)</f>
        <v/>
      </c>
      <c r="R1316" s="8">
        <f>IF(OR($I1316="",$J1316=""),"",$J1316-$I1316)</f>
        <v/>
      </c>
      <c r="S1316" s="8">
        <f>IFERROR(IF(INDEX(Tbl_KPIMaster[Direction],MATCH($G1316,Tbl_KPIMaster[KPI],0))="Lower is Better",IF($J1316&lt;=$I1316,"Green",IF($J1316&lt;=$I1316+IF($I1316=0,$K1316,$I1316*$K1316),"Amber","Red")),IF($J1316&gt;=$I1316,"Green",IF($J1316&gt;=$I1316-IF($I1316=0,$K1316,$I1316*$K1316),"Amber","Red"))),"")</f>
        <v/>
      </c>
      <c r="T1316" s="10" t="inlineStr"/>
    </row>
    <row r="1317">
      <c r="A1317" s="3" t="n">
        <v>46195</v>
      </c>
      <c r="B1317" s="4">
        <f>IF($A1317="","",TEXT($A1317,"mmm-yyyy"))</f>
        <v/>
      </c>
      <c r="C1317" s="4">
        <f>IF($A1317="","","W"&amp;WEEKNUM($A1317,2))</f>
        <v/>
      </c>
      <c r="D1317" s="4">
        <f>IF($A1317="","",TEXT($A1317,"ddd"))</f>
        <v/>
      </c>
      <c r="E1317" s="4" t="inlineStr">
        <is>
          <t>Engineering</t>
        </is>
      </c>
      <c r="F1317" s="4">
        <f>IFERROR(INDEX(Tbl_KPIMaster[Category],MATCH($G1317,Tbl_KPIMaster[KPI],0)),"")</f>
        <v/>
      </c>
      <c r="G1317" s="4" t="inlineStr">
        <is>
          <t>Project Milestone Adherence %</t>
        </is>
      </c>
      <c r="H1317" s="4">
        <f>IFERROR(INDEX(Tbl_KPIMaster[Unit],MATCH($G1317,Tbl_KPIMaster[KPI],0)),"")</f>
        <v/>
      </c>
      <c r="I1317" s="5">
        <f>IFERROR(INDEX(Tbl_KPIMaster[Maximum Target],MATCH($G1317,Tbl_KPIMaster[KPI],0)),"")</f>
        <v/>
      </c>
      <c r="J1317" s="5" t="n">
        <v>1.1029</v>
      </c>
      <c r="K1317" s="4">
        <f>IFERROR(INDEX(Tbl_KPIMaster[Tolerance],MATCH($G1317,Tbl_KPIMaster[KPI],0)),"")</f>
        <v/>
      </c>
      <c r="L1317" s="4">
        <f>IFERROR(INDEX(Tbl_KPIMaster[Owner],MATCH($G1317,Tbl_KPIMaster[KPI],0)),"")</f>
        <v/>
      </c>
      <c r="M1317" s="6" t="inlineStr">
        <is>
          <t>Manpower shortage</t>
        </is>
      </c>
      <c r="N1317" s="4" t="inlineStr">
        <is>
          <t>Procurement follow-up</t>
        </is>
      </c>
      <c r="O1317" s="4" t="inlineStr">
        <is>
          <t>Medium</t>
        </is>
      </c>
      <c r="P1317" s="4" t="inlineStr">
        <is>
          <t>Closed</t>
        </is>
      </c>
      <c r="Q1317" s="5">
        <f>IFERROR(IF(INDEX(Tbl_KPIMaster[Direction],MATCH($G1317,Tbl_KPIMaster[KPI],0))="Lower is Better",IF($J1317=0,1,IF($I1317=0,0,$I1317/$J1317)),IF($I1317=0,1,$J1317/$I1317)),0)</f>
        <v/>
      </c>
      <c r="R1317" s="4">
        <f>IF(OR($I1317="",$J1317=""),"",$J1317-$I1317)</f>
        <v/>
      </c>
      <c r="S1317" s="4">
        <f>IFERROR(IF(INDEX(Tbl_KPIMaster[Direction],MATCH($G1317,Tbl_KPIMaster[KPI],0))="Lower is Better",IF($J1317&lt;=$I1317,"Green",IF($J1317&lt;=$I1317+IF($I1317=0,$K1317,$I1317*$K1317),"Amber","Red")),IF($J1317&gt;=$I1317,"Green",IF($J1317&gt;=$I1317-IF($I1317=0,$K1317,$I1317*$K1317),"Amber","Red"))),"")</f>
        <v/>
      </c>
      <c r="T1317" s="6" t="inlineStr"/>
    </row>
    <row r="1318">
      <c r="A1318" s="7" t="n">
        <v>46195</v>
      </c>
      <c r="B1318" s="8">
        <f>IF($A1318="","",TEXT($A1318,"mmm-yyyy"))</f>
        <v/>
      </c>
      <c r="C1318" s="8">
        <f>IF($A1318="","","W"&amp;WEEKNUM($A1318,2))</f>
        <v/>
      </c>
      <c r="D1318" s="8">
        <f>IF($A1318="","",TEXT($A1318,"ddd"))</f>
        <v/>
      </c>
      <c r="E1318" s="8" t="inlineStr">
        <is>
          <t>Engineering</t>
        </is>
      </c>
      <c r="F1318" s="8">
        <f>IFERROR(INDEX(Tbl_KPIMaster[Category],MATCH($G1318,Tbl_KPIMaster[KPI],0)),"")</f>
        <v/>
      </c>
      <c r="G1318" s="8" t="inlineStr">
        <is>
          <t>Breakdown Resolution Time</t>
        </is>
      </c>
      <c r="H1318" s="8">
        <f>IFERROR(INDEX(Tbl_KPIMaster[Unit],MATCH($G1318,Tbl_KPIMaster[KPI],0)),"")</f>
        <v/>
      </c>
      <c r="I1318" s="9">
        <f>IFERROR(INDEX(Tbl_KPIMaster[Maximum Target],MATCH($G1318,Tbl_KPIMaster[KPI],0)),"")</f>
        <v/>
      </c>
      <c r="J1318" s="9" t="n">
        <v>0.73</v>
      </c>
      <c r="K1318" s="8">
        <f>IFERROR(INDEX(Tbl_KPIMaster[Tolerance],MATCH($G1318,Tbl_KPIMaster[KPI],0)),"")</f>
        <v/>
      </c>
      <c r="L1318" s="8">
        <f>IFERROR(INDEX(Tbl_KPIMaster[Owner],MATCH($G1318,Tbl_KPIMaster[KPI],0)),"")</f>
        <v/>
      </c>
      <c r="M1318" s="10" t="inlineStr">
        <is>
          <t>Weather impact</t>
        </is>
      </c>
      <c r="N1318" s="8" t="inlineStr"/>
      <c r="O1318" s="8" t="inlineStr">
        <is>
          <t>High</t>
        </is>
      </c>
      <c r="P1318" s="8" t="inlineStr">
        <is>
          <t>Closed</t>
        </is>
      </c>
      <c r="Q1318" s="9">
        <f>IFERROR(IF(INDEX(Tbl_KPIMaster[Direction],MATCH($G1318,Tbl_KPIMaster[KPI],0))="Lower is Better",IF($J1318=0,1,IF($I1318=0,0,$I1318/$J1318)),IF($I1318=0,1,$J1318/$I1318)),0)</f>
        <v/>
      </c>
      <c r="R1318" s="8">
        <f>IF(OR($I1318="",$J1318=""),"",$J1318-$I1318)</f>
        <v/>
      </c>
      <c r="S1318" s="8">
        <f>IFERROR(IF(INDEX(Tbl_KPIMaster[Direction],MATCH($G1318,Tbl_KPIMaster[KPI],0))="Lower is Better",IF($J1318&lt;=$I1318,"Green",IF($J1318&lt;=$I1318+IF($I1318=0,$K1318,$I1318*$K1318),"Amber","Red")),IF($J1318&gt;=$I1318,"Green",IF($J1318&gt;=$I1318-IF($I1318=0,$K1318,$I1318*$K1318),"Amber","Red"))),"")</f>
        <v/>
      </c>
      <c r="T1318" s="10" t="inlineStr"/>
    </row>
    <row r="1319">
      <c r="A1319" s="3" t="n">
        <v>46195</v>
      </c>
      <c r="B1319" s="4">
        <f>IF($A1319="","",TEXT($A1319,"mmm-yyyy"))</f>
        <v/>
      </c>
      <c r="C1319" s="4">
        <f>IF($A1319="","","W"&amp;WEEKNUM($A1319,2))</f>
        <v/>
      </c>
      <c r="D1319" s="4">
        <f>IF($A1319="","",TEXT($A1319,"ddd"))</f>
        <v/>
      </c>
      <c r="E1319" s="4" t="inlineStr">
        <is>
          <t>Cost</t>
        </is>
      </c>
      <c r="F1319" s="4">
        <f>IFERROR(INDEX(Tbl_KPIMaster[Category],MATCH($G1319,Tbl_KPIMaster[KPI],0)),"")</f>
        <v/>
      </c>
      <c r="G1319" s="4" t="inlineStr">
        <is>
          <t>Cost per Unit</t>
        </is>
      </c>
      <c r="H1319" s="4">
        <f>IFERROR(INDEX(Tbl_KPIMaster[Unit],MATCH($G1319,Tbl_KPIMaster[KPI],0)),"")</f>
        <v/>
      </c>
      <c r="I1319" s="5">
        <f>IFERROR(INDEX(Tbl_KPIMaster[Maximum Target],MATCH($G1319,Tbl_KPIMaster[KPI],0)),"")</f>
        <v/>
      </c>
      <c r="J1319" s="5" t="n">
        <v>36.67</v>
      </c>
      <c r="K1319" s="4">
        <f>IFERROR(INDEX(Tbl_KPIMaster[Tolerance],MATCH($G1319,Tbl_KPIMaster[KPI],0)),"")</f>
        <v/>
      </c>
      <c r="L1319" s="4">
        <f>IFERROR(INDEX(Tbl_KPIMaster[Owner],MATCH($G1319,Tbl_KPIMaster[KPI],0)),"")</f>
        <v/>
      </c>
      <c r="M1319" s="6" t="inlineStr">
        <is>
          <t>Awaiting spares</t>
        </is>
      </c>
      <c r="N1319" s="4" t="inlineStr">
        <is>
          <t>Procurement follow-up</t>
        </is>
      </c>
      <c r="O1319" s="4" t="inlineStr">
        <is>
          <t>Low</t>
        </is>
      </c>
      <c r="P1319" s="4" t="inlineStr">
        <is>
          <t>Closed</t>
        </is>
      </c>
      <c r="Q1319" s="5">
        <f>IFERROR(IF(INDEX(Tbl_KPIMaster[Direction],MATCH($G1319,Tbl_KPIMaster[KPI],0))="Lower is Better",IF($J1319=0,1,IF($I1319=0,0,$I1319/$J1319)),IF($I1319=0,1,$J1319/$I1319)),0)</f>
        <v/>
      </c>
      <c r="R1319" s="4">
        <f>IF(OR($I1319="",$J1319=""),"",$J1319-$I1319)</f>
        <v/>
      </c>
      <c r="S1319" s="4">
        <f>IFERROR(IF(INDEX(Tbl_KPIMaster[Direction],MATCH($G1319,Tbl_KPIMaster[KPI],0))="Lower is Better",IF($J1319&lt;=$I1319,"Green",IF($J1319&lt;=$I1319+IF($I1319=0,$K1319,$I1319*$K1319),"Amber","Red")),IF($J1319&gt;=$I1319,"Green",IF($J1319&gt;=$I1319-IF($I1319=0,$K1319,$I1319*$K1319),"Amber","Red"))),"")</f>
        <v/>
      </c>
      <c r="T1319" s="6" t="inlineStr"/>
    </row>
    <row r="1320">
      <c r="A1320" s="7" t="n">
        <v>46195</v>
      </c>
      <c r="B1320" s="8">
        <f>IF($A1320="","",TEXT($A1320,"mmm-yyyy"))</f>
        <v/>
      </c>
      <c r="C1320" s="8">
        <f>IF($A1320="","","W"&amp;WEEKNUM($A1320,2))</f>
        <v/>
      </c>
      <c r="D1320" s="8">
        <f>IF($A1320="","",TEXT($A1320,"ddd"))</f>
        <v/>
      </c>
      <c r="E1320" s="8" t="inlineStr">
        <is>
          <t>Cost</t>
        </is>
      </c>
      <c r="F1320" s="8">
        <f>IFERROR(INDEX(Tbl_KPIMaster[Category],MATCH($G1320,Tbl_KPIMaster[KPI],0)),"")</f>
        <v/>
      </c>
      <c r="G1320" s="8" t="inlineStr">
        <is>
          <t>Budget Variance %</t>
        </is>
      </c>
      <c r="H1320" s="8">
        <f>IFERROR(INDEX(Tbl_KPIMaster[Unit],MATCH($G1320,Tbl_KPIMaster[KPI],0)),"")</f>
        <v/>
      </c>
      <c r="I1320" s="9">
        <f>IFERROR(INDEX(Tbl_KPIMaster[Maximum Target],MATCH($G1320,Tbl_KPIMaster[KPI],0)),"")</f>
        <v/>
      </c>
      <c r="J1320" s="9" t="n">
        <v>0</v>
      </c>
      <c r="K1320" s="8">
        <f>IFERROR(INDEX(Tbl_KPIMaster[Tolerance],MATCH($G1320,Tbl_KPIMaster[KPI],0)),"")</f>
        <v/>
      </c>
      <c r="L1320" s="8">
        <f>IFERROR(INDEX(Tbl_KPIMaster[Owner],MATCH($G1320,Tbl_KPIMaster[KPI],0)),"")</f>
        <v/>
      </c>
      <c r="M1320" s="10" t="inlineStr">
        <is>
          <t>Awaiting spares</t>
        </is>
      </c>
      <c r="N1320" s="8" t="inlineStr"/>
      <c r="O1320" s="8" t="inlineStr">
        <is>
          <t>High</t>
        </is>
      </c>
      <c r="P1320" s="8" t="inlineStr">
        <is>
          <t>In Progress</t>
        </is>
      </c>
      <c r="Q1320" s="9">
        <f>IFERROR(IF(INDEX(Tbl_KPIMaster[Direction],MATCH($G1320,Tbl_KPIMaster[KPI],0))="Lower is Better",IF($J1320=0,1,IF($I1320=0,0,$I1320/$J1320)),IF($I1320=0,1,$J1320/$I1320)),0)</f>
        <v/>
      </c>
      <c r="R1320" s="8">
        <f>IF(OR($I1320="",$J1320=""),"",$J1320-$I1320)</f>
        <v/>
      </c>
      <c r="S1320" s="8">
        <f>IFERROR(IF(INDEX(Tbl_KPIMaster[Direction],MATCH($G1320,Tbl_KPIMaster[KPI],0))="Lower is Better",IF($J1320&lt;=$I1320,"Green",IF($J1320&lt;=$I1320+IF($I1320=0,$K1320,$I1320*$K1320),"Amber","Red")),IF($J1320&gt;=$I1320,"Green",IF($J1320&gt;=$I1320-IF($I1320=0,$K1320,$I1320*$K1320),"Amber","Red"))),"")</f>
        <v/>
      </c>
      <c r="T1320" s="10" t="inlineStr"/>
    </row>
    <row r="1321">
      <c r="A1321" s="3" t="n">
        <v>46195</v>
      </c>
      <c r="B1321" s="4">
        <f>IF($A1321="","",TEXT($A1321,"mmm-yyyy"))</f>
        <v/>
      </c>
      <c r="C1321" s="4">
        <f>IF($A1321="","","W"&amp;WEEKNUM($A1321,2))</f>
        <v/>
      </c>
      <c r="D1321" s="4">
        <f>IF($A1321="","",TEXT($A1321,"ddd"))</f>
        <v/>
      </c>
      <c r="E1321" s="4" t="inlineStr">
        <is>
          <t>Energy</t>
        </is>
      </c>
      <c r="F1321" s="4">
        <f>IFERROR(INDEX(Tbl_KPIMaster[Category],MATCH($G1321,Tbl_KPIMaster[KPI],0)),"")</f>
        <v/>
      </c>
      <c r="G1321" s="4" t="inlineStr">
        <is>
          <t>Energy Intensity (kWh/unit)</t>
        </is>
      </c>
      <c r="H1321" s="4">
        <f>IFERROR(INDEX(Tbl_KPIMaster[Unit],MATCH($G1321,Tbl_KPIMaster[KPI],0)),"")</f>
        <v/>
      </c>
      <c r="I1321" s="5">
        <f>IFERROR(INDEX(Tbl_KPIMaster[Maximum Target],MATCH($G1321,Tbl_KPIMaster[KPI],0)),"")</f>
        <v/>
      </c>
      <c r="J1321" s="5" t="n">
        <v>4.18</v>
      </c>
      <c r="K1321" s="4">
        <f>IFERROR(INDEX(Tbl_KPIMaster[Tolerance],MATCH($G1321,Tbl_KPIMaster[KPI],0)),"")</f>
        <v/>
      </c>
      <c r="L1321" s="4">
        <f>IFERROR(INDEX(Tbl_KPIMaster[Owner],MATCH($G1321,Tbl_KPIMaster[KPI],0)),"")</f>
        <v/>
      </c>
      <c r="M1321" s="6" t="inlineStr"/>
      <c r="N1321" s="4" t="inlineStr">
        <is>
          <t>Engineering support needed</t>
        </is>
      </c>
      <c r="O1321" s="4" t="inlineStr">
        <is>
          <t>Low</t>
        </is>
      </c>
      <c r="P1321" s="4" t="inlineStr">
        <is>
          <t>Closed</t>
        </is>
      </c>
      <c r="Q1321" s="5">
        <f>IFERROR(IF(INDEX(Tbl_KPIMaster[Direction],MATCH($G1321,Tbl_KPIMaster[KPI],0))="Lower is Better",IF($J1321=0,1,IF($I1321=0,0,$I1321/$J1321)),IF($I1321=0,1,$J1321/$I1321)),0)</f>
        <v/>
      </c>
      <c r="R1321" s="4">
        <f>IF(OR($I1321="",$J1321=""),"",$J1321-$I1321)</f>
        <v/>
      </c>
      <c r="S1321" s="4">
        <f>IFERROR(IF(INDEX(Tbl_KPIMaster[Direction],MATCH($G1321,Tbl_KPIMaster[KPI],0))="Lower is Better",IF($J1321&lt;=$I1321,"Green",IF($J1321&lt;=$I1321+IF($I1321=0,$K1321,$I1321*$K1321),"Amber","Red")),IF($J1321&gt;=$I1321,"Green",IF($J1321&gt;=$I1321-IF($I1321=0,$K1321,$I1321*$K1321),"Amber","Red"))),"")</f>
        <v/>
      </c>
      <c r="T1321" s="6" t="inlineStr"/>
    </row>
    <row r="1322">
      <c r="A1322" s="7" t="n">
        <v>46195</v>
      </c>
      <c r="B1322" s="8">
        <f>IF($A1322="","",TEXT($A1322,"mmm-yyyy"))</f>
        <v/>
      </c>
      <c r="C1322" s="8">
        <f>IF($A1322="","","W"&amp;WEEKNUM($A1322,2))</f>
        <v/>
      </c>
      <c r="D1322" s="8">
        <f>IF($A1322="","",TEXT($A1322,"ddd"))</f>
        <v/>
      </c>
      <c r="E1322" s="8" t="inlineStr">
        <is>
          <t>Energy</t>
        </is>
      </c>
      <c r="F1322" s="8">
        <f>IFERROR(INDEX(Tbl_KPIMaster[Category],MATCH($G1322,Tbl_KPIMaster[KPI],0)),"")</f>
        <v/>
      </c>
      <c r="G1322" s="8" t="inlineStr">
        <is>
          <t>Renewable Energy Share %</t>
        </is>
      </c>
      <c r="H1322" s="8">
        <f>IFERROR(INDEX(Tbl_KPIMaster[Unit],MATCH($G1322,Tbl_KPIMaster[KPI],0)),"")</f>
        <v/>
      </c>
      <c r="I1322" s="9">
        <f>IFERROR(INDEX(Tbl_KPIMaster[Maximum Target],MATCH($G1322,Tbl_KPIMaster[KPI],0)),"")</f>
        <v/>
      </c>
      <c r="J1322" s="9" t="n">
        <v>0.2512</v>
      </c>
      <c r="K1322" s="8">
        <f>IFERROR(INDEX(Tbl_KPIMaster[Tolerance],MATCH($G1322,Tbl_KPIMaster[KPI],0)),"")</f>
        <v/>
      </c>
      <c r="L1322" s="8">
        <f>IFERROR(INDEX(Tbl_KPIMaster[Owner],MATCH($G1322,Tbl_KPIMaster[KPI],0)),"")</f>
        <v/>
      </c>
      <c r="M1322" s="10" t="inlineStr">
        <is>
          <t>Awaiting spares</t>
        </is>
      </c>
      <c r="N1322" s="8" t="inlineStr"/>
      <c r="O1322" s="8" t="inlineStr">
        <is>
          <t>High</t>
        </is>
      </c>
      <c r="P1322" s="8" t="inlineStr">
        <is>
          <t>Closed</t>
        </is>
      </c>
      <c r="Q1322" s="9">
        <f>IFERROR(IF(INDEX(Tbl_KPIMaster[Direction],MATCH($G1322,Tbl_KPIMaster[KPI],0))="Lower is Better",IF($J1322=0,1,IF($I1322=0,0,$I1322/$J1322)),IF($I1322=0,1,$J1322/$I1322)),0)</f>
        <v/>
      </c>
      <c r="R1322" s="8">
        <f>IF(OR($I1322="",$J1322=""),"",$J1322-$I1322)</f>
        <v/>
      </c>
      <c r="S1322" s="8">
        <f>IFERROR(IF(INDEX(Tbl_KPIMaster[Direction],MATCH($G1322,Tbl_KPIMaster[KPI],0))="Lower is Better",IF($J1322&lt;=$I1322,"Green",IF($J1322&lt;=$I1322+IF($I1322=0,$K1322,$I1322*$K1322),"Amber","Red")),IF($J1322&gt;=$I1322,"Green",IF($J1322&gt;=$I1322-IF($I1322=0,$K1322,$I1322*$K1322),"Amber","Red"))),"")</f>
        <v/>
      </c>
      <c r="T1322" s="10" t="inlineStr"/>
    </row>
    <row r="1323">
      <c r="A1323" s="3" t="n">
        <v>46196</v>
      </c>
      <c r="B1323" s="4">
        <f>IF($A1323="","",TEXT($A1323,"mmm-yyyy"))</f>
        <v/>
      </c>
      <c r="C1323" s="4">
        <f>IF($A1323="","","W"&amp;WEEKNUM($A1323,2))</f>
        <v/>
      </c>
      <c r="D1323" s="4">
        <f>IF($A1323="","",TEXT($A1323,"ddd"))</f>
        <v/>
      </c>
      <c r="E1323" s="4" t="inlineStr">
        <is>
          <t>Safety</t>
        </is>
      </c>
      <c r="F1323" s="4">
        <f>IFERROR(INDEX(Tbl_KPIMaster[Category],MATCH($G1323,Tbl_KPIMaster[KPI],0)),"")</f>
        <v/>
      </c>
      <c r="G1323" s="4" t="inlineStr">
        <is>
          <t>Safety Incidents (LTI)</t>
        </is>
      </c>
      <c r="H1323" s="4">
        <f>IFERROR(INDEX(Tbl_KPIMaster[Unit],MATCH($G1323,Tbl_KPIMaster[KPI],0)),"")</f>
        <v/>
      </c>
      <c r="I1323" s="5">
        <f>IFERROR(INDEX(Tbl_KPIMaster[Maximum Target],MATCH($G1323,Tbl_KPIMaster[KPI],0)),"")</f>
        <v/>
      </c>
      <c r="J1323" s="5" t="n">
        <v>4</v>
      </c>
      <c r="K1323" s="4">
        <f>IFERROR(INDEX(Tbl_KPIMaster[Tolerance],MATCH($G1323,Tbl_KPIMaster[KPI],0)),"")</f>
        <v/>
      </c>
      <c r="L1323" s="4">
        <f>IFERROR(INDEX(Tbl_KPIMaster[Owner],MATCH($G1323,Tbl_KPIMaster[KPI],0)),"")</f>
        <v/>
      </c>
      <c r="M1323" s="6" t="inlineStr">
        <is>
          <t>Process improvement in progress</t>
        </is>
      </c>
      <c r="N1323" s="4" t="inlineStr">
        <is>
          <t>Management approval pending</t>
        </is>
      </c>
      <c r="O1323" s="4" t="inlineStr">
        <is>
          <t>High</t>
        </is>
      </c>
      <c r="P1323" s="4" t="inlineStr">
        <is>
          <t>In Progress</t>
        </is>
      </c>
      <c r="Q1323" s="5">
        <f>IFERROR(IF(INDEX(Tbl_KPIMaster[Direction],MATCH($G1323,Tbl_KPIMaster[KPI],0))="Lower is Better",IF($J1323=0,1,IF($I1323=0,0,$I1323/$J1323)),IF($I1323=0,1,$J1323/$I1323)),0)</f>
        <v/>
      </c>
      <c r="R1323" s="4">
        <f>IF(OR($I1323="",$J1323=""),"",$J1323-$I1323)</f>
        <v/>
      </c>
      <c r="S1323" s="4">
        <f>IFERROR(IF(INDEX(Tbl_KPIMaster[Direction],MATCH($G1323,Tbl_KPIMaster[KPI],0))="Lower is Better",IF($J1323&lt;=$I1323,"Green",IF($J1323&lt;=$I1323+IF($I1323=0,$K1323,$I1323*$K1323),"Amber","Red")),IF($J1323&gt;=$I1323,"Green",IF($J1323&gt;=$I1323-IF($I1323=0,$K1323,$I1323*$K1323),"Amber","Red"))),"")</f>
        <v/>
      </c>
      <c r="T1323" s="6" t="inlineStr"/>
    </row>
    <row r="1324">
      <c r="A1324" s="7" t="n">
        <v>46196</v>
      </c>
      <c r="B1324" s="8">
        <f>IF($A1324="","",TEXT($A1324,"mmm-yyyy"))</f>
        <v/>
      </c>
      <c r="C1324" s="8">
        <f>IF($A1324="","","W"&amp;WEEKNUM($A1324,2))</f>
        <v/>
      </c>
      <c r="D1324" s="8">
        <f>IF($A1324="","",TEXT($A1324,"ddd"))</f>
        <v/>
      </c>
      <c r="E1324" s="8" t="inlineStr">
        <is>
          <t>Safety</t>
        </is>
      </c>
      <c r="F1324" s="8">
        <f>IFERROR(INDEX(Tbl_KPIMaster[Category],MATCH($G1324,Tbl_KPIMaster[KPI],0)),"")</f>
        <v/>
      </c>
      <c r="G1324" s="8" t="inlineStr">
        <is>
          <t>Near Miss Reports</t>
        </is>
      </c>
      <c r="H1324" s="8">
        <f>IFERROR(INDEX(Tbl_KPIMaster[Unit],MATCH($G1324,Tbl_KPIMaster[KPI],0)),"")</f>
        <v/>
      </c>
      <c r="I1324" s="9">
        <f>IFERROR(INDEX(Tbl_KPIMaster[Maximum Target],MATCH($G1324,Tbl_KPIMaster[KPI],0)),"")</f>
        <v/>
      </c>
      <c r="J1324" s="9" t="n">
        <v>2</v>
      </c>
      <c r="K1324" s="8">
        <f>IFERROR(INDEX(Tbl_KPIMaster[Tolerance],MATCH($G1324,Tbl_KPIMaster[KPI],0)),"")</f>
        <v/>
      </c>
      <c r="L1324" s="8">
        <f>IFERROR(INDEX(Tbl_KPIMaster[Owner],MATCH($G1324,Tbl_KPIMaster[KPI],0)),"")</f>
        <v/>
      </c>
      <c r="M1324" s="10" t="inlineStr">
        <is>
          <t>Within normal range</t>
        </is>
      </c>
      <c r="N1324" s="8" t="inlineStr">
        <is>
          <t>Procurement follow-up</t>
        </is>
      </c>
      <c r="O1324" s="8" t="inlineStr">
        <is>
          <t>Low</t>
        </is>
      </c>
      <c r="P1324" s="8" t="inlineStr">
        <is>
          <t>Closed</t>
        </is>
      </c>
      <c r="Q1324" s="9">
        <f>IFERROR(IF(INDEX(Tbl_KPIMaster[Direction],MATCH($G1324,Tbl_KPIMaster[KPI],0))="Lower is Better",IF($J1324=0,1,IF($I1324=0,0,$I1324/$J1324)),IF($I1324=0,1,$J1324/$I1324)),0)</f>
        <v/>
      </c>
      <c r="R1324" s="8">
        <f>IF(OR($I1324="",$J1324=""),"",$J1324-$I1324)</f>
        <v/>
      </c>
      <c r="S1324" s="8">
        <f>IFERROR(IF(INDEX(Tbl_KPIMaster[Direction],MATCH($G1324,Tbl_KPIMaster[KPI],0))="Lower is Better",IF($J1324&lt;=$I1324,"Green",IF($J1324&lt;=$I1324+IF($I1324=0,$K1324,$I1324*$K1324),"Amber","Red")),IF($J1324&gt;=$I1324,"Green",IF($J1324&gt;=$I1324-IF($I1324=0,$K1324,$I1324*$K1324),"Amber","Red"))),"")</f>
        <v/>
      </c>
      <c r="T1324" s="10" t="inlineStr"/>
    </row>
    <row r="1325">
      <c r="A1325" s="3" t="n">
        <v>46196</v>
      </c>
      <c r="B1325" s="4">
        <f>IF($A1325="","",TEXT($A1325,"mmm-yyyy"))</f>
        <v/>
      </c>
      <c r="C1325" s="4">
        <f>IF($A1325="","","W"&amp;WEEKNUM($A1325,2))</f>
        <v/>
      </c>
      <c r="D1325" s="4">
        <f>IF($A1325="","",TEXT($A1325,"ddd"))</f>
        <v/>
      </c>
      <c r="E1325" s="4" t="inlineStr">
        <is>
          <t>Production</t>
        </is>
      </c>
      <c r="F1325" s="4">
        <f>IFERROR(INDEX(Tbl_KPIMaster[Category],MATCH($G1325,Tbl_KPIMaster[KPI],0)),"")</f>
        <v/>
      </c>
      <c r="G1325" s="4" t="inlineStr">
        <is>
          <t>Production Output</t>
        </is>
      </c>
      <c r="H1325" s="4">
        <f>IFERROR(INDEX(Tbl_KPIMaster[Unit],MATCH($G1325,Tbl_KPIMaster[KPI],0)),"")</f>
        <v/>
      </c>
      <c r="I1325" s="5">
        <f>IFERROR(INDEX(Tbl_KPIMaster[Maximum Target],MATCH($G1325,Tbl_KPIMaster[KPI],0)),"")</f>
        <v/>
      </c>
      <c r="J1325" s="5" t="n">
        <v>875.66</v>
      </c>
      <c r="K1325" s="4">
        <f>IFERROR(INDEX(Tbl_KPIMaster[Tolerance],MATCH($G1325,Tbl_KPIMaster[KPI],0)),"")</f>
        <v/>
      </c>
      <c r="L1325" s="4">
        <f>IFERROR(INDEX(Tbl_KPIMaster[Owner],MATCH($G1325,Tbl_KPIMaster[KPI],0)),"")</f>
        <v/>
      </c>
      <c r="M1325" s="6" t="inlineStr">
        <is>
          <t>Manpower shortage</t>
        </is>
      </c>
      <c r="N1325" s="4" t="inlineStr"/>
      <c r="O1325" s="4" t="inlineStr">
        <is>
          <t>Low</t>
        </is>
      </c>
      <c r="P1325" s="4" t="inlineStr">
        <is>
          <t>Open</t>
        </is>
      </c>
      <c r="Q1325" s="5">
        <f>IFERROR(IF(INDEX(Tbl_KPIMaster[Direction],MATCH($G1325,Tbl_KPIMaster[KPI],0))="Lower is Better",IF($J1325=0,1,IF($I1325=0,0,$I1325/$J1325)),IF($I1325=0,1,$J1325/$I1325)),0)</f>
        <v/>
      </c>
      <c r="R1325" s="4">
        <f>IF(OR($I1325="",$J1325=""),"",$J1325-$I1325)</f>
        <v/>
      </c>
      <c r="S1325" s="4">
        <f>IFERROR(IF(INDEX(Tbl_KPIMaster[Direction],MATCH($G1325,Tbl_KPIMaster[KPI],0))="Lower is Better",IF($J1325&lt;=$I1325,"Green",IF($J1325&lt;=$I1325+IF($I1325=0,$K1325,$I1325*$K1325),"Amber","Red")),IF($J1325&gt;=$I1325,"Green",IF($J1325&gt;=$I1325-IF($I1325=0,$K1325,$I1325*$K1325),"Amber","Red"))),"")</f>
        <v/>
      </c>
      <c r="T1325" s="6" t="inlineStr"/>
    </row>
    <row r="1326">
      <c r="A1326" s="7" t="n">
        <v>46196</v>
      </c>
      <c r="B1326" s="8">
        <f>IF($A1326="","",TEXT($A1326,"mmm-yyyy"))</f>
        <v/>
      </c>
      <c r="C1326" s="8">
        <f>IF($A1326="","","W"&amp;WEEKNUM($A1326,2))</f>
        <v/>
      </c>
      <c r="D1326" s="8">
        <f>IF($A1326="","",TEXT($A1326,"ddd"))</f>
        <v/>
      </c>
      <c r="E1326" s="8" t="inlineStr">
        <is>
          <t>Production</t>
        </is>
      </c>
      <c r="F1326" s="8">
        <f>IFERROR(INDEX(Tbl_KPIMaster[Category],MATCH($G1326,Tbl_KPIMaster[KPI],0)),"")</f>
        <v/>
      </c>
      <c r="G1326" s="8" t="inlineStr">
        <is>
          <t>OEE %</t>
        </is>
      </c>
      <c r="H1326" s="8">
        <f>IFERROR(INDEX(Tbl_KPIMaster[Unit],MATCH($G1326,Tbl_KPIMaster[KPI],0)),"")</f>
        <v/>
      </c>
      <c r="I1326" s="9">
        <f>IFERROR(INDEX(Tbl_KPIMaster[Maximum Target],MATCH($G1326,Tbl_KPIMaster[KPI],0)),"")</f>
        <v/>
      </c>
      <c r="J1326" s="9" t="n">
        <v>0.8493000000000001</v>
      </c>
      <c r="K1326" s="8">
        <f>IFERROR(INDEX(Tbl_KPIMaster[Tolerance],MATCH($G1326,Tbl_KPIMaster[KPI],0)),"")</f>
        <v/>
      </c>
      <c r="L1326" s="8">
        <f>IFERROR(INDEX(Tbl_KPIMaster[Owner],MATCH($G1326,Tbl_KPIMaster[KPI],0)),"")</f>
        <v/>
      </c>
      <c r="M1326" s="10" t="inlineStr">
        <is>
          <t>New operator training effect</t>
        </is>
      </c>
      <c r="N1326" s="8" t="inlineStr">
        <is>
          <t>Procurement follow-up</t>
        </is>
      </c>
      <c r="O1326" s="8" t="inlineStr">
        <is>
          <t>Low</t>
        </is>
      </c>
      <c r="P1326" s="8" t="inlineStr">
        <is>
          <t>Closed</t>
        </is>
      </c>
      <c r="Q1326" s="9">
        <f>IFERROR(IF(INDEX(Tbl_KPIMaster[Direction],MATCH($G1326,Tbl_KPIMaster[KPI],0))="Lower is Better",IF($J1326=0,1,IF($I1326=0,0,$I1326/$J1326)),IF($I1326=0,1,$J1326/$I1326)),0)</f>
        <v/>
      </c>
      <c r="R1326" s="8">
        <f>IF(OR($I1326="",$J1326=""),"",$J1326-$I1326)</f>
        <v/>
      </c>
      <c r="S1326" s="8">
        <f>IFERROR(IF(INDEX(Tbl_KPIMaster[Direction],MATCH($G1326,Tbl_KPIMaster[KPI],0))="Lower is Better",IF($J1326&lt;=$I1326,"Green",IF($J1326&lt;=$I1326+IF($I1326=0,$K1326,$I1326*$K1326),"Amber","Red")),IF($J1326&gt;=$I1326,"Green",IF($J1326&gt;=$I1326-IF($I1326=0,$K1326,$I1326*$K1326),"Amber","Red"))),"")</f>
        <v/>
      </c>
      <c r="T1326" s="10" t="inlineStr"/>
    </row>
    <row r="1327">
      <c r="A1327" s="3" t="n">
        <v>46196</v>
      </c>
      <c r="B1327" s="4">
        <f>IF($A1327="","",TEXT($A1327,"mmm-yyyy"))</f>
        <v/>
      </c>
      <c r="C1327" s="4">
        <f>IF($A1327="","","W"&amp;WEEKNUM($A1327,2))</f>
        <v/>
      </c>
      <c r="D1327" s="4">
        <f>IF($A1327="","",TEXT($A1327,"ddd"))</f>
        <v/>
      </c>
      <c r="E1327" s="4" t="inlineStr">
        <is>
          <t>Quality</t>
        </is>
      </c>
      <c r="F1327" s="4">
        <f>IFERROR(INDEX(Tbl_KPIMaster[Category],MATCH($G1327,Tbl_KPIMaster[KPI],0)),"")</f>
        <v/>
      </c>
      <c r="G1327" s="4" t="inlineStr">
        <is>
          <t>Defect Rate %</t>
        </is>
      </c>
      <c r="H1327" s="4">
        <f>IFERROR(INDEX(Tbl_KPIMaster[Unit],MATCH($G1327,Tbl_KPIMaster[KPI],0)),"")</f>
        <v/>
      </c>
      <c r="I1327" s="5">
        <f>IFERROR(INDEX(Tbl_KPIMaster[Maximum Target],MATCH($G1327,Tbl_KPIMaster[KPI],0)),"")</f>
        <v/>
      </c>
      <c r="J1327" s="5" t="n">
        <v>1.6841</v>
      </c>
      <c r="K1327" s="4">
        <f>IFERROR(INDEX(Tbl_KPIMaster[Tolerance],MATCH($G1327,Tbl_KPIMaster[KPI],0)),"")</f>
        <v/>
      </c>
      <c r="L1327" s="4">
        <f>IFERROR(INDEX(Tbl_KPIMaster[Owner],MATCH($G1327,Tbl_KPIMaster[KPI],0)),"")</f>
        <v/>
      </c>
      <c r="M1327" s="6" t="inlineStr"/>
      <c r="N1327" s="4" t="inlineStr"/>
      <c r="O1327" s="4" t="inlineStr">
        <is>
          <t>Low</t>
        </is>
      </c>
      <c r="P1327" s="4" t="inlineStr">
        <is>
          <t>Closed</t>
        </is>
      </c>
      <c r="Q1327" s="5">
        <f>IFERROR(IF(INDEX(Tbl_KPIMaster[Direction],MATCH($G1327,Tbl_KPIMaster[KPI],0))="Lower is Better",IF($J1327=0,1,IF($I1327=0,0,$I1327/$J1327)),IF($I1327=0,1,$J1327/$I1327)),0)</f>
        <v/>
      </c>
      <c r="R1327" s="4">
        <f>IF(OR($I1327="",$J1327=""),"",$J1327-$I1327)</f>
        <v/>
      </c>
      <c r="S1327" s="4">
        <f>IFERROR(IF(INDEX(Tbl_KPIMaster[Direction],MATCH($G1327,Tbl_KPIMaster[KPI],0))="Lower is Better",IF($J1327&lt;=$I1327,"Green",IF($J1327&lt;=$I1327+IF($I1327=0,$K1327,$I1327*$K1327),"Amber","Red")),IF($J1327&gt;=$I1327,"Green",IF($J1327&gt;=$I1327-IF($I1327=0,$K1327,$I1327*$K1327),"Amber","Red"))),"")</f>
        <v/>
      </c>
      <c r="T1327" s="6" t="inlineStr"/>
    </row>
    <row r="1328">
      <c r="A1328" s="7" t="n">
        <v>46196</v>
      </c>
      <c r="B1328" s="8">
        <f>IF($A1328="","",TEXT($A1328,"mmm-yyyy"))</f>
        <v/>
      </c>
      <c r="C1328" s="8">
        <f>IF($A1328="","","W"&amp;WEEKNUM($A1328,2))</f>
        <v/>
      </c>
      <c r="D1328" s="8">
        <f>IF($A1328="","",TEXT($A1328,"ddd"))</f>
        <v/>
      </c>
      <c r="E1328" s="8" t="inlineStr">
        <is>
          <t>Quality</t>
        </is>
      </c>
      <c r="F1328" s="8">
        <f>IFERROR(INDEX(Tbl_KPIMaster[Category],MATCH($G1328,Tbl_KPIMaster[KPI],0)),"")</f>
        <v/>
      </c>
      <c r="G1328" s="8" t="inlineStr">
        <is>
          <t>Customer Complaints</t>
        </is>
      </c>
      <c r="H1328" s="8">
        <f>IFERROR(INDEX(Tbl_KPIMaster[Unit],MATCH($G1328,Tbl_KPIMaster[KPI],0)),"")</f>
        <v/>
      </c>
      <c r="I1328" s="9">
        <f>IFERROR(INDEX(Tbl_KPIMaster[Maximum Target],MATCH($G1328,Tbl_KPIMaster[KPI],0)),"")</f>
        <v/>
      </c>
      <c r="J1328" s="9" t="n">
        <v>0</v>
      </c>
      <c r="K1328" s="8">
        <f>IFERROR(INDEX(Tbl_KPIMaster[Tolerance],MATCH($G1328,Tbl_KPIMaster[KPI],0)),"")</f>
        <v/>
      </c>
      <c r="L1328" s="8">
        <f>IFERROR(INDEX(Tbl_KPIMaster[Owner],MATCH($G1328,Tbl_KPIMaster[KPI],0)),"")</f>
        <v/>
      </c>
      <c r="M1328" s="10" t="inlineStr">
        <is>
          <t>Within normal range</t>
        </is>
      </c>
      <c r="N1328" s="8" t="inlineStr">
        <is>
          <t>Management approval pending</t>
        </is>
      </c>
      <c r="O1328" s="8" t="inlineStr">
        <is>
          <t>Low</t>
        </is>
      </c>
      <c r="P1328" s="8" t="inlineStr">
        <is>
          <t>Closed</t>
        </is>
      </c>
      <c r="Q1328" s="9">
        <f>IFERROR(IF(INDEX(Tbl_KPIMaster[Direction],MATCH($G1328,Tbl_KPIMaster[KPI],0))="Lower is Better",IF($J1328=0,1,IF($I1328=0,0,$I1328/$J1328)),IF($I1328=0,1,$J1328/$I1328)),0)</f>
        <v/>
      </c>
      <c r="R1328" s="8">
        <f>IF(OR($I1328="",$J1328=""),"",$J1328-$I1328)</f>
        <v/>
      </c>
      <c r="S1328" s="8">
        <f>IFERROR(IF(INDEX(Tbl_KPIMaster[Direction],MATCH($G1328,Tbl_KPIMaster[KPI],0))="Lower is Better",IF($J1328&lt;=$I1328,"Green",IF($J1328&lt;=$I1328+IF($I1328=0,$K1328,$I1328*$K1328),"Amber","Red")),IF($J1328&gt;=$I1328,"Green",IF($J1328&gt;=$I1328-IF($I1328=0,$K1328,$I1328*$K1328),"Amber","Red"))),"")</f>
        <v/>
      </c>
      <c r="T1328" s="10" t="inlineStr"/>
    </row>
    <row r="1329">
      <c r="A1329" s="3" t="n">
        <v>46196</v>
      </c>
      <c r="B1329" s="4">
        <f>IF($A1329="","",TEXT($A1329,"mmm-yyyy"))</f>
        <v/>
      </c>
      <c r="C1329" s="4">
        <f>IF($A1329="","","W"&amp;WEEKNUM($A1329,2))</f>
        <v/>
      </c>
      <c r="D1329" s="4">
        <f>IF($A1329="","",TEXT($A1329,"ddd"))</f>
        <v/>
      </c>
      <c r="E1329" s="4" t="inlineStr">
        <is>
          <t>Maintenance</t>
        </is>
      </c>
      <c r="F1329" s="4">
        <f>IFERROR(INDEX(Tbl_KPIMaster[Category],MATCH($G1329,Tbl_KPIMaster[KPI],0)),"")</f>
        <v/>
      </c>
      <c r="G1329" s="4" t="inlineStr">
        <is>
          <t>Unplanned Downtime</t>
        </is>
      </c>
      <c r="H1329" s="4">
        <f>IFERROR(INDEX(Tbl_KPIMaster[Unit],MATCH($G1329,Tbl_KPIMaster[KPI],0)),"")</f>
        <v/>
      </c>
      <c r="I1329" s="5">
        <f>IFERROR(INDEX(Tbl_KPIMaster[Maximum Target],MATCH($G1329,Tbl_KPIMaster[KPI],0)),"")</f>
        <v/>
      </c>
      <c r="J1329" s="5" t="n">
        <v>0</v>
      </c>
      <c r="K1329" s="4">
        <f>IFERROR(INDEX(Tbl_KPIMaster[Tolerance],MATCH($G1329,Tbl_KPIMaster[KPI],0)),"")</f>
        <v/>
      </c>
      <c r="L1329" s="4">
        <f>IFERROR(INDEX(Tbl_KPIMaster[Owner],MATCH($G1329,Tbl_KPIMaster[KPI],0)),"")</f>
        <v/>
      </c>
      <c r="M1329" s="6" t="inlineStr">
        <is>
          <t>Equipment breakdown</t>
        </is>
      </c>
      <c r="N1329" s="4" t="inlineStr">
        <is>
          <t>Engineering support needed</t>
        </is>
      </c>
      <c r="O1329" s="4" t="inlineStr">
        <is>
          <t>Low</t>
        </is>
      </c>
      <c r="P1329" s="4" t="inlineStr">
        <is>
          <t>Open</t>
        </is>
      </c>
      <c r="Q1329" s="5">
        <f>IFERROR(IF(INDEX(Tbl_KPIMaster[Direction],MATCH($G1329,Tbl_KPIMaster[KPI],0))="Lower is Better",IF($J1329=0,1,IF($I1329=0,0,$I1329/$J1329)),IF($I1329=0,1,$J1329/$I1329)),0)</f>
        <v/>
      </c>
      <c r="R1329" s="4">
        <f>IF(OR($I1329="",$J1329=""),"",$J1329-$I1329)</f>
        <v/>
      </c>
      <c r="S1329" s="4">
        <f>IFERROR(IF(INDEX(Tbl_KPIMaster[Direction],MATCH($G1329,Tbl_KPIMaster[KPI],0))="Lower is Better",IF($J1329&lt;=$I1329,"Green",IF($J1329&lt;=$I1329+IF($I1329=0,$K1329,$I1329*$K1329),"Amber","Red")),IF($J1329&gt;=$I1329,"Green",IF($J1329&gt;=$I1329-IF($I1329=0,$K1329,$I1329*$K1329),"Amber","Red"))),"")</f>
        <v/>
      </c>
      <c r="T1329" s="6" t="inlineStr"/>
    </row>
    <row r="1330">
      <c r="A1330" s="7" t="n">
        <v>46196</v>
      </c>
      <c r="B1330" s="8">
        <f>IF($A1330="","",TEXT($A1330,"mmm-yyyy"))</f>
        <v/>
      </c>
      <c r="C1330" s="8">
        <f>IF($A1330="","","W"&amp;WEEKNUM($A1330,2))</f>
        <v/>
      </c>
      <c r="D1330" s="8">
        <f>IF($A1330="","",TEXT($A1330,"ddd"))</f>
        <v/>
      </c>
      <c r="E1330" s="8" t="inlineStr">
        <is>
          <t>Maintenance</t>
        </is>
      </c>
      <c r="F1330" s="8">
        <f>IFERROR(INDEX(Tbl_KPIMaster[Category],MATCH($G1330,Tbl_KPIMaster[KPI],0)),"")</f>
        <v/>
      </c>
      <c r="G1330" s="8" t="inlineStr">
        <is>
          <t>PM Compliance %</t>
        </is>
      </c>
      <c r="H1330" s="8">
        <f>IFERROR(INDEX(Tbl_KPIMaster[Unit],MATCH($G1330,Tbl_KPIMaster[KPI],0)),"")</f>
        <v/>
      </c>
      <c r="I1330" s="9">
        <f>IFERROR(INDEX(Tbl_KPIMaster[Maximum Target],MATCH($G1330,Tbl_KPIMaster[KPI],0)),"")</f>
        <v/>
      </c>
      <c r="J1330" s="9" t="n">
        <v>0.9943</v>
      </c>
      <c r="K1330" s="8">
        <f>IFERROR(INDEX(Tbl_KPIMaster[Tolerance],MATCH($G1330,Tbl_KPIMaster[KPI],0)),"")</f>
        <v/>
      </c>
      <c r="L1330" s="8">
        <f>IFERROR(INDEX(Tbl_KPIMaster[Owner],MATCH($G1330,Tbl_KPIMaster[KPI],0)),"")</f>
        <v/>
      </c>
      <c r="M1330" s="10" t="inlineStr">
        <is>
          <t>Line changeover impact</t>
        </is>
      </c>
      <c r="N1330" s="8" t="inlineStr"/>
      <c r="O1330" s="8" t="inlineStr">
        <is>
          <t>Low</t>
        </is>
      </c>
      <c r="P1330" s="8" t="inlineStr">
        <is>
          <t>In Progress</t>
        </is>
      </c>
      <c r="Q1330" s="9">
        <f>IFERROR(IF(INDEX(Tbl_KPIMaster[Direction],MATCH($G1330,Tbl_KPIMaster[KPI],0))="Lower is Better",IF($J1330=0,1,IF($I1330=0,0,$I1330/$J1330)),IF($I1330=0,1,$J1330/$I1330)),0)</f>
        <v/>
      </c>
      <c r="R1330" s="8">
        <f>IF(OR($I1330="",$J1330=""),"",$J1330-$I1330)</f>
        <v/>
      </c>
      <c r="S1330" s="8">
        <f>IFERROR(IF(INDEX(Tbl_KPIMaster[Direction],MATCH($G1330,Tbl_KPIMaster[KPI],0))="Lower is Better",IF($J1330&lt;=$I1330,"Green",IF($J1330&lt;=$I1330+IF($I1330=0,$K1330,$I1330*$K1330),"Amber","Red")),IF($J1330&gt;=$I1330,"Green",IF($J1330&gt;=$I1330-IF($I1330=0,$K1330,$I1330*$K1330),"Amber","Red"))),"")</f>
        <v/>
      </c>
      <c r="T1330" s="10" t="inlineStr"/>
    </row>
    <row r="1331">
      <c r="A1331" s="3" t="n">
        <v>46196</v>
      </c>
      <c r="B1331" s="4">
        <f>IF($A1331="","",TEXT($A1331,"mmm-yyyy"))</f>
        <v/>
      </c>
      <c r="C1331" s="4">
        <f>IF($A1331="","","W"&amp;WEEKNUM($A1331,2))</f>
        <v/>
      </c>
      <c r="D1331" s="4">
        <f>IF($A1331="","",TEXT($A1331,"ddd"))</f>
        <v/>
      </c>
      <c r="E1331" s="4" t="inlineStr">
        <is>
          <t>Utilities</t>
        </is>
      </c>
      <c r="F1331" s="4">
        <f>IFERROR(INDEX(Tbl_KPIMaster[Category],MATCH($G1331,Tbl_KPIMaster[KPI],0)),"")</f>
        <v/>
      </c>
      <c r="G1331" s="4" t="inlineStr">
        <is>
          <t>Power Consumption</t>
        </is>
      </c>
      <c r="H1331" s="4">
        <f>IFERROR(INDEX(Tbl_KPIMaster[Unit],MATCH($G1331,Tbl_KPIMaster[KPI],0)),"")</f>
        <v/>
      </c>
      <c r="I1331" s="5">
        <f>IFERROR(INDEX(Tbl_KPIMaster[Maximum Target],MATCH($G1331,Tbl_KPIMaster[KPI],0)),"")</f>
        <v/>
      </c>
      <c r="J1331" s="5" t="n">
        <v>3473.42</v>
      </c>
      <c r="K1331" s="4">
        <f>IFERROR(INDEX(Tbl_KPIMaster[Tolerance],MATCH($G1331,Tbl_KPIMaster[KPI],0)),"")</f>
        <v/>
      </c>
      <c r="L1331" s="4">
        <f>IFERROR(INDEX(Tbl_KPIMaster[Owner],MATCH($G1331,Tbl_KPIMaster[KPI],0)),"")</f>
        <v/>
      </c>
      <c r="M1331" s="6" t="inlineStr">
        <is>
          <t>New operator training effect</t>
        </is>
      </c>
      <c r="N1331" s="4" t="inlineStr">
        <is>
          <t>Management approval pending</t>
        </is>
      </c>
      <c r="O1331" s="4" t="inlineStr">
        <is>
          <t>High</t>
        </is>
      </c>
      <c r="P1331" s="4" t="inlineStr">
        <is>
          <t>In Progress</t>
        </is>
      </c>
      <c r="Q1331" s="5">
        <f>IFERROR(IF(INDEX(Tbl_KPIMaster[Direction],MATCH($G1331,Tbl_KPIMaster[KPI],0))="Lower is Better",IF($J1331=0,1,IF($I1331=0,0,$I1331/$J1331)),IF($I1331=0,1,$J1331/$I1331)),0)</f>
        <v/>
      </c>
      <c r="R1331" s="4">
        <f>IF(OR($I1331="",$J1331=""),"",$J1331-$I1331)</f>
        <v/>
      </c>
      <c r="S1331" s="4">
        <f>IFERROR(IF(INDEX(Tbl_KPIMaster[Direction],MATCH($G1331,Tbl_KPIMaster[KPI],0))="Lower is Better",IF($J1331&lt;=$I1331,"Green",IF($J1331&lt;=$I1331+IF($I1331=0,$K1331,$I1331*$K1331),"Amber","Red")),IF($J1331&gt;=$I1331,"Green",IF($J1331&gt;=$I1331-IF($I1331=0,$K1331,$I1331*$K1331),"Amber","Red"))),"")</f>
        <v/>
      </c>
      <c r="T1331" s="6" t="inlineStr"/>
    </row>
    <row r="1332">
      <c r="A1332" s="7" t="n">
        <v>46196</v>
      </c>
      <c r="B1332" s="8">
        <f>IF($A1332="","",TEXT($A1332,"mmm-yyyy"))</f>
        <v/>
      </c>
      <c r="C1332" s="8">
        <f>IF($A1332="","","W"&amp;WEEKNUM($A1332,2))</f>
        <v/>
      </c>
      <c r="D1332" s="8">
        <f>IF($A1332="","",TEXT($A1332,"ddd"))</f>
        <v/>
      </c>
      <c r="E1332" s="8" t="inlineStr">
        <is>
          <t>Utilities</t>
        </is>
      </c>
      <c r="F1332" s="8">
        <f>IFERROR(INDEX(Tbl_KPIMaster[Category],MATCH($G1332,Tbl_KPIMaster[KPI],0)),"")</f>
        <v/>
      </c>
      <c r="G1332" s="8" t="inlineStr">
        <is>
          <t>Water Consumption</t>
        </is>
      </c>
      <c r="H1332" s="8">
        <f>IFERROR(INDEX(Tbl_KPIMaster[Unit],MATCH($G1332,Tbl_KPIMaster[KPI],0)),"")</f>
        <v/>
      </c>
      <c r="I1332" s="9">
        <f>IFERROR(INDEX(Tbl_KPIMaster[Maximum Target],MATCH($G1332,Tbl_KPIMaster[KPI],0)),"")</f>
        <v/>
      </c>
      <c r="J1332" s="9" t="n">
        <v>55.39</v>
      </c>
      <c r="K1332" s="8">
        <f>IFERROR(INDEX(Tbl_KPIMaster[Tolerance],MATCH($G1332,Tbl_KPIMaster[KPI],0)),"")</f>
        <v/>
      </c>
      <c r="L1332" s="8">
        <f>IFERROR(INDEX(Tbl_KPIMaster[Owner],MATCH($G1332,Tbl_KPIMaster[KPI],0)),"")</f>
        <v/>
      </c>
      <c r="M1332" s="10" t="inlineStr">
        <is>
          <t>Process improvement in progress</t>
        </is>
      </c>
      <c r="N1332" s="8" t="inlineStr"/>
      <c r="O1332" s="8" t="inlineStr">
        <is>
          <t>Medium</t>
        </is>
      </c>
      <c r="P1332" s="8" t="inlineStr">
        <is>
          <t>Open</t>
        </is>
      </c>
      <c r="Q1332" s="9">
        <f>IFERROR(IF(INDEX(Tbl_KPIMaster[Direction],MATCH($G1332,Tbl_KPIMaster[KPI],0))="Lower is Better",IF($J1332=0,1,IF($I1332=0,0,$I1332/$J1332)),IF($I1332=0,1,$J1332/$I1332)),0)</f>
        <v/>
      </c>
      <c r="R1332" s="8">
        <f>IF(OR($I1332="",$J1332=""),"",$J1332-$I1332)</f>
        <v/>
      </c>
      <c r="S1332" s="8">
        <f>IFERROR(IF(INDEX(Tbl_KPIMaster[Direction],MATCH($G1332,Tbl_KPIMaster[KPI],0))="Lower is Better",IF($J1332&lt;=$I1332,"Green",IF($J1332&lt;=$I1332+IF($I1332=0,$K1332,$I1332*$K1332),"Amber","Red")),IF($J1332&gt;=$I1332,"Green",IF($J1332&gt;=$I1332-IF($I1332=0,$K1332,$I1332*$K1332),"Amber","Red"))),"")</f>
        <v/>
      </c>
      <c r="T1332" s="10" t="inlineStr"/>
    </row>
    <row r="1333">
      <c r="A1333" s="3" t="n">
        <v>46196</v>
      </c>
      <c r="B1333" s="4">
        <f>IF($A1333="","",TEXT($A1333,"mmm-yyyy"))</f>
        <v/>
      </c>
      <c r="C1333" s="4">
        <f>IF($A1333="","","W"&amp;WEEKNUM($A1333,2))</f>
        <v/>
      </c>
      <c r="D1333" s="4">
        <f>IF($A1333="","",TEXT($A1333,"ddd"))</f>
        <v/>
      </c>
      <c r="E1333" s="4" t="inlineStr">
        <is>
          <t>Warehouse</t>
        </is>
      </c>
      <c r="F1333" s="4">
        <f>IFERROR(INDEX(Tbl_KPIMaster[Category],MATCH($G1333,Tbl_KPIMaster[KPI],0)),"")</f>
        <v/>
      </c>
      <c r="G1333" s="4" t="inlineStr">
        <is>
          <t>On-Time Dispatch %</t>
        </is>
      </c>
      <c r="H1333" s="4">
        <f>IFERROR(INDEX(Tbl_KPIMaster[Unit],MATCH($G1333,Tbl_KPIMaster[KPI],0)),"")</f>
        <v/>
      </c>
      <c r="I1333" s="5">
        <f>IFERROR(INDEX(Tbl_KPIMaster[Maximum Target],MATCH($G1333,Tbl_KPIMaster[KPI],0)),"")</f>
        <v/>
      </c>
      <c r="J1333" s="5" t="n">
        <v>1.1467</v>
      </c>
      <c r="K1333" s="4">
        <f>IFERROR(INDEX(Tbl_KPIMaster[Tolerance],MATCH($G1333,Tbl_KPIMaster[KPI],0)),"")</f>
        <v/>
      </c>
      <c r="L1333" s="4">
        <f>IFERROR(INDEX(Tbl_KPIMaster[Owner],MATCH($G1333,Tbl_KPIMaster[KPI],0)),"")</f>
        <v/>
      </c>
      <c r="M1333" s="6" t="inlineStr">
        <is>
          <t>Weather impact</t>
        </is>
      </c>
      <c r="N1333" s="4" t="inlineStr">
        <is>
          <t>Procurement follow-up</t>
        </is>
      </c>
      <c r="O1333" s="4" t="inlineStr">
        <is>
          <t>Medium</t>
        </is>
      </c>
      <c r="P1333" s="4" t="inlineStr">
        <is>
          <t>Open</t>
        </is>
      </c>
      <c r="Q1333" s="5">
        <f>IFERROR(IF(INDEX(Tbl_KPIMaster[Direction],MATCH($G1333,Tbl_KPIMaster[KPI],0))="Lower is Better",IF($J1333=0,1,IF($I1333=0,0,$I1333/$J1333)),IF($I1333=0,1,$J1333/$I1333)),0)</f>
        <v/>
      </c>
      <c r="R1333" s="4">
        <f>IF(OR($I1333="",$J1333=""),"",$J1333-$I1333)</f>
        <v/>
      </c>
      <c r="S1333" s="4">
        <f>IFERROR(IF(INDEX(Tbl_KPIMaster[Direction],MATCH($G1333,Tbl_KPIMaster[KPI],0))="Lower is Better",IF($J1333&lt;=$I1333,"Green",IF($J1333&lt;=$I1333+IF($I1333=0,$K1333,$I1333*$K1333),"Amber","Red")),IF($J1333&gt;=$I1333,"Green",IF($J1333&gt;=$I1333-IF($I1333=0,$K1333,$I1333*$K1333),"Amber","Red"))),"")</f>
        <v/>
      </c>
      <c r="T1333" s="6" t="inlineStr"/>
    </row>
    <row r="1334">
      <c r="A1334" s="7" t="n">
        <v>46196</v>
      </c>
      <c r="B1334" s="8">
        <f>IF($A1334="","",TEXT($A1334,"mmm-yyyy"))</f>
        <v/>
      </c>
      <c r="C1334" s="8">
        <f>IF($A1334="","","W"&amp;WEEKNUM($A1334,2))</f>
        <v/>
      </c>
      <c r="D1334" s="8">
        <f>IF($A1334="","",TEXT($A1334,"ddd"))</f>
        <v/>
      </c>
      <c r="E1334" s="8" t="inlineStr">
        <is>
          <t>Warehouse</t>
        </is>
      </c>
      <c r="F1334" s="8">
        <f>IFERROR(INDEX(Tbl_KPIMaster[Category],MATCH($G1334,Tbl_KPIMaster[KPI],0)),"")</f>
        <v/>
      </c>
      <c r="G1334" s="8" t="inlineStr">
        <is>
          <t>Inventory Accuracy %</t>
        </is>
      </c>
      <c r="H1334" s="8">
        <f>IFERROR(INDEX(Tbl_KPIMaster[Unit],MATCH($G1334,Tbl_KPIMaster[KPI],0)),"")</f>
        <v/>
      </c>
      <c r="I1334" s="9">
        <f>IFERROR(INDEX(Tbl_KPIMaster[Maximum Target],MATCH($G1334,Tbl_KPIMaster[KPI],0)),"")</f>
        <v/>
      </c>
      <c r="J1334" s="9" t="n">
        <v>1.0535</v>
      </c>
      <c r="K1334" s="8">
        <f>IFERROR(INDEX(Tbl_KPIMaster[Tolerance],MATCH($G1334,Tbl_KPIMaster[KPI],0)),"")</f>
        <v/>
      </c>
      <c r="L1334" s="8">
        <f>IFERROR(INDEX(Tbl_KPIMaster[Owner],MATCH($G1334,Tbl_KPIMaster[KPI],0)),"")</f>
        <v/>
      </c>
      <c r="M1334" s="10" t="inlineStr">
        <is>
          <t>Within normal range</t>
        </is>
      </c>
      <c r="N1334" s="8" t="inlineStr"/>
      <c r="O1334" s="8" t="inlineStr">
        <is>
          <t>Low</t>
        </is>
      </c>
      <c r="P1334" s="8" t="inlineStr">
        <is>
          <t>Closed</t>
        </is>
      </c>
      <c r="Q1334" s="9">
        <f>IFERROR(IF(INDEX(Tbl_KPIMaster[Direction],MATCH($G1334,Tbl_KPIMaster[KPI],0))="Lower is Better",IF($J1334=0,1,IF($I1334=0,0,$I1334/$J1334)),IF($I1334=0,1,$J1334/$I1334)),0)</f>
        <v/>
      </c>
      <c r="R1334" s="8">
        <f>IF(OR($I1334="",$J1334=""),"",$J1334-$I1334)</f>
        <v/>
      </c>
      <c r="S1334" s="8">
        <f>IFERROR(IF(INDEX(Tbl_KPIMaster[Direction],MATCH($G1334,Tbl_KPIMaster[KPI],0))="Lower is Better",IF($J1334&lt;=$I1334,"Green",IF($J1334&lt;=$I1334+IF($I1334=0,$K1334,$I1334*$K1334),"Amber","Red")),IF($J1334&gt;=$I1334,"Green",IF($J1334&gt;=$I1334-IF($I1334=0,$K1334,$I1334*$K1334),"Amber","Red"))),"")</f>
        <v/>
      </c>
      <c r="T1334" s="10" t="inlineStr"/>
    </row>
    <row r="1335">
      <c r="A1335" s="3" t="n">
        <v>46196</v>
      </c>
      <c r="B1335" s="4">
        <f>IF($A1335="","",TEXT($A1335,"mmm-yyyy"))</f>
        <v/>
      </c>
      <c r="C1335" s="4">
        <f>IF($A1335="","","W"&amp;WEEKNUM($A1335,2))</f>
        <v/>
      </c>
      <c r="D1335" s="4">
        <f>IF($A1335="","",TEXT($A1335,"ddd"))</f>
        <v/>
      </c>
      <c r="E1335" s="4" t="inlineStr">
        <is>
          <t>HR</t>
        </is>
      </c>
      <c r="F1335" s="4">
        <f>IFERROR(INDEX(Tbl_KPIMaster[Category],MATCH($G1335,Tbl_KPIMaster[KPI],0)),"")</f>
        <v/>
      </c>
      <c r="G1335" s="4" t="inlineStr">
        <is>
          <t>Absenteeism %</t>
        </is>
      </c>
      <c r="H1335" s="4">
        <f>IFERROR(INDEX(Tbl_KPIMaster[Unit],MATCH($G1335,Tbl_KPIMaster[KPI],0)),"")</f>
        <v/>
      </c>
      <c r="I1335" s="5">
        <f>IFERROR(INDEX(Tbl_KPIMaster[Maximum Target],MATCH($G1335,Tbl_KPIMaster[KPI],0)),"")</f>
        <v/>
      </c>
      <c r="J1335" s="5" t="n">
        <v>0.1984</v>
      </c>
      <c r="K1335" s="4">
        <f>IFERROR(INDEX(Tbl_KPIMaster[Tolerance],MATCH($G1335,Tbl_KPIMaster[KPI],0)),"")</f>
        <v/>
      </c>
      <c r="L1335" s="4">
        <f>IFERROR(INDEX(Tbl_KPIMaster[Owner],MATCH($G1335,Tbl_KPIMaster[KPI],0)),"")</f>
        <v/>
      </c>
      <c r="M1335" s="6" t="inlineStr"/>
      <c r="N1335" s="4" t="inlineStr">
        <is>
          <t>Procurement follow-up</t>
        </is>
      </c>
      <c r="O1335" s="4" t="inlineStr">
        <is>
          <t>High</t>
        </is>
      </c>
      <c r="P1335" s="4" t="inlineStr">
        <is>
          <t>Closed</t>
        </is>
      </c>
      <c r="Q1335" s="5">
        <f>IFERROR(IF(INDEX(Tbl_KPIMaster[Direction],MATCH($G1335,Tbl_KPIMaster[KPI],0))="Lower is Better",IF($J1335=0,1,IF($I1335=0,0,$I1335/$J1335)),IF($I1335=0,1,$J1335/$I1335)),0)</f>
        <v/>
      </c>
      <c r="R1335" s="4">
        <f>IF(OR($I1335="",$J1335=""),"",$J1335-$I1335)</f>
        <v/>
      </c>
      <c r="S1335" s="4">
        <f>IFERROR(IF(INDEX(Tbl_KPIMaster[Direction],MATCH($G1335,Tbl_KPIMaster[KPI],0))="Lower is Better",IF($J1335&lt;=$I1335,"Green",IF($J1335&lt;=$I1335+IF($I1335=0,$K1335,$I1335*$K1335),"Amber","Red")),IF($J1335&gt;=$I1335,"Green",IF($J1335&gt;=$I1335-IF($I1335=0,$K1335,$I1335*$K1335),"Amber","Red"))),"")</f>
        <v/>
      </c>
      <c r="T1335" s="6" t="inlineStr"/>
    </row>
    <row r="1336">
      <c r="A1336" s="7" t="n">
        <v>46196</v>
      </c>
      <c r="B1336" s="8">
        <f>IF($A1336="","",TEXT($A1336,"mmm-yyyy"))</f>
        <v/>
      </c>
      <c r="C1336" s="8">
        <f>IF($A1336="","","W"&amp;WEEKNUM($A1336,2))</f>
        <v/>
      </c>
      <c r="D1336" s="8">
        <f>IF($A1336="","",TEXT($A1336,"ddd"))</f>
        <v/>
      </c>
      <c r="E1336" s="8" t="inlineStr">
        <is>
          <t>HR</t>
        </is>
      </c>
      <c r="F1336" s="8">
        <f>IFERROR(INDEX(Tbl_KPIMaster[Category],MATCH($G1336,Tbl_KPIMaster[KPI],0)),"")</f>
        <v/>
      </c>
      <c r="G1336" s="8" t="inlineStr">
        <is>
          <t>Training Hours</t>
        </is>
      </c>
      <c r="H1336" s="8">
        <f>IFERROR(INDEX(Tbl_KPIMaster[Unit],MATCH($G1336,Tbl_KPIMaster[KPI],0)),"")</f>
        <v/>
      </c>
      <c r="I1336" s="9">
        <f>IFERROR(INDEX(Tbl_KPIMaster[Maximum Target],MATCH($G1336,Tbl_KPIMaster[KPI],0)),"")</f>
        <v/>
      </c>
      <c r="J1336" s="9" t="n">
        <v>2.04</v>
      </c>
      <c r="K1336" s="8">
        <f>IFERROR(INDEX(Tbl_KPIMaster[Tolerance],MATCH($G1336,Tbl_KPIMaster[KPI],0)),"")</f>
        <v/>
      </c>
      <c r="L1336" s="8">
        <f>IFERROR(INDEX(Tbl_KPIMaster[Owner],MATCH($G1336,Tbl_KPIMaster[KPI],0)),"")</f>
        <v/>
      </c>
      <c r="M1336" s="10" t="inlineStr">
        <is>
          <t>New operator training effect</t>
        </is>
      </c>
      <c r="N1336" s="8" t="inlineStr"/>
      <c r="O1336" s="8" t="inlineStr">
        <is>
          <t>Low</t>
        </is>
      </c>
      <c r="P1336" s="8" t="inlineStr">
        <is>
          <t>Closed</t>
        </is>
      </c>
      <c r="Q1336" s="9">
        <f>IFERROR(IF(INDEX(Tbl_KPIMaster[Direction],MATCH($G1336,Tbl_KPIMaster[KPI],0))="Lower is Better",IF($J1336=0,1,IF($I1336=0,0,$I1336/$J1336)),IF($I1336=0,1,$J1336/$I1336)),0)</f>
        <v/>
      </c>
      <c r="R1336" s="8">
        <f>IF(OR($I1336="",$J1336=""),"",$J1336-$I1336)</f>
        <v/>
      </c>
      <c r="S1336" s="8">
        <f>IFERROR(IF(INDEX(Tbl_KPIMaster[Direction],MATCH($G1336,Tbl_KPIMaster[KPI],0))="Lower is Better",IF($J1336&lt;=$I1336,"Green",IF($J1336&lt;=$I1336+IF($I1336=0,$K1336,$I1336*$K1336),"Amber","Red")),IF($J1336&gt;=$I1336,"Green",IF($J1336&gt;=$I1336-IF($I1336=0,$K1336,$I1336*$K1336),"Amber","Red"))),"")</f>
        <v/>
      </c>
      <c r="T1336" s="10" t="inlineStr"/>
    </row>
    <row r="1337">
      <c r="A1337" s="3" t="n">
        <v>46196</v>
      </c>
      <c r="B1337" s="4">
        <f>IF($A1337="","",TEXT($A1337,"mmm-yyyy"))</f>
        <v/>
      </c>
      <c r="C1337" s="4">
        <f>IF($A1337="","","W"&amp;WEEKNUM($A1337,2))</f>
        <v/>
      </c>
      <c r="D1337" s="4">
        <f>IF($A1337="","",TEXT($A1337,"ddd"))</f>
        <v/>
      </c>
      <c r="E1337" s="4" t="inlineStr">
        <is>
          <t>Engineering</t>
        </is>
      </c>
      <c r="F1337" s="4">
        <f>IFERROR(INDEX(Tbl_KPIMaster[Category],MATCH($G1337,Tbl_KPIMaster[KPI],0)),"")</f>
        <v/>
      </c>
      <c r="G1337" s="4" t="inlineStr">
        <is>
          <t>Project Milestone Adherence %</t>
        </is>
      </c>
      <c r="H1337" s="4">
        <f>IFERROR(INDEX(Tbl_KPIMaster[Unit],MATCH($G1337,Tbl_KPIMaster[KPI],0)),"")</f>
        <v/>
      </c>
      <c r="I1337" s="5">
        <f>IFERROR(INDEX(Tbl_KPIMaster[Maximum Target],MATCH($G1337,Tbl_KPIMaster[KPI],0)),"")</f>
        <v/>
      </c>
      <c r="J1337" s="5" t="n">
        <v>0.874</v>
      </c>
      <c r="K1337" s="4">
        <f>IFERROR(INDEX(Tbl_KPIMaster[Tolerance],MATCH($G1337,Tbl_KPIMaster[KPI],0)),"")</f>
        <v/>
      </c>
      <c r="L1337" s="4">
        <f>IFERROR(INDEX(Tbl_KPIMaster[Owner],MATCH($G1337,Tbl_KPIMaster[KPI],0)),"")</f>
        <v/>
      </c>
      <c r="M1337" s="6" t="inlineStr">
        <is>
          <t>Manpower shortage</t>
        </is>
      </c>
      <c r="N1337" s="4" t="inlineStr"/>
      <c r="O1337" s="4" t="inlineStr">
        <is>
          <t>Low</t>
        </is>
      </c>
      <c r="P1337" s="4" t="inlineStr">
        <is>
          <t>In Progress</t>
        </is>
      </c>
      <c r="Q1337" s="5">
        <f>IFERROR(IF(INDEX(Tbl_KPIMaster[Direction],MATCH($G1337,Tbl_KPIMaster[KPI],0))="Lower is Better",IF($J1337=0,1,IF($I1337=0,0,$I1337/$J1337)),IF($I1337=0,1,$J1337/$I1337)),0)</f>
        <v/>
      </c>
      <c r="R1337" s="4">
        <f>IF(OR($I1337="",$J1337=""),"",$J1337-$I1337)</f>
        <v/>
      </c>
      <c r="S1337" s="4">
        <f>IFERROR(IF(INDEX(Tbl_KPIMaster[Direction],MATCH($G1337,Tbl_KPIMaster[KPI],0))="Lower is Better",IF($J1337&lt;=$I1337,"Green",IF($J1337&lt;=$I1337+IF($I1337=0,$K1337,$I1337*$K1337),"Amber","Red")),IF($J1337&gt;=$I1337,"Green",IF($J1337&gt;=$I1337-IF($I1337=0,$K1337,$I1337*$K1337),"Amber","Red"))),"")</f>
        <v/>
      </c>
      <c r="T1337" s="6" t="inlineStr"/>
    </row>
    <row r="1338">
      <c r="A1338" s="7" t="n">
        <v>46196</v>
      </c>
      <c r="B1338" s="8">
        <f>IF($A1338="","",TEXT($A1338,"mmm-yyyy"))</f>
        <v/>
      </c>
      <c r="C1338" s="8">
        <f>IF($A1338="","","W"&amp;WEEKNUM($A1338,2))</f>
        <v/>
      </c>
      <c r="D1338" s="8">
        <f>IF($A1338="","",TEXT($A1338,"ddd"))</f>
        <v/>
      </c>
      <c r="E1338" s="8" t="inlineStr">
        <is>
          <t>Engineering</t>
        </is>
      </c>
      <c r="F1338" s="8">
        <f>IFERROR(INDEX(Tbl_KPIMaster[Category],MATCH($G1338,Tbl_KPIMaster[KPI],0)),"")</f>
        <v/>
      </c>
      <c r="G1338" s="8" t="inlineStr">
        <is>
          <t>Breakdown Resolution Time</t>
        </is>
      </c>
      <c r="H1338" s="8">
        <f>IFERROR(INDEX(Tbl_KPIMaster[Unit],MATCH($G1338,Tbl_KPIMaster[KPI],0)),"")</f>
        <v/>
      </c>
      <c r="I1338" s="9">
        <f>IFERROR(INDEX(Tbl_KPIMaster[Maximum Target],MATCH($G1338,Tbl_KPIMaster[KPI],0)),"")</f>
        <v/>
      </c>
      <c r="J1338" s="9" t="n">
        <v>0</v>
      </c>
      <c r="K1338" s="8">
        <f>IFERROR(INDEX(Tbl_KPIMaster[Tolerance],MATCH($G1338,Tbl_KPIMaster[KPI],0)),"")</f>
        <v/>
      </c>
      <c r="L1338" s="8">
        <f>IFERROR(INDEX(Tbl_KPIMaster[Owner],MATCH($G1338,Tbl_KPIMaster[KPI],0)),"")</f>
        <v/>
      </c>
      <c r="M1338" s="10" t="inlineStr">
        <is>
          <t>Line changeover impact</t>
        </is>
      </c>
      <c r="N1338" s="8" t="inlineStr"/>
      <c r="O1338" s="8" t="inlineStr">
        <is>
          <t>Low</t>
        </is>
      </c>
      <c r="P1338" s="8" t="inlineStr">
        <is>
          <t>Open</t>
        </is>
      </c>
      <c r="Q1338" s="9">
        <f>IFERROR(IF(INDEX(Tbl_KPIMaster[Direction],MATCH($G1338,Tbl_KPIMaster[KPI],0))="Lower is Better",IF($J1338=0,1,IF($I1338=0,0,$I1338/$J1338)),IF($I1338=0,1,$J1338/$I1338)),0)</f>
        <v/>
      </c>
      <c r="R1338" s="8">
        <f>IF(OR($I1338="",$J1338=""),"",$J1338-$I1338)</f>
        <v/>
      </c>
      <c r="S1338" s="8">
        <f>IFERROR(IF(INDEX(Tbl_KPIMaster[Direction],MATCH($G1338,Tbl_KPIMaster[KPI],0))="Lower is Better",IF($J1338&lt;=$I1338,"Green",IF($J1338&lt;=$I1338+IF($I1338=0,$K1338,$I1338*$K1338),"Amber","Red")),IF($J1338&gt;=$I1338,"Green",IF($J1338&gt;=$I1338-IF($I1338=0,$K1338,$I1338*$K1338),"Amber","Red"))),"")</f>
        <v/>
      </c>
      <c r="T1338" s="10" t="inlineStr"/>
    </row>
    <row r="1339">
      <c r="A1339" s="3" t="n">
        <v>46196</v>
      </c>
      <c r="B1339" s="4">
        <f>IF($A1339="","",TEXT($A1339,"mmm-yyyy"))</f>
        <v/>
      </c>
      <c r="C1339" s="4">
        <f>IF($A1339="","","W"&amp;WEEKNUM($A1339,2))</f>
        <v/>
      </c>
      <c r="D1339" s="4">
        <f>IF($A1339="","",TEXT($A1339,"ddd"))</f>
        <v/>
      </c>
      <c r="E1339" s="4" t="inlineStr">
        <is>
          <t>Cost</t>
        </is>
      </c>
      <c r="F1339" s="4">
        <f>IFERROR(INDEX(Tbl_KPIMaster[Category],MATCH($G1339,Tbl_KPIMaster[KPI],0)),"")</f>
        <v/>
      </c>
      <c r="G1339" s="4" t="inlineStr">
        <is>
          <t>Cost per Unit</t>
        </is>
      </c>
      <c r="H1339" s="4">
        <f>IFERROR(INDEX(Tbl_KPIMaster[Unit],MATCH($G1339,Tbl_KPIMaster[KPI],0)),"")</f>
        <v/>
      </c>
      <c r="I1339" s="5">
        <f>IFERROR(INDEX(Tbl_KPIMaster[Maximum Target],MATCH($G1339,Tbl_KPIMaster[KPI],0)),"")</f>
        <v/>
      </c>
      <c r="J1339" s="5" t="n">
        <v>45.51</v>
      </c>
      <c r="K1339" s="4">
        <f>IFERROR(INDEX(Tbl_KPIMaster[Tolerance],MATCH($G1339,Tbl_KPIMaster[KPI],0)),"")</f>
        <v/>
      </c>
      <c r="L1339" s="4">
        <f>IFERROR(INDEX(Tbl_KPIMaster[Owner],MATCH($G1339,Tbl_KPIMaster[KPI],0)),"")</f>
        <v/>
      </c>
      <c r="M1339" s="6" t="inlineStr">
        <is>
          <t>Vendor delay</t>
        </is>
      </c>
      <c r="N1339" s="4" t="inlineStr"/>
      <c r="O1339" s="4" t="inlineStr">
        <is>
          <t>High</t>
        </is>
      </c>
      <c r="P1339" s="4" t="inlineStr">
        <is>
          <t>Open</t>
        </is>
      </c>
      <c r="Q1339" s="5">
        <f>IFERROR(IF(INDEX(Tbl_KPIMaster[Direction],MATCH($G1339,Tbl_KPIMaster[KPI],0))="Lower is Better",IF($J1339=0,1,IF($I1339=0,0,$I1339/$J1339)),IF($I1339=0,1,$J1339/$I1339)),0)</f>
        <v/>
      </c>
      <c r="R1339" s="4">
        <f>IF(OR($I1339="",$J1339=""),"",$J1339-$I1339)</f>
        <v/>
      </c>
      <c r="S1339" s="4">
        <f>IFERROR(IF(INDEX(Tbl_KPIMaster[Direction],MATCH($G1339,Tbl_KPIMaster[KPI],0))="Lower is Better",IF($J1339&lt;=$I1339,"Green",IF($J1339&lt;=$I1339+IF($I1339=0,$K1339,$I1339*$K1339),"Amber","Red")),IF($J1339&gt;=$I1339,"Green",IF($J1339&gt;=$I1339-IF($I1339=0,$K1339,$I1339*$K1339),"Amber","Red"))),"")</f>
        <v/>
      </c>
      <c r="T1339" s="6" t="inlineStr"/>
    </row>
    <row r="1340">
      <c r="A1340" s="7" t="n">
        <v>46196</v>
      </c>
      <c r="B1340" s="8">
        <f>IF($A1340="","",TEXT($A1340,"mmm-yyyy"))</f>
        <v/>
      </c>
      <c r="C1340" s="8">
        <f>IF($A1340="","","W"&amp;WEEKNUM($A1340,2))</f>
        <v/>
      </c>
      <c r="D1340" s="8">
        <f>IF($A1340="","",TEXT($A1340,"ddd"))</f>
        <v/>
      </c>
      <c r="E1340" s="8" t="inlineStr">
        <is>
          <t>Cost</t>
        </is>
      </c>
      <c r="F1340" s="8">
        <f>IFERROR(INDEX(Tbl_KPIMaster[Category],MATCH($G1340,Tbl_KPIMaster[KPI],0)),"")</f>
        <v/>
      </c>
      <c r="G1340" s="8" t="inlineStr">
        <is>
          <t>Budget Variance %</t>
        </is>
      </c>
      <c r="H1340" s="8">
        <f>IFERROR(INDEX(Tbl_KPIMaster[Unit],MATCH($G1340,Tbl_KPIMaster[KPI],0)),"")</f>
        <v/>
      </c>
      <c r="I1340" s="9">
        <f>IFERROR(INDEX(Tbl_KPIMaster[Maximum Target],MATCH($G1340,Tbl_KPIMaster[KPI],0)),"")</f>
        <v/>
      </c>
      <c r="J1340" s="9" t="n">
        <v>0.535</v>
      </c>
      <c r="K1340" s="8">
        <f>IFERROR(INDEX(Tbl_KPIMaster[Tolerance],MATCH($G1340,Tbl_KPIMaster[KPI],0)),"")</f>
        <v/>
      </c>
      <c r="L1340" s="8">
        <f>IFERROR(INDEX(Tbl_KPIMaster[Owner],MATCH($G1340,Tbl_KPIMaster[KPI],0)),"")</f>
        <v/>
      </c>
      <c r="M1340" s="10" t="inlineStr">
        <is>
          <t>Manpower shortage</t>
        </is>
      </c>
      <c r="N1340" s="8" t="inlineStr">
        <is>
          <t>Management approval pending</t>
        </is>
      </c>
      <c r="O1340" s="8" t="inlineStr">
        <is>
          <t>Low</t>
        </is>
      </c>
      <c r="P1340" s="8" t="inlineStr">
        <is>
          <t>Closed</t>
        </is>
      </c>
      <c r="Q1340" s="9">
        <f>IFERROR(IF(INDEX(Tbl_KPIMaster[Direction],MATCH($G1340,Tbl_KPIMaster[KPI],0))="Lower is Better",IF($J1340=0,1,IF($I1340=0,0,$I1340/$J1340)),IF($I1340=0,1,$J1340/$I1340)),0)</f>
        <v/>
      </c>
      <c r="R1340" s="8">
        <f>IF(OR($I1340="",$J1340=""),"",$J1340-$I1340)</f>
        <v/>
      </c>
      <c r="S1340" s="8">
        <f>IFERROR(IF(INDEX(Tbl_KPIMaster[Direction],MATCH($G1340,Tbl_KPIMaster[KPI],0))="Lower is Better",IF($J1340&lt;=$I1340,"Green",IF($J1340&lt;=$I1340+IF($I1340=0,$K1340,$I1340*$K1340),"Amber","Red")),IF($J1340&gt;=$I1340,"Green",IF($J1340&gt;=$I1340-IF($I1340=0,$K1340,$I1340*$K1340),"Amber","Red"))),"")</f>
        <v/>
      </c>
      <c r="T1340" s="10" t="inlineStr"/>
    </row>
    <row r="1341">
      <c r="A1341" s="3" t="n">
        <v>46196</v>
      </c>
      <c r="B1341" s="4">
        <f>IF($A1341="","",TEXT($A1341,"mmm-yyyy"))</f>
        <v/>
      </c>
      <c r="C1341" s="4">
        <f>IF($A1341="","","W"&amp;WEEKNUM($A1341,2))</f>
        <v/>
      </c>
      <c r="D1341" s="4">
        <f>IF($A1341="","",TEXT($A1341,"ddd"))</f>
        <v/>
      </c>
      <c r="E1341" s="4" t="inlineStr">
        <is>
          <t>Energy</t>
        </is>
      </c>
      <c r="F1341" s="4">
        <f>IFERROR(INDEX(Tbl_KPIMaster[Category],MATCH($G1341,Tbl_KPIMaster[KPI],0)),"")</f>
        <v/>
      </c>
      <c r="G1341" s="4" t="inlineStr">
        <is>
          <t>Energy Intensity (kWh/unit)</t>
        </is>
      </c>
      <c r="H1341" s="4">
        <f>IFERROR(INDEX(Tbl_KPIMaster[Unit],MATCH($G1341,Tbl_KPIMaster[KPI],0)),"")</f>
        <v/>
      </c>
      <c r="I1341" s="5">
        <f>IFERROR(INDEX(Tbl_KPIMaster[Maximum Target],MATCH($G1341,Tbl_KPIMaster[KPI],0)),"")</f>
        <v/>
      </c>
      <c r="J1341" s="5" t="n">
        <v>4.56</v>
      </c>
      <c r="K1341" s="4">
        <f>IFERROR(INDEX(Tbl_KPIMaster[Tolerance],MATCH($G1341,Tbl_KPIMaster[KPI],0)),"")</f>
        <v/>
      </c>
      <c r="L1341" s="4">
        <f>IFERROR(INDEX(Tbl_KPIMaster[Owner],MATCH($G1341,Tbl_KPIMaster[KPI],0)),"")</f>
        <v/>
      </c>
      <c r="M1341" s="6" t="inlineStr"/>
      <c r="N1341" s="4" t="inlineStr"/>
      <c r="O1341" s="4" t="inlineStr">
        <is>
          <t>Medium</t>
        </is>
      </c>
      <c r="P1341" s="4" t="inlineStr">
        <is>
          <t>In Progress</t>
        </is>
      </c>
      <c r="Q1341" s="5">
        <f>IFERROR(IF(INDEX(Tbl_KPIMaster[Direction],MATCH($G1341,Tbl_KPIMaster[KPI],0))="Lower is Better",IF($J1341=0,1,IF($I1341=0,0,$I1341/$J1341)),IF($I1341=0,1,$J1341/$I1341)),0)</f>
        <v/>
      </c>
      <c r="R1341" s="4">
        <f>IF(OR($I1341="",$J1341=""),"",$J1341-$I1341)</f>
        <v/>
      </c>
      <c r="S1341" s="4">
        <f>IFERROR(IF(INDEX(Tbl_KPIMaster[Direction],MATCH($G1341,Tbl_KPIMaster[KPI],0))="Lower is Better",IF($J1341&lt;=$I1341,"Green",IF($J1341&lt;=$I1341+IF($I1341=0,$K1341,$I1341*$K1341),"Amber","Red")),IF($J1341&gt;=$I1341,"Green",IF($J1341&gt;=$I1341-IF($I1341=0,$K1341,$I1341*$K1341),"Amber","Red"))),"")</f>
        <v/>
      </c>
      <c r="T1341" s="6" t="inlineStr"/>
    </row>
    <row r="1342">
      <c r="A1342" s="7" t="n">
        <v>46196</v>
      </c>
      <c r="B1342" s="8">
        <f>IF($A1342="","",TEXT($A1342,"mmm-yyyy"))</f>
        <v/>
      </c>
      <c r="C1342" s="8">
        <f>IF($A1342="","","W"&amp;WEEKNUM($A1342,2))</f>
        <v/>
      </c>
      <c r="D1342" s="8">
        <f>IF($A1342="","",TEXT($A1342,"ddd"))</f>
        <v/>
      </c>
      <c r="E1342" s="8" t="inlineStr">
        <is>
          <t>Energy</t>
        </is>
      </c>
      <c r="F1342" s="8">
        <f>IFERROR(INDEX(Tbl_KPIMaster[Category],MATCH($G1342,Tbl_KPIMaster[KPI],0)),"")</f>
        <v/>
      </c>
      <c r="G1342" s="8" t="inlineStr">
        <is>
          <t>Renewable Energy Share %</t>
        </is>
      </c>
      <c r="H1342" s="8">
        <f>IFERROR(INDEX(Tbl_KPIMaster[Unit],MATCH($G1342,Tbl_KPIMaster[KPI],0)),"")</f>
        <v/>
      </c>
      <c r="I1342" s="9">
        <f>IFERROR(INDEX(Tbl_KPIMaster[Maximum Target],MATCH($G1342,Tbl_KPIMaster[KPI],0)),"")</f>
        <v/>
      </c>
      <c r="J1342" s="9" t="n">
        <v>0.2394</v>
      </c>
      <c r="K1342" s="8">
        <f>IFERROR(INDEX(Tbl_KPIMaster[Tolerance],MATCH($G1342,Tbl_KPIMaster[KPI],0)),"")</f>
        <v/>
      </c>
      <c r="L1342" s="8">
        <f>IFERROR(INDEX(Tbl_KPIMaster[Owner],MATCH($G1342,Tbl_KPIMaster[KPI],0)),"")</f>
        <v/>
      </c>
      <c r="M1342" s="10" t="inlineStr"/>
      <c r="N1342" s="8" t="inlineStr">
        <is>
          <t>Management approval pending</t>
        </is>
      </c>
      <c r="O1342" s="8" t="inlineStr">
        <is>
          <t>Low</t>
        </is>
      </c>
      <c r="P1342" s="8" t="inlineStr">
        <is>
          <t>Open</t>
        </is>
      </c>
      <c r="Q1342" s="9">
        <f>IFERROR(IF(INDEX(Tbl_KPIMaster[Direction],MATCH($G1342,Tbl_KPIMaster[KPI],0))="Lower is Better",IF($J1342=0,1,IF($I1342=0,0,$I1342/$J1342)),IF($I1342=0,1,$J1342/$I1342)),0)</f>
        <v/>
      </c>
      <c r="R1342" s="8">
        <f>IF(OR($I1342="",$J1342=""),"",$J1342-$I1342)</f>
        <v/>
      </c>
      <c r="S1342" s="8">
        <f>IFERROR(IF(INDEX(Tbl_KPIMaster[Direction],MATCH($G1342,Tbl_KPIMaster[KPI],0))="Lower is Better",IF($J1342&lt;=$I1342,"Green",IF($J1342&lt;=$I1342+IF($I1342=0,$K1342,$I1342*$K1342),"Amber","Red")),IF($J1342&gt;=$I1342,"Green",IF($J1342&gt;=$I1342-IF($I1342=0,$K1342,$I1342*$K1342),"Amber","Red"))),"")</f>
        <v/>
      </c>
      <c r="T1342" s="10" t="inlineStr"/>
    </row>
    <row r="1343">
      <c r="A1343" s="3" t="n">
        <v>46197</v>
      </c>
      <c r="B1343" s="4">
        <f>IF($A1343="","",TEXT($A1343,"mmm-yyyy"))</f>
        <v/>
      </c>
      <c r="C1343" s="4">
        <f>IF($A1343="","","W"&amp;WEEKNUM($A1343,2))</f>
        <v/>
      </c>
      <c r="D1343" s="4">
        <f>IF($A1343="","",TEXT($A1343,"ddd"))</f>
        <v/>
      </c>
      <c r="E1343" s="4" t="inlineStr">
        <is>
          <t>Safety</t>
        </is>
      </c>
      <c r="F1343" s="4">
        <f>IFERROR(INDEX(Tbl_KPIMaster[Category],MATCH($G1343,Tbl_KPIMaster[KPI],0)),"")</f>
        <v/>
      </c>
      <c r="G1343" s="4" t="inlineStr">
        <is>
          <t>Safety Incidents (LTI)</t>
        </is>
      </c>
      <c r="H1343" s="4">
        <f>IFERROR(INDEX(Tbl_KPIMaster[Unit],MATCH($G1343,Tbl_KPIMaster[KPI],0)),"")</f>
        <v/>
      </c>
      <c r="I1343" s="5">
        <f>IFERROR(INDEX(Tbl_KPIMaster[Maximum Target],MATCH($G1343,Tbl_KPIMaster[KPI],0)),"")</f>
        <v/>
      </c>
      <c r="J1343" s="5" t="n">
        <v>0</v>
      </c>
      <c r="K1343" s="4">
        <f>IFERROR(INDEX(Tbl_KPIMaster[Tolerance],MATCH($G1343,Tbl_KPIMaster[KPI],0)),"")</f>
        <v/>
      </c>
      <c r="L1343" s="4">
        <f>IFERROR(INDEX(Tbl_KPIMaster[Owner],MATCH($G1343,Tbl_KPIMaster[KPI],0)),"")</f>
        <v/>
      </c>
      <c r="M1343" s="6" t="inlineStr">
        <is>
          <t>Awaiting spares</t>
        </is>
      </c>
      <c r="N1343" s="4" t="inlineStr"/>
      <c r="O1343" s="4" t="inlineStr">
        <is>
          <t>High</t>
        </is>
      </c>
      <c r="P1343" s="4" t="inlineStr">
        <is>
          <t>Open</t>
        </is>
      </c>
      <c r="Q1343" s="5">
        <f>IFERROR(IF(INDEX(Tbl_KPIMaster[Direction],MATCH($G1343,Tbl_KPIMaster[KPI],0))="Lower is Better",IF($J1343=0,1,IF($I1343=0,0,$I1343/$J1343)),IF($I1343=0,1,$J1343/$I1343)),0)</f>
        <v/>
      </c>
      <c r="R1343" s="4">
        <f>IF(OR($I1343="",$J1343=""),"",$J1343-$I1343)</f>
        <v/>
      </c>
      <c r="S1343" s="4">
        <f>IFERROR(IF(INDEX(Tbl_KPIMaster[Direction],MATCH($G1343,Tbl_KPIMaster[KPI],0))="Lower is Better",IF($J1343&lt;=$I1343,"Green",IF($J1343&lt;=$I1343+IF($I1343=0,$K1343,$I1343*$K1343),"Amber","Red")),IF($J1343&gt;=$I1343,"Green",IF($J1343&gt;=$I1343-IF($I1343=0,$K1343,$I1343*$K1343),"Amber","Red"))),"")</f>
        <v/>
      </c>
      <c r="T1343" s="6" t="inlineStr"/>
    </row>
    <row r="1344">
      <c r="A1344" s="7" t="n">
        <v>46197</v>
      </c>
      <c r="B1344" s="8">
        <f>IF($A1344="","",TEXT($A1344,"mmm-yyyy"))</f>
        <v/>
      </c>
      <c r="C1344" s="8">
        <f>IF($A1344="","","W"&amp;WEEKNUM($A1344,2))</f>
        <v/>
      </c>
      <c r="D1344" s="8">
        <f>IF($A1344="","",TEXT($A1344,"ddd"))</f>
        <v/>
      </c>
      <c r="E1344" s="8" t="inlineStr">
        <is>
          <t>Safety</t>
        </is>
      </c>
      <c r="F1344" s="8">
        <f>IFERROR(INDEX(Tbl_KPIMaster[Category],MATCH($G1344,Tbl_KPIMaster[KPI],0)),"")</f>
        <v/>
      </c>
      <c r="G1344" s="8" t="inlineStr">
        <is>
          <t>Near Miss Reports</t>
        </is>
      </c>
      <c r="H1344" s="8">
        <f>IFERROR(INDEX(Tbl_KPIMaster[Unit],MATCH($G1344,Tbl_KPIMaster[KPI],0)),"")</f>
        <v/>
      </c>
      <c r="I1344" s="9">
        <f>IFERROR(INDEX(Tbl_KPIMaster[Maximum Target],MATCH($G1344,Tbl_KPIMaster[KPI],0)),"")</f>
        <v/>
      </c>
      <c r="J1344" s="9" t="n">
        <v>2</v>
      </c>
      <c r="K1344" s="8">
        <f>IFERROR(INDEX(Tbl_KPIMaster[Tolerance],MATCH($G1344,Tbl_KPIMaster[KPI],0)),"")</f>
        <v/>
      </c>
      <c r="L1344" s="8">
        <f>IFERROR(INDEX(Tbl_KPIMaster[Owner],MATCH($G1344,Tbl_KPIMaster[KPI],0)),"")</f>
        <v/>
      </c>
      <c r="M1344" s="10" t="inlineStr">
        <is>
          <t>Equipment breakdown</t>
        </is>
      </c>
      <c r="N1344" s="8" t="inlineStr"/>
      <c r="O1344" s="8" t="inlineStr">
        <is>
          <t>Medium</t>
        </is>
      </c>
      <c r="P1344" s="8" t="inlineStr">
        <is>
          <t>Closed</t>
        </is>
      </c>
      <c r="Q1344" s="9">
        <f>IFERROR(IF(INDEX(Tbl_KPIMaster[Direction],MATCH($G1344,Tbl_KPIMaster[KPI],0))="Lower is Better",IF($J1344=0,1,IF($I1344=0,0,$I1344/$J1344)),IF($I1344=0,1,$J1344/$I1344)),0)</f>
        <v/>
      </c>
      <c r="R1344" s="8">
        <f>IF(OR($I1344="",$J1344=""),"",$J1344-$I1344)</f>
        <v/>
      </c>
      <c r="S1344" s="8">
        <f>IFERROR(IF(INDEX(Tbl_KPIMaster[Direction],MATCH($G1344,Tbl_KPIMaster[KPI],0))="Lower is Better",IF($J1344&lt;=$I1344,"Green",IF($J1344&lt;=$I1344+IF($I1344=0,$K1344,$I1344*$K1344),"Amber","Red")),IF($J1344&gt;=$I1344,"Green",IF($J1344&gt;=$I1344-IF($I1344=0,$K1344,$I1344*$K1344),"Amber","Red"))),"")</f>
        <v/>
      </c>
      <c r="T1344" s="10" t="inlineStr"/>
    </row>
    <row r="1345">
      <c r="A1345" s="3" t="n">
        <v>46197</v>
      </c>
      <c r="B1345" s="4">
        <f>IF($A1345="","",TEXT($A1345,"mmm-yyyy"))</f>
        <v/>
      </c>
      <c r="C1345" s="4">
        <f>IF($A1345="","","W"&amp;WEEKNUM($A1345,2))</f>
        <v/>
      </c>
      <c r="D1345" s="4">
        <f>IF($A1345="","",TEXT($A1345,"ddd"))</f>
        <v/>
      </c>
      <c r="E1345" s="4" t="inlineStr">
        <is>
          <t>Production</t>
        </is>
      </c>
      <c r="F1345" s="4">
        <f>IFERROR(INDEX(Tbl_KPIMaster[Category],MATCH($G1345,Tbl_KPIMaster[KPI],0)),"")</f>
        <v/>
      </c>
      <c r="G1345" s="4" t="inlineStr">
        <is>
          <t>Production Output</t>
        </is>
      </c>
      <c r="H1345" s="4">
        <f>IFERROR(INDEX(Tbl_KPIMaster[Unit],MATCH($G1345,Tbl_KPIMaster[KPI],0)),"")</f>
        <v/>
      </c>
      <c r="I1345" s="5">
        <f>IFERROR(INDEX(Tbl_KPIMaster[Maximum Target],MATCH($G1345,Tbl_KPIMaster[KPI],0)),"")</f>
        <v/>
      </c>
      <c r="J1345" s="5" t="n">
        <v>1155.86</v>
      </c>
      <c r="K1345" s="4">
        <f>IFERROR(INDEX(Tbl_KPIMaster[Tolerance],MATCH($G1345,Tbl_KPIMaster[KPI],0)),"")</f>
        <v/>
      </c>
      <c r="L1345" s="4">
        <f>IFERROR(INDEX(Tbl_KPIMaster[Owner],MATCH($G1345,Tbl_KPIMaster[KPI],0)),"")</f>
        <v/>
      </c>
      <c r="M1345" s="6" t="inlineStr">
        <is>
          <t>Process improvement in progress</t>
        </is>
      </c>
      <c r="N1345" s="4" t="inlineStr">
        <is>
          <t>Management approval pending</t>
        </is>
      </c>
      <c r="O1345" s="4" t="inlineStr">
        <is>
          <t>Medium</t>
        </is>
      </c>
      <c r="P1345" s="4" t="inlineStr">
        <is>
          <t>Closed</t>
        </is>
      </c>
      <c r="Q1345" s="5">
        <f>IFERROR(IF(INDEX(Tbl_KPIMaster[Direction],MATCH($G1345,Tbl_KPIMaster[KPI],0))="Lower is Better",IF($J1345=0,1,IF($I1345=0,0,$I1345/$J1345)),IF($I1345=0,1,$J1345/$I1345)),0)</f>
        <v/>
      </c>
      <c r="R1345" s="4">
        <f>IF(OR($I1345="",$J1345=""),"",$J1345-$I1345)</f>
        <v/>
      </c>
      <c r="S1345" s="4">
        <f>IFERROR(IF(INDEX(Tbl_KPIMaster[Direction],MATCH($G1345,Tbl_KPIMaster[KPI],0))="Lower is Better",IF($J1345&lt;=$I1345,"Green",IF($J1345&lt;=$I1345+IF($I1345=0,$K1345,$I1345*$K1345),"Amber","Red")),IF($J1345&gt;=$I1345,"Green",IF($J1345&gt;=$I1345-IF($I1345=0,$K1345,$I1345*$K1345),"Amber","Red"))),"")</f>
        <v/>
      </c>
      <c r="T1345" s="6" t="inlineStr"/>
    </row>
    <row r="1346">
      <c r="A1346" s="7" t="n">
        <v>46197</v>
      </c>
      <c r="B1346" s="8">
        <f>IF($A1346="","",TEXT($A1346,"mmm-yyyy"))</f>
        <v/>
      </c>
      <c r="C1346" s="8">
        <f>IF($A1346="","","W"&amp;WEEKNUM($A1346,2))</f>
        <v/>
      </c>
      <c r="D1346" s="8">
        <f>IF($A1346="","",TEXT($A1346,"ddd"))</f>
        <v/>
      </c>
      <c r="E1346" s="8" t="inlineStr">
        <is>
          <t>Production</t>
        </is>
      </c>
      <c r="F1346" s="8">
        <f>IFERROR(INDEX(Tbl_KPIMaster[Category],MATCH($G1346,Tbl_KPIMaster[KPI],0)),"")</f>
        <v/>
      </c>
      <c r="G1346" s="8" t="inlineStr">
        <is>
          <t>OEE %</t>
        </is>
      </c>
      <c r="H1346" s="8">
        <f>IFERROR(INDEX(Tbl_KPIMaster[Unit],MATCH($G1346,Tbl_KPIMaster[KPI],0)),"")</f>
        <v/>
      </c>
      <c r="I1346" s="9">
        <f>IFERROR(INDEX(Tbl_KPIMaster[Maximum Target],MATCH($G1346,Tbl_KPIMaster[KPI],0)),"")</f>
        <v/>
      </c>
      <c r="J1346" s="9" t="n">
        <v>0.7353</v>
      </c>
      <c r="K1346" s="8">
        <f>IFERROR(INDEX(Tbl_KPIMaster[Tolerance],MATCH($G1346,Tbl_KPIMaster[KPI],0)),"")</f>
        <v/>
      </c>
      <c r="L1346" s="8">
        <f>IFERROR(INDEX(Tbl_KPIMaster[Owner],MATCH($G1346,Tbl_KPIMaster[KPI],0)),"")</f>
        <v/>
      </c>
      <c r="M1346" s="10" t="inlineStr">
        <is>
          <t>Process improvement in progress</t>
        </is>
      </c>
      <c r="N1346" s="8" t="inlineStr"/>
      <c r="O1346" s="8" t="inlineStr">
        <is>
          <t>Low</t>
        </is>
      </c>
      <c r="P1346" s="8" t="inlineStr">
        <is>
          <t>Closed</t>
        </is>
      </c>
      <c r="Q1346" s="9">
        <f>IFERROR(IF(INDEX(Tbl_KPIMaster[Direction],MATCH($G1346,Tbl_KPIMaster[KPI],0))="Lower is Better",IF($J1346=0,1,IF($I1346=0,0,$I1346/$J1346)),IF($I1346=0,1,$J1346/$I1346)),0)</f>
        <v/>
      </c>
      <c r="R1346" s="8">
        <f>IF(OR($I1346="",$J1346=""),"",$J1346-$I1346)</f>
        <v/>
      </c>
      <c r="S1346" s="8">
        <f>IFERROR(IF(INDEX(Tbl_KPIMaster[Direction],MATCH($G1346,Tbl_KPIMaster[KPI],0))="Lower is Better",IF($J1346&lt;=$I1346,"Green",IF($J1346&lt;=$I1346+IF($I1346=0,$K1346,$I1346*$K1346),"Amber","Red")),IF($J1346&gt;=$I1346,"Green",IF($J1346&gt;=$I1346-IF($I1346=0,$K1346,$I1346*$K1346),"Amber","Red"))),"")</f>
        <v/>
      </c>
      <c r="T1346" s="10" t="inlineStr"/>
    </row>
    <row r="1347">
      <c r="A1347" s="3" t="n">
        <v>46197</v>
      </c>
      <c r="B1347" s="4">
        <f>IF($A1347="","",TEXT($A1347,"mmm-yyyy"))</f>
        <v/>
      </c>
      <c r="C1347" s="4">
        <f>IF($A1347="","","W"&amp;WEEKNUM($A1347,2))</f>
        <v/>
      </c>
      <c r="D1347" s="4">
        <f>IF($A1347="","",TEXT($A1347,"ddd"))</f>
        <v/>
      </c>
      <c r="E1347" s="4" t="inlineStr">
        <is>
          <t>Quality</t>
        </is>
      </c>
      <c r="F1347" s="4">
        <f>IFERROR(INDEX(Tbl_KPIMaster[Category],MATCH($G1347,Tbl_KPIMaster[KPI],0)),"")</f>
        <v/>
      </c>
      <c r="G1347" s="4" t="inlineStr">
        <is>
          <t>Defect Rate %</t>
        </is>
      </c>
      <c r="H1347" s="4">
        <f>IFERROR(INDEX(Tbl_KPIMaster[Unit],MATCH($G1347,Tbl_KPIMaster[KPI],0)),"")</f>
        <v/>
      </c>
      <c r="I1347" s="5">
        <f>IFERROR(INDEX(Tbl_KPIMaster[Maximum Target],MATCH($G1347,Tbl_KPIMaster[KPI],0)),"")</f>
        <v/>
      </c>
      <c r="J1347" s="5" t="n">
        <v>0</v>
      </c>
      <c r="K1347" s="4">
        <f>IFERROR(INDEX(Tbl_KPIMaster[Tolerance],MATCH($G1347,Tbl_KPIMaster[KPI],0)),"")</f>
        <v/>
      </c>
      <c r="L1347" s="4">
        <f>IFERROR(INDEX(Tbl_KPIMaster[Owner],MATCH($G1347,Tbl_KPIMaster[KPI],0)),"")</f>
        <v/>
      </c>
      <c r="M1347" s="6" t="inlineStr">
        <is>
          <t>Line changeover impact</t>
        </is>
      </c>
      <c r="N1347" s="4" t="inlineStr"/>
      <c r="O1347" s="4" t="inlineStr">
        <is>
          <t>Low</t>
        </is>
      </c>
      <c r="P1347" s="4" t="inlineStr">
        <is>
          <t>Open</t>
        </is>
      </c>
      <c r="Q1347" s="5">
        <f>IFERROR(IF(INDEX(Tbl_KPIMaster[Direction],MATCH($G1347,Tbl_KPIMaster[KPI],0))="Lower is Better",IF($J1347=0,1,IF($I1347=0,0,$I1347/$J1347)),IF($I1347=0,1,$J1347/$I1347)),0)</f>
        <v/>
      </c>
      <c r="R1347" s="4">
        <f>IF(OR($I1347="",$J1347=""),"",$J1347-$I1347)</f>
        <v/>
      </c>
      <c r="S1347" s="4">
        <f>IFERROR(IF(INDEX(Tbl_KPIMaster[Direction],MATCH($G1347,Tbl_KPIMaster[KPI],0))="Lower is Better",IF($J1347&lt;=$I1347,"Green",IF($J1347&lt;=$I1347+IF($I1347=0,$K1347,$I1347*$K1347),"Amber","Red")),IF($J1347&gt;=$I1347,"Green",IF($J1347&gt;=$I1347-IF($I1347=0,$K1347,$I1347*$K1347),"Amber","Red"))),"")</f>
        <v/>
      </c>
      <c r="T1347" s="6" t="inlineStr"/>
    </row>
    <row r="1348">
      <c r="A1348" s="7" t="n">
        <v>46197</v>
      </c>
      <c r="B1348" s="8">
        <f>IF($A1348="","",TEXT($A1348,"mmm-yyyy"))</f>
        <v/>
      </c>
      <c r="C1348" s="8">
        <f>IF($A1348="","","W"&amp;WEEKNUM($A1348,2))</f>
        <v/>
      </c>
      <c r="D1348" s="8">
        <f>IF($A1348="","",TEXT($A1348,"ddd"))</f>
        <v/>
      </c>
      <c r="E1348" s="8" t="inlineStr">
        <is>
          <t>Quality</t>
        </is>
      </c>
      <c r="F1348" s="8">
        <f>IFERROR(INDEX(Tbl_KPIMaster[Category],MATCH($G1348,Tbl_KPIMaster[KPI],0)),"")</f>
        <v/>
      </c>
      <c r="G1348" s="8" t="inlineStr">
        <is>
          <t>Customer Complaints</t>
        </is>
      </c>
      <c r="H1348" s="8">
        <f>IFERROR(INDEX(Tbl_KPIMaster[Unit],MATCH($G1348,Tbl_KPIMaster[KPI],0)),"")</f>
        <v/>
      </c>
      <c r="I1348" s="9">
        <f>IFERROR(INDEX(Tbl_KPIMaster[Maximum Target],MATCH($G1348,Tbl_KPIMaster[KPI],0)),"")</f>
        <v/>
      </c>
      <c r="J1348" s="9" t="n">
        <v>0</v>
      </c>
      <c r="K1348" s="8">
        <f>IFERROR(INDEX(Tbl_KPIMaster[Tolerance],MATCH($G1348,Tbl_KPIMaster[KPI],0)),"")</f>
        <v/>
      </c>
      <c r="L1348" s="8">
        <f>IFERROR(INDEX(Tbl_KPIMaster[Owner],MATCH($G1348,Tbl_KPIMaster[KPI],0)),"")</f>
        <v/>
      </c>
      <c r="M1348" s="10" t="inlineStr">
        <is>
          <t>Manpower shortage</t>
        </is>
      </c>
      <c r="N1348" s="8" t="inlineStr">
        <is>
          <t>Management approval pending</t>
        </is>
      </c>
      <c r="O1348" s="8" t="inlineStr">
        <is>
          <t>High</t>
        </is>
      </c>
      <c r="P1348" s="8" t="inlineStr">
        <is>
          <t>Closed</t>
        </is>
      </c>
      <c r="Q1348" s="9">
        <f>IFERROR(IF(INDEX(Tbl_KPIMaster[Direction],MATCH($G1348,Tbl_KPIMaster[KPI],0))="Lower is Better",IF($J1348=0,1,IF($I1348=0,0,$I1348/$J1348)),IF($I1348=0,1,$J1348/$I1348)),0)</f>
        <v/>
      </c>
      <c r="R1348" s="8">
        <f>IF(OR($I1348="",$J1348=""),"",$J1348-$I1348)</f>
        <v/>
      </c>
      <c r="S1348" s="8">
        <f>IFERROR(IF(INDEX(Tbl_KPIMaster[Direction],MATCH($G1348,Tbl_KPIMaster[KPI],0))="Lower is Better",IF($J1348&lt;=$I1348,"Green",IF($J1348&lt;=$I1348+IF($I1348=0,$K1348,$I1348*$K1348),"Amber","Red")),IF($J1348&gt;=$I1348,"Green",IF($J1348&gt;=$I1348-IF($I1348=0,$K1348,$I1348*$K1348),"Amber","Red"))),"")</f>
        <v/>
      </c>
      <c r="T1348" s="10" t="inlineStr"/>
    </row>
    <row r="1349">
      <c r="A1349" s="3" t="n">
        <v>46197</v>
      </c>
      <c r="B1349" s="4">
        <f>IF($A1349="","",TEXT($A1349,"mmm-yyyy"))</f>
        <v/>
      </c>
      <c r="C1349" s="4">
        <f>IF($A1349="","","W"&amp;WEEKNUM($A1349,2))</f>
        <v/>
      </c>
      <c r="D1349" s="4">
        <f>IF($A1349="","",TEXT($A1349,"ddd"))</f>
        <v/>
      </c>
      <c r="E1349" s="4" t="inlineStr">
        <is>
          <t>Maintenance</t>
        </is>
      </c>
      <c r="F1349" s="4">
        <f>IFERROR(INDEX(Tbl_KPIMaster[Category],MATCH($G1349,Tbl_KPIMaster[KPI],0)),"")</f>
        <v/>
      </c>
      <c r="G1349" s="4" t="inlineStr">
        <is>
          <t>Unplanned Downtime</t>
        </is>
      </c>
      <c r="H1349" s="4">
        <f>IFERROR(INDEX(Tbl_KPIMaster[Unit],MATCH($G1349,Tbl_KPIMaster[KPI],0)),"")</f>
        <v/>
      </c>
      <c r="I1349" s="5">
        <f>IFERROR(INDEX(Tbl_KPIMaster[Maximum Target],MATCH($G1349,Tbl_KPIMaster[KPI],0)),"")</f>
        <v/>
      </c>
      <c r="J1349" s="5" t="n">
        <v>0.49</v>
      </c>
      <c r="K1349" s="4">
        <f>IFERROR(INDEX(Tbl_KPIMaster[Tolerance],MATCH($G1349,Tbl_KPIMaster[KPI],0)),"")</f>
        <v/>
      </c>
      <c r="L1349" s="4">
        <f>IFERROR(INDEX(Tbl_KPIMaster[Owner],MATCH($G1349,Tbl_KPIMaster[KPI],0)),"")</f>
        <v/>
      </c>
      <c r="M1349" s="6" t="inlineStr">
        <is>
          <t>Vendor delay</t>
        </is>
      </c>
      <c r="N1349" s="4" t="inlineStr"/>
      <c r="O1349" s="4" t="inlineStr">
        <is>
          <t>High</t>
        </is>
      </c>
      <c r="P1349" s="4" t="inlineStr">
        <is>
          <t>Closed</t>
        </is>
      </c>
      <c r="Q1349" s="5">
        <f>IFERROR(IF(INDEX(Tbl_KPIMaster[Direction],MATCH($G1349,Tbl_KPIMaster[KPI],0))="Lower is Better",IF($J1349=0,1,IF($I1349=0,0,$I1349/$J1349)),IF($I1349=0,1,$J1349/$I1349)),0)</f>
        <v/>
      </c>
      <c r="R1349" s="4">
        <f>IF(OR($I1349="",$J1349=""),"",$J1349-$I1349)</f>
        <v/>
      </c>
      <c r="S1349" s="4">
        <f>IFERROR(IF(INDEX(Tbl_KPIMaster[Direction],MATCH($G1349,Tbl_KPIMaster[KPI],0))="Lower is Better",IF($J1349&lt;=$I1349,"Green",IF($J1349&lt;=$I1349+IF($I1349=0,$K1349,$I1349*$K1349),"Amber","Red")),IF($J1349&gt;=$I1349,"Green",IF($J1349&gt;=$I1349-IF($I1349=0,$K1349,$I1349*$K1349),"Amber","Red"))),"")</f>
        <v/>
      </c>
      <c r="T1349" s="6" t="inlineStr"/>
    </row>
    <row r="1350">
      <c r="A1350" s="7" t="n">
        <v>46197</v>
      </c>
      <c r="B1350" s="8">
        <f>IF($A1350="","",TEXT($A1350,"mmm-yyyy"))</f>
        <v/>
      </c>
      <c r="C1350" s="8">
        <f>IF($A1350="","","W"&amp;WEEKNUM($A1350,2))</f>
        <v/>
      </c>
      <c r="D1350" s="8">
        <f>IF($A1350="","",TEXT($A1350,"ddd"))</f>
        <v/>
      </c>
      <c r="E1350" s="8" t="inlineStr">
        <is>
          <t>Maintenance</t>
        </is>
      </c>
      <c r="F1350" s="8">
        <f>IFERROR(INDEX(Tbl_KPIMaster[Category],MATCH($G1350,Tbl_KPIMaster[KPI],0)),"")</f>
        <v/>
      </c>
      <c r="G1350" s="8" t="inlineStr">
        <is>
          <t>PM Compliance %</t>
        </is>
      </c>
      <c r="H1350" s="8">
        <f>IFERROR(INDEX(Tbl_KPIMaster[Unit],MATCH($G1350,Tbl_KPIMaster[KPI],0)),"")</f>
        <v/>
      </c>
      <c r="I1350" s="9">
        <f>IFERROR(INDEX(Tbl_KPIMaster[Maximum Target],MATCH($G1350,Tbl_KPIMaster[KPI],0)),"")</f>
        <v/>
      </c>
      <c r="J1350" s="9" t="n">
        <v>1.0616</v>
      </c>
      <c r="K1350" s="8">
        <f>IFERROR(INDEX(Tbl_KPIMaster[Tolerance],MATCH($G1350,Tbl_KPIMaster[KPI],0)),"")</f>
        <v/>
      </c>
      <c r="L1350" s="8">
        <f>IFERROR(INDEX(Tbl_KPIMaster[Owner],MATCH($G1350,Tbl_KPIMaster[KPI],0)),"")</f>
        <v/>
      </c>
      <c r="M1350" s="10" t="inlineStr">
        <is>
          <t>Within normal range</t>
        </is>
      </c>
      <c r="N1350" s="8" t="inlineStr"/>
      <c r="O1350" s="8" t="inlineStr">
        <is>
          <t>Low</t>
        </is>
      </c>
      <c r="P1350" s="8" t="inlineStr">
        <is>
          <t>Closed</t>
        </is>
      </c>
      <c r="Q1350" s="9">
        <f>IFERROR(IF(INDEX(Tbl_KPIMaster[Direction],MATCH($G1350,Tbl_KPIMaster[KPI],0))="Lower is Better",IF($J1350=0,1,IF($I1350=0,0,$I1350/$J1350)),IF($I1350=0,1,$J1350/$I1350)),0)</f>
        <v/>
      </c>
      <c r="R1350" s="8">
        <f>IF(OR($I1350="",$J1350=""),"",$J1350-$I1350)</f>
        <v/>
      </c>
      <c r="S1350" s="8">
        <f>IFERROR(IF(INDEX(Tbl_KPIMaster[Direction],MATCH($G1350,Tbl_KPIMaster[KPI],0))="Lower is Better",IF($J1350&lt;=$I1350,"Green",IF($J1350&lt;=$I1350+IF($I1350=0,$K1350,$I1350*$K1350),"Amber","Red")),IF($J1350&gt;=$I1350,"Green",IF($J1350&gt;=$I1350-IF($I1350=0,$K1350,$I1350*$K1350),"Amber","Red"))),"")</f>
        <v/>
      </c>
      <c r="T1350" s="10" t="inlineStr"/>
    </row>
    <row r="1351">
      <c r="A1351" s="3" t="n">
        <v>46197</v>
      </c>
      <c r="B1351" s="4">
        <f>IF($A1351="","",TEXT($A1351,"mmm-yyyy"))</f>
        <v/>
      </c>
      <c r="C1351" s="4">
        <f>IF($A1351="","","W"&amp;WEEKNUM($A1351,2))</f>
        <v/>
      </c>
      <c r="D1351" s="4">
        <f>IF($A1351="","",TEXT($A1351,"ddd"))</f>
        <v/>
      </c>
      <c r="E1351" s="4" t="inlineStr">
        <is>
          <t>Utilities</t>
        </is>
      </c>
      <c r="F1351" s="4">
        <f>IFERROR(INDEX(Tbl_KPIMaster[Category],MATCH($G1351,Tbl_KPIMaster[KPI],0)),"")</f>
        <v/>
      </c>
      <c r="G1351" s="4" t="inlineStr">
        <is>
          <t>Power Consumption</t>
        </is>
      </c>
      <c r="H1351" s="4">
        <f>IFERROR(INDEX(Tbl_KPIMaster[Unit],MATCH($G1351,Tbl_KPIMaster[KPI],0)),"")</f>
        <v/>
      </c>
      <c r="I1351" s="5">
        <f>IFERROR(INDEX(Tbl_KPIMaster[Maximum Target],MATCH($G1351,Tbl_KPIMaster[KPI],0)),"")</f>
        <v/>
      </c>
      <c r="J1351" s="5" t="n">
        <v>3580.41</v>
      </c>
      <c r="K1351" s="4">
        <f>IFERROR(INDEX(Tbl_KPIMaster[Tolerance],MATCH($G1351,Tbl_KPIMaster[KPI],0)),"")</f>
        <v/>
      </c>
      <c r="L1351" s="4">
        <f>IFERROR(INDEX(Tbl_KPIMaster[Owner],MATCH($G1351,Tbl_KPIMaster[KPI],0)),"")</f>
        <v/>
      </c>
      <c r="M1351" s="6" t="inlineStr">
        <is>
          <t>Process improvement in progress</t>
        </is>
      </c>
      <c r="N1351" s="4" t="inlineStr">
        <is>
          <t>Engineering support needed</t>
        </is>
      </c>
      <c r="O1351" s="4" t="inlineStr">
        <is>
          <t>Low</t>
        </is>
      </c>
      <c r="P1351" s="4" t="inlineStr">
        <is>
          <t>Closed</t>
        </is>
      </c>
      <c r="Q1351" s="5">
        <f>IFERROR(IF(INDEX(Tbl_KPIMaster[Direction],MATCH($G1351,Tbl_KPIMaster[KPI],0))="Lower is Better",IF($J1351=0,1,IF($I1351=0,0,$I1351/$J1351)),IF($I1351=0,1,$J1351/$I1351)),0)</f>
        <v/>
      </c>
      <c r="R1351" s="4">
        <f>IF(OR($I1351="",$J1351=""),"",$J1351-$I1351)</f>
        <v/>
      </c>
      <c r="S1351" s="4">
        <f>IFERROR(IF(INDEX(Tbl_KPIMaster[Direction],MATCH($G1351,Tbl_KPIMaster[KPI],0))="Lower is Better",IF($J1351&lt;=$I1351,"Green",IF($J1351&lt;=$I1351+IF($I1351=0,$K1351,$I1351*$K1351),"Amber","Red")),IF($J1351&gt;=$I1351,"Green",IF($J1351&gt;=$I1351-IF($I1351=0,$K1351,$I1351*$K1351),"Amber","Red"))),"")</f>
        <v/>
      </c>
      <c r="T1351" s="6" t="inlineStr"/>
    </row>
    <row r="1352">
      <c r="A1352" s="7" t="n">
        <v>46197</v>
      </c>
      <c r="B1352" s="8">
        <f>IF($A1352="","",TEXT($A1352,"mmm-yyyy"))</f>
        <v/>
      </c>
      <c r="C1352" s="8">
        <f>IF($A1352="","","W"&amp;WEEKNUM($A1352,2))</f>
        <v/>
      </c>
      <c r="D1352" s="8">
        <f>IF($A1352="","",TEXT($A1352,"ddd"))</f>
        <v/>
      </c>
      <c r="E1352" s="8" t="inlineStr">
        <is>
          <t>Utilities</t>
        </is>
      </c>
      <c r="F1352" s="8">
        <f>IFERROR(INDEX(Tbl_KPIMaster[Category],MATCH($G1352,Tbl_KPIMaster[KPI],0)),"")</f>
        <v/>
      </c>
      <c r="G1352" s="8" t="inlineStr">
        <is>
          <t>Water Consumption</t>
        </is>
      </c>
      <c r="H1352" s="8">
        <f>IFERROR(INDEX(Tbl_KPIMaster[Unit],MATCH($G1352,Tbl_KPIMaster[KPI],0)),"")</f>
        <v/>
      </c>
      <c r="I1352" s="9">
        <f>IFERROR(INDEX(Tbl_KPIMaster[Maximum Target],MATCH($G1352,Tbl_KPIMaster[KPI],0)),"")</f>
        <v/>
      </c>
      <c r="J1352" s="9" t="n">
        <v>47.66</v>
      </c>
      <c r="K1352" s="8">
        <f>IFERROR(INDEX(Tbl_KPIMaster[Tolerance],MATCH($G1352,Tbl_KPIMaster[KPI],0)),"")</f>
        <v/>
      </c>
      <c r="L1352" s="8">
        <f>IFERROR(INDEX(Tbl_KPIMaster[Owner],MATCH($G1352,Tbl_KPIMaster[KPI],0)),"")</f>
        <v/>
      </c>
      <c r="M1352" s="10" t="inlineStr"/>
      <c r="N1352" s="8" t="inlineStr"/>
      <c r="O1352" s="8" t="inlineStr">
        <is>
          <t>Medium</t>
        </is>
      </c>
      <c r="P1352" s="8" t="inlineStr">
        <is>
          <t>Open</t>
        </is>
      </c>
      <c r="Q1352" s="9">
        <f>IFERROR(IF(INDEX(Tbl_KPIMaster[Direction],MATCH($G1352,Tbl_KPIMaster[KPI],0))="Lower is Better",IF($J1352=0,1,IF($I1352=0,0,$I1352/$J1352)),IF($I1352=0,1,$J1352/$I1352)),0)</f>
        <v/>
      </c>
      <c r="R1352" s="8">
        <f>IF(OR($I1352="",$J1352=""),"",$J1352-$I1352)</f>
        <v/>
      </c>
      <c r="S1352" s="8">
        <f>IFERROR(IF(INDEX(Tbl_KPIMaster[Direction],MATCH($G1352,Tbl_KPIMaster[KPI],0))="Lower is Better",IF($J1352&lt;=$I1352,"Green",IF($J1352&lt;=$I1352+IF($I1352=0,$K1352,$I1352*$K1352),"Amber","Red")),IF($J1352&gt;=$I1352,"Green",IF($J1352&gt;=$I1352-IF($I1352=0,$K1352,$I1352*$K1352),"Amber","Red"))),"")</f>
        <v/>
      </c>
      <c r="T1352" s="10" t="inlineStr"/>
    </row>
    <row r="1353">
      <c r="A1353" s="3" t="n">
        <v>46197</v>
      </c>
      <c r="B1353" s="4">
        <f>IF($A1353="","",TEXT($A1353,"mmm-yyyy"))</f>
        <v/>
      </c>
      <c r="C1353" s="4">
        <f>IF($A1353="","","W"&amp;WEEKNUM($A1353,2))</f>
        <v/>
      </c>
      <c r="D1353" s="4">
        <f>IF($A1353="","",TEXT($A1353,"ddd"))</f>
        <v/>
      </c>
      <c r="E1353" s="4" t="inlineStr">
        <is>
          <t>Warehouse</t>
        </is>
      </c>
      <c r="F1353" s="4">
        <f>IFERROR(INDEX(Tbl_KPIMaster[Category],MATCH($G1353,Tbl_KPIMaster[KPI],0)),"")</f>
        <v/>
      </c>
      <c r="G1353" s="4" t="inlineStr">
        <is>
          <t>On-Time Dispatch %</t>
        </is>
      </c>
      <c r="H1353" s="4">
        <f>IFERROR(INDEX(Tbl_KPIMaster[Unit],MATCH($G1353,Tbl_KPIMaster[KPI],0)),"")</f>
        <v/>
      </c>
      <c r="I1353" s="5">
        <f>IFERROR(INDEX(Tbl_KPIMaster[Maximum Target],MATCH($G1353,Tbl_KPIMaster[KPI],0)),"")</f>
        <v/>
      </c>
      <c r="J1353" s="5" t="n">
        <v>0.8116</v>
      </c>
      <c r="K1353" s="4">
        <f>IFERROR(INDEX(Tbl_KPIMaster[Tolerance],MATCH($G1353,Tbl_KPIMaster[KPI],0)),"")</f>
        <v/>
      </c>
      <c r="L1353" s="4">
        <f>IFERROR(INDEX(Tbl_KPIMaster[Owner],MATCH($G1353,Tbl_KPIMaster[KPI],0)),"")</f>
        <v/>
      </c>
      <c r="M1353" s="6" t="inlineStr">
        <is>
          <t>Manpower shortage</t>
        </is>
      </c>
      <c r="N1353" s="4" t="inlineStr"/>
      <c r="O1353" s="4" t="inlineStr">
        <is>
          <t>Low</t>
        </is>
      </c>
      <c r="P1353" s="4" t="inlineStr">
        <is>
          <t>Closed</t>
        </is>
      </c>
      <c r="Q1353" s="5">
        <f>IFERROR(IF(INDEX(Tbl_KPIMaster[Direction],MATCH($G1353,Tbl_KPIMaster[KPI],0))="Lower is Better",IF($J1353=0,1,IF($I1353=0,0,$I1353/$J1353)),IF($I1353=0,1,$J1353/$I1353)),0)</f>
        <v/>
      </c>
      <c r="R1353" s="4">
        <f>IF(OR($I1353="",$J1353=""),"",$J1353-$I1353)</f>
        <v/>
      </c>
      <c r="S1353" s="4">
        <f>IFERROR(IF(INDEX(Tbl_KPIMaster[Direction],MATCH($G1353,Tbl_KPIMaster[KPI],0))="Lower is Better",IF($J1353&lt;=$I1353,"Green",IF($J1353&lt;=$I1353+IF($I1353=0,$K1353,$I1353*$K1353),"Amber","Red")),IF($J1353&gt;=$I1353,"Green",IF($J1353&gt;=$I1353-IF($I1353=0,$K1353,$I1353*$K1353),"Amber","Red"))),"")</f>
        <v/>
      </c>
      <c r="T1353" s="6" t="inlineStr"/>
    </row>
    <row r="1354">
      <c r="A1354" s="7" t="n">
        <v>46197</v>
      </c>
      <c r="B1354" s="8">
        <f>IF($A1354="","",TEXT($A1354,"mmm-yyyy"))</f>
        <v/>
      </c>
      <c r="C1354" s="8">
        <f>IF($A1354="","","W"&amp;WEEKNUM($A1354,2))</f>
        <v/>
      </c>
      <c r="D1354" s="8">
        <f>IF($A1354="","",TEXT($A1354,"ddd"))</f>
        <v/>
      </c>
      <c r="E1354" s="8" t="inlineStr">
        <is>
          <t>Warehouse</t>
        </is>
      </c>
      <c r="F1354" s="8">
        <f>IFERROR(INDEX(Tbl_KPIMaster[Category],MATCH($G1354,Tbl_KPIMaster[KPI],0)),"")</f>
        <v/>
      </c>
      <c r="G1354" s="8" t="inlineStr">
        <is>
          <t>Inventory Accuracy %</t>
        </is>
      </c>
      <c r="H1354" s="8">
        <f>IFERROR(INDEX(Tbl_KPIMaster[Unit],MATCH($G1354,Tbl_KPIMaster[KPI],0)),"")</f>
        <v/>
      </c>
      <c r="I1354" s="9">
        <f>IFERROR(INDEX(Tbl_KPIMaster[Maximum Target],MATCH($G1354,Tbl_KPIMaster[KPI],0)),"")</f>
        <v/>
      </c>
      <c r="J1354" s="9" t="n">
        <v>0.8956</v>
      </c>
      <c r="K1354" s="8">
        <f>IFERROR(INDEX(Tbl_KPIMaster[Tolerance],MATCH($G1354,Tbl_KPIMaster[KPI],0)),"")</f>
        <v/>
      </c>
      <c r="L1354" s="8">
        <f>IFERROR(INDEX(Tbl_KPIMaster[Owner],MATCH($G1354,Tbl_KPIMaster[KPI],0)),"")</f>
        <v/>
      </c>
      <c r="M1354" s="10" t="inlineStr">
        <is>
          <t>New operator training effect</t>
        </is>
      </c>
      <c r="N1354" s="8" t="inlineStr"/>
      <c r="O1354" s="8" t="inlineStr">
        <is>
          <t>Low</t>
        </is>
      </c>
      <c r="P1354" s="8" t="inlineStr">
        <is>
          <t>In Progress</t>
        </is>
      </c>
      <c r="Q1354" s="9">
        <f>IFERROR(IF(INDEX(Tbl_KPIMaster[Direction],MATCH($G1354,Tbl_KPIMaster[KPI],0))="Lower is Better",IF($J1354=0,1,IF($I1354=0,0,$I1354/$J1354)),IF($I1354=0,1,$J1354/$I1354)),0)</f>
        <v/>
      </c>
      <c r="R1354" s="8">
        <f>IF(OR($I1354="",$J1354=""),"",$J1354-$I1354)</f>
        <v/>
      </c>
      <c r="S1354" s="8">
        <f>IFERROR(IF(INDEX(Tbl_KPIMaster[Direction],MATCH($G1354,Tbl_KPIMaster[KPI],0))="Lower is Better",IF($J1354&lt;=$I1354,"Green",IF($J1354&lt;=$I1354+IF($I1354=0,$K1354,$I1354*$K1354),"Amber","Red")),IF($J1354&gt;=$I1354,"Green",IF($J1354&gt;=$I1354-IF($I1354=0,$K1354,$I1354*$K1354),"Amber","Red"))),"")</f>
        <v/>
      </c>
      <c r="T1354" s="10" t="inlineStr"/>
    </row>
    <row r="1355">
      <c r="A1355" s="3" t="n">
        <v>46197</v>
      </c>
      <c r="B1355" s="4">
        <f>IF($A1355="","",TEXT($A1355,"mmm-yyyy"))</f>
        <v/>
      </c>
      <c r="C1355" s="4">
        <f>IF($A1355="","","W"&amp;WEEKNUM($A1355,2))</f>
        <v/>
      </c>
      <c r="D1355" s="4">
        <f>IF($A1355="","",TEXT($A1355,"ddd"))</f>
        <v/>
      </c>
      <c r="E1355" s="4" t="inlineStr">
        <is>
          <t>HR</t>
        </is>
      </c>
      <c r="F1355" s="4">
        <f>IFERROR(INDEX(Tbl_KPIMaster[Category],MATCH($G1355,Tbl_KPIMaster[KPI],0)),"")</f>
        <v/>
      </c>
      <c r="G1355" s="4" t="inlineStr">
        <is>
          <t>Absenteeism %</t>
        </is>
      </c>
      <c r="H1355" s="4">
        <f>IFERROR(INDEX(Tbl_KPIMaster[Unit],MATCH($G1355,Tbl_KPIMaster[KPI],0)),"")</f>
        <v/>
      </c>
      <c r="I1355" s="5">
        <f>IFERROR(INDEX(Tbl_KPIMaster[Maximum Target],MATCH($G1355,Tbl_KPIMaster[KPI],0)),"")</f>
        <v/>
      </c>
      <c r="J1355" s="5" t="n">
        <v>0.9589</v>
      </c>
      <c r="K1355" s="4">
        <f>IFERROR(INDEX(Tbl_KPIMaster[Tolerance],MATCH($G1355,Tbl_KPIMaster[KPI],0)),"")</f>
        <v/>
      </c>
      <c r="L1355" s="4">
        <f>IFERROR(INDEX(Tbl_KPIMaster[Owner],MATCH($G1355,Tbl_KPIMaster[KPI],0)),"")</f>
        <v/>
      </c>
      <c r="M1355" s="6" t="inlineStr">
        <is>
          <t>Manpower shortage</t>
        </is>
      </c>
      <c r="N1355" s="4" t="inlineStr">
        <is>
          <t>Engineering support needed</t>
        </is>
      </c>
      <c r="O1355" s="4" t="inlineStr">
        <is>
          <t>Medium</t>
        </is>
      </c>
      <c r="P1355" s="4" t="inlineStr">
        <is>
          <t>Closed</t>
        </is>
      </c>
      <c r="Q1355" s="5">
        <f>IFERROR(IF(INDEX(Tbl_KPIMaster[Direction],MATCH($G1355,Tbl_KPIMaster[KPI],0))="Lower is Better",IF($J1355=0,1,IF($I1355=0,0,$I1355/$J1355)),IF($I1355=0,1,$J1355/$I1355)),0)</f>
        <v/>
      </c>
      <c r="R1355" s="4">
        <f>IF(OR($I1355="",$J1355=""),"",$J1355-$I1355)</f>
        <v/>
      </c>
      <c r="S1355" s="4">
        <f>IFERROR(IF(INDEX(Tbl_KPIMaster[Direction],MATCH($G1355,Tbl_KPIMaster[KPI],0))="Lower is Better",IF($J1355&lt;=$I1355,"Green",IF($J1355&lt;=$I1355+IF($I1355=0,$K1355,$I1355*$K1355),"Amber","Red")),IF($J1355&gt;=$I1355,"Green",IF($J1355&gt;=$I1355-IF($I1355=0,$K1355,$I1355*$K1355),"Amber","Red"))),"")</f>
        <v/>
      </c>
      <c r="T1355" s="6" t="inlineStr"/>
    </row>
    <row r="1356">
      <c r="A1356" s="7" t="n">
        <v>46197</v>
      </c>
      <c r="B1356" s="8">
        <f>IF($A1356="","",TEXT($A1356,"mmm-yyyy"))</f>
        <v/>
      </c>
      <c r="C1356" s="8">
        <f>IF($A1356="","","W"&amp;WEEKNUM($A1356,2))</f>
        <v/>
      </c>
      <c r="D1356" s="8">
        <f>IF($A1356="","",TEXT($A1356,"ddd"))</f>
        <v/>
      </c>
      <c r="E1356" s="8" t="inlineStr">
        <is>
          <t>HR</t>
        </is>
      </c>
      <c r="F1356" s="8">
        <f>IFERROR(INDEX(Tbl_KPIMaster[Category],MATCH($G1356,Tbl_KPIMaster[KPI],0)),"")</f>
        <v/>
      </c>
      <c r="G1356" s="8" t="inlineStr">
        <is>
          <t>Training Hours</t>
        </is>
      </c>
      <c r="H1356" s="8">
        <f>IFERROR(INDEX(Tbl_KPIMaster[Unit],MATCH($G1356,Tbl_KPIMaster[KPI],0)),"")</f>
        <v/>
      </c>
      <c r="I1356" s="9">
        <f>IFERROR(INDEX(Tbl_KPIMaster[Maximum Target],MATCH($G1356,Tbl_KPIMaster[KPI],0)),"")</f>
        <v/>
      </c>
      <c r="J1356" s="9" t="n">
        <v>2.13</v>
      </c>
      <c r="K1356" s="8">
        <f>IFERROR(INDEX(Tbl_KPIMaster[Tolerance],MATCH($G1356,Tbl_KPIMaster[KPI],0)),"")</f>
        <v/>
      </c>
      <c r="L1356" s="8">
        <f>IFERROR(INDEX(Tbl_KPIMaster[Owner],MATCH($G1356,Tbl_KPIMaster[KPI],0)),"")</f>
        <v/>
      </c>
      <c r="M1356" s="10" t="inlineStr">
        <is>
          <t>Preventive check done</t>
        </is>
      </c>
      <c r="N1356" s="8" t="inlineStr"/>
      <c r="O1356" s="8" t="inlineStr">
        <is>
          <t>Medium</t>
        </is>
      </c>
      <c r="P1356" s="8" t="inlineStr">
        <is>
          <t>In Progress</t>
        </is>
      </c>
      <c r="Q1356" s="9">
        <f>IFERROR(IF(INDEX(Tbl_KPIMaster[Direction],MATCH($G1356,Tbl_KPIMaster[KPI],0))="Lower is Better",IF($J1356=0,1,IF($I1356=0,0,$I1356/$J1356)),IF($I1356=0,1,$J1356/$I1356)),0)</f>
        <v/>
      </c>
      <c r="R1356" s="8">
        <f>IF(OR($I1356="",$J1356=""),"",$J1356-$I1356)</f>
        <v/>
      </c>
      <c r="S1356" s="8">
        <f>IFERROR(IF(INDEX(Tbl_KPIMaster[Direction],MATCH($G1356,Tbl_KPIMaster[KPI],0))="Lower is Better",IF($J1356&lt;=$I1356,"Green",IF($J1356&lt;=$I1356+IF($I1356=0,$K1356,$I1356*$K1356),"Amber","Red")),IF($J1356&gt;=$I1356,"Green",IF($J1356&gt;=$I1356-IF($I1356=0,$K1356,$I1356*$K1356),"Amber","Red"))),"")</f>
        <v/>
      </c>
      <c r="T1356" s="10" t="inlineStr"/>
    </row>
    <row r="1357">
      <c r="A1357" s="3" t="n">
        <v>46197</v>
      </c>
      <c r="B1357" s="4">
        <f>IF($A1357="","",TEXT($A1357,"mmm-yyyy"))</f>
        <v/>
      </c>
      <c r="C1357" s="4">
        <f>IF($A1357="","","W"&amp;WEEKNUM($A1357,2))</f>
        <v/>
      </c>
      <c r="D1357" s="4">
        <f>IF($A1357="","",TEXT($A1357,"ddd"))</f>
        <v/>
      </c>
      <c r="E1357" s="4" t="inlineStr">
        <is>
          <t>Engineering</t>
        </is>
      </c>
      <c r="F1357" s="4">
        <f>IFERROR(INDEX(Tbl_KPIMaster[Category],MATCH($G1357,Tbl_KPIMaster[KPI],0)),"")</f>
        <v/>
      </c>
      <c r="G1357" s="4" t="inlineStr">
        <is>
          <t>Project Milestone Adherence %</t>
        </is>
      </c>
      <c r="H1357" s="4">
        <f>IFERROR(INDEX(Tbl_KPIMaster[Unit],MATCH($G1357,Tbl_KPIMaster[KPI],0)),"")</f>
        <v/>
      </c>
      <c r="I1357" s="5">
        <f>IFERROR(INDEX(Tbl_KPIMaster[Maximum Target],MATCH($G1357,Tbl_KPIMaster[KPI],0)),"")</f>
        <v/>
      </c>
      <c r="J1357" s="5" t="n">
        <v>0.9018</v>
      </c>
      <c r="K1357" s="4">
        <f>IFERROR(INDEX(Tbl_KPIMaster[Tolerance],MATCH($G1357,Tbl_KPIMaster[KPI],0)),"")</f>
        <v/>
      </c>
      <c r="L1357" s="4">
        <f>IFERROR(INDEX(Tbl_KPIMaster[Owner],MATCH($G1357,Tbl_KPIMaster[KPI],0)),"")</f>
        <v/>
      </c>
      <c r="M1357" s="6" t="inlineStr">
        <is>
          <t>Within normal range</t>
        </is>
      </c>
      <c r="N1357" s="4" t="inlineStr">
        <is>
          <t>Procurement follow-up</t>
        </is>
      </c>
      <c r="O1357" s="4" t="inlineStr">
        <is>
          <t>Low</t>
        </is>
      </c>
      <c r="P1357" s="4" t="inlineStr">
        <is>
          <t>Closed</t>
        </is>
      </c>
      <c r="Q1357" s="5">
        <f>IFERROR(IF(INDEX(Tbl_KPIMaster[Direction],MATCH($G1357,Tbl_KPIMaster[KPI],0))="Lower is Better",IF($J1357=0,1,IF($I1357=0,0,$I1357/$J1357)),IF($I1357=0,1,$J1357/$I1357)),0)</f>
        <v/>
      </c>
      <c r="R1357" s="4">
        <f>IF(OR($I1357="",$J1357=""),"",$J1357-$I1357)</f>
        <v/>
      </c>
      <c r="S1357" s="4">
        <f>IFERROR(IF(INDEX(Tbl_KPIMaster[Direction],MATCH($G1357,Tbl_KPIMaster[KPI],0))="Lower is Better",IF($J1357&lt;=$I1357,"Green",IF($J1357&lt;=$I1357+IF($I1357=0,$K1357,$I1357*$K1357),"Amber","Red")),IF($J1357&gt;=$I1357,"Green",IF($J1357&gt;=$I1357-IF($I1357=0,$K1357,$I1357*$K1357),"Amber","Red"))),"")</f>
        <v/>
      </c>
      <c r="T1357" s="6" t="inlineStr"/>
    </row>
    <row r="1358">
      <c r="A1358" s="7" t="n">
        <v>46197</v>
      </c>
      <c r="B1358" s="8">
        <f>IF($A1358="","",TEXT($A1358,"mmm-yyyy"))</f>
        <v/>
      </c>
      <c r="C1358" s="8">
        <f>IF($A1358="","","W"&amp;WEEKNUM($A1358,2))</f>
        <v/>
      </c>
      <c r="D1358" s="8">
        <f>IF($A1358="","",TEXT($A1358,"ddd"))</f>
        <v/>
      </c>
      <c r="E1358" s="8" t="inlineStr">
        <is>
          <t>Engineering</t>
        </is>
      </c>
      <c r="F1358" s="8">
        <f>IFERROR(INDEX(Tbl_KPIMaster[Category],MATCH($G1358,Tbl_KPIMaster[KPI],0)),"")</f>
        <v/>
      </c>
      <c r="G1358" s="8" t="inlineStr">
        <is>
          <t>Breakdown Resolution Time</t>
        </is>
      </c>
      <c r="H1358" s="8">
        <f>IFERROR(INDEX(Tbl_KPIMaster[Unit],MATCH($G1358,Tbl_KPIMaster[KPI],0)),"")</f>
        <v/>
      </c>
      <c r="I1358" s="9">
        <f>IFERROR(INDEX(Tbl_KPIMaster[Maximum Target],MATCH($G1358,Tbl_KPIMaster[KPI],0)),"")</f>
        <v/>
      </c>
      <c r="J1358" s="9" t="n">
        <v>0.19</v>
      </c>
      <c r="K1358" s="8">
        <f>IFERROR(INDEX(Tbl_KPIMaster[Tolerance],MATCH($G1358,Tbl_KPIMaster[KPI],0)),"")</f>
        <v/>
      </c>
      <c r="L1358" s="8">
        <f>IFERROR(INDEX(Tbl_KPIMaster[Owner],MATCH($G1358,Tbl_KPIMaster[KPI],0)),"")</f>
        <v/>
      </c>
      <c r="M1358" s="10" t="inlineStr">
        <is>
          <t>Line changeover impact</t>
        </is>
      </c>
      <c r="N1358" s="8" t="inlineStr"/>
      <c r="O1358" s="8" t="inlineStr">
        <is>
          <t>High</t>
        </is>
      </c>
      <c r="P1358" s="8" t="inlineStr">
        <is>
          <t>Open</t>
        </is>
      </c>
      <c r="Q1358" s="9">
        <f>IFERROR(IF(INDEX(Tbl_KPIMaster[Direction],MATCH($G1358,Tbl_KPIMaster[KPI],0))="Lower is Better",IF($J1358=0,1,IF($I1358=0,0,$I1358/$J1358)),IF($I1358=0,1,$J1358/$I1358)),0)</f>
        <v/>
      </c>
      <c r="R1358" s="8">
        <f>IF(OR($I1358="",$J1358=""),"",$J1358-$I1358)</f>
        <v/>
      </c>
      <c r="S1358" s="8">
        <f>IFERROR(IF(INDEX(Tbl_KPIMaster[Direction],MATCH($G1358,Tbl_KPIMaster[KPI],0))="Lower is Better",IF($J1358&lt;=$I1358,"Green",IF($J1358&lt;=$I1358+IF($I1358=0,$K1358,$I1358*$K1358),"Amber","Red")),IF($J1358&gt;=$I1358,"Green",IF($J1358&gt;=$I1358-IF($I1358=0,$K1358,$I1358*$K1358),"Amber","Red"))),"")</f>
        <v/>
      </c>
      <c r="T1358" s="10" t="inlineStr"/>
    </row>
    <row r="1359">
      <c r="A1359" s="3" t="n">
        <v>46197</v>
      </c>
      <c r="B1359" s="4">
        <f>IF($A1359="","",TEXT($A1359,"mmm-yyyy"))</f>
        <v/>
      </c>
      <c r="C1359" s="4">
        <f>IF($A1359="","","W"&amp;WEEKNUM($A1359,2))</f>
        <v/>
      </c>
      <c r="D1359" s="4">
        <f>IF($A1359="","",TEXT($A1359,"ddd"))</f>
        <v/>
      </c>
      <c r="E1359" s="4" t="inlineStr">
        <is>
          <t>Cost</t>
        </is>
      </c>
      <c r="F1359" s="4">
        <f>IFERROR(INDEX(Tbl_KPIMaster[Category],MATCH($G1359,Tbl_KPIMaster[KPI],0)),"")</f>
        <v/>
      </c>
      <c r="G1359" s="4" t="inlineStr">
        <is>
          <t>Cost per Unit</t>
        </is>
      </c>
      <c r="H1359" s="4">
        <f>IFERROR(INDEX(Tbl_KPIMaster[Unit],MATCH($G1359,Tbl_KPIMaster[KPI],0)),"")</f>
        <v/>
      </c>
      <c r="I1359" s="5">
        <f>IFERROR(INDEX(Tbl_KPIMaster[Maximum Target],MATCH($G1359,Tbl_KPIMaster[KPI],0)),"")</f>
        <v/>
      </c>
      <c r="J1359" s="5" t="n">
        <v>29.95</v>
      </c>
      <c r="K1359" s="4">
        <f>IFERROR(INDEX(Tbl_KPIMaster[Tolerance],MATCH($G1359,Tbl_KPIMaster[KPI],0)),"")</f>
        <v/>
      </c>
      <c r="L1359" s="4">
        <f>IFERROR(INDEX(Tbl_KPIMaster[Owner],MATCH($G1359,Tbl_KPIMaster[KPI],0)),"")</f>
        <v/>
      </c>
      <c r="M1359" s="6" t="inlineStr">
        <is>
          <t>New operator training effect</t>
        </is>
      </c>
      <c r="N1359" s="4" t="inlineStr">
        <is>
          <t>Management approval pending</t>
        </is>
      </c>
      <c r="O1359" s="4" t="inlineStr">
        <is>
          <t>High</t>
        </is>
      </c>
      <c r="P1359" s="4" t="inlineStr">
        <is>
          <t>Closed</t>
        </is>
      </c>
      <c r="Q1359" s="5">
        <f>IFERROR(IF(INDEX(Tbl_KPIMaster[Direction],MATCH($G1359,Tbl_KPIMaster[KPI],0))="Lower is Better",IF($J1359=0,1,IF($I1359=0,0,$I1359/$J1359)),IF($I1359=0,1,$J1359/$I1359)),0)</f>
        <v/>
      </c>
      <c r="R1359" s="4">
        <f>IF(OR($I1359="",$J1359=""),"",$J1359-$I1359)</f>
        <v/>
      </c>
      <c r="S1359" s="4">
        <f>IFERROR(IF(INDEX(Tbl_KPIMaster[Direction],MATCH($G1359,Tbl_KPIMaster[KPI],0))="Lower is Better",IF($J1359&lt;=$I1359,"Green",IF($J1359&lt;=$I1359+IF($I1359=0,$K1359,$I1359*$K1359),"Amber","Red")),IF($J1359&gt;=$I1359,"Green",IF($J1359&gt;=$I1359-IF($I1359=0,$K1359,$I1359*$K1359),"Amber","Red"))),"")</f>
        <v/>
      </c>
      <c r="T1359" s="6" t="inlineStr"/>
    </row>
    <row r="1360">
      <c r="A1360" s="7" t="n">
        <v>46197</v>
      </c>
      <c r="B1360" s="8">
        <f>IF($A1360="","",TEXT($A1360,"mmm-yyyy"))</f>
        <v/>
      </c>
      <c r="C1360" s="8">
        <f>IF($A1360="","","W"&amp;WEEKNUM($A1360,2))</f>
        <v/>
      </c>
      <c r="D1360" s="8">
        <f>IF($A1360="","",TEXT($A1360,"ddd"))</f>
        <v/>
      </c>
      <c r="E1360" s="8" t="inlineStr">
        <is>
          <t>Cost</t>
        </is>
      </c>
      <c r="F1360" s="8">
        <f>IFERROR(INDEX(Tbl_KPIMaster[Category],MATCH($G1360,Tbl_KPIMaster[KPI],0)),"")</f>
        <v/>
      </c>
      <c r="G1360" s="8" t="inlineStr">
        <is>
          <t>Budget Variance %</t>
        </is>
      </c>
      <c r="H1360" s="8">
        <f>IFERROR(INDEX(Tbl_KPIMaster[Unit],MATCH($G1360,Tbl_KPIMaster[KPI],0)),"")</f>
        <v/>
      </c>
      <c r="I1360" s="9">
        <f>IFERROR(INDEX(Tbl_KPIMaster[Maximum Target],MATCH($G1360,Tbl_KPIMaster[KPI],0)),"")</f>
        <v/>
      </c>
      <c r="J1360" s="9" t="n">
        <v>0</v>
      </c>
      <c r="K1360" s="8">
        <f>IFERROR(INDEX(Tbl_KPIMaster[Tolerance],MATCH($G1360,Tbl_KPIMaster[KPI],0)),"")</f>
        <v/>
      </c>
      <c r="L1360" s="8">
        <f>IFERROR(INDEX(Tbl_KPIMaster[Owner],MATCH($G1360,Tbl_KPIMaster[KPI],0)),"")</f>
        <v/>
      </c>
      <c r="M1360" s="10" t="inlineStr">
        <is>
          <t>Process improvement in progress</t>
        </is>
      </c>
      <c r="N1360" s="8" t="inlineStr"/>
      <c r="O1360" s="8" t="inlineStr">
        <is>
          <t>High</t>
        </is>
      </c>
      <c r="P1360" s="8" t="inlineStr">
        <is>
          <t>Closed</t>
        </is>
      </c>
      <c r="Q1360" s="9">
        <f>IFERROR(IF(INDEX(Tbl_KPIMaster[Direction],MATCH($G1360,Tbl_KPIMaster[KPI],0))="Lower is Better",IF($J1360=0,1,IF($I1360=0,0,$I1360/$J1360)),IF($I1360=0,1,$J1360/$I1360)),0)</f>
        <v/>
      </c>
      <c r="R1360" s="8">
        <f>IF(OR($I1360="",$J1360=""),"",$J1360-$I1360)</f>
        <v/>
      </c>
      <c r="S1360" s="8">
        <f>IFERROR(IF(INDEX(Tbl_KPIMaster[Direction],MATCH($G1360,Tbl_KPIMaster[KPI],0))="Lower is Better",IF($J1360&lt;=$I1360,"Green",IF($J1360&lt;=$I1360+IF($I1360=0,$K1360,$I1360*$K1360),"Amber","Red")),IF($J1360&gt;=$I1360,"Green",IF($J1360&gt;=$I1360-IF($I1360=0,$K1360,$I1360*$K1360),"Amber","Red"))),"")</f>
        <v/>
      </c>
      <c r="T1360" s="10" t="inlineStr"/>
    </row>
    <row r="1361">
      <c r="A1361" s="3" t="n">
        <v>46197</v>
      </c>
      <c r="B1361" s="4">
        <f>IF($A1361="","",TEXT($A1361,"mmm-yyyy"))</f>
        <v/>
      </c>
      <c r="C1361" s="4">
        <f>IF($A1361="","","W"&amp;WEEKNUM($A1361,2))</f>
        <v/>
      </c>
      <c r="D1361" s="4">
        <f>IF($A1361="","",TEXT($A1361,"ddd"))</f>
        <v/>
      </c>
      <c r="E1361" s="4" t="inlineStr">
        <is>
          <t>Energy</t>
        </is>
      </c>
      <c r="F1361" s="4">
        <f>IFERROR(INDEX(Tbl_KPIMaster[Category],MATCH($G1361,Tbl_KPIMaster[KPI],0)),"")</f>
        <v/>
      </c>
      <c r="G1361" s="4" t="inlineStr">
        <is>
          <t>Energy Intensity (kWh/unit)</t>
        </is>
      </c>
      <c r="H1361" s="4">
        <f>IFERROR(INDEX(Tbl_KPIMaster[Unit],MATCH($G1361,Tbl_KPIMaster[KPI],0)),"")</f>
        <v/>
      </c>
      <c r="I1361" s="5">
        <f>IFERROR(INDEX(Tbl_KPIMaster[Maximum Target],MATCH($G1361,Tbl_KPIMaster[KPI],0)),"")</f>
        <v/>
      </c>
      <c r="J1361" s="5" t="n">
        <v>3.78</v>
      </c>
      <c r="K1361" s="4">
        <f>IFERROR(INDEX(Tbl_KPIMaster[Tolerance],MATCH($G1361,Tbl_KPIMaster[KPI],0)),"")</f>
        <v/>
      </c>
      <c r="L1361" s="4">
        <f>IFERROR(INDEX(Tbl_KPIMaster[Owner],MATCH($G1361,Tbl_KPIMaster[KPI],0)),"")</f>
        <v/>
      </c>
      <c r="M1361" s="6" t="inlineStr">
        <is>
          <t>Manpower shortage</t>
        </is>
      </c>
      <c r="N1361" s="4" t="inlineStr">
        <is>
          <t>Management approval pending</t>
        </is>
      </c>
      <c r="O1361" s="4" t="inlineStr">
        <is>
          <t>High</t>
        </is>
      </c>
      <c r="P1361" s="4" t="inlineStr">
        <is>
          <t>Closed</t>
        </is>
      </c>
      <c r="Q1361" s="5">
        <f>IFERROR(IF(INDEX(Tbl_KPIMaster[Direction],MATCH($G1361,Tbl_KPIMaster[KPI],0))="Lower is Better",IF($J1361=0,1,IF($I1361=0,0,$I1361/$J1361)),IF($I1361=0,1,$J1361/$I1361)),0)</f>
        <v/>
      </c>
      <c r="R1361" s="4">
        <f>IF(OR($I1361="",$J1361=""),"",$J1361-$I1361)</f>
        <v/>
      </c>
      <c r="S1361" s="4">
        <f>IFERROR(IF(INDEX(Tbl_KPIMaster[Direction],MATCH($G1361,Tbl_KPIMaster[KPI],0))="Lower is Better",IF($J1361&lt;=$I1361,"Green",IF($J1361&lt;=$I1361+IF($I1361=0,$K1361,$I1361*$K1361),"Amber","Red")),IF($J1361&gt;=$I1361,"Green",IF($J1361&gt;=$I1361-IF($I1361=0,$K1361,$I1361*$K1361),"Amber","Red"))),"")</f>
        <v/>
      </c>
      <c r="T1361" s="6" t="inlineStr"/>
    </row>
    <row r="1362">
      <c r="A1362" s="7" t="n">
        <v>46197</v>
      </c>
      <c r="B1362" s="8">
        <f>IF($A1362="","",TEXT($A1362,"mmm-yyyy"))</f>
        <v/>
      </c>
      <c r="C1362" s="8">
        <f>IF($A1362="","","W"&amp;WEEKNUM($A1362,2))</f>
        <v/>
      </c>
      <c r="D1362" s="8">
        <f>IF($A1362="","",TEXT($A1362,"ddd"))</f>
        <v/>
      </c>
      <c r="E1362" s="8" t="inlineStr">
        <is>
          <t>Energy</t>
        </is>
      </c>
      <c r="F1362" s="8">
        <f>IFERROR(INDEX(Tbl_KPIMaster[Category],MATCH($G1362,Tbl_KPIMaster[KPI],0)),"")</f>
        <v/>
      </c>
      <c r="G1362" s="8" t="inlineStr">
        <is>
          <t>Renewable Energy Share %</t>
        </is>
      </c>
      <c r="H1362" s="8">
        <f>IFERROR(INDEX(Tbl_KPIMaster[Unit],MATCH($G1362,Tbl_KPIMaster[KPI],0)),"")</f>
        <v/>
      </c>
      <c r="I1362" s="9">
        <f>IFERROR(INDEX(Tbl_KPIMaster[Maximum Target],MATCH($G1362,Tbl_KPIMaster[KPI],0)),"")</f>
        <v/>
      </c>
      <c r="J1362" s="9" t="n">
        <v>0.278</v>
      </c>
      <c r="K1362" s="8">
        <f>IFERROR(INDEX(Tbl_KPIMaster[Tolerance],MATCH($G1362,Tbl_KPIMaster[KPI],0)),"")</f>
        <v/>
      </c>
      <c r="L1362" s="8">
        <f>IFERROR(INDEX(Tbl_KPIMaster[Owner],MATCH($G1362,Tbl_KPIMaster[KPI],0)),"")</f>
        <v/>
      </c>
      <c r="M1362" s="10" t="inlineStr">
        <is>
          <t>Within normal range</t>
        </is>
      </c>
      <c r="N1362" s="8" t="inlineStr"/>
      <c r="O1362" s="8" t="inlineStr">
        <is>
          <t>High</t>
        </is>
      </c>
      <c r="P1362" s="8" t="inlineStr">
        <is>
          <t>Open</t>
        </is>
      </c>
      <c r="Q1362" s="9">
        <f>IFERROR(IF(INDEX(Tbl_KPIMaster[Direction],MATCH($G1362,Tbl_KPIMaster[KPI],0))="Lower is Better",IF($J1362=0,1,IF($I1362=0,0,$I1362/$J1362)),IF($I1362=0,1,$J1362/$I1362)),0)</f>
        <v/>
      </c>
      <c r="R1362" s="8">
        <f>IF(OR($I1362="",$J1362=""),"",$J1362-$I1362)</f>
        <v/>
      </c>
      <c r="S1362" s="8">
        <f>IFERROR(IF(INDEX(Tbl_KPIMaster[Direction],MATCH($G1362,Tbl_KPIMaster[KPI],0))="Lower is Better",IF($J1362&lt;=$I1362,"Green",IF($J1362&lt;=$I1362+IF($I1362=0,$K1362,$I1362*$K1362),"Amber","Red")),IF($J1362&gt;=$I1362,"Green",IF($J1362&gt;=$I1362-IF($I1362=0,$K1362,$I1362*$K1362),"Amber","Red"))),"")</f>
        <v/>
      </c>
      <c r="T1362" s="10" t="inlineStr"/>
    </row>
    <row r="1363">
      <c r="A1363" s="3" t="n">
        <v>46198</v>
      </c>
      <c r="B1363" s="4">
        <f>IF($A1363="","",TEXT($A1363,"mmm-yyyy"))</f>
        <v/>
      </c>
      <c r="C1363" s="4">
        <f>IF($A1363="","","W"&amp;WEEKNUM($A1363,2))</f>
        <v/>
      </c>
      <c r="D1363" s="4">
        <f>IF($A1363="","",TEXT($A1363,"ddd"))</f>
        <v/>
      </c>
      <c r="E1363" s="4" t="inlineStr">
        <is>
          <t>Safety</t>
        </is>
      </c>
      <c r="F1363" s="4">
        <f>IFERROR(INDEX(Tbl_KPIMaster[Category],MATCH($G1363,Tbl_KPIMaster[KPI],0)),"")</f>
        <v/>
      </c>
      <c r="G1363" s="4" t="inlineStr">
        <is>
          <t>Safety Incidents (LTI)</t>
        </is>
      </c>
      <c r="H1363" s="4">
        <f>IFERROR(INDEX(Tbl_KPIMaster[Unit],MATCH($G1363,Tbl_KPIMaster[KPI],0)),"")</f>
        <v/>
      </c>
      <c r="I1363" s="5">
        <f>IFERROR(INDEX(Tbl_KPIMaster[Maximum Target],MATCH($G1363,Tbl_KPIMaster[KPI],0)),"")</f>
        <v/>
      </c>
      <c r="J1363" s="5" t="n">
        <v>1</v>
      </c>
      <c r="K1363" s="4">
        <f>IFERROR(INDEX(Tbl_KPIMaster[Tolerance],MATCH($G1363,Tbl_KPIMaster[KPI],0)),"")</f>
        <v/>
      </c>
      <c r="L1363" s="4">
        <f>IFERROR(INDEX(Tbl_KPIMaster[Owner],MATCH($G1363,Tbl_KPIMaster[KPI],0)),"")</f>
        <v/>
      </c>
      <c r="M1363" s="6" t="inlineStr">
        <is>
          <t>Preventive check done</t>
        </is>
      </c>
      <c r="N1363" s="4" t="inlineStr">
        <is>
          <t>Management approval pending</t>
        </is>
      </c>
      <c r="O1363" s="4" t="inlineStr">
        <is>
          <t>High</t>
        </is>
      </c>
      <c r="P1363" s="4" t="inlineStr">
        <is>
          <t>Closed</t>
        </is>
      </c>
      <c r="Q1363" s="5">
        <f>IFERROR(IF(INDEX(Tbl_KPIMaster[Direction],MATCH($G1363,Tbl_KPIMaster[KPI],0))="Lower is Better",IF($J1363=0,1,IF($I1363=0,0,$I1363/$J1363)),IF($I1363=0,1,$J1363/$I1363)),0)</f>
        <v/>
      </c>
      <c r="R1363" s="4">
        <f>IF(OR($I1363="",$J1363=""),"",$J1363-$I1363)</f>
        <v/>
      </c>
      <c r="S1363" s="4">
        <f>IFERROR(IF(INDEX(Tbl_KPIMaster[Direction],MATCH($G1363,Tbl_KPIMaster[KPI],0))="Lower is Better",IF($J1363&lt;=$I1363,"Green",IF($J1363&lt;=$I1363+IF($I1363=0,$K1363,$I1363*$K1363),"Amber","Red")),IF($J1363&gt;=$I1363,"Green",IF($J1363&gt;=$I1363-IF($I1363=0,$K1363,$I1363*$K1363),"Amber","Red"))),"")</f>
        <v/>
      </c>
      <c r="T1363" s="6" t="inlineStr"/>
    </row>
    <row r="1364">
      <c r="A1364" s="7" t="n">
        <v>46198</v>
      </c>
      <c r="B1364" s="8">
        <f>IF($A1364="","",TEXT($A1364,"mmm-yyyy"))</f>
        <v/>
      </c>
      <c r="C1364" s="8">
        <f>IF($A1364="","","W"&amp;WEEKNUM($A1364,2))</f>
        <v/>
      </c>
      <c r="D1364" s="8">
        <f>IF($A1364="","",TEXT($A1364,"ddd"))</f>
        <v/>
      </c>
      <c r="E1364" s="8" t="inlineStr">
        <is>
          <t>Safety</t>
        </is>
      </c>
      <c r="F1364" s="8">
        <f>IFERROR(INDEX(Tbl_KPIMaster[Category],MATCH($G1364,Tbl_KPIMaster[KPI],0)),"")</f>
        <v/>
      </c>
      <c r="G1364" s="8" t="inlineStr">
        <is>
          <t>Near Miss Reports</t>
        </is>
      </c>
      <c r="H1364" s="8">
        <f>IFERROR(INDEX(Tbl_KPIMaster[Unit],MATCH($G1364,Tbl_KPIMaster[KPI],0)),"")</f>
        <v/>
      </c>
      <c r="I1364" s="9">
        <f>IFERROR(INDEX(Tbl_KPIMaster[Maximum Target],MATCH($G1364,Tbl_KPIMaster[KPI],0)),"")</f>
        <v/>
      </c>
      <c r="J1364" s="9" t="n">
        <v>2</v>
      </c>
      <c r="K1364" s="8">
        <f>IFERROR(INDEX(Tbl_KPIMaster[Tolerance],MATCH($G1364,Tbl_KPIMaster[KPI],0)),"")</f>
        <v/>
      </c>
      <c r="L1364" s="8">
        <f>IFERROR(INDEX(Tbl_KPIMaster[Owner],MATCH($G1364,Tbl_KPIMaster[KPI],0)),"")</f>
        <v/>
      </c>
      <c r="M1364" s="10" t="inlineStr">
        <is>
          <t>Within normal range</t>
        </is>
      </c>
      <c r="N1364" s="8" t="inlineStr">
        <is>
          <t>Procurement follow-up</t>
        </is>
      </c>
      <c r="O1364" s="8" t="inlineStr">
        <is>
          <t>Low</t>
        </is>
      </c>
      <c r="P1364" s="8" t="inlineStr">
        <is>
          <t>Closed</t>
        </is>
      </c>
      <c r="Q1364" s="9">
        <f>IFERROR(IF(INDEX(Tbl_KPIMaster[Direction],MATCH($G1364,Tbl_KPIMaster[KPI],0))="Lower is Better",IF($J1364=0,1,IF($I1364=0,0,$I1364/$J1364)),IF($I1364=0,1,$J1364/$I1364)),0)</f>
        <v/>
      </c>
      <c r="R1364" s="8">
        <f>IF(OR($I1364="",$J1364=""),"",$J1364-$I1364)</f>
        <v/>
      </c>
      <c r="S1364" s="8">
        <f>IFERROR(IF(INDEX(Tbl_KPIMaster[Direction],MATCH($G1364,Tbl_KPIMaster[KPI],0))="Lower is Better",IF($J1364&lt;=$I1364,"Green",IF($J1364&lt;=$I1364+IF($I1364=0,$K1364,$I1364*$K1364),"Amber","Red")),IF($J1364&gt;=$I1364,"Green",IF($J1364&gt;=$I1364-IF($I1364=0,$K1364,$I1364*$K1364),"Amber","Red"))),"")</f>
        <v/>
      </c>
      <c r="T1364" s="10" t="inlineStr"/>
    </row>
    <row r="1365">
      <c r="A1365" s="3" t="n">
        <v>46198</v>
      </c>
      <c r="B1365" s="4">
        <f>IF($A1365="","",TEXT($A1365,"mmm-yyyy"))</f>
        <v/>
      </c>
      <c r="C1365" s="4">
        <f>IF($A1365="","","W"&amp;WEEKNUM($A1365,2))</f>
        <v/>
      </c>
      <c r="D1365" s="4">
        <f>IF($A1365="","",TEXT($A1365,"ddd"))</f>
        <v/>
      </c>
      <c r="E1365" s="4" t="inlineStr">
        <is>
          <t>Production</t>
        </is>
      </c>
      <c r="F1365" s="4">
        <f>IFERROR(INDEX(Tbl_KPIMaster[Category],MATCH($G1365,Tbl_KPIMaster[KPI],0)),"")</f>
        <v/>
      </c>
      <c r="G1365" s="4" t="inlineStr">
        <is>
          <t>Production Output</t>
        </is>
      </c>
      <c r="H1365" s="4">
        <f>IFERROR(INDEX(Tbl_KPIMaster[Unit],MATCH($G1365,Tbl_KPIMaster[KPI],0)),"")</f>
        <v/>
      </c>
      <c r="I1365" s="5">
        <f>IFERROR(INDEX(Tbl_KPIMaster[Maximum Target],MATCH($G1365,Tbl_KPIMaster[KPI],0)),"")</f>
        <v/>
      </c>
      <c r="J1365" s="5" t="n">
        <v>1093.1</v>
      </c>
      <c r="K1365" s="4">
        <f>IFERROR(INDEX(Tbl_KPIMaster[Tolerance],MATCH($G1365,Tbl_KPIMaster[KPI],0)),"")</f>
        <v/>
      </c>
      <c r="L1365" s="4">
        <f>IFERROR(INDEX(Tbl_KPIMaster[Owner],MATCH($G1365,Tbl_KPIMaster[KPI],0)),"")</f>
        <v/>
      </c>
      <c r="M1365" s="6" t="inlineStr">
        <is>
          <t>New operator training effect</t>
        </is>
      </c>
      <c r="N1365" s="4" t="inlineStr"/>
      <c r="O1365" s="4" t="inlineStr">
        <is>
          <t>Medium</t>
        </is>
      </c>
      <c r="P1365" s="4" t="inlineStr">
        <is>
          <t>Closed</t>
        </is>
      </c>
      <c r="Q1365" s="5">
        <f>IFERROR(IF(INDEX(Tbl_KPIMaster[Direction],MATCH($G1365,Tbl_KPIMaster[KPI],0))="Lower is Better",IF($J1365=0,1,IF($I1365=0,0,$I1365/$J1365)),IF($I1365=0,1,$J1365/$I1365)),0)</f>
        <v/>
      </c>
      <c r="R1365" s="4">
        <f>IF(OR($I1365="",$J1365=""),"",$J1365-$I1365)</f>
        <v/>
      </c>
      <c r="S1365" s="4">
        <f>IFERROR(IF(INDEX(Tbl_KPIMaster[Direction],MATCH($G1365,Tbl_KPIMaster[KPI],0))="Lower is Better",IF($J1365&lt;=$I1365,"Green",IF($J1365&lt;=$I1365+IF($I1365=0,$K1365,$I1365*$K1365),"Amber","Red")),IF($J1365&gt;=$I1365,"Green",IF($J1365&gt;=$I1365-IF($I1365=0,$K1365,$I1365*$K1365),"Amber","Red"))),"")</f>
        <v/>
      </c>
      <c r="T1365" s="6" t="inlineStr"/>
    </row>
    <row r="1366">
      <c r="A1366" s="7" t="n">
        <v>46198</v>
      </c>
      <c r="B1366" s="8">
        <f>IF($A1366="","",TEXT($A1366,"mmm-yyyy"))</f>
        <v/>
      </c>
      <c r="C1366" s="8">
        <f>IF($A1366="","","W"&amp;WEEKNUM($A1366,2))</f>
        <v/>
      </c>
      <c r="D1366" s="8">
        <f>IF($A1366="","",TEXT($A1366,"ddd"))</f>
        <v/>
      </c>
      <c r="E1366" s="8" t="inlineStr">
        <is>
          <t>Production</t>
        </is>
      </c>
      <c r="F1366" s="8">
        <f>IFERROR(INDEX(Tbl_KPIMaster[Category],MATCH($G1366,Tbl_KPIMaster[KPI],0)),"")</f>
        <v/>
      </c>
      <c r="G1366" s="8" t="inlineStr">
        <is>
          <t>OEE %</t>
        </is>
      </c>
      <c r="H1366" s="8">
        <f>IFERROR(INDEX(Tbl_KPIMaster[Unit],MATCH($G1366,Tbl_KPIMaster[KPI],0)),"")</f>
        <v/>
      </c>
      <c r="I1366" s="9">
        <f>IFERROR(INDEX(Tbl_KPIMaster[Maximum Target],MATCH($G1366,Tbl_KPIMaster[KPI],0)),"")</f>
        <v/>
      </c>
      <c r="J1366" s="9" t="n">
        <v>1.0164</v>
      </c>
      <c r="K1366" s="8">
        <f>IFERROR(INDEX(Tbl_KPIMaster[Tolerance],MATCH($G1366,Tbl_KPIMaster[KPI],0)),"")</f>
        <v/>
      </c>
      <c r="L1366" s="8">
        <f>IFERROR(INDEX(Tbl_KPIMaster[Owner],MATCH($G1366,Tbl_KPIMaster[KPI],0)),"")</f>
        <v/>
      </c>
      <c r="M1366" s="10" t="inlineStr">
        <is>
          <t>Weather impact</t>
        </is>
      </c>
      <c r="N1366" s="8" t="inlineStr">
        <is>
          <t>Management approval pending</t>
        </is>
      </c>
      <c r="O1366" s="8" t="inlineStr">
        <is>
          <t>Low</t>
        </is>
      </c>
      <c r="P1366" s="8" t="inlineStr">
        <is>
          <t>Open</t>
        </is>
      </c>
      <c r="Q1366" s="9">
        <f>IFERROR(IF(INDEX(Tbl_KPIMaster[Direction],MATCH($G1366,Tbl_KPIMaster[KPI],0))="Lower is Better",IF($J1366=0,1,IF($I1366=0,0,$I1366/$J1366)),IF($I1366=0,1,$J1366/$I1366)),0)</f>
        <v/>
      </c>
      <c r="R1366" s="8">
        <f>IF(OR($I1366="",$J1366=""),"",$J1366-$I1366)</f>
        <v/>
      </c>
      <c r="S1366" s="8">
        <f>IFERROR(IF(INDEX(Tbl_KPIMaster[Direction],MATCH($G1366,Tbl_KPIMaster[KPI],0))="Lower is Better",IF($J1366&lt;=$I1366,"Green",IF($J1366&lt;=$I1366+IF($I1366=0,$K1366,$I1366*$K1366),"Amber","Red")),IF($J1366&gt;=$I1366,"Green",IF($J1366&gt;=$I1366-IF($I1366=0,$K1366,$I1366*$K1366),"Amber","Red"))),"")</f>
        <v/>
      </c>
      <c r="T1366" s="10" t="inlineStr"/>
    </row>
    <row r="1367">
      <c r="A1367" s="3" t="n">
        <v>46198</v>
      </c>
      <c r="B1367" s="4">
        <f>IF($A1367="","",TEXT($A1367,"mmm-yyyy"))</f>
        <v/>
      </c>
      <c r="C1367" s="4">
        <f>IF($A1367="","","W"&amp;WEEKNUM($A1367,2))</f>
        <v/>
      </c>
      <c r="D1367" s="4">
        <f>IF($A1367="","",TEXT($A1367,"ddd"))</f>
        <v/>
      </c>
      <c r="E1367" s="4" t="inlineStr">
        <is>
          <t>Quality</t>
        </is>
      </c>
      <c r="F1367" s="4">
        <f>IFERROR(INDEX(Tbl_KPIMaster[Category],MATCH($G1367,Tbl_KPIMaster[KPI],0)),"")</f>
        <v/>
      </c>
      <c r="G1367" s="4" t="inlineStr">
        <is>
          <t>Defect Rate %</t>
        </is>
      </c>
      <c r="H1367" s="4">
        <f>IFERROR(INDEX(Tbl_KPIMaster[Unit],MATCH($G1367,Tbl_KPIMaster[KPI],0)),"")</f>
        <v/>
      </c>
      <c r="I1367" s="5">
        <f>IFERROR(INDEX(Tbl_KPIMaster[Maximum Target],MATCH($G1367,Tbl_KPIMaster[KPI],0)),"")</f>
        <v/>
      </c>
      <c r="J1367" s="5" t="n">
        <v>0.5077</v>
      </c>
      <c r="K1367" s="4">
        <f>IFERROR(INDEX(Tbl_KPIMaster[Tolerance],MATCH($G1367,Tbl_KPIMaster[KPI],0)),"")</f>
        <v/>
      </c>
      <c r="L1367" s="4">
        <f>IFERROR(INDEX(Tbl_KPIMaster[Owner],MATCH($G1367,Tbl_KPIMaster[KPI],0)),"")</f>
        <v/>
      </c>
      <c r="M1367" s="6" t="inlineStr">
        <is>
          <t>Manpower shortage</t>
        </is>
      </c>
      <c r="N1367" s="4" t="inlineStr">
        <is>
          <t>Management approval pending</t>
        </is>
      </c>
      <c r="O1367" s="4" t="inlineStr">
        <is>
          <t>High</t>
        </is>
      </c>
      <c r="P1367" s="4" t="inlineStr">
        <is>
          <t>Closed</t>
        </is>
      </c>
      <c r="Q1367" s="5">
        <f>IFERROR(IF(INDEX(Tbl_KPIMaster[Direction],MATCH($G1367,Tbl_KPIMaster[KPI],0))="Lower is Better",IF($J1367=0,1,IF($I1367=0,0,$I1367/$J1367)),IF($I1367=0,1,$J1367/$I1367)),0)</f>
        <v/>
      </c>
      <c r="R1367" s="4">
        <f>IF(OR($I1367="",$J1367=""),"",$J1367-$I1367)</f>
        <v/>
      </c>
      <c r="S1367" s="4">
        <f>IFERROR(IF(INDEX(Tbl_KPIMaster[Direction],MATCH($G1367,Tbl_KPIMaster[KPI],0))="Lower is Better",IF($J1367&lt;=$I1367,"Green",IF($J1367&lt;=$I1367+IF($I1367=0,$K1367,$I1367*$K1367),"Amber","Red")),IF($J1367&gt;=$I1367,"Green",IF($J1367&gt;=$I1367-IF($I1367=0,$K1367,$I1367*$K1367),"Amber","Red"))),"")</f>
        <v/>
      </c>
      <c r="T1367" s="6" t="inlineStr"/>
    </row>
    <row r="1368">
      <c r="A1368" s="7" t="n">
        <v>46198</v>
      </c>
      <c r="B1368" s="8">
        <f>IF($A1368="","",TEXT($A1368,"mmm-yyyy"))</f>
        <v/>
      </c>
      <c r="C1368" s="8">
        <f>IF($A1368="","","W"&amp;WEEKNUM($A1368,2))</f>
        <v/>
      </c>
      <c r="D1368" s="8">
        <f>IF($A1368="","",TEXT($A1368,"ddd"))</f>
        <v/>
      </c>
      <c r="E1368" s="8" t="inlineStr">
        <is>
          <t>Quality</t>
        </is>
      </c>
      <c r="F1368" s="8">
        <f>IFERROR(INDEX(Tbl_KPIMaster[Category],MATCH($G1368,Tbl_KPIMaster[KPI],0)),"")</f>
        <v/>
      </c>
      <c r="G1368" s="8" t="inlineStr">
        <is>
          <t>Customer Complaints</t>
        </is>
      </c>
      <c r="H1368" s="8">
        <f>IFERROR(INDEX(Tbl_KPIMaster[Unit],MATCH($G1368,Tbl_KPIMaster[KPI],0)),"")</f>
        <v/>
      </c>
      <c r="I1368" s="9">
        <f>IFERROR(INDEX(Tbl_KPIMaster[Maximum Target],MATCH($G1368,Tbl_KPIMaster[KPI],0)),"")</f>
        <v/>
      </c>
      <c r="J1368" s="9" t="n">
        <v>0</v>
      </c>
      <c r="K1368" s="8">
        <f>IFERROR(INDEX(Tbl_KPIMaster[Tolerance],MATCH($G1368,Tbl_KPIMaster[KPI],0)),"")</f>
        <v/>
      </c>
      <c r="L1368" s="8">
        <f>IFERROR(INDEX(Tbl_KPIMaster[Owner],MATCH($G1368,Tbl_KPIMaster[KPI],0)),"")</f>
        <v/>
      </c>
      <c r="M1368" s="10" t="inlineStr">
        <is>
          <t>Vendor delay</t>
        </is>
      </c>
      <c r="N1368" s="8" t="inlineStr"/>
      <c r="O1368" s="8" t="inlineStr">
        <is>
          <t>Medium</t>
        </is>
      </c>
      <c r="P1368" s="8" t="inlineStr">
        <is>
          <t>Closed</t>
        </is>
      </c>
      <c r="Q1368" s="9">
        <f>IFERROR(IF(INDEX(Tbl_KPIMaster[Direction],MATCH($G1368,Tbl_KPIMaster[KPI],0))="Lower is Better",IF($J1368=0,1,IF($I1368=0,0,$I1368/$J1368)),IF($I1368=0,1,$J1368/$I1368)),0)</f>
        <v/>
      </c>
      <c r="R1368" s="8">
        <f>IF(OR($I1368="",$J1368=""),"",$J1368-$I1368)</f>
        <v/>
      </c>
      <c r="S1368" s="8">
        <f>IFERROR(IF(INDEX(Tbl_KPIMaster[Direction],MATCH($G1368,Tbl_KPIMaster[KPI],0))="Lower is Better",IF($J1368&lt;=$I1368,"Green",IF($J1368&lt;=$I1368+IF($I1368=0,$K1368,$I1368*$K1368),"Amber","Red")),IF($J1368&gt;=$I1368,"Green",IF($J1368&gt;=$I1368-IF($I1368=0,$K1368,$I1368*$K1368),"Amber","Red"))),"")</f>
        <v/>
      </c>
      <c r="T1368" s="10" t="inlineStr"/>
    </row>
    <row r="1369">
      <c r="A1369" s="3" t="n">
        <v>46198</v>
      </c>
      <c r="B1369" s="4">
        <f>IF($A1369="","",TEXT($A1369,"mmm-yyyy"))</f>
        <v/>
      </c>
      <c r="C1369" s="4">
        <f>IF($A1369="","","W"&amp;WEEKNUM($A1369,2))</f>
        <v/>
      </c>
      <c r="D1369" s="4">
        <f>IF($A1369="","",TEXT($A1369,"ddd"))</f>
        <v/>
      </c>
      <c r="E1369" s="4" t="inlineStr">
        <is>
          <t>Maintenance</t>
        </is>
      </c>
      <c r="F1369" s="4">
        <f>IFERROR(INDEX(Tbl_KPIMaster[Category],MATCH($G1369,Tbl_KPIMaster[KPI],0)),"")</f>
        <v/>
      </c>
      <c r="G1369" s="4" t="inlineStr">
        <is>
          <t>Unplanned Downtime</t>
        </is>
      </c>
      <c r="H1369" s="4">
        <f>IFERROR(INDEX(Tbl_KPIMaster[Unit],MATCH($G1369,Tbl_KPIMaster[KPI],0)),"")</f>
        <v/>
      </c>
      <c r="I1369" s="5">
        <f>IFERROR(INDEX(Tbl_KPIMaster[Maximum Target],MATCH($G1369,Tbl_KPIMaster[KPI],0)),"")</f>
        <v/>
      </c>
      <c r="J1369" s="5" t="n">
        <v>0</v>
      </c>
      <c r="K1369" s="4">
        <f>IFERROR(INDEX(Tbl_KPIMaster[Tolerance],MATCH($G1369,Tbl_KPIMaster[KPI],0)),"")</f>
        <v/>
      </c>
      <c r="L1369" s="4">
        <f>IFERROR(INDEX(Tbl_KPIMaster[Owner],MATCH($G1369,Tbl_KPIMaster[KPI],0)),"")</f>
        <v/>
      </c>
      <c r="M1369" s="6" t="inlineStr">
        <is>
          <t>Within normal range</t>
        </is>
      </c>
      <c r="N1369" s="4" t="inlineStr">
        <is>
          <t>Management approval pending</t>
        </is>
      </c>
      <c r="O1369" s="4" t="inlineStr">
        <is>
          <t>Low</t>
        </is>
      </c>
      <c r="P1369" s="4" t="inlineStr">
        <is>
          <t>Open</t>
        </is>
      </c>
      <c r="Q1369" s="5">
        <f>IFERROR(IF(INDEX(Tbl_KPIMaster[Direction],MATCH($G1369,Tbl_KPIMaster[KPI],0))="Lower is Better",IF($J1369=0,1,IF($I1369=0,0,$I1369/$J1369)),IF($I1369=0,1,$J1369/$I1369)),0)</f>
        <v/>
      </c>
      <c r="R1369" s="4">
        <f>IF(OR($I1369="",$J1369=""),"",$J1369-$I1369)</f>
        <v/>
      </c>
      <c r="S1369" s="4">
        <f>IFERROR(IF(INDEX(Tbl_KPIMaster[Direction],MATCH($G1369,Tbl_KPIMaster[KPI],0))="Lower is Better",IF($J1369&lt;=$I1369,"Green",IF($J1369&lt;=$I1369+IF($I1369=0,$K1369,$I1369*$K1369),"Amber","Red")),IF($J1369&gt;=$I1369,"Green",IF($J1369&gt;=$I1369-IF($I1369=0,$K1369,$I1369*$K1369),"Amber","Red"))),"")</f>
        <v/>
      </c>
      <c r="T1369" s="6" t="inlineStr"/>
    </row>
    <row r="1370">
      <c r="A1370" s="7" t="n">
        <v>46198</v>
      </c>
      <c r="B1370" s="8">
        <f>IF($A1370="","",TEXT($A1370,"mmm-yyyy"))</f>
        <v/>
      </c>
      <c r="C1370" s="8">
        <f>IF($A1370="","","W"&amp;WEEKNUM($A1370,2))</f>
        <v/>
      </c>
      <c r="D1370" s="8">
        <f>IF($A1370="","",TEXT($A1370,"ddd"))</f>
        <v/>
      </c>
      <c r="E1370" s="8" t="inlineStr">
        <is>
          <t>Maintenance</t>
        </is>
      </c>
      <c r="F1370" s="8">
        <f>IFERROR(INDEX(Tbl_KPIMaster[Category],MATCH($G1370,Tbl_KPIMaster[KPI],0)),"")</f>
        <v/>
      </c>
      <c r="G1370" s="8" t="inlineStr">
        <is>
          <t>PM Compliance %</t>
        </is>
      </c>
      <c r="H1370" s="8">
        <f>IFERROR(INDEX(Tbl_KPIMaster[Unit],MATCH($G1370,Tbl_KPIMaster[KPI],0)),"")</f>
        <v/>
      </c>
      <c r="I1370" s="9">
        <f>IFERROR(INDEX(Tbl_KPIMaster[Maximum Target],MATCH($G1370,Tbl_KPIMaster[KPI],0)),"")</f>
        <v/>
      </c>
      <c r="J1370" s="9" t="n">
        <v>0.8653</v>
      </c>
      <c r="K1370" s="8">
        <f>IFERROR(INDEX(Tbl_KPIMaster[Tolerance],MATCH($G1370,Tbl_KPIMaster[KPI],0)),"")</f>
        <v/>
      </c>
      <c r="L1370" s="8">
        <f>IFERROR(INDEX(Tbl_KPIMaster[Owner],MATCH($G1370,Tbl_KPIMaster[KPI],0)),"")</f>
        <v/>
      </c>
      <c r="M1370" s="10" t="inlineStr">
        <is>
          <t>Equipment breakdown</t>
        </is>
      </c>
      <c r="N1370" s="8" t="inlineStr"/>
      <c r="O1370" s="8" t="inlineStr">
        <is>
          <t>Low</t>
        </is>
      </c>
      <c r="P1370" s="8" t="inlineStr">
        <is>
          <t>Closed</t>
        </is>
      </c>
      <c r="Q1370" s="9">
        <f>IFERROR(IF(INDEX(Tbl_KPIMaster[Direction],MATCH($G1370,Tbl_KPIMaster[KPI],0))="Lower is Better",IF($J1370=0,1,IF($I1370=0,0,$I1370/$J1370)),IF($I1370=0,1,$J1370/$I1370)),0)</f>
        <v/>
      </c>
      <c r="R1370" s="8">
        <f>IF(OR($I1370="",$J1370=""),"",$J1370-$I1370)</f>
        <v/>
      </c>
      <c r="S1370" s="8">
        <f>IFERROR(IF(INDEX(Tbl_KPIMaster[Direction],MATCH($G1370,Tbl_KPIMaster[KPI],0))="Lower is Better",IF($J1370&lt;=$I1370,"Green",IF($J1370&lt;=$I1370+IF($I1370=0,$K1370,$I1370*$K1370),"Amber","Red")),IF($J1370&gt;=$I1370,"Green",IF($J1370&gt;=$I1370-IF($I1370=0,$K1370,$I1370*$K1370),"Amber","Red"))),"")</f>
        <v/>
      </c>
      <c r="T1370" s="10" t="inlineStr"/>
    </row>
    <row r="1371">
      <c r="A1371" s="3" t="n">
        <v>46198</v>
      </c>
      <c r="B1371" s="4">
        <f>IF($A1371="","",TEXT($A1371,"mmm-yyyy"))</f>
        <v/>
      </c>
      <c r="C1371" s="4">
        <f>IF($A1371="","","W"&amp;WEEKNUM($A1371,2))</f>
        <v/>
      </c>
      <c r="D1371" s="4">
        <f>IF($A1371="","",TEXT($A1371,"ddd"))</f>
        <v/>
      </c>
      <c r="E1371" s="4" t="inlineStr">
        <is>
          <t>Utilities</t>
        </is>
      </c>
      <c r="F1371" s="4">
        <f>IFERROR(INDEX(Tbl_KPIMaster[Category],MATCH($G1371,Tbl_KPIMaster[KPI],0)),"")</f>
        <v/>
      </c>
      <c r="G1371" s="4" t="inlineStr">
        <is>
          <t>Power Consumption</t>
        </is>
      </c>
      <c r="H1371" s="4">
        <f>IFERROR(INDEX(Tbl_KPIMaster[Unit],MATCH($G1371,Tbl_KPIMaster[KPI],0)),"")</f>
        <v/>
      </c>
      <c r="I1371" s="5">
        <f>IFERROR(INDEX(Tbl_KPIMaster[Maximum Target],MATCH($G1371,Tbl_KPIMaster[KPI],0)),"")</f>
        <v/>
      </c>
      <c r="J1371" s="5" t="n">
        <v>3623.82</v>
      </c>
      <c r="K1371" s="4">
        <f>IFERROR(INDEX(Tbl_KPIMaster[Tolerance],MATCH($G1371,Tbl_KPIMaster[KPI],0)),"")</f>
        <v/>
      </c>
      <c r="L1371" s="4">
        <f>IFERROR(INDEX(Tbl_KPIMaster[Owner],MATCH($G1371,Tbl_KPIMaster[KPI],0)),"")</f>
        <v/>
      </c>
      <c r="M1371" s="6" t="inlineStr">
        <is>
          <t>Vendor delay</t>
        </is>
      </c>
      <c r="N1371" s="4" t="inlineStr"/>
      <c r="O1371" s="4" t="inlineStr">
        <is>
          <t>Low</t>
        </is>
      </c>
      <c r="P1371" s="4" t="inlineStr">
        <is>
          <t>Open</t>
        </is>
      </c>
      <c r="Q1371" s="5">
        <f>IFERROR(IF(INDEX(Tbl_KPIMaster[Direction],MATCH($G1371,Tbl_KPIMaster[KPI],0))="Lower is Better",IF($J1371=0,1,IF($I1371=0,0,$I1371/$J1371)),IF($I1371=0,1,$J1371/$I1371)),0)</f>
        <v/>
      </c>
      <c r="R1371" s="4">
        <f>IF(OR($I1371="",$J1371=""),"",$J1371-$I1371)</f>
        <v/>
      </c>
      <c r="S1371" s="4">
        <f>IFERROR(IF(INDEX(Tbl_KPIMaster[Direction],MATCH($G1371,Tbl_KPIMaster[KPI],0))="Lower is Better",IF($J1371&lt;=$I1371,"Green",IF($J1371&lt;=$I1371+IF($I1371=0,$K1371,$I1371*$K1371),"Amber","Red")),IF($J1371&gt;=$I1371,"Green",IF($J1371&gt;=$I1371-IF($I1371=0,$K1371,$I1371*$K1371),"Amber","Red"))),"")</f>
        <v/>
      </c>
      <c r="T1371" s="6" t="inlineStr"/>
    </row>
    <row r="1372">
      <c r="A1372" s="7" t="n">
        <v>46198</v>
      </c>
      <c r="B1372" s="8">
        <f>IF($A1372="","",TEXT($A1372,"mmm-yyyy"))</f>
        <v/>
      </c>
      <c r="C1372" s="8">
        <f>IF($A1372="","","W"&amp;WEEKNUM($A1372,2))</f>
        <v/>
      </c>
      <c r="D1372" s="8">
        <f>IF($A1372="","",TEXT($A1372,"ddd"))</f>
        <v/>
      </c>
      <c r="E1372" s="8" t="inlineStr">
        <is>
          <t>Utilities</t>
        </is>
      </c>
      <c r="F1372" s="8">
        <f>IFERROR(INDEX(Tbl_KPIMaster[Category],MATCH($G1372,Tbl_KPIMaster[KPI],0)),"")</f>
        <v/>
      </c>
      <c r="G1372" s="8" t="inlineStr">
        <is>
          <t>Water Consumption</t>
        </is>
      </c>
      <c r="H1372" s="8">
        <f>IFERROR(INDEX(Tbl_KPIMaster[Unit],MATCH($G1372,Tbl_KPIMaster[KPI],0)),"")</f>
        <v/>
      </c>
      <c r="I1372" s="9">
        <f>IFERROR(INDEX(Tbl_KPIMaster[Maximum Target],MATCH($G1372,Tbl_KPIMaster[KPI],0)),"")</f>
        <v/>
      </c>
      <c r="J1372" s="9" t="n">
        <v>48.01</v>
      </c>
      <c r="K1372" s="8">
        <f>IFERROR(INDEX(Tbl_KPIMaster[Tolerance],MATCH($G1372,Tbl_KPIMaster[KPI],0)),"")</f>
        <v/>
      </c>
      <c r="L1372" s="8">
        <f>IFERROR(INDEX(Tbl_KPIMaster[Owner],MATCH($G1372,Tbl_KPIMaster[KPI],0)),"")</f>
        <v/>
      </c>
      <c r="M1372" s="10" t="inlineStr"/>
      <c r="N1372" s="8" t="inlineStr"/>
      <c r="O1372" s="8" t="inlineStr">
        <is>
          <t>Low</t>
        </is>
      </c>
      <c r="P1372" s="8" t="inlineStr">
        <is>
          <t>In Progress</t>
        </is>
      </c>
      <c r="Q1372" s="9">
        <f>IFERROR(IF(INDEX(Tbl_KPIMaster[Direction],MATCH($G1372,Tbl_KPIMaster[KPI],0))="Lower is Better",IF($J1372=0,1,IF($I1372=0,0,$I1372/$J1372)),IF($I1372=0,1,$J1372/$I1372)),0)</f>
        <v/>
      </c>
      <c r="R1372" s="8">
        <f>IF(OR($I1372="",$J1372=""),"",$J1372-$I1372)</f>
        <v/>
      </c>
      <c r="S1372" s="8">
        <f>IFERROR(IF(INDEX(Tbl_KPIMaster[Direction],MATCH($G1372,Tbl_KPIMaster[KPI],0))="Lower is Better",IF($J1372&lt;=$I1372,"Green",IF($J1372&lt;=$I1372+IF($I1372=0,$K1372,$I1372*$K1372),"Amber","Red")),IF($J1372&gt;=$I1372,"Green",IF($J1372&gt;=$I1372-IF($I1372=0,$K1372,$I1372*$K1372),"Amber","Red"))),"")</f>
        <v/>
      </c>
      <c r="T1372" s="10" t="inlineStr"/>
    </row>
    <row r="1373">
      <c r="A1373" s="3" t="n">
        <v>46198</v>
      </c>
      <c r="B1373" s="4">
        <f>IF($A1373="","",TEXT($A1373,"mmm-yyyy"))</f>
        <v/>
      </c>
      <c r="C1373" s="4">
        <f>IF($A1373="","","W"&amp;WEEKNUM($A1373,2))</f>
        <v/>
      </c>
      <c r="D1373" s="4">
        <f>IF($A1373="","",TEXT($A1373,"ddd"))</f>
        <v/>
      </c>
      <c r="E1373" s="4" t="inlineStr">
        <is>
          <t>Warehouse</t>
        </is>
      </c>
      <c r="F1373" s="4">
        <f>IFERROR(INDEX(Tbl_KPIMaster[Category],MATCH($G1373,Tbl_KPIMaster[KPI],0)),"")</f>
        <v/>
      </c>
      <c r="G1373" s="4" t="inlineStr">
        <is>
          <t>On-Time Dispatch %</t>
        </is>
      </c>
      <c r="H1373" s="4">
        <f>IFERROR(INDEX(Tbl_KPIMaster[Unit],MATCH($G1373,Tbl_KPIMaster[KPI],0)),"")</f>
        <v/>
      </c>
      <c r="I1373" s="5">
        <f>IFERROR(INDEX(Tbl_KPIMaster[Maximum Target],MATCH($G1373,Tbl_KPIMaster[KPI],0)),"")</f>
        <v/>
      </c>
      <c r="J1373" s="5" t="n">
        <v>0.865</v>
      </c>
      <c r="K1373" s="4">
        <f>IFERROR(INDEX(Tbl_KPIMaster[Tolerance],MATCH($G1373,Tbl_KPIMaster[KPI],0)),"")</f>
        <v/>
      </c>
      <c r="L1373" s="4">
        <f>IFERROR(INDEX(Tbl_KPIMaster[Owner],MATCH($G1373,Tbl_KPIMaster[KPI],0)),"")</f>
        <v/>
      </c>
      <c r="M1373" s="6" t="inlineStr">
        <is>
          <t>Line changeover impact</t>
        </is>
      </c>
      <c r="N1373" s="4" t="inlineStr">
        <is>
          <t>Management approval pending</t>
        </is>
      </c>
      <c r="O1373" s="4" t="inlineStr">
        <is>
          <t>Medium</t>
        </is>
      </c>
      <c r="P1373" s="4" t="inlineStr">
        <is>
          <t>In Progress</t>
        </is>
      </c>
      <c r="Q1373" s="5">
        <f>IFERROR(IF(INDEX(Tbl_KPIMaster[Direction],MATCH($G1373,Tbl_KPIMaster[KPI],0))="Lower is Better",IF($J1373=0,1,IF($I1373=0,0,$I1373/$J1373)),IF($I1373=0,1,$J1373/$I1373)),0)</f>
        <v/>
      </c>
      <c r="R1373" s="4">
        <f>IF(OR($I1373="",$J1373=""),"",$J1373-$I1373)</f>
        <v/>
      </c>
      <c r="S1373" s="4">
        <f>IFERROR(IF(INDEX(Tbl_KPIMaster[Direction],MATCH($G1373,Tbl_KPIMaster[KPI],0))="Lower is Better",IF($J1373&lt;=$I1373,"Green",IF($J1373&lt;=$I1373+IF($I1373=0,$K1373,$I1373*$K1373),"Amber","Red")),IF($J1373&gt;=$I1373,"Green",IF($J1373&gt;=$I1373-IF($I1373=0,$K1373,$I1373*$K1373),"Amber","Red"))),"")</f>
        <v/>
      </c>
      <c r="T1373" s="6" t="inlineStr"/>
    </row>
    <row r="1374">
      <c r="A1374" s="7" t="n">
        <v>46198</v>
      </c>
      <c r="B1374" s="8">
        <f>IF($A1374="","",TEXT($A1374,"mmm-yyyy"))</f>
        <v/>
      </c>
      <c r="C1374" s="8">
        <f>IF($A1374="","","W"&amp;WEEKNUM($A1374,2))</f>
        <v/>
      </c>
      <c r="D1374" s="8">
        <f>IF($A1374="","",TEXT($A1374,"ddd"))</f>
        <v/>
      </c>
      <c r="E1374" s="8" t="inlineStr">
        <is>
          <t>Warehouse</t>
        </is>
      </c>
      <c r="F1374" s="8">
        <f>IFERROR(INDEX(Tbl_KPIMaster[Category],MATCH($G1374,Tbl_KPIMaster[KPI],0)),"")</f>
        <v/>
      </c>
      <c r="G1374" s="8" t="inlineStr">
        <is>
          <t>Inventory Accuracy %</t>
        </is>
      </c>
      <c r="H1374" s="8">
        <f>IFERROR(INDEX(Tbl_KPIMaster[Unit],MATCH($G1374,Tbl_KPIMaster[KPI],0)),"")</f>
        <v/>
      </c>
      <c r="I1374" s="9">
        <f>IFERROR(INDEX(Tbl_KPIMaster[Maximum Target],MATCH($G1374,Tbl_KPIMaster[KPI],0)),"")</f>
        <v/>
      </c>
      <c r="J1374" s="9" t="n">
        <v>0.9053</v>
      </c>
      <c r="K1374" s="8">
        <f>IFERROR(INDEX(Tbl_KPIMaster[Tolerance],MATCH($G1374,Tbl_KPIMaster[KPI],0)),"")</f>
        <v/>
      </c>
      <c r="L1374" s="8">
        <f>IFERROR(INDEX(Tbl_KPIMaster[Owner],MATCH($G1374,Tbl_KPIMaster[KPI],0)),"")</f>
        <v/>
      </c>
      <c r="M1374" s="10" t="inlineStr">
        <is>
          <t>Process improvement in progress</t>
        </is>
      </c>
      <c r="N1374" s="8" t="inlineStr">
        <is>
          <t>Engineering support needed</t>
        </is>
      </c>
      <c r="O1374" s="8" t="inlineStr">
        <is>
          <t>Medium</t>
        </is>
      </c>
      <c r="P1374" s="8" t="inlineStr">
        <is>
          <t>Closed</t>
        </is>
      </c>
      <c r="Q1374" s="9">
        <f>IFERROR(IF(INDEX(Tbl_KPIMaster[Direction],MATCH($G1374,Tbl_KPIMaster[KPI],0))="Lower is Better",IF($J1374=0,1,IF($I1374=0,0,$I1374/$J1374)),IF($I1374=0,1,$J1374/$I1374)),0)</f>
        <v/>
      </c>
      <c r="R1374" s="8">
        <f>IF(OR($I1374="",$J1374=""),"",$J1374-$I1374)</f>
        <v/>
      </c>
      <c r="S1374" s="8">
        <f>IFERROR(IF(INDEX(Tbl_KPIMaster[Direction],MATCH($G1374,Tbl_KPIMaster[KPI],0))="Lower is Better",IF($J1374&lt;=$I1374,"Green",IF($J1374&lt;=$I1374+IF($I1374=0,$K1374,$I1374*$K1374),"Amber","Red")),IF($J1374&gt;=$I1374,"Green",IF($J1374&gt;=$I1374-IF($I1374=0,$K1374,$I1374*$K1374),"Amber","Red"))),"")</f>
        <v/>
      </c>
      <c r="T1374" s="10" t="inlineStr"/>
    </row>
    <row r="1375">
      <c r="A1375" s="3" t="n">
        <v>46198</v>
      </c>
      <c r="B1375" s="4">
        <f>IF($A1375="","",TEXT($A1375,"mmm-yyyy"))</f>
        <v/>
      </c>
      <c r="C1375" s="4">
        <f>IF($A1375="","","W"&amp;WEEKNUM($A1375,2))</f>
        <v/>
      </c>
      <c r="D1375" s="4">
        <f>IF($A1375="","",TEXT($A1375,"ddd"))</f>
        <v/>
      </c>
      <c r="E1375" s="4" t="inlineStr">
        <is>
          <t>HR</t>
        </is>
      </c>
      <c r="F1375" s="4">
        <f>IFERROR(INDEX(Tbl_KPIMaster[Category],MATCH($G1375,Tbl_KPIMaster[KPI],0)),"")</f>
        <v/>
      </c>
      <c r="G1375" s="4" t="inlineStr">
        <is>
          <t>Absenteeism %</t>
        </is>
      </c>
      <c r="H1375" s="4">
        <f>IFERROR(INDEX(Tbl_KPIMaster[Unit],MATCH($G1375,Tbl_KPIMaster[KPI],0)),"")</f>
        <v/>
      </c>
      <c r="I1375" s="5">
        <f>IFERROR(INDEX(Tbl_KPIMaster[Maximum Target],MATCH($G1375,Tbl_KPIMaster[KPI],0)),"")</f>
        <v/>
      </c>
      <c r="J1375" s="5" t="n">
        <v>0.6853</v>
      </c>
      <c r="K1375" s="4">
        <f>IFERROR(INDEX(Tbl_KPIMaster[Tolerance],MATCH($G1375,Tbl_KPIMaster[KPI],0)),"")</f>
        <v/>
      </c>
      <c r="L1375" s="4">
        <f>IFERROR(INDEX(Tbl_KPIMaster[Owner],MATCH($G1375,Tbl_KPIMaster[KPI],0)),"")</f>
        <v/>
      </c>
      <c r="M1375" s="6" t="inlineStr">
        <is>
          <t>Within normal range</t>
        </is>
      </c>
      <c r="N1375" s="4" t="inlineStr"/>
      <c r="O1375" s="4" t="inlineStr">
        <is>
          <t>Low</t>
        </is>
      </c>
      <c r="P1375" s="4" t="inlineStr">
        <is>
          <t>Closed</t>
        </is>
      </c>
      <c r="Q1375" s="5">
        <f>IFERROR(IF(INDEX(Tbl_KPIMaster[Direction],MATCH($G1375,Tbl_KPIMaster[KPI],0))="Lower is Better",IF($J1375=0,1,IF($I1375=0,0,$I1375/$J1375)),IF($I1375=0,1,$J1375/$I1375)),0)</f>
        <v/>
      </c>
      <c r="R1375" s="4">
        <f>IF(OR($I1375="",$J1375=""),"",$J1375-$I1375)</f>
        <v/>
      </c>
      <c r="S1375" s="4">
        <f>IFERROR(IF(INDEX(Tbl_KPIMaster[Direction],MATCH($G1375,Tbl_KPIMaster[KPI],0))="Lower is Better",IF($J1375&lt;=$I1375,"Green",IF($J1375&lt;=$I1375+IF($I1375=0,$K1375,$I1375*$K1375),"Amber","Red")),IF($J1375&gt;=$I1375,"Green",IF($J1375&gt;=$I1375-IF($I1375=0,$K1375,$I1375*$K1375),"Amber","Red"))),"")</f>
        <v/>
      </c>
      <c r="T1375" s="6" t="inlineStr"/>
    </row>
    <row r="1376">
      <c r="A1376" s="7" t="n">
        <v>46198</v>
      </c>
      <c r="B1376" s="8">
        <f>IF($A1376="","",TEXT($A1376,"mmm-yyyy"))</f>
        <v/>
      </c>
      <c r="C1376" s="8">
        <f>IF($A1376="","","W"&amp;WEEKNUM($A1376,2))</f>
        <v/>
      </c>
      <c r="D1376" s="8">
        <f>IF($A1376="","",TEXT($A1376,"ddd"))</f>
        <v/>
      </c>
      <c r="E1376" s="8" t="inlineStr">
        <is>
          <t>HR</t>
        </is>
      </c>
      <c r="F1376" s="8">
        <f>IFERROR(INDEX(Tbl_KPIMaster[Category],MATCH($G1376,Tbl_KPIMaster[KPI],0)),"")</f>
        <v/>
      </c>
      <c r="G1376" s="8" t="inlineStr">
        <is>
          <t>Training Hours</t>
        </is>
      </c>
      <c r="H1376" s="8">
        <f>IFERROR(INDEX(Tbl_KPIMaster[Unit],MATCH($G1376,Tbl_KPIMaster[KPI],0)),"")</f>
        <v/>
      </c>
      <c r="I1376" s="9">
        <f>IFERROR(INDEX(Tbl_KPIMaster[Maximum Target],MATCH($G1376,Tbl_KPIMaster[KPI],0)),"")</f>
        <v/>
      </c>
      <c r="J1376" s="9" t="n">
        <v>1.76</v>
      </c>
      <c r="K1376" s="8">
        <f>IFERROR(INDEX(Tbl_KPIMaster[Tolerance],MATCH($G1376,Tbl_KPIMaster[KPI],0)),"")</f>
        <v/>
      </c>
      <c r="L1376" s="8">
        <f>IFERROR(INDEX(Tbl_KPIMaster[Owner],MATCH($G1376,Tbl_KPIMaster[KPI],0)),"")</f>
        <v/>
      </c>
      <c r="M1376" s="10" t="inlineStr">
        <is>
          <t>Within normal range</t>
        </is>
      </c>
      <c r="N1376" s="8" t="inlineStr"/>
      <c r="O1376" s="8" t="inlineStr">
        <is>
          <t>High</t>
        </is>
      </c>
      <c r="P1376" s="8" t="inlineStr">
        <is>
          <t>Open</t>
        </is>
      </c>
      <c r="Q1376" s="9">
        <f>IFERROR(IF(INDEX(Tbl_KPIMaster[Direction],MATCH($G1376,Tbl_KPIMaster[KPI],0))="Lower is Better",IF($J1376=0,1,IF($I1376=0,0,$I1376/$J1376)),IF($I1376=0,1,$J1376/$I1376)),0)</f>
        <v/>
      </c>
      <c r="R1376" s="8">
        <f>IF(OR($I1376="",$J1376=""),"",$J1376-$I1376)</f>
        <v/>
      </c>
      <c r="S1376" s="8">
        <f>IFERROR(IF(INDEX(Tbl_KPIMaster[Direction],MATCH($G1376,Tbl_KPIMaster[KPI],0))="Lower is Better",IF($J1376&lt;=$I1376,"Green",IF($J1376&lt;=$I1376+IF($I1376=0,$K1376,$I1376*$K1376),"Amber","Red")),IF($J1376&gt;=$I1376,"Green",IF($J1376&gt;=$I1376-IF($I1376=0,$K1376,$I1376*$K1376),"Amber","Red"))),"")</f>
        <v/>
      </c>
      <c r="T1376" s="10" t="inlineStr"/>
    </row>
    <row r="1377">
      <c r="A1377" s="3" t="n">
        <v>46198</v>
      </c>
      <c r="B1377" s="4">
        <f>IF($A1377="","",TEXT($A1377,"mmm-yyyy"))</f>
        <v/>
      </c>
      <c r="C1377" s="4">
        <f>IF($A1377="","","W"&amp;WEEKNUM($A1377,2))</f>
        <v/>
      </c>
      <c r="D1377" s="4">
        <f>IF($A1377="","",TEXT($A1377,"ddd"))</f>
        <v/>
      </c>
      <c r="E1377" s="4" t="inlineStr">
        <is>
          <t>Engineering</t>
        </is>
      </c>
      <c r="F1377" s="4">
        <f>IFERROR(INDEX(Tbl_KPIMaster[Category],MATCH($G1377,Tbl_KPIMaster[KPI],0)),"")</f>
        <v/>
      </c>
      <c r="G1377" s="4" t="inlineStr">
        <is>
          <t>Project Milestone Adherence %</t>
        </is>
      </c>
      <c r="H1377" s="4">
        <f>IFERROR(INDEX(Tbl_KPIMaster[Unit],MATCH($G1377,Tbl_KPIMaster[KPI],0)),"")</f>
        <v/>
      </c>
      <c r="I1377" s="5">
        <f>IFERROR(INDEX(Tbl_KPIMaster[Maximum Target],MATCH($G1377,Tbl_KPIMaster[KPI],0)),"")</f>
        <v/>
      </c>
      <c r="J1377" s="5" t="n">
        <v>0.8799</v>
      </c>
      <c r="K1377" s="4">
        <f>IFERROR(INDEX(Tbl_KPIMaster[Tolerance],MATCH($G1377,Tbl_KPIMaster[KPI],0)),"")</f>
        <v/>
      </c>
      <c r="L1377" s="4">
        <f>IFERROR(INDEX(Tbl_KPIMaster[Owner],MATCH($G1377,Tbl_KPIMaster[KPI],0)),"")</f>
        <v/>
      </c>
      <c r="M1377" s="6" t="inlineStr">
        <is>
          <t>Equipment breakdown</t>
        </is>
      </c>
      <c r="N1377" s="4" t="inlineStr">
        <is>
          <t>Engineering support needed</t>
        </is>
      </c>
      <c r="O1377" s="4" t="inlineStr">
        <is>
          <t>High</t>
        </is>
      </c>
      <c r="P1377" s="4" t="inlineStr">
        <is>
          <t>Open</t>
        </is>
      </c>
      <c r="Q1377" s="5">
        <f>IFERROR(IF(INDEX(Tbl_KPIMaster[Direction],MATCH($G1377,Tbl_KPIMaster[KPI],0))="Lower is Better",IF($J1377=0,1,IF($I1377=0,0,$I1377/$J1377)),IF($I1377=0,1,$J1377/$I1377)),0)</f>
        <v/>
      </c>
      <c r="R1377" s="4">
        <f>IF(OR($I1377="",$J1377=""),"",$J1377-$I1377)</f>
        <v/>
      </c>
      <c r="S1377" s="4">
        <f>IFERROR(IF(INDEX(Tbl_KPIMaster[Direction],MATCH($G1377,Tbl_KPIMaster[KPI],0))="Lower is Better",IF($J1377&lt;=$I1377,"Green",IF($J1377&lt;=$I1377+IF($I1377=0,$K1377,$I1377*$K1377),"Amber","Red")),IF($J1377&gt;=$I1377,"Green",IF($J1377&gt;=$I1377-IF($I1377=0,$K1377,$I1377*$K1377),"Amber","Red"))),"")</f>
        <v/>
      </c>
      <c r="T1377" s="6" t="inlineStr"/>
    </row>
    <row r="1378">
      <c r="A1378" s="7" t="n">
        <v>46198</v>
      </c>
      <c r="B1378" s="8">
        <f>IF($A1378="","",TEXT($A1378,"mmm-yyyy"))</f>
        <v/>
      </c>
      <c r="C1378" s="8">
        <f>IF($A1378="","","W"&amp;WEEKNUM($A1378,2))</f>
        <v/>
      </c>
      <c r="D1378" s="8">
        <f>IF($A1378="","",TEXT($A1378,"ddd"))</f>
        <v/>
      </c>
      <c r="E1378" s="8" t="inlineStr">
        <is>
          <t>Engineering</t>
        </is>
      </c>
      <c r="F1378" s="8">
        <f>IFERROR(INDEX(Tbl_KPIMaster[Category],MATCH($G1378,Tbl_KPIMaster[KPI],0)),"")</f>
        <v/>
      </c>
      <c r="G1378" s="8" t="inlineStr">
        <is>
          <t>Breakdown Resolution Time</t>
        </is>
      </c>
      <c r="H1378" s="8">
        <f>IFERROR(INDEX(Tbl_KPIMaster[Unit],MATCH($G1378,Tbl_KPIMaster[KPI],0)),"")</f>
        <v/>
      </c>
      <c r="I1378" s="9">
        <f>IFERROR(INDEX(Tbl_KPIMaster[Maximum Target],MATCH($G1378,Tbl_KPIMaster[KPI],0)),"")</f>
        <v/>
      </c>
      <c r="J1378" s="9" t="n">
        <v>0.2</v>
      </c>
      <c r="K1378" s="8">
        <f>IFERROR(INDEX(Tbl_KPIMaster[Tolerance],MATCH($G1378,Tbl_KPIMaster[KPI],0)),"")</f>
        <v/>
      </c>
      <c r="L1378" s="8">
        <f>IFERROR(INDEX(Tbl_KPIMaster[Owner],MATCH($G1378,Tbl_KPIMaster[KPI],0)),"")</f>
        <v/>
      </c>
      <c r="M1378" s="10" t="inlineStr">
        <is>
          <t>Process improvement in progress</t>
        </is>
      </c>
      <c r="N1378" s="8" t="inlineStr"/>
      <c r="O1378" s="8" t="inlineStr">
        <is>
          <t>Low</t>
        </is>
      </c>
      <c r="P1378" s="8" t="inlineStr">
        <is>
          <t>Closed</t>
        </is>
      </c>
      <c r="Q1378" s="9">
        <f>IFERROR(IF(INDEX(Tbl_KPIMaster[Direction],MATCH($G1378,Tbl_KPIMaster[KPI],0))="Lower is Better",IF($J1378=0,1,IF($I1378=0,0,$I1378/$J1378)),IF($I1378=0,1,$J1378/$I1378)),0)</f>
        <v/>
      </c>
      <c r="R1378" s="8">
        <f>IF(OR($I1378="",$J1378=""),"",$J1378-$I1378)</f>
        <v/>
      </c>
      <c r="S1378" s="8">
        <f>IFERROR(IF(INDEX(Tbl_KPIMaster[Direction],MATCH($G1378,Tbl_KPIMaster[KPI],0))="Lower is Better",IF($J1378&lt;=$I1378,"Green",IF($J1378&lt;=$I1378+IF($I1378=0,$K1378,$I1378*$K1378),"Amber","Red")),IF($J1378&gt;=$I1378,"Green",IF($J1378&gt;=$I1378-IF($I1378=0,$K1378,$I1378*$K1378),"Amber","Red"))),"")</f>
        <v/>
      </c>
      <c r="T1378" s="10" t="inlineStr"/>
    </row>
    <row r="1379">
      <c r="A1379" s="3" t="n">
        <v>46198</v>
      </c>
      <c r="B1379" s="4">
        <f>IF($A1379="","",TEXT($A1379,"mmm-yyyy"))</f>
        <v/>
      </c>
      <c r="C1379" s="4">
        <f>IF($A1379="","","W"&amp;WEEKNUM($A1379,2))</f>
        <v/>
      </c>
      <c r="D1379" s="4">
        <f>IF($A1379="","",TEXT($A1379,"ddd"))</f>
        <v/>
      </c>
      <c r="E1379" s="4" t="inlineStr">
        <is>
          <t>Cost</t>
        </is>
      </c>
      <c r="F1379" s="4">
        <f>IFERROR(INDEX(Tbl_KPIMaster[Category],MATCH($G1379,Tbl_KPIMaster[KPI],0)),"")</f>
        <v/>
      </c>
      <c r="G1379" s="4" t="inlineStr">
        <is>
          <t>Cost per Unit</t>
        </is>
      </c>
      <c r="H1379" s="4">
        <f>IFERROR(INDEX(Tbl_KPIMaster[Unit],MATCH($G1379,Tbl_KPIMaster[KPI],0)),"")</f>
        <v/>
      </c>
      <c r="I1379" s="5">
        <f>IFERROR(INDEX(Tbl_KPIMaster[Maximum Target],MATCH($G1379,Tbl_KPIMaster[KPI],0)),"")</f>
        <v/>
      </c>
      <c r="J1379" s="5" t="n">
        <v>48.45</v>
      </c>
      <c r="K1379" s="4">
        <f>IFERROR(INDEX(Tbl_KPIMaster[Tolerance],MATCH($G1379,Tbl_KPIMaster[KPI],0)),"")</f>
        <v/>
      </c>
      <c r="L1379" s="4">
        <f>IFERROR(INDEX(Tbl_KPIMaster[Owner],MATCH($G1379,Tbl_KPIMaster[KPI],0)),"")</f>
        <v/>
      </c>
      <c r="M1379" s="6" t="inlineStr">
        <is>
          <t>New operator training effect</t>
        </is>
      </c>
      <c r="N1379" s="4" t="inlineStr"/>
      <c r="O1379" s="4" t="inlineStr">
        <is>
          <t>Medium</t>
        </is>
      </c>
      <c r="P1379" s="4" t="inlineStr">
        <is>
          <t>In Progress</t>
        </is>
      </c>
      <c r="Q1379" s="5">
        <f>IFERROR(IF(INDEX(Tbl_KPIMaster[Direction],MATCH($G1379,Tbl_KPIMaster[KPI],0))="Lower is Better",IF($J1379=0,1,IF($I1379=0,0,$I1379/$J1379)),IF($I1379=0,1,$J1379/$I1379)),0)</f>
        <v/>
      </c>
      <c r="R1379" s="4">
        <f>IF(OR($I1379="",$J1379=""),"",$J1379-$I1379)</f>
        <v/>
      </c>
      <c r="S1379" s="4">
        <f>IFERROR(IF(INDEX(Tbl_KPIMaster[Direction],MATCH($G1379,Tbl_KPIMaster[KPI],0))="Lower is Better",IF($J1379&lt;=$I1379,"Green",IF($J1379&lt;=$I1379+IF($I1379=0,$K1379,$I1379*$K1379),"Amber","Red")),IF($J1379&gt;=$I1379,"Green",IF($J1379&gt;=$I1379-IF($I1379=0,$K1379,$I1379*$K1379),"Amber","Red"))),"")</f>
        <v/>
      </c>
      <c r="T1379" s="6" t="inlineStr"/>
    </row>
    <row r="1380">
      <c r="A1380" s="7" t="n">
        <v>46198</v>
      </c>
      <c r="B1380" s="8">
        <f>IF($A1380="","",TEXT($A1380,"mmm-yyyy"))</f>
        <v/>
      </c>
      <c r="C1380" s="8">
        <f>IF($A1380="","","W"&amp;WEEKNUM($A1380,2))</f>
        <v/>
      </c>
      <c r="D1380" s="8">
        <f>IF($A1380="","",TEXT($A1380,"ddd"))</f>
        <v/>
      </c>
      <c r="E1380" s="8" t="inlineStr">
        <is>
          <t>Cost</t>
        </is>
      </c>
      <c r="F1380" s="8">
        <f>IFERROR(INDEX(Tbl_KPIMaster[Category],MATCH($G1380,Tbl_KPIMaster[KPI],0)),"")</f>
        <v/>
      </c>
      <c r="G1380" s="8" t="inlineStr">
        <is>
          <t>Budget Variance %</t>
        </is>
      </c>
      <c r="H1380" s="8">
        <f>IFERROR(INDEX(Tbl_KPIMaster[Unit],MATCH($G1380,Tbl_KPIMaster[KPI],0)),"")</f>
        <v/>
      </c>
      <c r="I1380" s="9">
        <f>IFERROR(INDEX(Tbl_KPIMaster[Maximum Target],MATCH($G1380,Tbl_KPIMaster[KPI],0)),"")</f>
        <v/>
      </c>
      <c r="J1380" s="9" t="n">
        <v>2.1405</v>
      </c>
      <c r="K1380" s="8">
        <f>IFERROR(INDEX(Tbl_KPIMaster[Tolerance],MATCH($G1380,Tbl_KPIMaster[KPI],0)),"")</f>
        <v/>
      </c>
      <c r="L1380" s="8">
        <f>IFERROR(INDEX(Tbl_KPIMaster[Owner],MATCH($G1380,Tbl_KPIMaster[KPI],0)),"")</f>
        <v/>
      </c>
      <c r="M1380" s="10" t="inlineStr"/>
      <c r="N1380" s="8" t="inlineStr">
        <is>
          <t>Management approval pending</t>
        </is>
      </c>
      <c r="O1380" s="8" t="inlineStr">
        <is>
          <t>Low</t>
        </is>
      </c>
      <c r="P1380" s="8" t="inlineStr">
        <is>
          <t>Open</t>
        </is>
      </c>
      <c r="Q1380" s="9">
        <f>IFERROR(IF(INDEX(Tbl_KPIMaster[Direction],MATCH($G1380,Tbl_KPIMaster[KPI],0))="Lower is Better",IF($J1380=0,1,IF($I1380=0,0,$I1380/$J1380)),IF($I1380=0,1,$J1380/$I1380)),0)</f>
        <v/>
      </c>
      <c r="R1380" s="8">
        <f>IF(OR($I1380="",$J1380=""),"",$J1380-$I1380)</f>
        <v/>
      </c>
      <c r="S1380" s="8">
        <f>IFERROR(IF(INDEX(Tbl_KPIMaster[Direction],MATCH($G1380,Tbl_KPIMaster[KPI],0))="Lower is Better",IF($J1380&lt;=$I1380,"Green",IF($J1380&lt;=$I1380+IF($I1380=0,$K1380,$I1380*$K1380),"Amber","Red")),IF($J1380&gt;=$I1380,"Green",IF($J1380&gt;=$I1380-IF($I1380=0,$K1380,$I1380*$K1380),"Amber","Red"))),"")</f>
        <v/>
      </c>
      <c r="T1380" s="10" t="inlineStr"/>
    </row>
    <row r="1381">
      <c r="A1381" s="3" t="n">
        <v>46198</v>
      </c>
      <c r="B1381" s="4">
        <f>IF($A1381="","",TEXT($A1381,"mmm-yyyy"))</f>
        <v/>
      </c>
      <c r="C1381" s="4">
        <f>IF($A1381="","","W"&amp;WEEKNUM($A1381,2))</f>
        <v/>
      </c>
      <c r="D1381" s="4">
        <f>IF($A1381="","",TEXT($A1381,"ddd"))</f>
        <v/>
      </c>
      <c r="E1381" s="4" t="inlineStr">
        <is>
          <t>Energy</t>
        </is>
      </c>
      <c r="F1381" s="4">
        <f>IFERROR(INDEX(Tbl_KPIMaster[Category],MATCH($G1381,Tbl_KPIMaster[KPI],0)),"")</f>
        <v/>
      </c>
      <c r="G1381" s="4" t="inlineStr">
        <is>
          <t>Energy Intensity (kWh/unit)</t>
        </is>
      </c>
      <c r="H1381" s="4">
        <f>IFERROR(INDEX(Tbl_KPIMaster[Unit],MATCH($G1381,Tbl_KPIMaster[KPI],0)),"")</f>
        <v/>
      </c>
      <c r="I1381" s="5">
        <f>IFERROR(INDEX(Tbl_KPIMaster[Maximum Target],MATCH($G1381,Tbl_KPIMaster[KPI],0)),"")</f>
        <v/>
      </c>
      <c r="J1381" s="5" t="n">
        <v>4.45</v>
      </c>
      <c r="K1381" s="4">
        <f>IFERROR(INDEX(Tbl_KPIMaster[Tolerance],MATCH($G1381,Tbl_KPIMaster[KPI],0)),"")</f>
        <v/>
      </c>
      <c r="L1381" s="4">
        <f>IFERROR(INDEX(Tbl_KPIMaster[Owner],MATCH($G1381,Tbl_KPIMaster[KPI],0)),"")</f>
        <v/>
      </c>
      <c r="M1381" s="6" t="inlineStr"/>
      <c r="N1381" s="4" t="inlineStr">
        <is>
          <t>Management approval pending</t>
        </is>
      </c>
      <c r="O1381" s="4" t="inlineStr">
        <is>
          <t>Low</t>
        </is>
      </c>
      <c r="P1381" s="4" t="inlineStr">
        <is>
          <t>Closed</t>
        </is>
      </c>
      <c r="Q1381" s="5">
        <f>IFERROR(IF(INDEX(Tbl_KPIMaster[Direction],MATCH($G1381,Tbl_KPIMaster[KPI],0))="Lower is Better",IF($J1381=0,1,IF($I1381=0,0,$I1381/$J1381)),IF($I1381=0,1,$J1381/$I1381)),0)</f>
        <v/>
      </c>
      <c r="R1381" s="4">
        <f>IF(OR($I1381="",$J1381=""),"",$J1381-$I1381)</f>
        <v/>
      </c>
      <c r="S1381" s="4">
        <f>IFERROR(IF(INDEX(Tbl_KPIMaster[Direction],MATCH($G1381,Tbl_KPIMaster[KPI],0))="Lower is Better",IF($J1381&lt;=$I1381,"Green",IF($J1381&lt;=$I1381+IF($I1381=0,$K1381,$I1381*$K1381),"Amber","Red")),IF($J1381&gt;=$I1381,"Green",IF($J1381&gt;=$I1381-IF($I1381=0,$K1381,$I1381*$K1381),"Amber","Red"))),"")</f>
        <v/>
      </c>
      <c r="T1381" s="6" t="inlineStr"/>
    </row>
    <row r="1382">
      <c r="A1382" s="7" t="n">
        <v>46198</v>
      </c>
      <c r="B1382" s="8">
        <f>IF($A1382="","",TEXT($A1382,"mmm-yyyy"))</f>
        <v/>
      </c>
      <c r="C1382" s="8">
        <f>IF($A1382="","","W"&amp;WEEKNUM($A1382,2))</f>
        <v/>
      </c>
      <c r="D1382" s="8">
        <f>IF($A1382="","",TEXT($A1382,"ddd"))</f>
        <v/>
      </c>
      <c r="E1382" s="8" t="inlineStr">
        <is>
          <t>Energy</t>
        </is>
      </c>
      <c r="F1382" s="8">
        <f>IFERROR(INDEX(Tbl_KPIMaster[Category],MATCH($G1382,Tbl_KPIMaster[KPI],0)),"")</f>
        <v/>
      </c>
      <c r="G1382" s="8" t="inlineStr">
        <is>
          <t>Renewable Energy Share %</t>
        </is>
      </c>
      <c r="H1382" s="8">
        <f>IFERROR(INDEX(Tbl_KPIMaster[Unit],MATCH($G1382,Tbl_KPIMaster[KPI],0)),"")</f>
        <v/>
      </c>
      <c r="I1382" s="9">
        <f>IFERROR(INDEX(Tbl_KPIMaster[Maximum Target],MATCH($G1382,Tbl_KPIMaster[KPI],0)),"")</f>
        <v/>
      </c>
      <c r="J1382" s="9" t="n">
        <v>0.2107</v>
      </c>
      <c r="K1382" s="8">
        <f>IFERROR(INDEX(Tbl_KPIMaster[Tolerance],MATCH($G1382,Tbl_KPIMaster[KPI],0)),"")</f>
        <v/>
      </c>
      <c r="L1382" s="8">
        <f>IFERROR(INDEX(Tbl_KPIMaster[Owner],MATCH($G1382,Tbl_KPIMaster[KPI],0)),"")</f>
        <v/>
      </c>
      <c r="M1382" s="10" t="inlineStr"/>
      <c r="N1382" s="8" t="inlineStr">
        <is>
          <t>Engineering support needed</t>
        </is>
      </c>
      <c r="O1382" s="8" t="inlineStr">
        <is>
          <t>Low</t>
        </is>
      </c>
      <c r="P1382" s="8" t="inlineStr">
        <is>
          <t>Open</t>
        </is>
      </c>
      <c r="Q1382" s="9">
        <f>IFERROR(IF(INDEX(Tbl_KPIMaster[Direction],MATCH($G1382,Tbl_KPIMaster[KPI],0))="Lower is Better",IF($J1382=0,1,IF($I1382=0,0,$I1382/$J1382)),IF($I1382=0,1,$J1382/$I1382)),0)</f>
        <v/>
      </c>
      <c r="R1382" s="8">
        <f>IF(OR($I1382="",$J1382=""),"",$J1382-$I1382)</f>
        <v/>
      </c>
      <c r="S1382" s="8">
        <f>IFERROR(IF(INDEX(Tbl_KPIMaster[Direction],MATCH($G1382,Tbl_KPIMaster[KPI],0))="Lower is Better",IF($J1382&lt;=$I1382,"Green",IF($J1382&lt;=$I1382+IF($I1382=0,$K1382,$I1382*$K1382),"Amber","Red")),IF($J1382&gt;=$I1382,"Green",IF($J1382&gt;=$I1382-IF($I1382=0,$K1382,$I1382*$K1382),"Amber","Red"))),"")</f>
        <v/>
      </c>
      <c r="T1382" s="10" t="inlineStr"/>
    </row>
    <row r="1383">
      <c r="A1383" s="3" t="n">
        <v>46199</v>
      </c>
      <c r="B1383" s="4">
        <f>IF($A1383="","",TEXT($A1383,"mmm-yyyy"))</f>
        <v/>
      </c>
      <c r="C1383" s="4">
        <f>IF($A1383="","","W"&amp;WEEKNUM($A1383,2))</f>
        <v/>
      </c>
      <c r="D1383" s="4">
        <f>IF($A1383="","",TEXT($A1383,"ddd"))</f>
        <v/>
      </c>
      <c r="E1383" s="4" t="inlineStr">
        <is>
          <t>Safety</t>
        </is>
      </c>
      <c r="F1383" s="4">
        <f>IFERROR(INDEX(Tbl_KPIMaster[Category],MATCH($G1383,Tbl_KPIMaster[KPI],0)),"")</f>
        <v/>
      </c>
      <c r="G1383" s="4" t="inlineStr">
        <is>
          <t>Safety Incidents (LTI)</t>
        </is>
      </c>
      <c r="H1383" s="4">
        <f>IFERROR(INDEX(Tbl_KPIMaster[Unit],MATCH($G1383,Tbl_KPIMaster[KPI],0)),"")</f>
        <v/>
      </c>
      <c r="I1383" s="5">
        <f>IFERROR(INDEX(Tbl_KPIMaster[Maximum Target],MATCH($G1383,Tbl_KPIMaster[KPI],0)),"")</f>
        <v/>
      </c>
      <c r="J1383" s="5" t="n">
        <v>0</v>
      </c>
      <c r="K1383" s="4">
        <f>IFERROR(INDEX(Tbl_KPIMaster[Tolerance],MATCH($G1383,Tbl_KPIMaster[KPI],0)),"")</f>
        <v/>
      </c>
      <c r="L1383" s="4">
        <f>IFERROR(INDEX(Tbl_KPIMaster[Owner],MATCH($G1383,Tbl_KPIMaster[KPI],0)),"")</f>
        <v/>
      </c>
      <c r="M1383" s="6" t="inlineStr">
        <is>
          <t>Awaiting spares</t>
        </is>
      </c>
      <c r="N1383" s="4" t="inlineStr"/>
      <c r="O1383" s="4" t="inlineStr">
        <is>
          <t>Low</t>
        </is>
      </c>
      <c r="P1383" s="4" t="inlineStr">
        <is>
          <t>Closed</t>
        </is>
      </c>
      <c r="Q1383" s="5">
        <f>IFERROR(IF(INDEX(Tbl_KPIMaster[Direction],MATCH($G1383,Tbl_KPIMaster[KPI],0))="Lower is Better",IF($J1383=0,1,IF($I1383=0,0,$I1383/$J1383)),IF($I1383=0,1,$J1383/$I1383)),0)</f>
        <v/>
      </c>
      <c r="R1383" s="4">
        <f>IF(OR($I1383="",$J1383=""),"",$J1383-$I1383)</f>
        <v/>
      </c>
      <c r="S1383" s="4">
        <f>IFERROR(IF(INDEX(Tbl_KPIMaster[Direction],MATCH($G1383,Tbl_KPIMaster[KPI],0))="Lower is Better",IF($J1383&lt;=$I1383,"Green",IF($J1383&lt;=$I1383+IF($I1383=0,$K1383,$I1383*$K1383),"Amber","Red")),IF($J1383&gt;=$I1383,"Green",IF($J1383&gt;=$I1383-IF($I1383=0,$K1383,$I1383*$K1383),"Amber","Red"))),"")</f>
        <v/>
      </c>
      <c r="T1383" s="6" t="inlineStr"/>
    </row>
    <row r="1384">
      <c r="A1384" s="7" t="n">
        <v>46199</v>
      </c>
      <c r="B1384" s="8">
        <f>IF($A1384="","",TEXT($A1384,"mmm-yyyy"))</f>
        <v/>
      </c>
      <c r="C1384" s="8">
        <f>IF($A1384="","","W"&amp;WEEKNUM($A1384,2))</f>
        <v/>
      </c>
      <c r="D1384" s="8">
        <f>IF($A1384="","",TEXT($A1384,"ddd"))</f>
        <v/>
      </c>
      <c r="E1384" s="8" t="inlineStr">
        <is>
          <t>Safety</t>
        </is>
      </c>
      <c r="F1384" s="8">
        <f>IFERROR(INDEX(Tbl_KPIMaster[Category],MATCH($G1384,Tbl_KPIMaster[KPI],0)),"")</f>
        <v/>
      </c>
      <c r="G1384" s="8" t="inlineStr">
        <is>
          <t>Near Miss Reports</t>
        </is>
      </c>
      <c r="H1384" s="8">
        <f>IFERROR(INDEX(Tbl_KPIMaster[Unit],MATCH($G1384,Tbl_KPIMaster[KPI],0)),"")</f>
        <v/>
      </c>
      <c r="I1384" s="9">
        <f>IFERROR(INDEX(Tbl_KPIMaster[Maximum Target],MATCH($G1384,Tbl_KPIMaster[KPI],0)),"")</f>
        <v/>
      </c>
      <c r="J1384" s="9" t="n">
        <v>2</v>
      </c>
      <c r="K1384" s="8">
        <f>IFERROR(INDEX(Tbl_KPIMaster[Tolerance],MATCH($G1384,Tbl_KPIMaster[KPI],0)),"")</f>
        <v/>
      </c>
      <c r="L1384" s="8">
        <f>IFERROR(INDEX(Tbl_KPIMaster[Owner],MATCH($G1384,Tbl_KPIMaster[KPI],0)),"")</f>
        <v/>
      </c>
      <c r="M1384" s="10" t="inlineStr">
        <is>
          <t>New operator training effect</t>
        </is>
      </c>
      <c r="N1384" s="8" t="inlineStr">
        <is>
          <t>Management approval pending</t>
        </is>
      </c>
      <c r="O1384" s="8" t="inlineStr">
        <is>
          <t>Medium</t>
        </is>
      </c>
      <c r="P1384" s="8" t="inlineStr">
        <is>
          <t>Closed</t>
        </is>
      </c>
      <c r="Q1384" s="9">
        <f>IFERROR(IF(INDEX(Tbl_KPIMaster[Direction],MATCH($G1384,Tbl_KPIMaster[KPI],0))="Lower is Better",IF($J1384=0,1,IF($I1384=0,0,$I1384/$J1384)),IF($I1384=0,1,$J1384/$I1384)),0)</f>
        <v/>
      </c>
      <c r="R1384" s="8">
        <f>IF(OR($I1384="",$J1384=""),"",$J1384-$I1384)</f>
        <v/>
      </c>
      <c r="S1384" s="8">
        <f>IFERROR(IF(INDEX(Tbl_KPIMaster[Direction],MATCH($G1384,Tbl_KPIMaster[KPI],0))="Lower is Better",IF($J1384&lt;=$I1384,"Green",IF($J1384&lt;=$I1384+IF($I1384=0,$K1384,$I1384*$K1384),"Amber","Red")),IF($J1384&gt;=$I1384,"Green",IF($J1384&gt;=$I1384-IF($I1384=0,$K1384,$I1384*$K1384),"Amber","Red"))),"")</f>
        <v/>
      </c>
      <c r="T1384" s="10" t="inlineStr"/>
    </row>
    <row r="1385">
      <c r="A1385" s="3" t="n">
        <v>46199</v>
      </c>
      <c r="B1385" s="4">
        <f>IF($A1385="","",TEXT($A1385,"mmm-yyyy"))</f>
        <v/>
      </c>
      <c r="C1385" s="4">
        <f>IF($A1385="","","W"&amp;WEEKNUM($A1385,2))</f>
        <v/>
      </c>
      <c r="D1385" s="4">
        <f>IF($A1385="","",TEXT($A1385,"ddd"))</f>
        <v/>
      </c>
      <c r="E1385" s="4" t="inlineStr">
        <is>
          <t>Production</t>
        </is>
      </c>
      <c r="F1385" s="4">
        <f>IFERROR(INDEX(Tbl_KPIMaster[Category],MATCH($G1385,Tbl_KPIMaster[KPI],0)),"")</f>
        <v/>
      </c>
      <c r="G1385" s="4" t="inlineStr">
        <is>
          <t>Production Output</t>
        </is>
      </c>
      <c r="H1385" s="4">
        <f>IFERROR(INDEX(Tbl_KPIMaster[Unit],MATCH($G1385,Tbl_KPIMaster[KPI],0)),"")</f>
        <v/>
      </c>
      <c r="I1385" s="5">
        <f>IFERROR(INDEX(Tbl_KPIMaster[Maximum Target],MATCH($G1385,Tbl_KPIMaster[KPI],0)),"")</f>
        <v/>
      </c>
      <c r="J1385" s="5" t="n">
        <v>987.35</v>
      </c>
      <c r="K1385" s="4">
        <f>IFERROR(INDEX(Tbl_KPIMaster[Tolerance],MATCH($G1385,Tbl_KPIMaster[KPI],0)),"")</f>
        <v/>
      </c>
      <c r="L1385" s="4">
        <f>IFERROR(INDEX(Tbl_KPIMaster[Owner],MATCH($G1385,Tbl_KPIMaster[KPI],0)),"")</f>
        <v/>
      </c>
      <c r="M1385" s="6" t="inlineStr">
        <is>
          <t>Within normal range</t>
        </is>
      </c>
      <c r="N1385" s="4" t="inlineStr">
        <is>
          <t>Procurement follow-up</t>
        </is>
      </c>
      <c r="O1385" s="4" t="inlineStr">
        <is>
          <t>Medium</t>
        </is>
      </c>
      <c r="P1385" s="4" t="inlineStr">
        <is>
          <t>Closed</t>
        </is>
      </c>
      <c r="Q1385" s="5">
        <f>IFERROR(IF(INDEX(Tbl_KPIMaster[Direction],MATCH($G1385,Tbl_KPIMaster[KPI],0))="Lower is Better",IF($J1385=0,1,IF($I1385=0,0,$I1385/$J1385)),IF($I1385=0,1,$J1385/$I1385)),0)</f>
        <v/>
      </c>
      <c r="R1385" s="4">
        <f>IF(OR($I1385="",$J1385=""),"",$J1385-$I1385)</f>
        <v/>
      </c>
      <c r="S1385" s="4">
        <f>IFERROR(IF(INDEX(Tbl_KPIMaster[Direction],MATCH($G1385,Tbl_KPIMaster[KPI],0))="Lower is Better",IF($J1385&lt;=$I1385,"Green",IF($J1385&lt;=$I1385+IF($I1385=0,$K1385,$I1385*$K1385),"Amber","Red")),IF($J1385&gt;=$I1385,"Green",IF($J1385&gt;=$I1385-IF($I1385=0,$K1385,$I1385*$K1385),"Amber","Red"))),"")</f>
        <v/>
      </c>
      <c r="T1385" s="6" t="inlineStr"/>
    </row>
    <row r="1386">
      <c r="A1386" s="7" t="n">
        <v>46199</v>
      </c>
      <c r="B1386" s="8">
        <f>IF($A1386="","",TEXT($A1386,"mmm-yyyy"))</f>
        <v/>
      </c>
      <c r="C1386" s="8">
        <f>IF($A1386="","","W"&amp;WEEKNUM($A1386,2))</f>
        <v/>
      </c>
      <c r="D1386" s="8">
        <f>IF($A1386="","",TEXT($A1386,"ddd"))</f>
        <v/>
      </c>
      <c r="E1386" s="8" t="inlineStr">
        <is>
          <t>Production</t>
        </is>
      </c>
      <c r="F1386" s="8">
        <f>IFERROR(INDEX(Tbl_KPIMaster[Category],MATCH($G1386,Tbl_KPIMaster[KPI],0)),"")</f>
        <v/>
      </c>
      <c r="G1386" s="8" t="inlineStr">
        <is>
          <t>OEE %</t>
        </is>
      </c>
      <c r="H1386" s="8">
        <f>IFERROR(INDEX(Tbl_KPIMaster[Unit],MATCH($G1386,Tbl_KPIMaster[KPI],0)),"")</f>
        <v/>
      </c>
      <c r="I1386" s="9">
        <f>IFERROR(INDEX(Tbl_KPIMaster[Maximum Target],MATCH($G1386,Tbl_KPIMaster[KPI],0)),"")</f>
        <v/>
      </c>
      <c r="J1386" s="9" t="n">
        <v>0.8062</v>
      </c>
      <c r="K1386" s="8">
        <f>IFERROR(INDEX(Tbl_KPIMaster[Tolerance],MATCH($G1386,Tbl_KPIMaster[KPI],0)),"")</f>
        <v/>
      </c>
      <c r="L1386" s="8">
        <f>IFERROR(INDEX(Tbl_KPIMaster[Owner],MATCH($G1386,Tbl_KPIMaster[KPI],0)),"")</f>
        <v/>
      </c>
      <c r="M1386" s="10" t="inlineStr">
        <is>
          <t>Preventive check done</t>
        </is>
      </c>
      <c r="N1386" s="8" t="inlineStr">
        <is>
          <t>Management approval pending</t>
        </is>
      </c>
      <c r="O1386" s="8" t="inlineStr">
        <is>
          <t>Medium</t>
        </is>
      </c>
      <c r="P1386" s="8" t="inlineStr">
        <is>
          <t>Open</t>
        </is>
      </c>
      <c r="Q1386" s="9">
        <f>IFERROR(IF(INDEX(Tbl_KPIMaster[Direction],MATCH($G1386,Tbl_KPIMaster[KPI],0))="Lower is Better",IF($J1386=0,1,IF($I1386=0,0,$I1386/$J1386)),IF($I1386=0,1,$J1386/$I1386)),0)</f>
        <v/>
      </c>
      <c r="R1386" s="8">
        <f>IF(OR($I1386="",$J1386=""),"",$J1386-$I1386)</f>
        <v/>
      </c>
      <c r="S1386" s="8">
        <f>IFERROR(IF(INDEX(Tbl_KPIMaster[Direction],MATCH($G1386,Tbl_KPIMaster[KPI],0))="Lower is Better",IF($J1386&lt;=$I1386,"Green",IF($J1386&lt;=$I1386+IF($I1386=0,$K1386,$I1386*$K1386),"Amber","Red")),IF($J1386&gt;=$I1386,"Green",IF($J1386&gt;=$I1386-IF($I1386=0,$K1386,$I1386*$K1386),"Amber","Red"))),"")</f>
        <v/>
      </c>
      <c r="T1386" s="10" t="inlineStr"/>
    </row>
    <row r="1387">
      <c r="A1387" s="3" t="n">
        <v>46199</v>
      </c>
      <c r="B1387" s="4">
        <f>IF($A1387="","",TEXT($A1387,"mmm-yyyy"))</f>
        <v/>
      </c>
      <c r="C1387" s="4">
        <f>IF($A1387="","","W"&amp;WEEKNUM($A1387,2))</f>
        <v/>
      </c>
      <c r="D1387" s="4">
        <f>IF($A1387="","",TEXT($A1387,"ddd"))</f>
        <v/>
      </c>
      <c r="E1387" s="4" t="inlineStr">
        <is>
          <t>Quality</t>
        </is>
      </c>
      <c r="F1387" s="4">
        <f>IFERROR(INDEX(Tbl_KPIMaster[Category],MATCH($G1387,Tbl_KPIMaster[KPI],0)),"")</f>
        <v/>
      </c>
      <c r="G1387" s="4" t="inlineStr">
        <is>
          <t>Defect Rate %</t>
        </is>
      </c>
      <c r="H1387" s="4">
        <f>IFERROR(INDEX(Tbl_KPIMaster[Unit],MATCH($G1387,Tbl_KPIMaster[KPI],0)),"")</f>
        <v/>
      </c>
      <c r="I1387" s="5">
        <f>IFERROR(INDEX(Tbl_KPIMaster[Maximum Target],MATCH($G1387,Tbl_KPIMaster[KPI],0)),"")</f>
        <v/>
      </c>
      <c r="J1387" s="5" t="n">
        <v>0</v>
      </c>
      <c r="K1387" s="4">
        <f>IFERROR(INDEX(Tbl_KPIMaster[Tolerance],MATCH($G1387,Tbl_KPIMaster[KPI],0)),"")</f>
        <v/>
      </c>
      <c r="L1387" s="4">
        <f>IFERROR(INDEX(Tbl_KPIMaster[Owner],MATCH($G1387,Tbl_KPIMaster[KPI],0)),"")</f>
        <v/>
      </c>
      <c r="M1387" s="6" t="inlineStr">
        <is>
          <t>Vendor delay</t>
        </is>
      </c>
      <c r="N1387" s="4" t="inlineStr">
        <is>
          <t>Engineering support needed</t>
        </is>
      </c>
      <c r="O1387" s="4" t="inlineStr">
        <is>
          <t>Low</t>
        </is>
      </c>
      <c r="P1387" s="4" t="inlineStr">
        <is>
          <t>Open</t>
        </is>
      </c>
      <c r="Q1387" s="5">
        <f>IFERROR(IF(INDEX(Tbl_KPIMaster[Direction],MATCH($G1387,Tbl_KPIMaster[KPI],0))="Lower is Better",IF($J1387=0,1,IF($I1387=0,0,$I1387/$J1387)),IF($I1387=0,1,$J1387/$I1387)),0)</f>
        <v/>
      </c>
      <c r="R1387" s="4">
        <f>IF(OR($I1387="",$J1387=""),"",$J1387-$I1387)</f>
        <v/>
      </c>
      <c r="S1387" s="4">
        <f>IFERROR(IF(INDEX(Tbl_KPIMaster[Direction],MATCH($G1387,Tbl_KPIMaster[KPI],0))="Lower is Better",IF($J1387&lt;=$I1387,"Green",IF($J1387&lt;=$I1387+IF($I1387=0,$K1387,$I1387*$K1387),"Amber","Red")),IF($J1387&gt;=$I1387,"Green",IF($J1387&gt;=$I1387-IF($I1387=0,$K1387,$I1387*$K1387),"Amber","Red"))),"")</f>
        <v/>
      </c>
      <c r="T1387" s="6" t="inlineStr"/>
    </row>
    <row r="1388">
      <c r="A1388" s="7" t="n">
        <v>46199</v>
      </c>
      <c r="B1388" s="8">
        <f>IF($A1388="","",TEXT($A1388,"mmm-yyyy"))</f>
        <v/>
      </c>
      <c r="C1388" s="8">
        <f>IF($A1388="","","W"&amp;WEEKNUM($A1388,2))</f>
        <v/>
      </c>
      <c r="D1388" s="8">
        <f>IF($A1388="","",TEXT($A1388,"ddd"))</f>
        <v/>
      </c>
      <c r="E1388" s="8" t="inlineStr">
        <is>
          <t>Quality</t>
        </is>
      </c>
      <c r="F1388" s="8">
        <f>IFERROR(INDEX(Tbl_KPIMaster[Category],MATCH($G1388,Tbl_KPIMaster[KPI],0)),"")</f>
        <v/>
      </c>
      <c r="G1388" s="8" t="inlineStr">
        <is>
          <t>Customer Complaints</t>
        </is>
      </c>
      <c r="H1388" s="8">
        <f>IFERROR(INDEX(Tbl_KPIMaster[Unit],MATCH($G1388,Tbl_KPIMaster[KPI],0)),"")</f>
        <v/>
      </c>
      <c r="I1388" s="9">
        <f>IFERROR(INDEX(Tbl_KPIMaster[Maximum Target],MATCH($G1388,Tbl_KPIMaster[KPI],0)),"")</f>
        <v/>
      </c>
      <c r="J1388" s="9" t="n">
        <v>0</v>
      </c>
      <c r="K1388" s="8">
        <f>IFERROR(INDEX(Tbl_KPIMaster[Tolerance],MATCH($G1388,Tbl_KPIMaster[KPI],0)),"")</f>
        <v/>
      </c>
      <c r="L1388" s="8">
        <f>IFERROR(INDEX(Tbl_KPIMaster[Owner],MATCH($G1388,Tbl_KPIMaster[KPI],0)),"")</f>
        <v/>
      </c>
      <c r="M1388" s="10" t="inlineStr">
        <is>
          <t>Process improvement in progress</t>
        </is>
      </c>
      <c r="N1388" s="8" t="inlineStr"/>
      <c r="O1388" s="8" t="inlineStr">
        <is>
          <t>Medium</t>
        </is>
      </c>
      <c r="P1388" s="8" t="inlineStr">
        <is>
          <t>Closed</t>
        </is>
      </c>
      <c r="Q1388" s="9">
        <f>IFERROR(IF(INDEX(Tbl_KPIMaster[Direction],MATCH($G1388,Tbl_KPIMaster[KPI],0))="Lower is Better",IF($J1388=0,1,IF($I1388=0,0,$I1388/$J1388)),IF($I1388=0,1,$J1388/$I1388)),0)</f>
        <v/>
      </c>
      <c r="R1388" s="8">
        <f>IF(OR($I1388="",$J1388=""),"",$J1388-$I1388)</f>
        <v/>
      </c>
      <c r="S1388" s="8">
        <f>IFERROR(IF(INDEX(Tbl_KPIMaster[Direction],MATCH($G1388,Tbl_KPIMaster[KPI],0))="Lower is Better",IF($J1388&lt;=$I1388,"Green",IF($J1388&lt;=$I1388+IF($I1388=0,$K1388,$I1388*$K1388),"Amber","Red")),IF($J1388&gt;=$I1388,"Green",IF($J1388&gt;=$I1388-IF($I1388=0,$K1388,$I1388*$K1388),"Amber","Red"))),"")</f>
        <v/>
      </c>
      <c r="T1388" s="10" t="inlineStr"/>
    </row>
    <row r="1389">
      <c r="A1389" s="3" t="n">
        <v>46199</v>
      </c>
      <c r="B1389" s="4">
        <f>IF($A1389="","",TEXT($A1389,"mmm-yyyy"))</f>
        <v/>
      </c>
      <c r="C1389" s="4">
        <f>IF($A1389="","","W"&amp;WEEKNUM($A1389,2))</f>
        <v/>
      </c>
      <c r="D1389" s="4">
        <f>IF($A1389="","",TEXT($A1389,"ddd"))</f>
        <v/>
      </c>
      <c r="E1389" s="4" t="inlineStr">
        <is>
          <t>Maintenance</t>
        </is>
      </c>
      <c r="F1389" s="4">
        <f>IFERROR(INDEX(Tbl_KPIMaster[Category],MATCH($G1389,Tbl_KPIMaster[KPI],0)),"")</f>
        <v/>
      </c>
      <c r="G1389" s="4" t="inlineStr">
        <is>
          <t>Unplanned Downtime</t>
        </is>
      </c>
      <c r="H1389" s="4">
        <f>IFERROR(INDEX(Tbl_KPIMaster[Unit],MATCH($G1389,Tbl_KPIMaster[KPI],0)),"")</f>
        <v/>
      </c>
      <c r="I1389" s="5">
        <f>IFERROR(INDEX(Tbl_KPIMaster[Maximum Target],MATCH($G1389,Tbl_KPIMaster[KPI],0)),"")</f>
        <v/>
      </c>
      <c r="J1389" s="5" t="n">
        <v>0.19</v>
      </c>
      <c r="K1389" s="4">
        <f>IFERROR(INDEX(Tbl_KPIMaster[Tolerance],MATCH($G1389,Tbl_KPIMaster[KPI],0)),"")</f>
        <v/>
      </c>
      <c r="L1389" s="4">
        <f>IFERROR(INDEX(Tbl_KPIMaster[Owner],MATCH($G1389,Tbl_KPIMaster[KPI],0)),"")</f>
        <v/>
      </c>
      <c r="M1389" s="6" t="inlineStr">
        <is>
          <t>Line changeover impact</t>
        </is>
      </c>
      <c r="N1389" s="4" t="inlineStr">
        <is>
          <t>Management approval pending</t>
        </is>
      </c>
      <c r="O1389" s="4" t="inlineStr">
        <is>
          <t>High</t>
        </is>
      </c>
      <c r="P1389" s="4" t="inlineStr">
        <is>
          <t>Open</t>
        </is>
      </c>
      <c r="Q1389" s="5">
        <f>IFERROR(IF(INDEX(Tbl_KPIMaster[Direction],MATCH($G1389,Tbl_KPIMaster[KPI],0))="Lower is Better",IF($J1389=0,1,IF($I1389=0,0,$I1389/$J1389)),IF($I1389=0,1,$J1389/$I1389)),0)</f>
        <v/>
      </c>
      <c r="R1389" s="4">
        <f>IF(OR($I1389="",$J1389=""),"",$J1389-$I1389)</f>
        <v/>
      </c>
      <c r="S1389" s="4">
        <f>IFERROR(IF(INDEX(Tbl_KPIMaster[Direction],MATCH($G1389,Tbl_KPIMaster[KPI],0))="Lower is Better",IF($J1389&lt;=$I1389,"Green",IF($J1389&lt;=$I1389+IF($I1389=0,$K1389,$I1389*$K1389),"Amber","Red")),IF($J1389&gt;=$I1389,"Green",IF($J1389&gt;=$I1389-IF($I1389=0,$K1389,$I1389*$K1389),"Amber","Red"))),"")</f>
        <v/>
      </c>
      <c r="T1389" s="6" t="inlineStr"/>
    </row>
    <row r="1390">
      <c r="A1390" s="7" t="n">
        <v>46199</v>
      </c>
      <c r="B1390" s="8">
        <f>IF($A1390="","",TEXT($A1390,"mmm-yyyy"))</f>
        <v/>
      </c>
      <c r="C1390" s="8">
        <f>IF($A1390="","","W"&amp;WEEKNUM($A1390,2))</f>
        <v/>
      </c>
      <c r="D1390" s="8">
        <f>IF($A1390="","",TEXT($A1390,"ddd"))</f>
        <v/>
      </c>
      <c r="E1390" s="8" t="inlineStr">
        <is>
          <t>Maintenance</t>
        </is>
      </c>
      <c r="F1390" s="8">
        <f>IFERROR(INDEX(Tbl_KPIMaster[Category],MATCH($G1390,Tbl_KPIMaster[KPI],0)),"")</f>
        <v/>
      </c>
      <c r="G1390" s="8" t="inlineStr">
        <is>
          <t>PM Compliance %</t>
        </is>
      </c>
      <c r="H1390" s="8">
        <f>IFERROR(INDEX(Tbl_KPIMaster[Unit],MATCH($G1390,Tbl_KPIMaster[KPI],0)),"")</f>
        <v/>
      </c>
      <c r="I1390" s="9">
        <f>IFERROR(INDEX(Tbl_KPIMaster[Maximum Target],MATCH($G1390,Tbl_KPIMaster[KPI],0)),"")</f>
        <v/>
      </c>
      <c r="J1390" s="9" t="n">
        <v>1.0274</v>
      </c>
      <c r="K1390" s="8">
        <f>IFERROR(INDEX(Tbl_KPIMaster[Tolerance],MATCH($G1390,Tbl_KPIMaster[KPI],0)),"")</f>
        <v/>
      </c>
      <c r="L1390" s="8">
        <f>IFERROR(INDEX(Tbl_KPIMaster[Owner],MATCH($G1390,Tbl_KPIMaster[KPI],0)),"")</f>
        <v/>
      </c>
      <c r="M1390" s="10" t="inlineStr">
        <is>
          <t>Vendor delay</t>
        </is>
      </c>
      <c r="N1390" s="8" t="inlineStr">
        <is>
          <t>Engineering support needed</t>
        </is>
      </c>
      <c r="O1390" s="8" t="inlineStr">
        <is>
          <t>High</t>
        </is>
      </c>
      <c r="P1390" s="8" t="inlineStr">
        <is>
          <t>Closed</t>
        </is>
      </c>
      <c r="Q1390" s="9">
        <f>IFERROR(IF(INDEX(Tbl_KPIMaster[Direction],MATCH($G1390,Tbl_KPIMaster[KPI],0))="Lower is Better",IF($J1390=0,1,IF($I1390=0,0,$I1390/$J1390)),IF($I1390=0,1,$J1390/$I1390)),0)</f>
        <v/>
      </c>
      <c r="R1390" s="8">
        <f>IF(OR($I1390="",$J1390=""),"",$J1390-$I1390)</f>
        <v/>
      </c>
      <c r="S1390" s="8">
        <f>IFERROR(IF(INDEX(Tbl_KPIMaster[Direction],MATCH($G1390,Tbl_KPIMaster[KPI],0))="Lower is Better",IF($J1390&lt;=$I1390,"Green",IF($J1390&lt;=$I1390+IF($I1390=0,$K1390,$I1390*$K1390),"Amber","Red")),IF($J1390&gt;=$I1390,"Green",IF($J1390&gt;=$I1390-IF($I1390=0,$K1390,$I1390*$K1390),"Amber","Red"))),"")</f>
        <v/>
      </c>
      <c r="T1390" s="10" t="inlineStr"/>
    </row>
    <row r="1391">
      <c r="A1391" s="3" t="n">
        <v>46199</v>
      </c>
      <c r="B1391" s="4">
        <f>IF($A1391="","",TEXT($A1391,"mmm-yyyy"))</f>
        <v/>
      </c>
      <c r="C1391" s="4">
        <f>IF($A1391="","","W"&amp;WEEKNUM($A1391,2))</f>
        <v/>
      </c>
      <c r="D1391" s="4">
        <f>IF($A1391="","",TEXT($A1391,"ddd"))</f>
        <v/>
      </c>
      <c r="E1391" s="4" t="inlineStr">
        <is>
          <t>Utilities</t>
        </is>
      </c>
      <c r="F1391" s="4">
        <f>IFERROR(INDEX(Tbl_KPIMaster[Category],MATCH($G1391,Tbl_KPIMaster[KPI],0)),"")</f>
        <v/>
      </c>
      <c r="G1391" s="4" t="inlineStr">
        <is>
          <t>Power Consumption</t>
        </is>
      </c>
      <c r="H1391" s="4">
        <f>IFERROR(INDEX(Tbl_KPIMaster[Unit],MATCH($G1391,Tbl_KPIMaster[KPI],0)),"")</f>
        <v/>
      </c>
      <c r="I1391" s="5">
        <f>IFERROR(INDEX(Tbl_KPIMaster[Maximum Target],MATCH($G1391,Tbl_KPIMaster[KPI],0)),"")</f>
        <v/>
      </c>
      <c r="J1391" s="5" t="n">
        <v>4554.28</v>
      </c>
      <c r="K1391" s="4">
        <f>IFERROR(INDEX(Tbl_KPIMaster[Tolerance],MATCH($G1391,Tbl_KPIMaster[KPI],0)),"")</f>
        <v/>
      </c>
      <c r="L1391" s="4">
        <f>IFERROR(INDEX(Tbl_KPIMaster[Owner],MATCH($G1391,Tbl_KPIMaster[KPI],0)),"")</f>
        <v/>
      </c>
      <c r="M1391" s="6" t="inlineStr">
        <is>
          <t>Weather impact</t>
        </is>
      </c>
      <c r="N1391" s="4" t="inlineStr">
        <is>
          <t>Procurement follow-up</t>
        </is>
      </c>
      <c r="O1391" s="4" t="inlineStr">
        <is>
          <t>Medium</t>
        </is>
      </c>
      <c r="P1391" s="4" t="inlineStr">
        <is>
          <t>Closed</t>
        </is>
      </c>
      <c r="Q1391" s="5">
        <f>IFERROR(IF(INDEX(Tbl_KPIMaster[Direction],MATCH($G1391,Tbl_KPIMaster[KPI],0))="Lower is Better",IF($J1391=0,1,IF($I1391=0,0,$I1391/$J1391)),IF($I1391=0,1,$J1391/$I1391)),0)</f>
        <v/>
      </c>
      <c r="R1391" s="4">
        <f>IF(OR($I1391="",$J1391=""),"",$J1391-$I1391)</f>
        <v/>
      </c>
      <c r="S1391" s="4">
        <f>IFERROR(IF(INDEX(Tbl_KPIMaster[Direction],MATCH($G1391,Tbl_KPIMaster[KPI],0))="Lower is Better",IF($J1391&lt;=$I1391,"Green",IF($J1391&lt;=$I1391+IF($I1391=0,$K1391,$I1391*$K1391),"Amber","Red")),IF($J1391&gt;=$I1391,"Green",IF($J1391&gt;=$I1391-IF($I1391=0,$K1391,$I1391*$K1391),"Amber","Red"))),"")</f>
        <v/>
      </c>
      <c r="T1391" s="6" t="inlineStr"/>
    </row>
    <row r="1392">
      <c r="A1392" s="7" t="n">
        <v>46199</v>
      </c>
      <c r="B1392" s="8">
        <f>IF($A1392="","",TEXT($A1392,"mmm-yyyy"))</f>
        <v/>
      </c>
      <c r="C1392" s="8">
        <f>IF($A1392="","","W"&amp;WEEKNUM($A1392,2))</f>
        <v/>
      </c>
      <c r="D1392" s="8">
        <f>IF($A1392="","",TEXT($A1392,"ddd"))</f>
        <v/>
      </c>
      <c r="E1392" s="8" t="inlineStr">
        <is>
          <t>Utilities</t>
        </is>
      </c>
      <c r="F1392" s="8">
        <f>IFERROR(INDEX(Tbl_KPIMaster[Category],MATCH($G1392,Tbl_KPIMaster[KPI],0)),"")</f>
        <v/>
      </c>
      <c r="G1392" s="8" t="inlineStr">
        <is>
          <t>Water Consumption</t>
        </is>
      </c>
      <c r="H1392" s="8">
        <f>IFERROR(INDEX(Tbl_KPIMaster[Unit],MATCH($G1392,Tbl_KPIMaster[KPI],0)),"")</f>
        <v/>
      </c>
      <c r="I1392" s="9">
        <f>IFERROR(INDEX(Tbl_KPIMaster[Maximum Target],MATCH($G1392,Tbl_KPIMaster[KPI],0)),"")</f>
        <v/>
      </c>
      <c r="J1392" s="9" t="n">
        <v>53.52</v>
      </c>
      <c r="K1392" s="8">
        <f>IFERROR(INDEX(Tbl_KPIMaster[Tolerance],MATCH($G1392,Tbl_KPIMaster[KPI],0)),"")</f>
        <v/>
      </c>
      <c r="L1392" s="8">
        <f>IFERROR(INDEX(Tbl_KPIMaster[Owner],MATCH($G1392,Tbl_KPIMaster[KPI],0)),"")</f>
        <v/>
      </c>
      <c r="M1392" s="10" t="inlineStr">
        <is>
          <t>Line changeover impact</t>
        </is>
      </c>
      <c r="N1392" s="8" t="inlineStr">
        <is>
          <t>Procurement follow-up</t>
        </is>
      </c>
      <c r="O1392" s="8" t="inlineStr">
        <is>
          <t>High</t>
        </is>
      </c>
      <c r="P1392" s="8" t="inlineStr">
        <is>
          <t>Closed</t>
        </is>
      </c>
      <c r="Q1392" s="9">
        <f>IFERROR(IF(INDEX(Tbl_KPIMaster[Direction],MATCH($G1392,Tbl_KPIMaster[KPI],0))="Lower is Better",IF($J1392=0,1,IF($I1392=0,0,$I1392/$J1392)),IF($I1392=0,1,$J1392/$I1392)),0)</f>
        <v/>
      </c>
      <c r="R1392" s="8">
        <f>IF(OR($I1392="",$J1392=""),"",$J1392-$I1392)</f>
        <v/>
      </c>
      <c r="S1392" s="8">
        <f>IFERROR(IF(INDEX(Tbl_KPIMaster[Direction],MATCH($G1392,Tbl_KPIMaster[KPI],0))="Lower is Better",IF($J1392&lt;=$I1392,"Green",IF($J1392&lt;=$I1392+IF($I1392=0,$K1392,$I1392*$K1392),"Amber","Red")),IF($J1392&gt;=$I1392,"Green",IF($J1392&gt;=$I1392-IF($I1392=0,$K1392,$I1392*$K1392),"Amber","Red"))),"")</f>
        <v/>
      </c>
      <c r="T1392" s="10" t="inlineStr"/>
    </row>
    <row r="1393">
      <c r="A1393" s="3" t="n">
        <v>46199</v>
      </c>
      <c r="B1393" s="4">
        <f>IF($A1393="","",TEXT($A1393,"mmm-yyyy"))</f>
        <v/>
      </c>
      <c r="C1393" s="4">
        <f>IF($A1393="","","W"&amp;WEEKNUM($A1393,2))</f>
        <v/>
      </c>
      <c r="D1393" s="4">
        <f>IF($A1393="","",TEXT($A1393,"ddd"))</f>
        <v/>
      </c>
      <c r="E1393" s="4" t="inlineStr">
        <is>
          <t>Warehouse</t>
        </is>
      </c>
      <c r="F1393" s="4">
        <f>IFERROR(INDEX(Tbl_KPIMaster[Category],MATCH($G1393,Tbl_KPIMaster[KPI],0)),"")</f>
        <v/>
      </c>
      <c r="G1393" s="4" t="inlineStr">
        <is>
          <t>On-Time Dispatch %</t>
        </is>
      </c>
      <c r="H1393" s="4">
        <f>IFERROR(INDEX(Tbl_KPIMaster[Unit],MATCH($G1393,Tbl_KPIMaster[KPI],0)),"")</f>
        <v/>
      </c>
      <c r="I1393" s="5">
        <f>IFERROR(INDEX(Tbl_KPIMaster[Maximum Target],MATCH($G1393,Tbl_KPIMaster[KPI],0)),"")</f>
        <v/>
      </c>
      <c r="J1393" s="5" t="n">
        <v>0.9876</v>
      </c>
      <c r="K1393" s="4">
        <f>IFERROR(INDEX(Tbl_KPIMaster[Tolerance],MATCH($G1393,Tbl_KPIMaster[KPI],0)),"")</f>
        <v/>
      </c>
      <c r="L1393" s="4">
        <f>IFERROR(INDEX(Tbl_KPIMaster[Owner],MATCH($G1393,Tbl_KPIMaster[KPI],0)),"")</f>
        <v/>
      </c>
      <c r="M1393" s="6" t="inlineStr"/>
      <c r="N1393" s="4" t="inlineStr"/>
      <c r="O1393" s="4" t="inlineStr">
        <is>
          <t>Medium</t>
        </is>
      </c>
      <c r="P1393" s="4" t="inlineStr">
        <is>
          <t>Closed</t>
        </is>
      </c>
      <c r="Q1393" s="5">
        <f>IFERROR(IF(INDEX(Tbl_KPIMaster[Direction],MATCH($G1393,Tbl_KPIMaster[KPI],0))="Lower is Better",IF($J1393=0,1,IF($I1393=0,0,$I1393/$J1393)),IF($I1393=0,1,$J1393/$I1393)),0)</f>
        <v/>
      </c>
      <c r="R1393" s="4">
        <f>IF(OR($I1393="",$J1393=""),"",$J1393-$I1393)</f>
        <v/>
      </c>
      <c r="S1393" s="4">
        <f>IFERROR(IF(INDEX(Tbl_KPIMaster[Direction],MATCH($G1393,Tbl_KPIMaster[KPI],0))="Lower is Better",IF($J1393&lt;=$I1393,"Green",IF($J1393&lt;=$I1393+IF($I1393=0,$K1393,$I1393*$K1393),"Amber","Red")),IF($J1393&gt;=$I1393,"Green",IF($J1393&gt;=$I1393-IF($I1393=0,$K1393,$I1393*$K1393),"Amber","Red"))),"")</f>
        <v/>
      </c>
      <c r="T1393" s="6" t="inlineStr"/>
    </row>
    <row r="1394">
      <c r="A1394" s="7" t="n">
        <v>46199</v>
      </c>
      <c r="B1394" s="8">
        <f>IF($A1394="","",TEXT($A1394,"mmm-yyyy"))</f>
        <v/>
      </c>
      <c r="C1394" s="8">
        <f>IF($A1394="","","W"&amp;WEEKNUM($A1394,2))</f>
        <v/>
      </c>
      <c r="D1394" s="8">
        <f>IF($A1394="","",TEXT($A1394,"ddd"))</f>
        <v/>
      </c>
      <c r="E1394" s="8" t="inlineStr">
        <is>
          <t>Warehouse</t>
        </is>
      </c>
      <c r="F1394" s="8">
        <f>IFERROR(INDEX(Tbl_KPIMaster[Category],MATCH($G1394,Tbl_KPIMaster[KPI],0)),"")</f>
        <v/>
      </c>
      <c r="G1394" s="8" t="inlineStr">
        <is>
          <t>Inventory Accuracy %</t>
        </is>
      </c>
      <c r="H1394" s="8">
        <f>IFERROR(INDEX(Tbl_KPIMaster[Unit],MATCH($G1394,Tbl_KPIMaster[KPI],0)),"")</f>
        <v/>
      </c>
      <c r="I1394" s="9">
        <f>IFERROR(INDEX(Tbl_KPIMaster[Maximum Target],MATCH($G1394,Tbl_KPIMaster[KPI],0)),"")</f>
        <v/>
      </c>
      <c r="J1394" s="9" t="n">
        <v>1.0711</v>
      </c>
      <c r="K1394" s="8">
        <f>IFERROR(INDEX(Tbl_KPIMaster[Tolerance],MATCH($G1394,Tbl_KPIMaster[KPI],0)),"")</f>
        <v/>
      </c>
      <c r="L1394" s="8">
        <f>IFERROR(INDEX(Tbl_KPIMaster[Owner],MATCH($G1394,Tbl_KPIMaster[KPI],0)),"")</f>
        <v/>
      </c>
      <c r="M1394" s="10" t="inlineStr"/>
      <c r="N1394" s="8" t="inlineStr"/>
      <c r="O1394" s="8" t="inlineStr">
        <is>
          <t>Low</t>
        </is>
      </c>
      <c r="P1394" s="8" t="inlineStr">
        <is>
          <t>Closed</t>
        </is>
      </c>
      <c r="Q1394" s="9">
        <f>IFERROR(IF(INDEX(Tbl_KPIMaster[Direction],MATCH($G1394,Tbl_KPIMaster[KPI],0))="Lower is Better",IF($J1394=0,1,IF($I1394=0,0,$I1394/$J1394)),IF($I1394=0,1,$J1394/$I1394)),0)</f>
        <v/>
      </c>
      <c r="R1394" s="8">
        <f>IF(OR($I1394="",$J1394=""),"",$J1394-$I1394)</f>
        <v/>
      </c>
      <c r="S1394" s="8">
        <f>IFERROR(IF(INDEX(Tbl_KPIMaster[Direction],MATCH($G1394,Tbl_KPIMaster[KPI],0))="Lower is Better",IF($J1394&lt;=$I1394,"Green",IF($J1394&lt;=$I1394+IF($I1394=0,$K1394,$I1394*$K1394),"Amber","Red")),IF($J1394&gt;=$I1394,"Green",IF($J1394&gt;=$I1394-IF($I1394=0,$K1394,$I1394*$K1394),"Amber","Red"))),"")</f>
        <v/>
      </c>
      <c r="T1394" s="10" t="inlineStr"/>
    </row>
    <row r="1395">
      <c r="A1395" s="3" t="n">
        <v>46199</v>
      </c>
      <c r="B1395" s="4">
        <f>IF($A1395="","",TEXT($A1395,"mmm-yyyy"))</f>
        <v/>
      </c>
      <c r="C1395" s="4">
        <f>IF($A1395="","","W"&amp;WEEKNUM($A1395,2))</f>
        <v/>
      </c>
      <c r="D1395" s="4">
        <f>IF($A1395="","",TEXT($A1395,"ddd"))</f>
        <v/>
      </c>
      <c r="E1395" s="4" t="inlineStr">
        <is>
          <t>HR</t>
        </is>
      </c>
      <c r="F1395" s="4">
        <f>IFERROR(INDEX(Tbl_KPIMaster[Category],MATCH($G1395,Tbl_KPIMaster[KPI],0)),"")</f>
        <v/>
      </c>
      <c r="G1395" s="4" t="inlineStr">
        <is>
          <t>Absenteeism %</t>
        </is>
      </c>
      <c r="H1395" s="4">
        <f>IFERROR(INDEX(Tbl_KPIMaster[Unit],MATCH($G1395,Tbl_KPIMaster[KPI],0)),"")</f>
        <v/>
      </c>
      <c r="I1395" s="5">
        <f>IFERROR(INDEX(Tbl_KPIMaster[Maximum Target],MATCH($G1395,Tbl_KPIMaster[KPI],0)),"")</f>
        <v/>
      </c>
      <c r="J1395" s="5" t="n">
        <v>0</v>
      </c>
      <c r="K1395" s="4">
        <f>IFERROR(INDEX(Tbl_KPIMaster[Tolerance],MATCH($G1395,Tbl_KPIMaster[KPI],0)),"")</f>
        <v/>
      </c>
      <c r="L1395" s="4">
        <f>IFERROR(INDEX(Tbl_KPIMaster[Owner],MATCH($G1395,Tbl_KPIMaster[KPI],0)),"")</f>
        <v/>
      </c>
      <c r="M1395" s="6" t="inlineStr">
        <is>
          <t>Vendor delay</t>
        </is>
      </c>
      <c r="N1395" s="4" t="inlineStr"/>
      <c r="O1395" s="4" t="inlineStr">
        <is>
          <t>Medium</t>
        </is>
      </c>
      <c r="P1395" s="4" t="inlineStr">
        <is>
          <t>In Progress</t>
        </is>
      </c>
      <c r="Q1395" s="5">
        <f>IFERROR(IF(INDEX(Tbl_KPIMaster[Direction],MATCH($G1395,Tbl_KPIMaster[KPI],0))="Lower is Better",IF($J1395=0,1,IF($I1395=0,0,$I1395/$J1395)),IF($I1395=0,1,$J1395/$I1395)),0)</f>
        <v/>
      </c>
      <c r="R1395" s="4">
        <f>IF(OR($I1395="",$J1395=""),"",$J1395-$I1395)</f>
        <v/>
      </c>
      <c r="S1395" s="4">
        <f>IFERROR(IF(INDEX(Tbl_KPIMaster[Direction],MATCH($G1395,Tbl_KPIMaster[KPI],0))="Lower is Better",IF($J1395&lt;=$I1395,"Green",IF($J1395&lt;=$I1395+IF($I1395=0,$K1395,$I1395*$K1395),"Amber","Red")),IF($J1395&gt;=$I1395,"Green",IF($J1395&gt;=$I1395-IF($I1395=0,$K1395,$I1395*$K1395),"Amber","Red"))),"")</f>
        <v/>
      </c>
      <c r="T1395" s="6" t="inlineStr"/>
    </row>
    <row r="1396">
      <c r="A1396" s="7" t="n">
        <v>46199</v>
      </c>
      <c r="B1396" s="8">
        <f>IF($A1396="","",TEXT($A1396,"mmm-yyyy"))</f>
        <v/>
      </c>
      <c r="C1396" s="8">
        <f>IF($A1396="","","W"&amp;WEEKNUM($A1396,2))</f>
        <v/>
      </c>
      <c r="D1396" s="8">
        <f>IF($A1396="","",TEXT($A1396,"ddd"))</f>
        <v/>
      </c>
      <c r="E1396" s="8" t="inlineStr">
        <is>
          <t>HR</t>
        </is>
      </c>
      <c r="F1396" s="8">
        <f>IFERROR(INDEX(Tbl_KPIMaster[Category],MATCH($G1396,Tbl_KPIMaster[KPI],0)),"")</f>
        <v/>
      </c>
      <c r="G1396" s="8" t="inlineStr">
        <is>
          <t>Training Hours</t>
        </is>
      </c>
      <c r="H1396" s="8">
        <f>IFERROR(INDEX(Tbl_KPIMaster[Unit],MATCH($G1396,Tbl_KPIMaster[KPI],0)),"")</f>
        <v/>
      </c>
      <c r="I1396" s="9">
        <f>IFERROR(INDEX(Tbl_KPIMaster[Maximum Target],MATCH($G1396,Tbl_KPIMaster[KPI],0)),"")</f>
        <v/>
      </c>
      <c r="J1396" s="9" t="n">
        <v>1.63</v>
      </c>
      <c r="K1396" s="8">
        <f>IFERROR(INDEX(Tbl_KPIMaster[Tolerance],MATCH($G1396,Tbl_KPIMaster[KPI],0)),"")</f>
        <v/>
      </c>
      <c r="L1396" s="8">
        <f>IFERROR(INDEX(Tbl_KPIMaster[Owner],MATCH($G1396,Tbl_KPIMaster[KPI],0)),"")</f>
        <v/>
      </c>
      <c r="M1396" s="10" t="inlineStr">
        <is>
          <t>Line changeover impact</t>
        </is>
      </c>
      <c r="N1396" s="8" t="inlineStr"/>
      <c r="O1396" s="8" t="inlineStr">
        <is>
          <t>Low</t>
        </is>
      </c>
      <c r="P1396" s="8" t="inlineStr">
        <is>
          <t>Closed</t>
        </is>
      </c>
      <c r="Q1396" s="9">
        <f>IFERROR(IF(INDEX(Tbl_KPIMaster[Direction],MATCH($G1396,Tbl_KPIMaster[KPI],0))="Lower is Better",IF($J1396=0,1,IF($I1396=0,0,$I1396/$J1396)),IF($I1396=0,1,$J1396/$I1396)),0)</f>
        <v/>
      </c>
      <c r="R1396" s="8">
        <f>IF(OR($I1396="",$J1396=""),"",$J1396-$I1396)</f>
        <v/>
      </c>
      <c r="S1396" s="8">
        <f>IFERROR(IF(INDEX(Tbl_KPIMaster[Direction],MATCH($G1396,Tbl_KPIMaster[KPI],0))="Lower is Better",IF($J1396&lt;=$I1396,"Green",IF($J1396&lt;=$I1396+IF($I1396=0,$K1396,$I1396*$K1396),"Amber","Red")),IF($J1396&gt;=$I1396,"Green",IF($J1396&gt;=$I1396-IF($I1396=0,$K1396,$I1396*$K1396),"Amber","Red"))),"")</f>
        <v/>
      </c>
      <c r="T1396" s="10" t="inlineStr"/>
    </row>
    <row r="1397">
      <c r="A1397" s="3" t="n">
        <v>46199</v>
      </c>
      <c r="B1397" s="4">
        <f>IF($A1397="","",TEXT($A1397,"mmm-yyyy"))</f>
        <v/>
      </c>
      <c r="C1397" s="4">
        <f>IF($A1397="","","W"&amp;WEEKNUM($A1397,2))</f>
        <v/>
      </c>
      <c r="D1397" s="4">
        <f>IF($A1397="","",TEXT($A1397,"ddd"))</f>
        <v/>
      </c>
      <c r="E1397" s="4" t="inlineStr">
        <is>
          <t>Engineering</t>
        </is>
      </c>
      <c r="F1397" s="4">
        <f>IFERROR(INDEX(Tbl_KPIMaster[Category],MATCH($G1397,Tbl_KPIMaster[KPI],0)),"")</f>
        <v/>
      </c>
      <c r="G1397" s="4" t="inlineStr">
        <is>
          <t>Project Milestone Adherence %</t>
        </is>
      </c>
      <c r="H1397" s="4">
        <f>IFERROR(INDEX(Tbl_KPIMaster[Unit],MATCH($G1397,Tbl_KPIMaster[KPI],0)),"")</f>
        <v/>
      </c>
      <c r="I1397" s="5">
        <f>IFERROR(INDEX(Tbl_KPIMaster[Maximum Target],MATCH($G1397,Tbl_KPIMaster[KPI],0)),"")</f>
        <v/>
      </c>
      <c r="J1397" s="5" t="n">
        <v>1.0184</v>
      </c>
      <c r="K1397" s="4">
        <f>IFERROR(INDEX(Tbl_KPIMaster[Tolerance],MATCH($G1397,Tbl_KPIMaster[KPI],0)),"")</f>
        <v/>
      </c>
      <c r="L1397" s="4">
        <f>IFERROR(INDEX(Tbl_KPIMaster[Owner],MATCH($G1397,Tbl_KPIMaster[KPI],0)),"")</f>
        <v/>
      </c>
      <c r="M1397" s="6" t="inlineStr">
        <is>
          <t>Vendor delay</t>
        </is>
      </c>
      <c r="N1397" s="4" t="inlineStr"/>
      <c r="O1397" s="4" t="inlineStr">
        <is>
          <t>Medium</t>
        </is>
      </c>
      <c r="P1397" s="4" t="inlineStr">
        <is>
          <t>In Progress</t>
        </is>
      </c>
      <c r="Q1397" s="5">
        <f>IFERROR(IF(INDEX(Tbl_KPIMaster[Direction],MATCH($G1397,Tbl_KPIMaster[KPI],0))="Lower is Better",IF($J1397=0,1,IF($I1397=0,0,$I1397/$J1397)),IF($I1397=0,1,$J1397/$I1397)),0)</f>
        <v/>
      </c>
      <c r="R1397" s="4">
        <f>IF(OR($I1397="",$J1397=""),"",$J1397-$I1397)</f>
        <v/>
      </c>
      <c r="S1397" s="4">
        <f>IFERROR(IF(INDEX(Tbl_KPIMaster[Direction],MATCH($G1397,Tbl_KPIMaster[KPI],0))="Lower is Better",IF($J1397&lt;=$I1397,"Green",IF($J1397&lt;=$I1397+IF($I1397=0,$K1397,$I1397*$K1397),"Amber","Red")),IF($J1397&gt;=$I1397,"Green",IF($J1397&gt;=$I1397-IF($I1397=0,$K1397,$I1397*$K1397),"Amber","Red"))),"")</f>
        <v/>
      </c>
      <c r="T1397" s="6" t="inlineStr"/>
    </row>
    <row r="1398">
      <c r="A1398" s="7" t="n">
        <v>46199</v>
      </c>
      <c r="B1398" s="8">
        <f>IF($A1398="","",TEXT($A1398,"mmm-yyyy"))</f>
        <v/>
      </c>
      <c r="C1398" s="8">
        <f>IF($A1398="","","W"&amp;WEEKNUM($A1398,2))</f>
        <v/>
      </c>
      <c r="D1398" s="8">
        <f>IF($A1398="","",TEXT($A1398,"ddd"))</f>
        <v/>
      </c>
      <c r="E1398" s="8" t="inlineStr">
        <is>
          <t>Engineering</t>
        </is>
      </c>
      <c r="F1398" s="8">
        <f>IFERROR(INDEX(Tbl_KPIMaster[Category],MATCH($G1398,Tbl_KPIMaster[KPI],0)),"")</f>
        <v/>
      </c>
      <c r="G1398" s="8" t="inlineStr">
        <is>
          <t>Breakdown Resolution Time</t>
        </is>
      </c>
      <c r="H1398" s="8">
        <f>IFERROR(INDEX(Tbl_KPIMaster[Unit],MATCH($G1398,Tbl_KPIMaster[KPI],0)),"")</f>
        <v/>
      </c>
      <c r="I1398" s="9">
        <f>IFERROR(INDEX(Tbl_KPIMaster[Maximum Target],MATCH($G1398,Tbl_KPIMaster[KPI],0)),"")</f>
        <v/>
      </c>
      <c r="J1398" s="9" t="n">
        <v>0.15</v>
      </c>
      <c r="K1398" s="8">
        <f>IFERROR(INDEX(Tbl_KPIMaster[Tolerance],MATCH($G1398,Tbl_KPIMaster[KPI],0)),"")</f>
        <v/>
      </c>
      <c r="L1398" s="8">
        <f>IFERROR(INDEX(Tbl_KPIMaster[Owner],MATCH($G1398,Tbl_KPIMaster[KPI],0)),"")</f>
        <v/>
      </c>
      <c r="M1398" s="10" t="inlineStr">
        <is>
          <t>Within normal range</t>
        </is>
      </c>
      <c r="N1398" s="8" t="inlineStr"/>
      <c r="O1398" s="8" t="inlineStr">
        <is>
          <t>High</t>
        </is>
      </c>
      <c r="P1398" s="8" t="inlineStr">
        <is>
          <t>Closed</t>
        </is>
      </c>
      <c r="Q1398" s="9">
        <f>IFERROR(IF(INDEX(Tbl_KPIMaster[Direction],MATCH($G1398,Tbl_KPIMaster[KPI],0))="Lower is Better",IF($J1398=0,1,IF($I1398=0,0,$I1398/$J1398)),IF($I1398=0,1,$J1398/$I1398)),0)</f>
        <v/>
      </c>
      <c r="R1398" s="8">
        <f>IF(OR($I1398="",$J1398=""),"",$J1398-$I1398)</f>
        <v/>
      </c>
      <c r="S1398" s="8">
        <f>IFERROR(IF(INDEX(Tbl_KPIMaster[Direction],MATCH($G1398,Tbl_KPIMaster[KPI],0))="Lower is Better",IF($J1398&lt;=$I1398,"Green",IF($J1398&lt;=$I1398+IF($I1398=0,$K1398,$I1398*$K1398),"Amber","Red")),IF($J1398&gt;=$I1398,"Green",IF($J1398&gt;=$I1398-IF($I1398=0,$K1398,$I1398*$K1398),"Amber","Red"))),"")</f>
        <v/>
      </c>
      <c r="T1398" s="10" t="inlineStr"/>
    </row>
    <row r="1399">
      <c r="A1399" s="3" t="n">
        <v>46199</v>
      </c>
      <c r="B1399" s="4">
        <f>IF($A1399="","",TEXT($A1399,"mmm-yyyy"))</f>
        <v/>
      </c>
      <c r="C1399" s="4">
        <f>IF($A1399="","","W"&amp;WEEKNUM($A1399,2))</f>
        <v/>
      </c>
      <c r="D1399" s="4">
        <f>IF($A1399="","",TEXT($A1399,"ddd"))</f>
        <v/>
      </c>
      <c r="E1399" s="4" t="inlineStr">
        <is>
          <t>Cost</t>
        </is>
      </c>
      <c r="F1399" s="4">
        <f>IFERROR(INDEX(Tbl_KPIMaster[Category],MATCH($G1399,Tbl_KPIMaster[KPI],0)),"")</f>
        <v/>
      </c>
      <c r="G1399" s="4" t="inlineStr">
        <is>
          <t>Cost per Unit</t>
        </is>
      </c>
      <c r="H1399" s="4">
        <f>IFERROR(INDEX(Tbl_KPIMaster[Unit],MATCH($G1399,Tbl_KPIMaster[KPI],0)),"")</f>
        <v/>
      </c>
      <c r="I1399" s="5">
        <f>IFERROR(INDEX(Tbl_KPIMaster[Maximum Target],MATCH($G1399,Tbl_KPIMaster[KPI],0)),"")</f>
        <v/>
      </c>
      <c r="J1399" s="5" t="n">
        <v>41.61</v>
      </c>
      <c r="K1399" s="4">
        <f>IFERROR(INDEX(Tbl_KPIMaster[Tolerance],MATCH($G1399,Tbl_KPIMaster[KPI],0)),"")</f>
        <v/>
      </c>
      <c r="L1399" s="4">
        <f>IFERROR(INDEX(Tbl_KPIMaster[Owner],MATCH($G1399,Tbl_KPIMaster[KPI],0)),"")</f>
        <v/>
      </c>
      <c r="M1399" s="6" t="inlineStr">
        <is>
          <t>Awaiting spares</t>
        </is>
      </c>
      <c r="N1399" s="4" t="inlineStr">
        <is>
          <t>Procurement follow-up</t>
        </is>
      </c>
      <c r="O1399" s="4" t="inlineStr">
        <is>
          <t>Low</t>
        </is>
      </c>
      <c r="P1399" s="4" t="inlineStr">
        <is>
          <t>In Progress</t>
        </is>
      </c>
      <c r="Q1399" s="5">
        <f>IFERROR(IF(INDEX(Tbl_KPIMaster[Direction],MATCH($G1399,Tbl_KPIMaster[KPI],0))="Lower is Better",IF($J1399=0,1,IF($I1399=0,0,$I1399/$J1399)),IF($I1399=0,1,$J1399/$I1399)),0)</f>
        <v/>
      </c>
      <c r="R1399" s="4">
        <f>IF(OR($I1399="",$J1399=""),"",$J1399-$I1399)</f>
        <v/>
      </c>
      <c r="S1399" s="4">
        <f>IFERROR(IF(INDEX(Tbl_KPIMaster[Direction],MATCH($G1399,Tbl_KPIMaster[KPI],0))="Lower is Better",IF($J1399&lt;=$I1399,"Green",IF($J1399&lt;=$I1399+IF($I1399=0,$K1399,$I1399*$K1399),"Amber","Red")),IF($J1399&gt;=$I1399,"Green",IF($J1399&gt;=$I1399-IF($I1399=0,$K1399,$I1399*$K1399),"Amber","Red"))),"")</f>
        <v/>
      </c>
      <c r="T1399" s="6" t="inlineStr"/>
    </row>
    <row r="1400">
      <c r="A1400" s="7" t="n">
        <v>46199</v>
      </c>
      <c r="B1400" s="8">
        <f>IF($A1400="","",TEXT($A1400,"mmm-yyyy"))</f>
        <v/>
      </c>
      <c r="C1400" s="8">
        <f>IF($A1400="","","W"&amp;WEEKNUM($A1400,2))</f>
        <v/>
      </c>
      <c r="D1400" s="8">
        <f>IF($A1400="","",TEXT($A1400,"ddd"))</f>
        <v/>
      </c>
      <c r="E1400" s="8" t="inlineStr">
        <is>
          <t>Cost</t>
        </is>
      </c>
      <c r="F1400" s="8">
        <f>IFERROR(INDEX(Tbl_KPIMaster[Category],MATCH($G1400,Tbl_KPIMaster[KPI],0)),"")</f>
        <v/>
      </c>
      <c r="G1400" s="8" t="inlineStr">
        <is>
          <t>Budget Variance %</t>
        </is>
      </c>
      <c r="H1400" s="8">
        <f>IFERROR(INDEX(Tbl_KPIMaster[Unit],MATCH($G1400,Tbl_KPIMaster[KPI],0)),"")</f>
        <v/>
      </c>
      <c r="I1400" s="9">
        <f>IFERROR(INDEX(Tbl_KPIMaster[Maximum Target],MATCH($G1400,Tbl_KPIMaster[KPI],0)),"")</f>
        <v/>
      </c>
      <c r="J1400" s="9" t="n">
        <v>0.2483</v>
      </c>
      <c r="K1400" s="8">
        <f>IFERROR(INDEX(Tbl_KPIMaster[Tolerance],MATCH($G1400,Tbl_KPIMaster[KPI],0)),"")</f>
        <v/>
      </c>
      <c r="L1400" s="8">
        <f>IFERROR(INDEX(Tbl_KPIMaster[Owner],MATCH($G1400,Tbl_KPIMaster[KPI],0)),"")</f>
        <v/>
      </c>
      <c r="M1400" s="10" t="inlineStr"/>
      <c r="N1400" s="8" t="inlineStr"/>
      <c r="O1400" s="8" t="inlineStr">
        <is>
          <t>Low</t>
        </is>
      </c>
      <c r="P1400" s="8" t="inlineStr">
        <is>
          <t>Closed</t>
        </is>
      </c>
      <c r="Q1400" s="9">
        <f>IFERROR(IF(INDEX(Tbl_KPIMaster[Direction],MATCH($G1400,Tbl_KPIMaster[KPI],0))="Lower is Better",IF($J1400=0,1,IF($I1400=0,0,$I1400/$J1400)),IF($I1400=0,1,$J1400/$I1400)),0)</f>
        <v/>
      </c>
      <c r="R1400" s="8">
        <f>IF(OR($I1400="",$J1400=""),"",$J1400-$I1400)</f>
        <v/>
      </c>
      <c r="S1400" s="8">
        <f>IFERROR(IF(INDEX(Tbl_KPIMaster[Direction],MATCH($G1400,Tbl_KPIMaster[KPI],0))="Lower is Better",IF($J1400&lt;=$I1400,"Green",IF($J1400&lt;=$I1400+IF($I1400=0,$K1400,$I1400*$K1400),"Amber","Red")),IF($J1400&gt;=$I1400,"Green",IF($J1400&gt;=$I1400-IF($I1400=0,$K1400,$I1400*$K1400),"Amber","Red"))),"")</f>
        <v/>
      </c>
      <c r="T1400" s="10" t="inlineStr"/>
    </row>
    <row r="1401">
      <c r="A1401" s="3" t="n">
        <v>46199</v>
      </c>
      <c r="B1401" s="4">
        <f>IF($A1401="","",TEXT($A1401,"mmm-yyyy"))</f>
        <v/>
      </c>
      <c r="C1401" s="4">
        <f>IF($A1401="","","W"&amp;WEEKNUM($A1401,2))</f>
        <v/>
      </c>
      <c r="D1401" s="4">
        <f>IF($A1401="","",TEXT($A1401,"ddd"))</f>
        <v/>
      </c>
      <c r="E1401" s="4" t="inlineStr">
        <is>
          <t>Energy</t>
        </is>
      </c>
      <c r="F1401" s="4">
        <f>IFERROR(INDEX(Tbl_KPIMaster[Category],MATCH($G1401,Tbl_KPIMaster[KPI],0)),"")</f>
        <v/>
      </c>
      <c r="G1401" s="4" t="inlineStr">
        <is>
          <t>Energy Intensity (kWh/unit)</t>
        </is>
      </c>
      <c r="H1401" s="4">
        <f>IFERROR(INDEX(Tbl_KPIMaster[Unit],MATCH($G1401,Tbl_KPIMaster[KPI],0)),"")</f>
        <v/>
      </c>
      <c r="I1401" s="5">
        <f>IFERROR(INDEX(Tbl_KPIMaster[Maximum Target],MATCH($G1401,Tbl_KPIMaster[KPI],0)),"")</f>
        <v/>
      </c>
      <c r="J1401" s="5" t="n">
        <v>2.79</v>
      </c>
      <c r="K1401" s="4">
        <f>IFERROR(INDEX(Tbl_KPIMaster[Tolerance],MATCH($G1401,Tbl_KPIMaster[KPI],0)),"")</f>
        <v/>
      </c>
      <c r="L1401" s="4">
        <f>IFERROR(INDEX(Tbl_KPIMaster[Owner],MATCH($G1401,Tbl_KPIMaster[KPI],0)),"")</f>
        <v/>
      </c>
      <c r="M1401" s="6" t="inlineStr">
        <is>
          <t>Weather impact</t>
        </is>
      </c>
      <c r="N1401" s="4" t="inlineStr"/>
      <c r="O1401" s="4" t="inlineStr">
        <is>
          <t>Medium</t>
        </is>
      </c>
      <c r="P1401" s="4" t="inlineStr">
        <is>
          <t>Closed</t>
        </is>
      </c>
      <c r="Q1401" s="5">
        <f>IFERROR(IF(INDEX(Tbl_KPIMaster[Direction],MATCH($G1401,Tbl_KPIMaster[KPI],0))="Lower is Better",IF($J1401=0,1,IF($I1401=0,0,$I1401/$J1401)),IF($I1401=0,1,$J1401/$I1401)),0)</f>
        <v/>
      </c>
      <c r="R1401" s="4">
        <f>IF(OR($I1401="",$J1401=""),"",$J1401-$I1401)</f>
        <v/>
      </c>
      <c r="S1401" s="4">
        <f>IFERROR(IF(INDEX(Tbl_KPIMaster[Direction],MATCH($G1401,Tbl_KPIMaster[KPI],0))="Lower is Better",IF($J1401&lt;=$I1401,"Green",IF($J1401&lt;=$I1401+IF($I1401=0,$K1401,$I1401*$K1401),"Amber","Red")),IF($J1401&gt;=$I1401,"Green",IF($J1401&gt;=$I1401-IF($I1401=0,$K1401,$I1401*$K1401),"Amber","Red"))),"")</f>
        <v/>
      </c>
      <c r="T1401" s="6" t="inlineStr"/>
    </row>
    <row r="1402">
      <c r="A1402" s="7" t="n">
        <v>46199</v>
      </c>
      <c r="B1402" s="8">
        <f>IF($A1402="","",TEXT($A1402,"mmm-yyyy"))</f>
        <v/>
      </c>
      <c r="C1402" s="8">
        <f>IF($A1402="","","W"&amp;WEEKNUM($A1402,2))</f>
        <v/>
      </c>
      <c r="D1402" s="8">
        <f>IF($A1402="","",TEXT($A1402,"ddd"))</f>
        <v/>
      </c>
      <c r="E1402" s="8" t="inlineStr">
        <is>
          <t>Energy</t>
        </is>
      </c>
      <c r="F1402" s="8">
        <f>IFERROR(INDEX(Tbl_KPIMaster[Category],MATCH($G1402,Tbl_KPIMaster[KPI],0)),"")</f>
        <v/>
      </c>
      <c r="G1402" s="8" t="inlineStr">
        <is>
          <t>Renewable Energy Share %</t>
        </is>
      </c>
      <c r="H1402" s="8">
        <f>IFERROR(INDEX(Tbl_KPIMaster[Unit],MATCH($G1402,Tbl_KPIMaster[KPI],0)),"")</f>
        <v/>
      </c>
      <c r="I1402" s="9">
        <f>IFERROR(INDEX(Tbl_KPIMaster[Maximum Target],MATCH($G1402,Tbl_KPIMaster[KPI],0)),"")</f>
        <v/>
      </c>
      <c r="J1402" s="9" t="n">
        <v>0.2326</v>
      </c>
      <c r="K1402" s="8">
        <f>IFERROR(INDEX(Tbl_KPIMaster[Tolerance],MATCH($G1402,Tbl_KPIMaster[KPI],0)),"")</f>
        <v/>
      </c>
      <c r="L1402" s="8">
        <f>IFERROR(INDEX(Tbl_KPIMaster[Owner],MATCH($G1402,Tbl_KPIMaster[KPI],0)),"")</f>
        <v/>
      </c>
      <c r="M1402" s="10" t="inlineStr">
        <is>
          <t>Equipment breakdown</t>
        </is>
      </c>
      <c r="N1402" s="8" t="inlineStr">
        <is>
          <t>Engineering support needed</t>
        </is>
      </c>
      <c r="O1402" s="8" t="inlineStr">
        <is>
          <t>Medium</t>
        </is>
      </c>
      <c r="P1402" s="8" t="inlineStr">
        <is>
          <t>Closed</t>
        </is>
      </c>
      <c r="Q1402" s="9">
        <f>IFERROR(IF(INDEX(Tbl_KPIMaster[Direction],MATCH($G1402,Tbl_KPIMaster[KPI],0))="Lower is Better",IF($J1402=0,1,IF($I1402=0,0,$I1402/$J1402)),IF($I1402=0,1,$J1402/$I1402)),0)</f>
        <v/>
      </c>
      <c r="R1402" s="8">
        <f>IF(OR($I1402="",$J1402=""),"",$J1402-$I1402)</f>
        <v/>
      </c>
      <c r="S1402" s="8">
        <f>IFERROR(IF(INDEX(Tbl_KPIMaster[Direction],MATCH($G1402,Tbl_KPIMaster[KPI],0))="Lower is Better",IF($J1402&lt;=$I1402,"Green",IF($J1402&lt;=$I1402+IF($I1402=0,$K1402,$I1402*$K1402),"Amber","Red")),IF($J1402&gt;=$I1402,"Green",IF($J1402&gt;=$I1402-IF($I1402=0,$K1402,$I1402*$K1402),"Amber","Red"))),"")</f>
        <v/>
      </c>
      <c r="T1402" s="10" t="inlineStr"/>
    </row>
    <row r="1403">
      <c r="A1403" s="3" t="n">
        <v>46200</v>
      </c>
      <c r="B1403" s="4">
        <f>IF($A1403="","",TEXT($A1403,"mmm-yyyy"))</f>
        <v/>
      </c>
      <c r="C1403" s="4">
        <f>IF($A1403="","","W"&amp;WEEKNUM($A1403,2))</f>
        <v/>
      </c>
      <c r="D1403" s="4">
        <f>IF($A1403="","",TEXT($A1403,"ddd"))</f>
        <v/>
      </c>
      <c r="E1403" s="4" t="inlineStr">
        <is>
          <t>Safety</t>
        </is>
      </c>
      <c r="F1403" s="4">
        <f>IFERROR(INDEX(Tbl_KPIMaster[Category],MATCH($G1403,Tbl_KPIMaster[KPI],0)),"")</f>
        <v/>
      </c>
      <c r="G1403" s="4" t="inlineStr">
        <is>
          <t>Safety Incidents (LTI)</t>
        </is>
      </c>
      <c r="H1403" s="4">
        <f>IFERROR(INDEX(Tbl_KPIMaster[Unit],MATCH($G1403,Tbl_KPIMaster[KPI],0)),"")</f>
        <v/>
      </c>
      <c r="I1403" s="5">
        <f>IFERROR(INDEX(Tbl_KPIMaster[Maximum Target],MATCH($G1403,Tbl_KPIMaster[KPI],0)),"")</f>
        <v/>
      </c>
      <c r="J1403" s="5" t="n">
        <v>0</v>
      </c>
      <c r="K1403" s="4">
        <f>IFERROR(INDEX(Tbl_KPIMaster[Tolerance],MATCH($G1403,Tbl_KPIMaster[KPI],0)),"")</f>
        <v/>
      </c>
      <c r="L1403" s="4">
        <f>IFERROR(INDEX(Tbl_KPIMaster[Owner],MATCH($G1403,Tbl_KPIMaster[KPI],0)),"")</f>
        <v/>
      </c>
      <c r="M1403" s="6" t="inlineStr">
        <is>
          <t>Awaiting spares</t>
        </is>
      </c>
      <c r="N1403" s="4" t="inlineStr">
        <is>
          <t>Procurement follow-up</t>
        </is>
      </c>
      <c r="O1403" s="4" t="inlineStr">
        <is>
          <t>Medium</t>
        </is>
      </c>
      <c r="P1403" s="4" t="inlineStr">
        <is>
          <t>Closed</t>
        </is>
      </c>
      <c r="Q1403" s="5">
        <f>IFERROR(IF(INDEX(Tbl_KPIMaster[Direction],MATCH($G1403,Tbl_KPIMaster[KPI],0))="Lower is Better",IF($J1403=0,1,IF($I1403=0,0,$I1403/$J1403)),IF($I1403=0,1,$J1403/$I1403)),0)</f>
        <v/>
      </c>
      <c r="R1403" s="4">
        <f>IF(OR($I1403="",$J1403=""),"",$J1403-$I1403)</f>
        <v/>
      </c>
      <c r="S1403" s="4">
        <f>IFERROR(IF(INDEX(Tbl_KPIMaster[Direction],MATCH($G1403,Tbl_KPIMaster[KPI],0))="Lower is Better",IF($J1403&lt;=$I1403,"Green",IF($J1403&lt;=$I1403+IF($I1403=0,$K1403,$I1403*$K1403),"Amber","Red")),IF($J1403&gt;=$I1403,"Green",IF($J1403&gt;=$I1403-IF($I1403=0,$K1403,$I1403*$K1403),"Amber","Red"))),"")</f>
        <v/>
      </c>
      <c r="T1403" s="6" t="inlineStr"/>
    </row>
    <row r="1404">
      <c r="A1404" s="7" t="n">
        <v>46200</v>
      </c>
      <c r="B1404" s="8">
        <f>IF($A1404="","",TEXT($A1404,"mmm-yyyy"))</f>
        <v/>
      </c>
      <c r="C1404" s="8">
        <f>IF($A1404="","","W"&amp;WEEKNUM($A1404,2))</f>
        <v/>
      </c>
      <c r="D1404" s="8">
        <f>IF($A1404="","",TEXT($A1404,"ddd"))</f>
        <v/>
      </c>
      <c r="E1404" s="8" t="inlineStr">
        <is>
          <t>Safety</t>
        </is>
      </c>
      <c r="F1404" s="8">
        <f>IFERROR(INDEX(Tbl_KPIMaster[Category],MATCH($G1404,Tbl_KPIMaster[KPI],0)),"")</f>
        <v/>
      </c>
      <c r="G1404" s="8" t="inlineStr">
        <is>
          <t>Near Miss Reports</t>
        </is>
      </c>
      <c r="H1404" s="8">
        <f>IFERROR(INDEX(Tbl_KPIMaster[Unit],MATCH($G1404,Tbl_KPIMaster[KPI],0)),"")</f>
        <v/>
      </c>
      <c r="I1404" s="9">
        <f>IFERROR(INDEX(Tbl_KPIMaster[Maximum Target],MATCH($G1404,Tbl_KPIMaster[KPI],0)),"")</f>
        <v/>
      </c>
      <c r="J1404" s="9" t="n">
        <v>2</v>
      </c>
      <c r="K1404" s="8">
        <f>IFERROR(INDEX(Tbl_KPIMaster[Tolerance],MATCH($G1404,Tbl_KPIMaster[KPI],0)),"")</f>
        <v/>
      </c>
      <c r="L1404" s="8">
        <f>IFERROR(INDEX(Tbl_KPIMaster[Owner],MATCH($G1404,Tbl_KPIMaster[KPI],0)),"")</f>
        <v/>
      </c>
      <c r="M1404" s="10" t="inlineStr">
        <is>
          <t>Line changeover impact</t>
        </is>
      </c>
      <c r="N1404" s="8" t="inlineStr">
        <is>
          <t>Management approval pending</t>
        </is>
      </c>
      <c r="O1404" s="8" t="inlineStr">
        <is>
          <t>High</t>
        </is>
      </c>
      <c r="P1404" s="8" t="inlineStr">
        <is>
          <t>Closed</t>
        </is>
      </c>
      <c r="Q1404" s="9">
        <f>IFERROR(IF(INDEX(Tbl_KPIMaster[Direction],MATCH($G1404,Tbl_KPIMaster[KPI],0))="Lower is Better",IF($J1404=0,1,IF($I1404=0,0,$I1404/$J1404)),IF($I1404=0,1,$J1404/$I1404)),0)</f>
        <v/>
      </c>
      <c r="R1404" s="8">
        <f>IF(OR($I1404="",$J1404=""),"",$J1404-$I1404)</f>
        <v/>
      </c>
      <c r="S1404" s="8">
        <f>IFERROR(IF(INDEX(Tbl_KPIMaster[Direction],MATCH($G1404,Tbl_KPIMaster[KPI],0))="Lower is Better",IF($J1404&lt;=$I1404,"Green",IF($J1404&lt;=$I1404+IF($I1404=0,$K1404,$I1404*$K1404),"Amber","Red")),IF($J1404&gt;=$I1404,"Green",IF($J1404&gt;=$I1404-IF($I1404=0,$K1404,$I1404*$K1404),"Amber","Red"))),"")</f>
        <v/>
      </c>
      <c r="T1404" s="10" t="inlineStr"/>
    </row>
    <row r="1405">
      <c r="A1405" s="3" t="n">
        <v>46200</v>
      </c>
      <c r="B1405" s="4">
        <f>IF($A1405="","",TEXT($A1405,"mmm-yyyy"))</f>
        <v/>
      </c>
      <c r="C1405" s="4">
        <f>IF($A1405="","","W"&amp;WEEKNUM($A1405,2))</f>
        <v/>
      </c>
      <c r="D1405" s="4">
        <f>IF($A1405="","",TEXT($A1405,"ddd"))</f>
        <v/>
      </c>
      <c r="E1405" s="4" t="inlineStr">
        <is>
          <t>Production</t>
        </is>
      </c>
      <c r="F1405" s="4">
        <f>IFERROR(INDEX(Tbl_KPIMaster[Category],MATCH($G1405,Tbl_KPIMaster[KPI],0)),"")</f>
        <v/>
      </c>
      <c r="G1405" s="4" t="inlineStr">
        <is>
          <t>Production Output</t>
        </is>
      </c>
      <c r="H1405" s="4">
        <f>IFERROR(INDEX(Tbl_KPIMaster[Unit],MATCH($G1405,Tbl_KPIMaster[KPI],0)),"")</f>
        <v/>
      </c>
      <c r="I1405" s="5">
        <f>IFERROR(INDEX(Tbl_KPIMaster[Maximum Target],MATCH($G1405,Tbl_KPIMaster[KPI],0)),"")</f>
        <v/>
      </c>
      <c r="J1405" s="5" t="n">
        <v>1085.61</v>
      </c>
      <c r="K1405" s="4">
        <f>IFERROR(INDEX(Tbl_KPIMaster[Tolerance],MATCH($G1405,Tbl_KPIMaster[KPI],0)),"")</f>
        <v/>
      </c>
      <c r="L1405" s="4">
        <f>IFERROR(INDEX(Tbl_KPIMaster[Owner],MATCH($G1405,Tbl_KPIMaster[KPI],0)),"")</f>
        <v/>
      </c>
      <c r="M1405" s="6" t="inlineStr">
        <is>
          <t>Manpower shortage</t>
        </is>
      </c>
      <c r="N1405" s="4" t="inlineStr"/>
      <c r="O1405" s="4" t="inlineStr">
        <is>
          <t>Low</t>
        </is>
      </c>
      <c r="P1405" s="4" t="inlineStr">
        <is>
          <t>In Progress</t>
        </is>
      </c>
      <c r="Q1405" s="5">
        <f>IFERROR(IF(INDEX(Tbl_KPIMaster[Direction],MATCH($G1405,Tbl_KPIMaster[KPI],0))="Lower is Better",IF($J1405=0,1,IF($I1405=0,0,$I1405/$J1405)),IF($I1405=0,1,$J1405/$I1405)),0)</f>
        <v/>
      </c>
      <c r="R1405" s="4">
        <f>IF(OR($I1405="",$J1405=""),"",$J1405-$I1405)</f>
        <v/>
      </c>
      <c r="S1405" s="4">
        <f>IFERROR(IF(INDEX(Tbl_KPIMaster[Direction],MATCH($G1405,Tbl_KPIMaster[KPI],0))="Lower is Better",IF($J1405&lt;=$I1405,"Green",IF($J1405&lt;=$I1405+IF($I1405=0,$K1405,$I1405*$K1405),"Amber","Red")),IF($J1405&gt;=$I1405,"Green",IF($J1405&gt;=$I1405-IF($I1405=0,$K1405,$I1405*$K1405),"Amber","Red"))),"")</f>
        <v/>
      </c>
      <c r="T1405" s="6" t="inlineStr"/>
    </row>
    <row r="1406">
      <c r="A1406" s="7" t="n">
        <v>46200</v>
      </c>
      <c r="B1406" s="8">
        <f>IF($A1406="","",TEXT($A1406,"mmm-yyyy"))</f>
        <v/>
      </c>
      <c r="C1406" s="8">
        <f>IF($A1406="","","W"&amp;WEEKNUM($A1406,2))</f>
        <v/>
      </c>
      <c r="D1406" s="8">
        <f>IF($A1406="","",TEXT($A1406,"ddd"))</f>
        <v/>
      </c>
      <c r="E1406" s="8" t="inlineStr">
        <is>
          <t>Production</t>
        </is>
      </c>
      <c r="F1406" s="8">
        <f>IFERROR(INDEX(Tbl_KPIMaster[Category],MATCH($G1406,Tbl_KPIMaster[KPI],0)),"")</f>
        <v/>
      </c>
      <c r="G1406" s="8" t="inlineStr">
        <is>
          <t>OEE %</t>
        </is>
      </c>
      <c r="H1406" s="8">
        <f>IFERROR(INDEX(Tbl_KPIMaster[Unit],MATCH($G1406,Tbl_KPIMaster[KPI],0)),"")</f>
        <v/>
      </c>
      <c r="I1406" s="9">
        <f>IFERROR(INDEX(Tbl_KPIMaster[Maximum Target],MATCH($G1406,Tbl_KPIMaster[KPI],0)),"")</f>
        <v/>
      </c>
      <c r="J1406" s="9" t="n">
        <v>0.7102000000000001</v>
      </c>
      <c r="K1406" s="8">
        <f>IFERROR(INDEX(Tbl_KPIMaster[Tolerance],MATCH($G1406,Tbl_KPIMaster[KPI],0)),"")</f>
        <v/>
      </c>
      <c r="L1406" s="8">
        <f>IFERROR(INDEX(Tbl_KPIMaster[Owner],MATCH($G1406,Tbl_KPIMaster[KPI],0)),"")</f>
        <v/>
      </c>
      <c r="M1406" s="10" t="inlineStr">
        <is>
          <t>Vendor delay</t>
        </is>
      </c>
      <c r="N1406" s="8" t="inlineStr">
        <is>
          <t>Procurement follow-up</t>
        </is>
      </c>
      <c r="O1406" s="8" t="inlineStr">
        <is>
          <t>Medium</t>
        </is>
      </c>
      <c r="P1406" s="8" t="inlineStr">
        <is>
          <t>Closed</t>
        </is>
      </c>
      <c r="Q1406" s="9">
        <f>IFERROR(IF(INDEX(Tbl_KPIMaster[Direction],MATCH($G1406,Tbl_KPIMaster[KPI],0))="Lower is Better",IF($J1406=0,1,IF($I1406=0,0,$I1406/$J1406)),IF($I1406=0,1,$J1406/$I1406)),0)</f>
        <v/>
      </c>
      <c r="R1406" s="8">
        <f>IF(OR($I1406="",$J1406=""),"",$J1406-$I1406)</f>
        <v/>
      </c>
      <c r="S1406" s="8">
        <f>IFERROR(IF(INDEX(Tbl_KPIMaster[Direction],MATCH($G1406,Tbl_KPIMaster[KPI],0))="Lower is Better",IF($J1406&lt;=$I1406,"Green",IF($J1406&lt;=$I1406+IF($I1406=0,$K1406,$I1406*$K1406),"Amber","Red")),IF($J1406&gt;=$I1406,"Green",IF($J1406&gt;=$I1406-IF($I1406=0,$K1406,$I1406*$K1406),"Amber","Red"))),"")</f>
        <v/>
      </c>
      <c r="T1406" s="10" t="inlineStr"/>
    </row>
    <row r="1407">
      <c r="A1407" s="3" t="n">
        <v>46200</v>
      </c>
      <c r="B1407" s="4">
        <f>IF($A1407="","",TEXT($A1407,"mmm-yyyy"))</f>
        <v/>
      </c>
      <c r="C1407" s="4">
        <f>IF($A1407="","","W"&amp;WEEKNUM($A1407,2))</f>
        <v/>
      </c>
      <c r="D1407" s="4">
        <f>IF($A1407="","",TEXT($A1407,"ddd"))</f>
        <v/>
      </c>
      <c r="E1407" s="4" t="inlineStr">
        <is>
          <t>Quality</t>
        </is>
      </c>
      <c r="F1407" s="4">
        <f>IFERROR(INDEX(Tbl_KPIMaster[Category],MATCH($G1407,Tbl_KPIMaster[KPI],0)),"")</f>
        <v/>
      </c>
      <c r="G1407" s="4" t="inlineStr">
        <is>
          <t>Defect Rate %</t>
        </is>
      </c>
      <c r="H1407" s="4">
        <f>IFERROR(INDEX(Tbl_KPIMaster[Unit],MATCH($G1407,Tbl_KPIMaster[KPI],0)),"")</f>
        <v/>
      </c>
      <c r="I1407" s="5">
        <f>IFERROR(INDEX(Tbl_KPIMaster[Maximum Target],MATCH($G1407,Tbl_KPIMaster[KPI],0)),"")</f>
        <v/>
      </c>
      <c r="J1407" s="5" t="n">
        <v>0</v>
      </c>
      <c r="K1407" s="4">
        <f>IFERROR(INDEX(Tbl_KPIMaster[Tolerance],MATCH($G1407,Tbl_KPIMaster[KPI],0)),"")</f>
        <v/>
      </c>
      <c r="L1407" s="4">
        <f>IFERROR(INDEX(Tbl_KPIMaster[Owner],MATCH($G1407,Tbl_KPIMaster[KPI],0)),"")</f>
        <v/>
      </c>
      <c r="M1407" s="6" t="inlineStr">
        <is>
          <t>Preventive check done</t>
        </is>
      </c>
      <c r="N1407" s="4" t="inlineStr"/>
      <c r="O1407" s="4" t="inlineStr">
        <is>
          <t>Medium</t>
        </is>
      </c>
      <c r="P1407" s="4" t="inlineStr">
        <is>
          <t>Closed</t>
        </is>
      </c>
      <c r="Q1407" s="5">
        <f>IFERROR(IF(INDEX(Tbl_KPIMaster[Direction],MATCH($G1407,Tbl_KPIMaster[KPI],0))="Lower is Better",IF($J1407=0,1,IF($I1407=0,0,$I1407/$J1407)),IF($I1407=0,1,$J1407/$I1407)),0)</f>
        <v/>
      </c>
      <c r="R1407" s="4">
        <f>IF(OR($I1407="",$J1407=""),"",$J1407-$I1407)</f>
        <v/>
      </c>
      <c r="S1407" s="4">
        <f>IFERROR(IF(INDEX(Tbl_KPIMaster[Direction],MATCH($G1407,Tbl_KPIMaster[KPI],0))="Lower is Better",IF($J1407&lt;=$I1407,"Green",IF($J1407&lt;=$I1407+IF($I1407=0,$K1407,$I1407*$K1407),"Amber","Red")),IF($J1407&gt;=$I1407,"Green",IF($J1407&gt;=$I1407-IF($I1407=0,$K1407,$I1407*$K1407),"Amber","Red"))),"")</f>
        <v/>
      </c>
      <c r="T1407" s="6" t="inlineStr"/>
    </row>
    <row r="1408">
      <c r="A1408" s="7" t="n">
        <v>46200</v>
      </c>
      <c r="B1408" s="8">
        <f>IF($A1408="","",TEXT($A1408,"mmm-yyyy"))</f>
        <v/>
      </c>
      <c r="C1408" s="8">
        <f>IF($A1408="","","W"&amp;WEEKNUM($A1408,2))</f>
        <v/>
      </c>
      <c r="D1408" s="8">
        <f>IF($A1408="","",TEXT($A1408,"ddd"))</f>
        <v/>
      </c>
      <c r="E1408" s="8" t="inlineStr">
        <is>
          <t>Quality</t>
        </is>
      </c>
      <c r="F1408" s="8">
        <f>IFERROR(INDEX(Tbl_KPIMaster[Category],MATCH($G1408,Tbl_KPIMaster[KPI],0)),"")</f>
        <v/>
      </c>
      <c r="G1408" s="8" t="inlineStr">
        <is>
          <t>Customer Complaints</t>
        </is>
      </c>
      <c r="H1408" s="8">
        <f>IFERROR(INDEX(Tbl_KPIMaster[Unit],MATCH($G1408,Tbl_KPIMaster[KPI],0)),"")</f>
        <v/>
      </c>
      <c r="I1408" s="9">
        <f>IFERROR(INDEX(Tbl_KPIMaster[Maximum Target],MATCH($G1408,Tbl_KPIMaster[KPI],0)),"")</f>
        <v/>
      </c>
      <c r="J1408" s="9" t="n">
        <v>0</v>
      </c>
      <c r="K1408" s="8">
        <f>IFERROR(INDEX(Tbl_KPIMaster[Tolerance],MATCH($G1408,Tbl_KPIMaster[KPI],0)),"")</f>
        <v/>
      </c>
      <c r="L1408" s="8">
        <f>IFERROR(INDEX(Tbl_KPIMaster[Owner],MATCH($G1408,Tbl_KPIMaster[KPI],0)),"")</f>
        <v/>
      </c>
      <c r="M1408" s="10" t="inlineStr">
        <is>
          <t>Weather impact</t>
        </is>
      </c>
      <c r="N1408" s="8" t="inlineStr"/>
      <c r="O1408" s="8" t="inlineStr">
        <is>
          <t>Low</t>
        </is>
      </c>
      <c r="P1408" s="8" t="inlineStr">
        <is>
          <t>Open</t>
        </is>
      </c>
      <c r="Q1408" s="9">
        <f>IFERROR(IF(INDEX(Tbl_KPIMaster[Direction],MATCH($G1408,Tbl_KPIMaster[KPI],0))="Lower is Better",IF($J1408=0,1,IF($I1408=0,0,$I1408/$J1408)),IF($I1408=0,1,$J1408/$I1408)),0)</f>
        <v/>
      </c>
      <c r="R1408" s="8">
        <f>IF(OR($I1408="",$J1408=""),"",$J1408-$I1408)</f>
        <v/>
      </c>
      <c r="S1408" s="8">
        <f>IFERROR(IF(INDEX(Tbl_KPIMaster[Direction],MATCH($G1408,Tbl_KPIMaster[KPI],0))="Lower is Better",IF($J1408&lt;=$I1408,"Green",IF($J1408&lt;=$I1408+IF($I1408=0,$K1408,$I1408*$K1408),"Amber","Red")),IF($J1408&gt;=$I1408,"Green",IF($J1408&gt;=$I1408-IF($I1408=0,$K1408,$I1408*$K1408),"Amber","Red"))),"")</f>
        <v/>
      </c>
      <c r="T1408" s="10" t="inlineStr"/>
    </row>
    <row r="1409">
      <c r="A1409" s="3" t="n">
        <v>46200</v>
      </c>
      <c r="B1409" s="4">
        <f>IF($A1409="","",TEXT($A1409,"mmm-yyyy"))</f>
        <v/>
      </c>
      <c r="C1409" s="4">
        <f>IF($A1409="","","W"&amp;WEEKNUM($A1409,2))</f>
        <v/>
      </c>
      <c r="D1409" s="4">
        <f>IF($A1409="","",TEXT($A1409,"ddd"))</f>
        <v/>
      </c>
      <c r="E1409" s="4" t="inlineStr">
        <is>
          <t>Maintenance</t>
        </is>
      </c>
      <c r="F1409" s="4">
        <f>IFERROR(INDEX(Tbl_KPIMaster[Category],MATCH($G1409,Tbl_KPIMaster[KPI],0)),"")</f>
        <v/>
      </c>
      <c r="G1409" s="4" t="inlineStr">
        <is>
          <t>Unplanned Downtime</t>
        </is>
      </c>
      <c r="H1409" s="4">
        <f>IFERROR(INDEX(Tbl_KPIMaster[Unit],MATCH($G1409,Tbl_KPIMaster[KPI],0)),"")</f>
        <v/>
      </c>
      <c r="I1409" s="5">
        <f>IFERROR(INDEX(Tbl_KPIMaster[Maximum Target],MATCH($G1409,Tbl_KPIMaster[KPI],0)),"")</f>
        <v/>
      </c>
      <c r="J1409" s="5" t="n">
        <v>0</v>
      </c>
      <c r="K1409" s="4">
        <f>IFERROR(INDEX(Tbl_KPIMaster[Tolerance],MATCH($G1409,Tbl_KPIMaster[KPI],0)),"")</f>
        <v/>
      </c>
      <c r="L1409" s="4">
        <f>IFERROR(INDEX(Tbl_KPIMaster[Owner],MATCH($G1409,Tbl_KPIMaster[KPI],0)),"")</f>
        <v/>
      </c>
      <c r="M1409" s="6" t="inlineStr">
        <is>
          <t>Vendor delay</t>
        </is>
      </c>
      <c r="N1409" s="4" t="inlineStr">
        <is>
          <t>Engineering support needed</t>
        </is>
      </c>
      <c r="O1409" s="4" t="inlineStr">
        <is>
          <t>Low</t>
        </is>
      </c>
      <c r="P1409" s="4" t="inlineStr">
        <is>
          <t>In Progress</t>
        </is>
      </c>
      <c r="Q1409" s="5">
        <f>IFERROR(IF(INDEX(Tbl_KPIMaster[Direction],MATCH($G1409,Tbl_KPIMaster[KPI],0))="Lower is Better",IF($J1409=0,1,IF($I1409=0,0,$I1409/$J1409)),IF($I1409=0,1,$J1409/$I1409)),0)</f>
        <v/>
      </c>
      <c r="R1409" s="4">
        <f>IF(OR($I1409="",$J1409=""),"",$J1409-$I1409)</f>
        <v/>
      </c>
      <c r="S1409" s="4">
        <f>IFERROR(IF(INDEX(Tbl_KPIMaster[Direction],MATCH($G1409,Tbl_KPIMaster[KPI],0))="Lower is Better",IF($J1409&lt;=$I1409,"Green",IF($J1409&lt;=$I1409+IF($I1409=0,$K1409,$I1409*$K1409),"Amber","Red")),IF($J1409&gt;=$I1409,"Green",IF($J1409&gt;=$I1409-IF($I1409=0,$K1409,$I1409*$K1409),"Amber","Red"))),"")</f>
        <v/>
      </c>
      <c r="T1409" s="6" t="inlineStr"/>
    </row>
    <row r="1410">
      <c r="A1410" s="7" t="n">
        <v>46200</v>
      </c>
      <c r="B1410" s="8">
        <f>IF($A1410="","",TEXT($A1410,"mmm-yyyy"))</f>
        <v/>
      </c>
      <c r="C1410" s="8">
        <f>IF($A1410="","","W"&amp;WEEKNUM($A1410,2))</f>
        <v/>
      </c>
      <c r="D1410" s="8">
        <f>IF($A1410="","",TEXT($A1410,"ddd"))</f>
        <v/>
      </c>
      <c r="E1410" s="8" t="inlineStr">
        <is>
          <t>Maintenance</t>
        </is>
      </c>
      <c r="F1410" s="8">
        <f>IFERROR(INDEX(Tbl_KPIMaster[Category],MATCH($G1410,Tbl_KPIMaster[KPI],0)),"")</f>
        <v/>
      </c>
      <c r="G1410" s="8" t="inlineStr">
        <is>
          <t>PM Compliance %</t>
        </is>
      </c>
      <c r="H1410" s="8">
        <f>IFERROR(INDEX(Tbl_KPIMaster[Unit],MATCH($G1410,Tbl_KPIMaster[KPI],0)),"")</f>
        <v/>
      </c>
      <c r="I1410" s="9">
        <f>IFERROR(INDEX(Tbl_KPIMaster[Maximum Target],MATCH($G1410,Tbl_KPIMaster[KPI],0)),"")</f>
        <v/>
      </c>
      <c r="J1410" s="9" t="n">
        <v>0.9848</v>
      </c>
      <c r="K1410" s="8">
        <f>IFERROR(INDEX(Tbl_KPIMaster[Tolerance],MATCH($G1410,Tbl_KPIMaster[KPI],0)),"")</f>
        <v/>
      </c>
      <c r="L1410" s="8">
        <f>IFERROR(INDEX(Tbl_KPIMaster[Owner],MATCH($G1410,Tbl_KPIMaster[KPI],0)),"")</f>
        <v/>
      </c>
      <c r="M1410" s="10" t="inlineStr"/>
      <c r="N1410" s="8" t="inlineStr">
        <is>
          <t>Engineering support needed</t>
        </is>
      </c>
      <c r="O1410" s="8" t="inlineStr">
        <is>
          <t>High</t>
        </is>
      </c>
      <c r="P1410" s="8" t="inlineStr">
        <is>
          <t>Closed</t>
        </is>
      </c>
      <c r="Q1410" s="9">
        <f>IFERROR(IF(INDEX(Tbl_KPIMaster[Direction],MATCH($G1410,Tbl_KPIMaster[KPI],0))="Lower is Better",IF($J1410=0,1,IF($I1410=0,0,$I1410/$J1410)),IF($I1410=0,1,$J1410/$I1410)),0)</f>
        <v/>
      </c>
      <c r="R1410" s="8">
        <f>IF(OR($I1410="",$J1410=""),"",$J1410-$I1410)</f>
        <v/>
      </c>
      <c r="S1410" s="8">
        <f>IFERROR(IF(INDEX(Tbl_KPIMaster[Direction],MATCH($G1410,Tbl_KPIMaster[KPI],0))="Lower is Better",IF($J1410&lt;=$I1410,"Green",IF($J1410&lt;=$I1410+IF($I1410=0,$K1410,$I1410*$K1410),"Amber","Red")),IF($J1410&gt;=$I1410,"Green",IF($J1410&gt;=$I1410-IF($I1410=0,$K1410,$I1410*$K1410),"Amber","Red"))),"")</f>
        <v/>
      </c>
      <c r="T1410" s="10" t="inlineStr"/>
    </row>
    <row r="1411">
      <c r="A1411" s="3" t="n">
        <v>46200</v>
      </c>
      <c r="B1411" s="4">
        <f>IF($A1411="","",TEXT($A1411,"mmm-yyyy"))</f>
        <v/>
      </c>
      <c r="C1411" s="4">
        <f>IF($A1411="","","W"&amp;WEEKNUM($A1411,2))</f>
        <v/>
      </c>
      <c r="D1411" s="4">
        <f>IF($A1411="","",TEXT($A1411,"ddd"))</f>
        <v/>
      </c>
      <c r="E1411" s="4" t="inlineStr">
        <is>
          <t>Utilities</t>
        </is>
      </c>
      <c r="F1411" s="4">
        <f>IFERROR(INDEX(Tbl_KPIMaster[Category],MATCH($G1411,Tbl_KPIMaster[KPI],0)),"")</f>
        <v/>
      </c>
      <c r="G1411" s="4" t="inlineStr">
        <is>
          <t>Power Consumption</t>
        </is>
      </c>
      <c r="H1411" s="4">
        <f>IFERROR(INDEX(Tbl_KPIMaster[Unit],MATCH($G1411,Tbl_KPIMaster[KPI],0)),"")</f>
        <v/>
      </c>
      <c r="I1411" s="5">
        <f>IFERROR(INDEX(Tbl_KPIMaster[Maximum Target],MATCH($G1411,Tbl_KPIMaster[KPI],0)),"")</f>
        <v/>
      </c>
      <c r="J1411" s="5" t="n">
        <v>4479.36</v>
      </c>
      <c r="K1411" s="4">
        <f>IFERROR(INDEX(Tbl_KPIMaster[Tolerance],MATCH($G1411,Tbl_KPIMaster[KPI],0)),"")</f>
        <v/>
      </c>
      <c r="L1411" s="4">
        <f>IFERROR(INDEX(Tbl_KPIMaster[Owner],MATCH($G1411,Tbl_KPIMaster[KPI],0)),"")</f>
        <v/>
      </c>
      <c r="M1411" s="6" t="inlineStr">
        <is>
          <t>Manpower shortage</t>
        </is>
      </c>
      <c r="N1411" s="4" t="inlineStr"/>
      <c r="O1411" s="4" t="inlineStr">
        <is>
          <t>Medium</t>
        </is>
      </c>
      <c r="P1411" s="4" t="inlineStr">
        <is>
          <t>Closed</t>
        </is>
      </c>
      <c r="Q1411" s="5">
        <f>IFERROR(IF(INDEX(Tbl_KPIMaster[Direction],MATCH($G1411,Tbl_KPIMaster[KPI],0))="Lower is Better",IF($J1411=0,1,IF($I1411=0,0,$I1411/$J1411)),IF($I1411=0,1,$J1411/$I1411)),0)</f>
        <v/>
      </c>
      <c r="R1411" s="4">
        <f>IF(OR($I1411="",$J1411=""),"",$J1411-$I1411)</f>
        <v/>
      </c>
      <c r="S1411" s="4">
        <f>IFERROR(IF(INDEX(Tbl_KPIMaster[Direction],MATCH($G1411,Tbl_KPIMaster[KPI],0))="Lower is Better",IF($J1411&lt;=$I1411,"Green",IF($J1411&lt;=$I1411+IF($I1411=0,$K1411,$I1411*$K1411),"Amber","Red")),IF($J1411&gt;=$I1411,"Green",IF($J1411&gt;=$I1411-IF($I1411=0,$K1411,$I1411*$K1411),"Amber","Red"))),"")</f>
        <v/>
      </c>
      <c r="T1411" s="6" t="inlineStr"/>
    </row>
    <row r="1412">
      <c r="A1412" s="7" t="n">
        <v>46200</v>
      </c>
      <c r="B1412" s="8">
        <f>IF($A1412="","",TEXT($A1412,"mmm-yyyy"))</f>
        <v/>
      </c>
      <c r="C1412" s="8">
        <f>IF($A1412="","","W"&amp;WEEKNUM($A1412,2))</f>
        <v/>
      </c>
      <c r="D1412" s="8">
        <f>IF($A1412="","",TEXT($A1412,"ddd"))</f>
        <v/>
      </c>
      <c r="E1412" s="8" t="inlineStr">
        <is>
          <t>Utilities</t>
        </is>
      </c>
      <c r="F1412" s="8">
        <f>IFERROR(INDEX(Tbl_KPIMaster[Category],MATCH($G1412,Tbl_KPIMaster[KPI],0)),"")</f>
        <v/>
      </c>
      <c r="G1412" s="8" t="inlineStr">
        <is>
          <t>Water Consumption</t>
        </is>
      </c>
      <c r="H1412" s="8">
        <f>IFERROR(INDEX(Tbl_KPIMaster[Unit],MATCH($G1412,Tbl_KPIMaster[KPI],0)),"")</f>
        <v/>
      </c>
      <c r="I1412" s="9">
        <f>IFERROR(INDEX(Tbl_KPIMaster[Maximum Target],MATCH($G1412,Tbl_KPIMaster[KPI],0)),"")</f>
        <v/>
      </c>
      <c r="J1412" s="9" t="n">
        <v>51.19</v>
      </c>
      <c r="K1412" s="8">
        <f>IFERROR(INDEX(Tbl_KPIMaster[Tolerance],MATCH($G1412,Tbl_KPIMaster[KPI],0)),"")</f>
        <v/>
      </c>
      <c r="L1412" s="8">
        <f>IFERROR(INDEX(Tbl_KPIMaster[Owner],MATCH($G1412,Tbl_KPIMaster[KPI],0)),"")</f>
        <v/>
      </c>
      <c r="M1412" s="10" t="inlineStr"/>
      <c r="N1412" s="8" t="inlineStr">
        <is>
          <t>Management approval pending</t>
        </is>
      </c>
      <c r="O1412" s="8" t="inlineStr">
        <is>
          <t>Medium</t>
        </is>
      </c>
      <c r="P1412" s="8" t="inlineStr">
        <is>
          <t>Open</t>
        </is>
      </c>
      <c r="Q1412" s="9">
        <f>IFERROR(IF(INDEX(Tbl_KPIMaster[Direction],MATCH($G1412,Tbl_KPIMaster[KPI],0))="Lower is Better",IF($J1412=0,1,IF($I1412=0,0,$I1412/$J1412)),IF($I1412=0,1,$J1412/$I1412)),0)</f>
        <v/>
      </c>
      <c r="R1412" s="8">
        <f>IF(OR($I1412="",$J1412=""),"",$J1412-$I1412)</f>
        <v/>
      </c>
      <c r="S1412" s="8">
        <f>IFERROR(IF(INDEX(Tbl_KPIMaster[Direction],MATCH($G1412,Tbl_KPIMaster[KPI],0))="Lower is Better",IF($J1412&lt;=$I1412,"Green",IF($J1412&lt;=$I1412+IF($I1412=0,$K1412,$I1412*$K1412),"Amber","Red")),IF($J1412&gt;=$I1412,"Green",IF($J1412&gt;=$I1412-IF($I1412=0,$K1412,$I1412*$K1412),"Amber","Red"))),"")</f>
        <v/>
      </c>
      <c r="T1412" s="10" t="inlineStr"/>
    </row>
    <row r="1413">
      <c r="A1413" s="3" t="n">
        <v>46200</v>
      </c>
      <c r="B1413" s="4">
        <f>IF($A1413="","",TEXT($A1413,"mmm-yyyy"))</f>
        <v/>
      </c>
      <c r="C1413" s="4">
        <f>IF($A1413="","","W"&amp;WEEKNUM($A1413,2))</f>
        <v/>
      </c>
      <c r="D1413" s="4">
        <f>IF($A1413="","",TEXT($A1413,"ddd"))</f>
        <v/>
      </c>
      <c r="E1413" s="4" t="inlineStr">
        <is>
          <t>Warehouse</t>
        </is>
      </c>
      <c r="F1413" s="4">
        <f>IFERROR(INDEX(Tbl_KPIMaster[Category],MATCH($G1413,Tbl_KPIMaster[KPI],0)),"")</f>
        <v/>
      </c>
      <c r="G1413" s="4" t="inlineStr">
        <is>
          <t>On-Time Dispatch %</t>
        </is>
      </c>
      <c r="H1413" s="4">
        <f>IFERROR(INDEX(Tbl_KPIMaster[Unit],MATCH($G1413,Tbl_KPIMaster[KPI],0)),"")</f>
        <v/>
      </c>
      <c r="I1413" s="5">
        <f>IFERROR(INDEX(Tbl_KPIMaster[Maximum Target],MATCH($G1413,Tbl_KPIMaster[KPI],0)),"")</f>
        <v/>
      </c>
      <c r="J1413" s="5" t="n">
        <v>0.9801</v>
      </c>
      <c r="K1413" s="4">
        <f>IFERROR(INDEX(Tbl_KPIMaster[Tolerance],MATCH($G1413,Tbl_KPIMaster[KPI],0)),"")</f>
        <v/>
      </c>
      <c r="L1413" s="4">
        <f>IFERROR(INDEX(Tbl_KPIMaster[Owner],MATCH($G1413,Tbl_KPIMaster[KPI],0)),"")</f>
        <v/>
      </c>
      <c r="M1413" s="6" t="inlineStr">
        <is>
          <t>Equipment breakdown</t>
        </is>
      </c>
      <c r="N1413" s="4" t="inlineStr">
        <is>
          <t>Management approval pending</t>
        </is>
      </c>
      <c r="O1413" s="4" t="inlineStr">
        <is>
          <t>Medium</t>
        </is>
      </c>
      <c r="P1413" s="4" t="inlineStr">
        <is>
          <t>Closed</t>
        </is>
      </c>
      <c r="Q1413" s="5">
        <f>IFERROR(IF(INDEX(Tbl_KPIMaster[Direction],MATCH($G1413,Tbl_KPIMaster[KPI],0))="Lower is Better",IF($J1413=0,1,IF($I1413=0,0,$I1413/$J1413)),IF($I1413=0,1,$J1413/$I1413)),0)</f>
        <v/>
      </c>
      <c r="R1413" s="4">
        <f>IF(OR($I1413="",$J1413=""),"",$J1413-$I1413)</f>
        <v/>
      </c>
      <c r="S1413" s="4">
        <f>IFERROR(IF(INDEX(Tbl_KPIMaster[Direction],MATCH($G1413,Tbl_KPIMaster[KPI],0))="Lower is Better",IF($J1413&lt;=$I1413,"Green",IF($J1413&lt;=$I1413+IF($I1413=0,$K1413,$I1413*$K1413),"Amber","Red")),IF($J1413&gt;=$I1413,"Green",IF($J1413&gt;=$I1413-IF($I1413=0,$K1413,$I1413*$K1413),"Amber","Red"))),"")</f>
        <v/>
      </c>
      <c r="T1413" s="6" t="inlineStr"/>
    </row>
    <row r="1414">
      <c r="A1414" s="7" t="n">
        <v>46200</v>
      </c>
      <c r="B1414" s="8">
        <f>IF($A1414="","",TEXT($A1414,"mmm-yyyy"))</f>
        <v/>
      </c>
      <c r="C1414" s="8">
        <f>IF($A1414="","","W"&amp;WEEKNUM($A1414,2))</f>
        <v/>
      </c>
      <c r="D1414" s="8">
        <f>IF($A1414="","",TEXT($A1414,"ddd"))</f>
        <v/>
      </c>
      <c r="E1414" s="8" t="inlineStr">
        <is>
          <t>Warehouse</t>
        </is>
      </c>
      <c r="F1414" s="8">
        <f>IFERROR(INDEX(Tbl_KPIMaster[Category],MATCH($G1414,Tbl_KPIMaster[KPI],0)),"")</f>
        <v/>
      </c>
      <c r="G1414" s="8" t="inlineStr">
        <is>
          <t>Inventory Accuracy %</t>
        </is>
      </c>
      <c r="H1414" s="8">
        <f>IFERROR(INDEX(Tbl_KPIMaster[Unit],MATCH($G1414,Tbl_KPIMaster[KPI],0)),"")</f>
        <v/>
      </c>
      <c r="I1414" s="9">
        <f>IFERROR(INDEX(Tbl_KPIMaster[Maximum Target],MATCH($G1414,Tbl_KPIMaster[KPI],0)),"")</f>
        <v/>
      </c>
      <c r="J1414" s="9" t="n">
        <v>1.111</v>
      </c>
      <c r="K1414" s="8">
        <f>IFERROR(INDEX(Tbl_KPIMaster[Tolerance],MATCH($G1414,Tbl_KPIMaster[KPI],0)),"")</f>
        <v/>
      </c>
      <c r="L1414" s="8">
        <f>IFERROR(INDEX(Tbl_KPIMaster[Owner],MATCH($G1414,Tbl_KPIMaster[KPI],0)),"")</f>
        <v/>
      </c>
      <c r="M1414" s="10" t="inlineStr">
        <is>
          <t>Vendor delay</t>
        </is>
      </c>
      <c r="N1414" s="8" t="inlineStr">
        <is>
          <t>Engineering support needed</t>
        </is>
      </c>
      <c r="O1414" s="8" t="inlineStr">
        <is>
          <t>High</t>
        </is>
      </c>
      <c r="P1414" s="8" t="inlineStr">
        <is>
          <t>Closed</t>
        </is>
      </c>
      <c r="Q1414" s="9">
        <f>IFERROR(IF(INDEX(Tbl_KPIMaster[Direction],MATCH($G1414,Tbl_KPIMaster[KPI],0))="Lower is Better",IF($J1414=0,1,IF($I1414=0,0,$I1414/$J1414)),IF($I1414=0,1,$J1414/$I1414)),0)</f>
        <v/>
      </c>
      <c r="R1414" s="8">
        <f>IF(OR($I1414="",$J1414=""),"",$J1414-$I1414)</f>
        <v/>
      </c>
      <c r="S1414" s="8">
        <f>IFERROR(IF(INDEX(Tbl_KPIMaster[Direction],MATCH($G1414,Tbl_KPIMaster[KPI],0))="Lower is Better",IF($J1414&lt;=$I1414,"Green",IF($J1414&lt;=$I1414+IF($I1414=0,$K1414,$I1414*$K1414),"Amber","Red")),IF($J1414&gt;=$I1414,"Green",IF($J1414&gt;=$I1414-IF($I1414=0,$K1414,$I1414*$K1414),"Amber","Red"))),"")</f>
        <v/>
      </c>
      <c r="T1414" s="10" t="inlineStr"/>
    </row>
    <row r="1415">
      <c r="A1415" s="3" t="n">
        <v>46200</v>
      </c>
      <c r="B1415" s="4">
        <f>IF($A1415="","",TEXT($A1415,"mmm-yyyy"))</f>
        <v/>
      </c>
      <c r="C1415" s="4">
        <f>IF($A1415="","","W"&amp;WEEKNUM($A1415,2))</f>
        <v/>
      </c>
      <c r="D1415" s="4">
        <f>IF($A1415="","",TEXT($A1415,"ddd"))</f>
        <v/>
      </c>
      <c r="E1415" s="4" t="inlineStr">
        <is>
          <t>HR</t>
        </is>
      </c>
      <c r="F1415" s="4">
        <f>IFERROR(INDEX(Tbl_KPIMaster[Category],MATCH($G1415,Tbl_KPIMaster[KPI],0)),"")</f>
        <v/>
      </c>
      <c r="G1415" s="4" t="inlineStr">
        <is>
          <t>Absenteeism %</t>
        </is>
      </c>
      <c r="H1415" s="4">
        <f>IFERROR(INDEX(Tbl_KPIMaster[Unit],MATCH($G1415,Tbl_KPIMaster[KPI],0)),"")</f>
        <v/>
      </c>
      <c r="I1415" s="5">
        <f>IFERROR(INDEX(Tbl_KPIMaster[Maximum Target],MATCH($G1415,Tbl_KPIMaster[KPI],0)),"")</f>
        <v/>
      </c>
      <c r="J1415" s="5" t="n">
        <v>0.9392</v>
      </c>
      <c r="K1415" s="4">
        <f>IFERROR(INDEX(Tbl_KPIMaster[Tolerance],MATCH($G1415,Tbl_KPIMaster[KPI],0)),"")</f>
        <v/>
      </c>
      <c r="L1415" s="4">
        <f>IFERROR(INDEX(Tbl_KPIMaster[Owner],MATCH($G1415,Tbl_KPIMaster[KPI],0)),"")</f>
        <v/>
      </c>
      <c r="M1415" s="6" t="inlineStr">
        <is>
          <t>Process improvement in progress</t>
        </is>
      </c>
      <c r="N1415" s="4" t="inlineStr">
        <is>
          <t>Engineering support needed</t>
        </is>
      </c>
      <c r="O1415" s="4" t="inlineStr">
        <is>
          <t>Low</t>
        </is>
      </c>
      <c r="P1415" s="4" t="inlineStr">
        <is>
          <t>Open</t>
        </is>
      </c>
      <c r="Q1415" s="5">
        <f>IFERROR(IF(INDEX(Tbl_KPIMaster[Direction],MATCH($G1415,Tbl_KPIMaster[KPI],0))="Lower is Better",IF($J1415=0,1,IF($I1415=0,0,$I1415/$J1415)),IF($I1415=0,1,$J1415/$I1415)),0)</f>
        <v/>
      </c>
      <c r="R1415" s="4">
        <f>IF(OR($I1415="",$J1415=""),"",$J1415-$I1415)</f>
        <v/>
      </c>
      <c r="S1415" s="4">
        <f>IFERROR(IF(INDEX(Tbl_KPIMaster[Direction],MATCH($G1415,Tbl_KPIMaster[KPI],0))="Lower is Better",IF($J1415&lt;=$I1415,"Green",IF($J1415&lt;=$I1415+IF($I1415=0,$K1415,$I1415*$K1415),"Amber","Red")),IF($J1415&gt;=$I1415,"Green",IF($J1415&gt;=$I1415-IF($I1415=0,$K1415,$I1415*$K1415),"Amber","Red"))),"")</f>
        <v/>
      </c>
      <c r="T1415" s="6" t="inlineStr"/>
    </row>
    <row r="1416">
      <c r="A1416" s="7" t="n">
        <v>46200</v>
      </c>
      <c r="B1416" s="8">
        <f>IF($A1416="","",TEXT($A1416,"mmm-yyyy"))</f>
        <v/>
      </c>
      <c r="C1416" s="8">
        <f>IF($A1416="","","W"&amp;WEEKNUM($A1416,2))</f>
        <v/>
      </c>
      <c r="D1416" s="8">
        <f>IF($A1416="","",TEXT($A1416,"ddd"))</f>
        <v/>
      </c>
      <c r="E1416" s="8" t="inlineStr">
        <is>
          <t>HR</t>
        </is>
      </c>
      <c r="F1416" s="8">
        <f>IFERROR(INDEX(Tbl_KPIMaster[Category],MATCH($G1416,Tbl_KPIMaster[KPI],0)),"")</f>
        <v/>
      </c>
      <c r="G1416" s="8" t="inlineStr">
        <is>
          <t>Training Hours</t>
        </is>
      </c>
      <c r="H1416" s="8">
        <f>IFERROR(INDEX(Tbl_KPIMaster[Unit],MATCH($G1416,Tbl_KPIMaster[KPI],0)),"")</f>
        <v/>
      </c>
      <c r="I1416" s="9">
        <f>IFERROR(INDEX(Tbl_KPIMaster[Maximum Target],MATCH($G1416,Tbl_KPIMaster[KPI],0)),"")</f>
        <v/>
      </c>
      <c r="J1416" s="9" t="n">
        <v>2.03</v>
      </c>
      <c r="K1416" s="8">
        <f>IFERROR(INDEX(Tbl_KPIMaster[Tolerance],MATCH($G1416,Tbl_KPIMaster[KPI],0)),"")</f>
        <v/>
      </c>
      <c r="L1416" s="8">
        <f>IFERROR(INDEX(Tbl_KPIMaster[Owner],MATCH($G1416,Tbl_KPIMaster[KPI],0)),"")</f>
        <v/>
      </c>
      <c r="M1416" s="10" t="inlineStr">
        <is>
          <t>Line changeover impact</t>
        </is>
      </c>
      <c r="N1416" s="8" t="inlineStr"/>
      <c r="O1416" s="8" t="inlineStr">
        <is>
          <t>Low</t>
        </is>
      </c>
      <c r="P1416" s="8" t="inlineStr">
        <is>
          <t>Closed</t>
        </is>
      </c>
      <c r="Q1416" s="9">
        <f>IFERROR(IF(INDEX(Tbl_KPIMaster[Direction],MATCH($G1416,Tbl_KPIMaster[KPI],0))="Lower is Better",IF($J1416=0,1,IF($I1416=0,0,$I1416/$J1416)),IF($I1416=0,1,$J1416/$I1416)),0)</f>
        <v/>
      </c>
      <c r="R1416" s="8">
        <f>IF(OR($I1416="",$J1416=""),"",$J1416-$I1416)</f>
        <v/>
      </c>
      <c r="S1416" s="8">
        <f>IFERROR(IF(INDEX(Tbl_KPIMaster[Direction],MATCH($G1416,Tbl_KPIMaster[KPI],0))="Lower is Better",IF($J1416&lt;=$I1416,"Green",IF($J1416&lt;=$I1416+IF($I1416=0,$K1416,$I1416*$K1416),"Amber","Red")),IF($J1416&gt;=$I1416,"Green",IF($J1416&gt;=$I1416-IF($I1416=0,$K1416,$I1416*$K1416),"Amber","Red"))),"")</f>
        <v/>
      </c>
      <c r="T1416" s="10" t="inlineStr"/>
    </row>
    <row r="1417">
      <c r="A1417" s="3" t="n">
        <v>46200</v>
      </c>
      <c r="B1417" s="4">
        <f>IF($A1417="","",TEXT($A1417,"mmm-yyyy"))</f>
        <v/>
      </c>
      <c r="C1417" s="4">
        <f>IF($A1417="","","W"&amp;WEEKNUM($A1417,2))</f>
        <v/>
      </c>
      <c r="D1417" s="4">
        <f>IF($A1417="","",TEXT($A1417,"ddd"))</f>
        <v/>
      </c>
      <c r="E1417" s="4" t="inlineStr">
        <is>
          <t>Engineering</t>
        </is>
      </c>
      <c r="F1417" s="4">
        <f>IFERROR(INDEX(Tbl_KPIMaster[Category],MATCH($G1417,Tbl_KPIMaster[KPI],0)),"")</f>
        <v/>
      </c>
      <c r="G1417" s="4" t="inlineStr">
        <is>
          <t>Project Milestone Adherence %</t>
        </is>
      </c>
      <c r="H1417" s="4">
        <f>IFERROR(INDEX(Tbl_KPIMaster[Unit],MATCH($G1417,Tbl_KPIMaster[KPI],0)),"")</f>
        <v/>
      </c>
      <c r="I1417" s="5">
        <f>IFERROR(INDEX(Tbl_KPIMaster[Maximum Target],MATCH($G1417,Tbl_KPIMaster[KPI],0)),"")</f>
        <v/>
      </c>
      <c r="J1417" s="5" t="n">
        <v>0.9991</v>
      </c>
      <c r="K1417" s="4">
        <f>IFERROR(INDEX(Tbl_KPIMaster[Tolerance],MATCH($G1417,Tbl_KPIMaster[KPI],0)),"")</f>
        <v/>
      </c>
      <c r="L1417" s="4">
        <f>IFERROR(INDEX(Tbl_KPIMaster[Owner],MATCH($G1417,Tbl_KPIMaster[KPI],0)),"")</f>
        <v/>
      </c>
      <c r="M1417" s="6" t="inlineStr">
        <is>
          <t>Weather impact</t>
        </is>
      </c>
      <c r="N1417" s="4" t="inlineStr">
        <is>
          <t>Engineering support needed</t>
        </is>
      </c>
      <c r="O1417" s="4" t="inlineStr">
        <is>
          <t>Low</t>
        </is>
      </c>
      <c r="P1417" s="4" t="inlineStr">
        <is>
          <t>Open</t>
        </is>
      </c>
      <c r="Q1417" s="5">
        <f>IFERROR(IF(INDEX(Tbl_KPIMaster[Direction],MATCH($G1417,Tbl_KPIMaster[KPI],0))="Lower is Better",IF($J1417=0,1,IF($I1417=0,0,$I1417/$J1417)),IF($I1417=0,1,$J1417/$I1417)),0)</f>
        <v/>
      </c>
      <c r="R1417" s="4">
        <f>IF(OR($I1417="",$J1417=""),"",$J1417-$I1417)</f>
        <v/>
      </c>
      <c r="S1417" s="4">
        <f>IFERROR(IF(INDEX(Tbl_KPIMaster[Direction],MATCH($G1417,Tbl_KPIMaster[KPI],0))="Lower is Better",IF($J1417&lt;=$I1417,"Green",IF($J1417&lt;=$I1417+IF($I1417=0,$K1417,$I1417*$K1417),"Amber","Red")),IF($J1417&gt;=$I1417,"Green",IF($J1417&gt;=$I1417-IF($I1417=0,$K1417,$I1417*$K1417),"Amber","Red"))),"")</f>
        <v/>
      </c>
      <c r="T1417" s="6" t="inlineStr"/>
    </row>
    <row r="1418">
      <c r="A1418" s="7" t="n">
        <v>46200</v>
      </c>
      <c r="B1418" s="8">
        <f>IF($A1418="","",TEXT($A1418,"mmm-yyyy"))</f>
        <v/>
      </c>
      <c r="C1418" s="8">
        <f>IF($A1418="","","W"&amp;WEEKNUM($A1418,2))</f>
        <v/>
      </c>
      <c r="D1418" s="8">
        <f>IF($A1418="","",TEXT($A1418,"ddd"))</f>
        <v/>
      </c>
      <c r="E1418" s="8" t="inlineStr">
        <is>
          <t>Engineering</t>
        </is>
      </c>
      <c r="F1418" s="8">
        <f>IFERROR(INDEX(Tbl_KPIMaster[Category],MATCH($G1418,Tbl_KPIMaster[KPI],0)),"")</f>
        <v/>
      </c>
      <c r="G1418" s="8" t="inlineStr">
        <is>
          <t>Breakdown Resolution Time</t>
        </is>
      </c>
      <c r="H1418" s="8">
        <f>IFERROR(INDEX(Tbl_KPIMaster[Unit],MATCH($G1418,Tbl_KPIMaster[KPI],0)),"")</f>
        <v/>
      </c>
      <c r="I1418" s="9">
        <f>IFERROR(INDEX(Tbl_KPIMaster[Maximum Target],MATCH($G1418,Tbl_KPIMaster[KPI],0)),"")</f>
        <v/>
      </c>
      <c r="J1418" s="9" t="n">
        <v>0</v>
      </c>
      <c r="K1418" s="8">
        <f>IFERROR(INDEX(Tbl_KPIMaster[Tolerance],MATCH($G1418,Tbl_KPIMaster[KPI],0)),"")</f>
        <v/>
      </c>
      <c r="L1418" s="8">
        <f>IFERROR(INDEX(Tbl_KPIMaster[Owner],MATCH($G1418,Tbl_KPIMaster[KPI],0)),"")</f>
        <v/>
      </c>
      <c r="M1418" s="10" t="inlineStr">
        <is>
          <t>Awaiting spares</t>
        </is>
      </c>
      <c r="N1418" s="8" t="inlineStr"/>
      <c r="O1418" s="8" t="inlineStr">
        <is>
          <t>Medium</t>
        </is>
      </c>
      <c r="P1418" s="8" t="inlineStr">
        <is>
          <t>Closed</t>
        </is>
      </c>
      <c r="Q1418" s="9">
        <f>IFERROR(IF(INDEX(Tbl_KPIMaster[Direction],MATCH($G1418,Tbl_KPIMaster[KPI],0))="Lower is Better",IF($J1418=0,1,IF($I1418=0,0,$I1418/$J1418)),IF($I1418=0,1,$J1418/$I1418)),0)</f>
        <v/>
      </c>
      <c r="R1418" s="8">
        <f>IF(OR($I1418="",$J1418=""),"",$J1418-$I1418)</f>
        <v/>
      </c>
      <c r="S1418" s="8">
        <f>IFERROR(IF(INDEX(Tbl_KPIMaster[Direction],MATCH($G1418,Tbl_KPIMaster[KPI],0))="Lower is Better",IF($J1418&lt;=$I1418,"Green",IF($J1418&lt;=$I1418+IF($I1418=0,$K1418,$I1418*$K1418),"Amber","Red")),IF($J1418&gt;=$I1418,"Green",IF($J1418&gt;=$I1418-IF($I1418=0,$K1418,$I1418*$K1418),"Amber","Red"))),"")</f>
        <v/>
      </c>
      <c r="T1418" s="10" t="inlineStr"/>
    </row>
    <row r="1419">
      <c r="A1419" s="3" t="n">
        <v>46200</v>
      </c>
      <c r="B1419" s="4">
        <f>IF($A1419="","",TEXT($A1419,"mmm-yyyy"))</f>
        <v/>
      </c>
      <c r="C1419" s="4">
        <f>IF($A1419="","","W"&amp;WEEKNUM($A1419,2))</f>
        <v/>
      </c>
      <c r="D1419" s="4">
        <f>IF($A1419="","",TEXT($A1419,"ddd"))</f>
        <v/>
      </c>
      <c r="E1419" s="4" t="inlineStr">
        <is>
          <t>Cost</t>
        </is>
      </c>
      <c r="F1419" s="4">
        <f>IFERROR(INDEX(Tbl_KPIMaster[Category],MATCH($G1419,Tbl_KPIMaster[KPI],0)),"")</f>
        <v/>
      </c>
      <c r="G1419" s="4" t="inlineStr">
        <is>
          <t>Cost per Unit</t>
        </is>
      </c>
      <c r="H1419" s="4">
        <f>IFERROR(INDEX(Tbl_KPIMaster[Unit],MATCH($G1419,Tbl_KPIMaster[KPI],0)),"")</f>
        <v/>
      </c>
      <c r="I1419" s="5">
        <f>IFERROR(INDEX(Tbl_KPIMaster[Maximum Target],MATCH($G1419,Tbl_KPIMaster[KPI],0)),"")</f>
        <v/>
      </c>
      <c r="J1419" s="5" t="n">
        <v>36.77</v>
      </c>
      <c r="K1419" s="4">
        <f>IFERROR(INDEX(Tbl_KPIMaster[Tolerance],MATCH($G1419,Tbl_KPIMaster[KPI],0)),"")</f>
        <v/>
      </c>
      <c r="L1419" s="4">
        <f>IFERROR(INDEX(Tbl_KPIMaster[Owner],MATCH($G1419,Tbl_KPIMaster[KPI],0)),"")</f>
        <v/>
      </c>
      <c r="M1419" s="6" t="inlineStr">
        <is>
          <t>Manpower shortage</t>
        </is>
      </c>
      <c r="N1419" s="4" t="inlineStr"/>
      <c r="O1419" s="4" t="inlineStr">
        <is>
          <t>Low</t>
        </is>
      </c>
      <c r="P1419" s="4" t="inlineStr">
        <is>
          <t>Closed</t>
        </is>
      </c>
      <c r="Q1419" s="5">
        <f>IFERROR(IF(INDEX(Tbl_KPIMaster[Direction],MATCH($G1419,Tbl_KPIMaster[KPI],0))="Lower is Better",IF($J1419=0,1,IF($I1419=0,0,$I1419/$J1419)),IF($I1419=0,1,$J1419/$I1419)),0)</f>
        <v/>
      </c>
      <c r="R1419" s="4">
        <f>IF(OR($I1419="",$J1419=""),"",$J1419-$I1419)</f>
        <v/>
      </c>
      <c r="S1419" s="4">
        <f>IFERROR(IF(INDEX(Tbl_KPIMaster[Direction],MATCH($G1419,Tbl_KPIMaster[KPI],0))="Lower is Better",IF($J1419&lt;=$I1419,"Green",IF($J1419&lt;=$I1419+IF($I1419=0,$K1419,$I1419*$K1419),"Amber","Red")),IF($J1419&gt;=$I1419,"Green",IF($J1419&gt;=$I1419-IF($I1419=0,$K1419,$I1419*$K1419),"Amber","Red"))),"")</f>
        <v/>
      </c>
      <c r="T1419" s="6" t="inlineStr"/>
    </row>
    <row r="1420">
      <c r="A1420" s="7" t="n">
        <v>46200</v>
      </c>
      <c r="B1420" s="8">
        <f>IF($A1420="","",TEXT($A1420,"mmm-yyyy"))</f>
        <v/>
      </c>
      <c r="C1420" s="8">
        <f>IF($A1420="","","W"&amp;WEEKNUM($A1420,2))</f>
        <v/>
      </c>
      <c r="D1420" s="8">
        <f>IF($A1420="","",TEXT($A1420,"ddd"))</f>
        <v/>
      </c>
      <c r="E1420" s="8" t="inlineStr">
        <is>
          <t>Cost</t>
        </is>
      </c>
      <c r="F1420" s="8">
        <f>IFERROR(INDEX(Tbl_KPIMaster[Category],MATCH($G1420,Tbl_KPIMaster[KPI],0)),"")</f>
        <v/>
      </c>
      <c r="G1420" s="8" t="inlineStr">
        <is>
          <t>Budget Variance %</t>
        </is>
      </c>
      <c r="H1420" s="8">
        <f>IFERROR(INDEX(Tbl_KPIMaster[Unit],MATCH($G1420,Tbl_KPIMaster[KPI],0)),"")</f>
        <v/>
      </c>
      <c r="I1420" s="9">
        <f>IFERROR(INDEX(Tbl_KPIMaster[Maximum Target],MATCH($G1420,Tbl_KPIMaster[KPI],0)),"")</f>
        <v/>
      </c>
      <c r="J1420" s="9" t="n">
        <v>0</v>
      </c>
      <c r="K1420" s="8">
        <f>IFERROR(INDEX(Tbl_KPIMaster[Tolerance],MATCH($G1420,Tbl_KPIMaster[KPI],0)),"")</f>
        <v/>
      </c>
      <c r="L1420" s="8">
        <f>IFERROR(INDEX(Tbl_KPIMaster[Owner],MATCH($G1420,Tbl_KPIMaster[KPI],0)),"")</f>
        <v/>
      </c>
      <c r="M1420" s="10" t="inlineStr">
        <is>
          <t>Manpower shortage</t>
        </is>
      </c>
      <c r="N1420" s="8" t="inlineStr">
        <is>
          <t>Engineering support needed</t>
        </is>
      </c>
      <c r="O1420" s="8" t="inlineStr">
        <is>
          <t>High</t>
        </is>
      </c>
      <c r="P1420" s="8" t="inlineStr">
        <is>
          <t>Open</t>
        </is>
      </c>
      <c r="Q1420" s="9">
        <f>IFERROR(IF(INDEX(Tbl_KPIMaster[Direction],MATCH($G1420,Tbl_KPIMaster[KPI],0))="Lower is Better",IF($J1420=0,1,IF($I1420=0,0,$I1420/$J1420)),IF($I1420=0,1,$J1420/$I1420)),0)</f>
        <v/>
      </c>
      <c r="R1420" s="8">
        <f>IF(OR($I1420="",$J1420=""),"",$J1420-$I1420)</f>
        <v/>
      </c>
      <c r="S1420" s="8">
        <f>IFERROR(IF(INDEX(Tbl_KPIMaster[Direction],MATCH($G1420,Tbl_KPIMaster[KPI],0))="Lower is Better",IF($J1420&lt;=$I1420,"Green",IF($J1420&lt;=$I1420+IF($I1420=0,$K1420,$I1420*$K1420),"Amber","Red")),IF($J1420&gt;=$I1420,"Green",IF($J1420&gt;=$I1420-IF($I1420=0,$K1420,$I1420*$K1420),"Amber","Red"))),"")</f>
        <v/>
      </c>
      <c r="T1420" s="10" t="inlineStr"/>
    </row>
    <row r="1421">
      <c r="A1421" s="3" t="n">
        <v>46200</v>
      </c>
      <c r="B1421" s="4">
        <f>IF($A1421="","",TEXT($A1421,"mmm-yyyy"))</f>
        <v/>
      </c>
      <c r="C1421" s="4">
        <f>IF($A1421="","","W"&amp;WEEKNUM($A1421,2))</f>
        <v/>
      </c>
      <c r="D1421" s="4">
        <f>IF($A1421="","",TEXT($A1421,"ddd"))</f>
        <v/>
      </c>
      <c r="E1421" s="4" t="inlineStr">
        <is>
          <t>Energy</t>
        </is>
      </c>
      <c r="F1421" s="4">
        <f>IFERROR(INDEX(Tbl_KPIMaster[Category],MATCH($G1421,Tbl_KPIMaster[KPI],0)),"")</f>
        <v/>
      </c>
      <c r="G1421" s="4" t="inlineStr">
        <is>
          <t>Energy Intensity (kWh/unit)</t>
        </is>
      </c>
      <c r="H1421" s="4">
        <f>IFERROR(INDEX(Tbl_KPIMaster[Unit],MATCH($G1421,Tbl_KPIMaster[KPI],0)),"")</f>
        <v/>
      </c>
      <c r="I1421" s="5">
        <f>IFERROR(INDEX(Tbl_KPIMaster[Maximum Target],MATCH($G1421,Tbl_KPIMaster[KPI],0)),"")</f>
        <v/>
      </c>
      <c r="J1421" s="5" t="n">
        <v>6.38</v>
      </c>
      <c r="K1421" s="4">
        <f>IFERROR(INDEX(Tbl_KPIMaster[Tolerance],MATCH($G1421,Tbl_KPIMaster[KPI],0)),"")</f>
        <v/>
      </c>
      <c r="L1421" s="4">
        <f>IFERROR(INDEX(Tbl_KPIMaster[Owner],MATCH($G1421,Tbl_KPIMaster[KPI],0)),"")</f>
        <v/>
      </c>
      <c r="M1421" s="6" t="inlineStr">
        <is>
          <t>Line changeover impact</t>
        </is>
      </c>
      <c r="N1421" s="4" t="inlineStr"/>
      <c r="O1421" s="4" t="inlineStr">
        <is>
          <t>Medium</t>
        </is>
      </c>
      <c r="P1421" s="4" t="inlineStr">
        <is>
          <t>In Progress</t>
        </is>
      </c>
      <c r="Q1421" s="5">
        <f>IFERROR(IF(INDEX(Tbl_KPIMaster[Direction],MATCH($G1421,Tbl_KPIMaster[KPI],0))="Lower is Better",IF($J1421=0,1,IF($I1421=0,0,$I1421/$J1421)),IF($I1421=0,1,$J1421/$I1421)),0)</f>
        <v/>
      </c>
      <c r="R1421" s="4">
        <f>IF(OR($I1421="",$J1421=""),"",$J1421-$I1421)</f>
        <v/>
      </c>
      <c r="S1421" s="4">
        <f>IFERROR(IF(INDEX(Tbl_KPIMaster[Direction],MATCH($G1421,Tbl_KPIMaster[KPI],0))="Lower is Better",IF($J1421&lt;=$I1421,"Green",IF($J1421&lt;=$I1421+IF($I1421=0,$K1421,$I1421*$K1421),"Amber","Red")),IF($J1421&gt;=$I1421,"Green",IF($J1421&gt;=$I1421-IF($I1421=0,$K1421,$I1421*$K1421),"Amber","Red"))),"")</f>
        <v/>
      </c>
      <c r="T1421" s="6" t="inlineStr"/>
    </row>
    <row r="1422">
      <c r="A1422" s="7" t="n">
        <v>46200</v>
      </c>
      <c r="B1422" s="8">
        <f>IF($A1422="","",TEXT($A1422,"mmm-yyyy"))</f>
        <v/>
      </c>
      <c r="C1422" s="8">
        <f>IF($A1422="","","W"&amp;WEEKNUM($A1422,2))</f>
        <v/>
      </c>
      <c r="D1422" s="8">
        <f>IF($A1422="","",TEXT($A1422,"ddd"))</f>
        <v/>
      </c>
      <c r="E1422" s="8" t="inlineStr">
        <is>
          <t>Energy</t>
        </is>
      </c>
      <c r="F1422" s="8">
        <f>IFERROR(INDEX(Tbl_KPIMaster[Category],MATCH($G1422,Tbl_KPIMaster[KPI],0)),"")</f>
        <v/>
      </c>
      <c r="G1422" s="8" t="inlineStr">
        <is>
          <t>Renewable Energy Share %</t>
        </is>
      </c>
      <c r="H1422" s="8">
        <f>IFERROR(INDEX(Tbl_KPIMaster[Unit],MATCH($G1422,Tbl_KPIMaster[KPI],0)),"")</f>
        <v/>
      </c>
      <c r="I1422" s="9">
        <f>IFERROR(INDEX(Tbl_KPIMaster[Maximum Target],MATCH($G1422,Tbl_KPIMaster[KPI],0)),"")</f>
        <v/>
      </c>
      <c r="J1422" s="9" t="n">
        <v>0.2755</v>
      </c>
      <c r="K1422" s="8">
        <f>IFERROR(INDEX(Tbl_KPIMaster[Tolerance],MATCH($G1422,Tbl_KPIMaster[KPI],0)),"")</f>
        <v/>
      </c>
      <c r="L1422" s="8">
        <f>IFERROR(INDEX(Tbl_KPIMaster[Owner],MATCH($G1422,Tbl_KPIMaster[KPI],0)),"")</f>
        <v/>
      </c>
      <c r="M1422" s="10" t="inlineStr">
        <is>
          <t>Equipment breakdown</t>
        </is>
      </c>
      <c r="N1422" s="8" t="inlineStr">
        <is>
          <t>Engineering support needed</t>
        </is>
      </c>
      <c r="O1422" s="8" t="inlineStr">
        <is>
          <t>Low</t>
        </is>
      </c>
      <c r="P1422" s="8" t="inlineStr">
        <is>
          <t>Closed</t>
        </is>
      </c>
      <c r="Q1422" s="9">
        <f>IFERROR(IF(INDEX(Tbl_KPIMaster[Direction],MATCH($G1422,Tbl_KPIMaster[KPI],0))="Lower is Better",IF($J1422=0,1,IF($I1422=0,0,$I1422/$J1422)),IF($I1422=0,1,$J1422/$I1422)),0)</f>
        <v/>
      </c>
      <c r="R1422" s="8">
        <f>IF(OR($I1422="",$J1422=""),"",$J1422-$I1422)</f>
        <v/>
      </c>
      <c r="S1422" s="8">
        <f>IFERROR(IF(INDEX(Tbl_KPIMaster[Direction],MATCH($G1422,Tbl_KPIMaster[KPI],0))="Lower is Better",IF($J1422&lt;=$I1422,"Green",IF($J1422&lt;=$I1422+IF($I1422=0,$K1422,$I1422*$K1422),"Amber","Red")),IF($J1422&gt;=$I1422,"Green",IF($J1422&gt;=$I1422-IF($I1422=0,$K1422,$I1422*$K1422),"Amber","Red"))),"")</f>
        <v/>
      </c>
      <c r="T1422" s="10" t="inlineStr"/>
    </row>
    <row r="1423">
      <c r="A1423" s="3" t="n">
        <v>46201</v>
      </c>
      <c r="B1423" s="4">
        <f>IF($A1423="","",TEXT($A1423,"mmm-yyyy"))</f>
        <v/>
      </c>
      <c r="C1423" s="4">
        <f>IF($A1423="","","W"&amp;WEEKNUM($A1423,2))</f>
        <v/>
      </c>
      <c r="D1423" s="4">
        <f>IF($A1423="","",TEXT($A1423,"ddd"))</f>
        <v/>
      </c>
      <c r="E1423" s="4" t="inlineStr">
        <is>
          <t>Safety</t>
        </is>
      </c>
      <c r="F1423" s="4">
        <f>IFERROR(INDEX(Tbl_KPIMaster[Category],MATCH($G1423,Tbl_KPIMaster[KPI],0)),"")</f>
        <v/>
      </c>
      <c r="G1423" s="4" t="inlineStr">
        <is>
          <t>Safety Incidents (LTI)</t>
        </is>
      </c>
      <c r="H1423" s="4">
        <f>IFERROR(INDEX(Tbl_KPIMaster[Unit],MATCH($G1423,Tbl_KPIMaster[KPI],0)),"")</f>
        <v/>
      </c>
      <c r="I1423" s="5">
        <f>IFERROR(INDEX(Tbl_KPIMaster[Maximum Target],MATCH($G1423,Tbl_KPIMaster[KPI],0)),"")</f>
        <v/>
      </c>
      <c r="J1423" s="5" t="n">
        <v>2</v>
      </c>
      <c r="K1423" s="4">
        <f>IFERROR(INDEX(Tbl_KPIMaster[Tolerance],MATCH($G1423,Tbl_KPIMaster[KPI],0)),"")</f>
        <v/>
      </c>
      <c r="L1423" s="4">
        <f>IFERROR(INDEX(Tbl_KPIMaster[Owner],MATCH($G1423,Tbl_KPIMaster[KPI],0)),"")</f>
        <v/>
      </c>
      <c r="M1423" s="6" t="inlineStr">
        <is>
          <t>Equipment breakdown</t>
        </is>
      </c>
      <c r="N1423" s="4" t="inlineStr"/>
      <c r="O1423" s="4" t="inlineStr">
        <is>
          <t>Medium</t>
        </is>
      </c>
      <c r="P1423" s="4" t="inlineStr">
        <is>
          <t>Open</t>
        </is>
      </c>
      <c r="Q1423" s="5">
        <f>IFERROR(IF(INDEX(Tbl_KPIMaster[Direction],MATCH($G1423,Tbl_KPIMaster[KPI],0))="Lower is Better",IF($J1423=0,1,IF($I1423=0,0,$I1423/$J1423)),IF($I1423=0,1,$J1423/$I1423)),0)</f>
        <v/>
      </c>
      <c r="R1423" s="4">
        <f>IF(OR($I1423="",$J1423=""),"",$J1423-$I1423)</f>
        <v/>
      </c>
      <c r="S1423" s="4">
        <f>IFERROR(IF(INDEX(Tbl_KPIMaster[Direction],MATCH($G1423,Tbl_KPIMaster[KPI],0))="Lower is Better",IF($J1423&lt;=$I1423,"Green",IF($J1423&lt;=$I1423+IF($I1423=0,$K1423,$I1423*$K1423),"Amber","Red")),IF($J1423&gt;=$I1423,"Green",IF($J1423&gt;=$I1423-IF($I1423=0,$K1423,$I1423*$K1423),"Amber","Red"))),"")</f>
        <v/>
      </c>
      <c r="T1423" s="6" t="inlineStr"/>
    </row>
    <row r="1424">
      <c r="A1424" s="7" t="n">
        <v>46201</v>
      </c>
      <c r="B1424" s="8">
        <f>IF($A1424="","",TEXT($A1424,"mmm-yyyy"))</f>
        <v/>
      </c>
      <c r="C1424" s="8">
        <f>IF($A1424="","","W"&amp;WEEKNUM($A1424,2))</f>
        <v/>
      </c>
      <c r="D1424" s="8">
        <f>IF($A1424="","",TEXT($A1424,"ddd"))</f>
        <v/>
      </c>
      <c r="E1424" s="8" t="inlineStr">
        <is>
          <t>Safety</t>
        </is>
      </c>
      <c r="F1424" s="8">
        <f>IFERROR(INDEX(Tbl_KPIMaster[Category],MATCH($G1424,Tbl_KPIMaster[KPI],0)),"")</f>
        <v/>
      </c>
      <c r="G1424" s="8" t="inlineStr">
        <is>
          <t>Near Miss Reports</t>
        </is>
      </c>
      <c r="H1424" s="8">
        <f>IFERROR(INDEX(Tbl_KPIMaster[Unit],MATCH($G1424,Tbl_KPIMaster[KPI],0)),"")</f>
        <v/>
      </c>
      <c r="I1424" s="9">
        <f>IFERROR(INDEX(Tbl_KPIMaster[Maximum Target],MATCH($G1424,Tbl_KPIMaster[KPI],0)),"")</f>
        <v/>
      </c>
      <c r="J1424" s="9" t="n">
        <v>2</v>
      </c>
      <c r="K1424" s="8">
        <f>IFERROR(INDEX(Tbl_KPIMaster[Tolerance],MATCH($G1424,Tbl_KPIMaster[KPI],0)),"")</f>
        <v/>
      </c>
      <c r="L1424" s="8">
        <f>IFERROR(INDEX(Tbl_KPIMaster[Owner],MATCH($G1424,Tbl_KPIMaster[KPI],0)),"")</f>
        <v/>
      </c>
      <c r="M1424" s="10" t="inlineStr">
        <is>
          <t>Within normal range</t>
        </is>
      </c>
      <c r="N1424" s="8" t="inlineStr"/>
      <c r="O1424" s="8" t="inlineStr">
        <is>
          <t>Low</t>
        </is>
      </c>
      <c r="P1424" s="8" t="inlineStr">
        <is>
          <t>Open</t>
        </is>
      </c>
      <c r="Q1424" s="9">
        <f>IFERROR(IF(INDEX(Tbl_KPIMaster[Direction],MATCH($G1424,Tbl_KPIMaster[KPI],0))="Lower is Better",IF($J1424=0,1,IF($I1424=0,0,$I1424/$J1424)),IF($I1424=0,1,$J1424/$I1424)),0)</f>
        <v/>
      </c>
      <c r="R1424" s="8">
        <f>IF(OR($I1424="",$J1424=""),"",$J1424-$I1424)</f>
        <v/>
      </c>
      <c r="S1424" s="8">
        <f>IFERROR(IF(INDEX(Tbl_KPIMaster[Direction],MATCH($G1424,Tbl_KPIMaster[KPI],0))="Lower is Better",IF($J1424&lt;=$I1424,"Green",IF($J1424&lt;=$I1424+IF($I1424=0,$K1424,$I1424*$K1424),"Amber","Red")),IF($J1424&gt;=$I1424,"Green",IF($J1424&gt;=$I1424-IF($I1424=0,$K1424,$I1424*$K1424),"Amber","Red"))),"")</f>
        <v/>
      </c>
      <c r="T1424" s="10" t="inlineStr"/>
    </row>
    <row r="1425">
      <c r="A1425" s="3" t="n">
        <v>46201</v>
      </c>
      <c r="B1425" s="4">
        <f>IF($A1425="","",TEXT($A1425,"mmm-yyyy"))</f>
        <v/>
      </c>
      <c r="C1425" s="4">
        <f>IF($A1425="","","W"&amp;WEEKNUM($A1425,2))</f>
        <v/>
      </c>
      <c r="D1425" s="4">
        <f>IF($A1425="","",TEXT($A1425,"ddd"))</f>
        <v/>
      </c>
      <c r="E1425" s="4" t="inlineStr">
        <is>
          <t>Production</t>
        </is>
      </c>
      <c r="F1425" s="4">
        <f>IFERROR(INDEX(Tbl_KPIMaster[Category],MATCH($G1425,Tbl_KPIMaster[KPI],0)),"")</f>
        <v/>
      </c>
      <c r="G1425" s="4" t="inlineStr">
        <is>
          <t>Production Output</t>
        </is>
      </c>
      <c r="H1425" s="4">
        <f>IFERROR(INDEX(Tbl_KPIMaster[Unit],MATCH($G1425,Tbl_KPIMaster[KPI],0)),"")</f>
        <v/>
      </c>
      <c r="I1425" s="5">
        <f>IFERROR(INDEX(Tbl_KPIMaster[Maximum Target],MATCH($G1425,Tbl_KPIMaster[KPI],0)),"")</f>
        <v/>
      </c>
      <c r="J1425" s="5" t="n">
        <v>929.4</v>
      </c>
      <c r="K1425" s="4">
        <f>IFERROR(INDEX(Tbl_KPIMaster[Tolerance],MATCH($G1425,Tbl_KPIMaster[KPI],0)),"")</f>
        <v/>
      </c>
      <c r="L1425" s="4">
        <f>IFERROR(INDEX(Tbl_KPIMaster[Owner],MATCH($G1425,Tbl_KPIMaster[KPI],0)),"")</f>
        <v/>
      </c>
      <c r="M1425" s="6" t="inlineStr">
        <is>
          <t>Vendor delay</t>
        </is>
      </c>
      <c r="N1425" s="4" t="inlineStr"/>
      <c r="O1425" s="4" t="inlineStr">
        <is>
          <t>High</t>
        </is>
      </c>
      <c r="P1425" s="4" t="inlineStr">
        <is>
          <t>Open</t>
        </is>
      </c>
      <c r="Q1425" s="5">
        <f>IFERROR(IF(INDEX(Tbl_KPIMaster[Direction],MATCH($G1425,Tbl_KPIMaster[KPI],0))="Lower is Better",IF($J1425=0,1,IF($I1425=0,0,$I1425/$J1425)),IF($I1425=0,1,$J1425/$I1425)),0)</f>
        <v/>
      </c>
      <c r="R1425" s="4">
        <f>IF(OR($I1425="",$J1425=""),"",$J1425-$I1425)</f>
        <v/>
      </c>
      <c r="S1425" s="4">
        <f>IFERROR(IF(INDEX(Tbl_KPIMaster[Direction],MATCH($G1425,Tbl_KPIMaster[KPI],0))="Lower is Better",IF($J1425&lt;=$I1425,"Green",IF($J1425&lt;=$I1425+IF($I1425=0,$K1425,$I1425*$K1425),"Amber","Red")),IF($J1425&gt;=$I1425,"Green",IF($J1425&gt;=$I1425-IF($I1425=0,$K1425,$I1425*$K1425),"Amber","Red"))),"")</f>
        <v/>
      </c>
      <c r="T1425" s="6" t="inlineStr"/>
    </row>
    <row r="1426">
      <c r="A1426" s="7" t="n">
        <v>46201</v>
      </c>
      <c r="B1426" s="8">
        <f>IF($A1426="","",TEXT($A1426,"mmm-yyyy"))</f>
        <v/>
      </c>
      <c r="C1426" s="8">
        <f>IF($A1426="","","W"&amp;WEEKNUM($A1426,2))</f>
        <v/>
      </c>
      <c r="D1426" s="8">
        <f>IF($A1426="","",TEXT($A1426,"ddd"))</f>
        <v/>
      </c>
      <c r="E1426" s="8" t="inlineStr">
        <is>
          <t>Production</t>
        </is>
      </c>
      <c r="F1426" s="8">
        <f>IFERROR(INDEX(Tbl_KPIMaster[Category],MATCH($G1426,Tbl_KPIMaster[KPI],0)),"")</f>
        <v/>
      </c>
      <c r="G1426" s="8" t="inlineStr">
        <is>
          <t>OEE %</t>
        </is>
      </c>
      <c r="H1426" s="8">
        <f>IFERROR(INDEX(Tbl_KPIMaster[Unit],MATCH($G1426,Tbl_KPIMaster[KPI],0)),"")</f>
        <v/>
      </c>
      <c r="I1426" s="9">
        <f>IFERROR(INDEX(Tbl_KPIMaster[Maximum Target],MATCH($G1426,Tbl_KPIMaster[KPI],0)),"")</f>
        <v/>
      </c>
      <c r="J1426" s="9" t="n">
        <v>0.865</v>
      </c>
      <c r="K1426" s="8">
        <f>IFERROR(INDEX(Tbl_KPIMaster[Tolerance],MATCH($G1426,Tbl_KPIMaster[KPI],0)),"")</f>
        <v/>
      </c>
      <c r="L1426" s="8">
        <f>IFERROR(INDEX(Tbl_KPIMaster[Owner],MATCH($G1426,Tbl_KPIMaster[KPI],0)),"")</f>
        <v/>
      </c>
      <c r="M1426" s="10" t="inlineStr">
        <is>
          <t>Weather impact</t>
        </is>
      </c>
      <c r="N1426" s="8" t="inlineStr">
        <is>
          <t>Procurement follow-up</t>
        </is>
      </c>
      <c r="O1426" s="8" t="inlineStr">
        <is>
          <t>Medium</t>
        </is>
      </c>
      <c r="P1426" s="8" t="inlineStr">
        <is>
          <t>In Progress</t>
        </is>
      </c>
      <c r="Q1426" s="9">
        <f>IFERROR(IF(INDEX(Tbl_KPIMaster[Direction],MATCH($G1426,Tbl_KPIMaster[KPI],0))="Lower is Better",IF($J1426=0,1,IF($I1426=0,0,$I1426/$J1426)),IF($I1426=0,1,$J1426/$I1426)),0)</f>
        <v/>
      </c>
      <c r="R1426" s="8">
        <f>IF(OR($I1426="",$J1426=""),"",$J1426-$I1426)</f>
        <v/>
      </c>
      <c r="S1426" s="8">
        <f>IFERROR(IF(INDEX(Tbl_KPIMaster[Direction],MATCH($G1426,Tbl_KPIMaster[KPI],0))="Lower is Better",IF($J1426&lt;=$I1426,"Green",IF($J1426&lt;=$I1426+IF($I1426=0,$K1426,$I1426*$K1426),"Amber","Red")),IF($J1426&gt;=$I1426,"Green",IF($J1426&gt;=$I1426-IF($I1426=0,$K1426,$I1426*$K1426),"Amber","Red"))),"")</f>
        <v/>
      </c>
      <c r="T1426" s="10" t="inlineStr"/>
    </row>
    <row r="1427">
      <c r="A1427" s="3" t="n">
        <v>46201</v>
      </c>
      <c r="B1427" s="4">
        <f>IF($A1427="","",TEXT($A1427,"mmm-yyyy"))</f>
        <v/>
      </c>
      <c r="C1427" s="4">
        <f>IF($A1427="","","W"&amp;WEEKNUM($A1427,2))</f>
        <v/>
      </c>
      <c r="D1427" s="4">
        <f>IF($A1427="","",TEXT($A1427,"ddd"))</f>
        <v/>
      </c>
      <c r="E1427" s="4" t="inlineStr">
        <is>
          <t>Quality</t>
        </is>
      </c>
      <c r="F1427" s="4">
        <f>IFERROR(INDEX(Tbl_KPIMaster[Category],MATCH($G1427,Tbl_KPIMaster[KPI],0)),"")</f>
        <v/>
      </c>
      <c r="G1427" s="4" t="inlineStr">
        <is>
          <t>Defect Rate %</t>
        </is>
      </c>
      <c r="H1427" s="4">
        <f>IFERROR(INDEX(Tbl_KPIMaster[Unit],MATCH($G1427,Tbl_KPIMaster[KPI],0)),"")</f>
        <v/>
      </c>
      <c r="I1427" s="5">
        <f>IFERROR(INDEX(Tbl_KPIMaster[Maximum Target],MATCH($G1427,Tbl_KPIMaster[KPI],0)),"")</f>
        <v/>
      </c>
      <c r="J1427" s="5" t="n">
        <v>0</v>
      </c>
      <c r="K1427" s="4">
        <f>IFERROR(INDEX(Tbl_KPIMaster[Tolerance],MATCH($G1427,Tbl_KPIMaster[KPI],0)),"")</f>
        <v/>
      </c>
      <c r="L1427" s="4">
        <f>IFERROR(INDEX(Tbl_KPIMaster[Owner],MATCH($G1427,Tbl_KPIMaster[KPI],0)),"")</f>
        <v/>
      </c>
      <c r="M1427" s="6" t="inlineStr">
        <is>
          <t>New operator training effect</t>
        </is>
      </c>
      <c r="N1427" s="4" t="inlineStr">
        <is>
          <t>Procurement follow-up</t>
        </is>
      </c>
      <c r="O1427" s="4" t="inlineStr">
        <is>
          <t>Low</t>
        </is>
      </c>
      <c r="P1427" s="4" t="inlineStr">
        <is>
          <t>Closed</t>
        </is>
      </c>
      <c r="Q1427" s="5">
        <f>IFERROR(IF(INDEX(Tbl_KPIMaster[Direction],MATCH($G1427,Tbl_KPIMaster[KPI],0))="Lower is Better",IF($J1427=0,1,IF($I1427=0,0,$I1427/$J1427)),IF($I1427=0,1,$J1427/$I1427)),0)</f>
        <v/>
      </c>
      <c r="R1427" s="4">
        <f>IF(OR($I1427="",$J1427=""),"",$J1427-$I1427)</f>
        <v/>
      </c>
      <c r="S1427" s="4">
        <f>IFERROR(IF(INDEX(Tbl_KPIMaster[Direction],MATCH($G1427,Tbl_KPIMaster[KPI],0))="Lower is Better",IF($J1427&lt;=$I1427,"Green",IF($J1427&lt;=$I1427+IF($I1427=0,$K1427,$I1427*$K1427),"Amber","Red")),IF($J1427&gt;=$I1427,"Green",IF($J1427&gt;=$I1427-IF($I1427=0,$K1427,$I1427*$K1427),"Amber","Red"))),"")</f>
        <v/>
      </c>
      <c r="T1427" s="6" t="inlineStr"/>
    </row>
    <row r="1428">
      <c r="A1428" s="7" t="n">
        <v>46201</v>
      </c>
      <c r="B1428" s="8">
        <f>IF($A1428="","",TEXT($A1428,"mmm-yyyy"))</f>
        <v/>
      </c>
      <c r="C1428" s="8">
        <f>IF($A1428="","","W"&amp;WEEKNUM($A1428,2))</f>
        <v/>
      </c>
      <c r="D1428" s="8">
        <f>IF($A1428="","",TEXT($A1428,"ddd"))</f>
        <v/>
      </c>
      <c r="E1428" s="8" t="inlineStr">
        <is>
          <t>Quality</t>
        </is>
      </c>
      <c r="F1428" s="8">
        <f>IFERROR(INDEX(Tbl_KPIMaster[Category],MATCH($G1428,Tbl_KPIMaster[KPI],0)),"")</f>
        <v/>
      </c>
      <c r="G1428" s="8" t="inlineStr">
        <is>
          <t>Customer Complaints</t>
        </is>
      </c>
      <c r="H1428" s="8">
        <f>IFERROR(INDEX(Tbl_KPIMaster[Unit],MATCH($G1428,Tbl_KPIMaster[KPI],0)),"")</f>
        <v/>
      </c>
      <c r="I1428" s="9">
        <f>IFERROR(INDEX(Tbl_KPIMaster[Maximum Target],MATCH($G1428,Tbl_KPIMaster[KPI],0)),"")</f>
        <v/>
      </c>
      <c r="J1428" s="9" t="n">
        <v>0</v>
      </c>
      <c r="K1428" s="8">
        <f>IFERROR(INDEX(Tbl_KPIMaster[Tolerance],MATCH($G1428,Tbl_KPIMaster[KPI],0)),"")</f>
        <v/>
      </c>
      <c r="L1428" s="8">
        <f>IFERROR(INDEX(Tbl_KPIMaster[Owner],MATCH($G1428,Tbl_KPIMaster[KPI],0)),"")</f>
        <v/>
      </c>
      <c r="M1428" s="10" t="inlineStr">
        <is>
          <t>Weather impact</t>
        </is>
      </c>
      <c r="N1428" s="8" t="inlineStr">
        <is>
          <t>Management approval pending</t>
        </is>
      </c>
      <c r="O1428" s="8" t="inlineStr">
        <is>
          <t>Low</t>
        </is>
      </c>
      <c r="P1428" s="8" t="inlineStr">
        <is>
          <t>Closed</t>
        </is>
      </c>
      <c r="Q1428" s="9">
        <f>IFERROR(IF(INDEX(Tbl_KPIMaster[Direction],MATCH($G1428,Tbl_KPIMaster[KPI],0))="Lower is Better",IF($J1428=0,1,IF($I1428=0,0,$I1428/$J1428)),IF($I1428=0,1,$J1428/$I1428)),0)</f>
        <v/>
      </c>
      <c r="R1428" s="8">
        <f>IF(OR($I1428="",$J1428=""),"",$J1428-$I1428)</f>
        <v/>
      </c>
      <c r="S1428" s="8">
        <f>IFERROR(IF(INDEX(Tbl_KPIMaster[Direction],MATCH($G1428,Tbl_KPIMaster[KPI],0))="Lower is Better",IF($J1428&lt;=$I1428,"Green",IF($J1428&lt;=$I1428+IF($I1428=0,$K1428,$I1428*$K1428),"Amber","Red")),IF($J1428&gt;=$I1428,"Green",IF($J1428&gt;=$I1428-IF($I1428=0,$K1428,$I1428*$K1428),"Amber","Red"))),"")</f>
        <v/>
      </c>
      <c r="T1428" s="10" t="inlineStr"/>
    </row>
    <row r="1429">
      <c r="A1429" s="3" t="n">
        <v>46201</v>
      </c>
      <c r="B1429" s="4">
        <f>IF($A1429="","",TEXT($A1429,"mmm-yyyy"))</f>
        <v/>
      </c>
      <c r="C1429" s="4">
        <f>IF($A1429="","","W"&amp;WEEKNUM($A1429,2))</f>
        <v/>
      </c>
      <c r="D1429" s="4">
        <f>IF($A1429="","",TEXT($A1429,"ddd"))</f>
        <v/>
      </c>
      <c r="E1429" s="4" t="inlineStr">
        <is>
          <t>Maintenance</t>
        </is>
      </c>
      <c r="F1429" s="4">
        <f>IFERROR(INDEX(Tbl_KPIMaster[Category],MATCH($G1429,Tbl_KPIMaster[KPI],0)),"")</f>
        <v/>
      </c>
      <c r="G1429" s="4" t="inlineStr">
        <is>
          <t>Unplanned Downtime</t>
        </is>
      </c>
      <c r="H1429" s="4">
        <f>IFERROR(INDEX(Tbl_KPIMaster[Unit],MATCH($G1429,Tbl_KPIMaster[KPI],0)),"")</f>
        <v/>
      </c>
      <c r="I1429" s="5">
        <f>IFERROR(INDEX(Tbl_KPIMaster[Maximum Target],MATCH($G1429,Tbl_KPIMaster[KPI],0)),"")</f>
        <v/>
      </c>
      <c r="J1429" s="5" t="n">
        <v>0.07000000000000001</v>
      </c>
      <c r="K1429" s="4">
        <f>IFERROR(INDEX(Tbl_KPIMaster[Tolerance],MATCH($G1429,Tbl_KPIMaster[KPI],0)),"")</f>
        <v/>
      </c>
      <c r="L1429" s="4">
        <f>IFERROR(INDEX(Tbl_KPIMaster[Owner],MATCH($G1429,Tbl_KPIMaster[KPI],0)),"")</f>
        <v/>
      </c>
      <c r="M1429" s="6" t="inlineStr">
        <is>
          <t>Process improvement in progress</t>
        </is>
      </c>
      <c r="N1429" s="4" t="inlineStr">
        <is>
          <t>Procurement follow-up</t>
        </is>
      </c>
      <c r="O1429" s="4" t="inlineStr">
        <is>
          <t>Medium</t>
        </is>
      </c>
      <c r="P1429" s="4" t="inlineStr">
        <is>
          <t>Closed</t>
        </is>
      </c>
      <c r="Q1429" s="5">
        <f>IFERROR(IF(INDEX(Tbl_KPIMaster[Direction],MATCH($G1429,Tbl_KPIMaster[KPI],0))="Lower is Better",IF($J1429=0,1,IF($I1429=0,0,$I1429/$J1429)),IF($I1429=0,1,$J1429/$I1429)),0)</f>
        <v/>
      </c>
      <c r="R1429" s="4">
        <f>IF(OR($I1429="",$J1429=""),"",$J1429-$I1429)</f>
        <v/>
      </c>
      <c r="S1429" s="4">
        <f>IFERROR(IF(INDEX(Tbl_KPIMaster[Direction],MATCH($G1429,Tbl_KPIMaster[KPI],0))="Lower is Better",IF($J1429&lt;=$I1429,"Green",IF($J1429&lt;=$I1429+IF($I1429=0,$K1429,$I1429*$K1429),"Amber","Red")),IF($J1429&gt;=$I1429,"Green",IF($J1429&gt;=$I1429-IF($I1429=0,$K1429,$I1429*$K1429),"Amber","Red"))),"")</f>
        <v/>
      </c>
      <c r="T1429" s="6" t="inlineStr"/>
    </row>
    <row r="1430">
      <c r="A1430" s="7" t="n">
        <v>46201</v>
      </c>
      <c r="B1430" s="8">
        <f>IF($A1430="","",TEXT($A1430,"mmm-yyyy"))</f>
        <v/>
      </c>
      <c r="C1430" s="8">
        <f>IF($A1430="","","W"&amp;WEEKNUM($A1430,2))</f>
        <v/>
      </c>
      <c r="D1430" s="8">
        <f>IF($A1430="","",TEXT($A1430,"ddd"))</f>
        <v/>
      </c>
      <c r="E1430" s="8" t="inlineStr">
        <is>
          <t>Maintenance</t>
        </is>
      </c>
      <c r="F1430" s="8">
        <f>IFERROR(INDEX(Tbl_KPIMaster[Category],MATCH($G1430,Tbl_KPIMaster[KPI],0)),"")</f>
        <v/>
      </c>
      <c r="G1430" s="8" t="inlineStr">
        <is>
          <t>PM Compliance %</t>
        </is>
      </c>
      <c r="H1430" s="8">
        <f>IFERROR(INDEX(Tbl_KPIMaster[Unit],MATCH($G1430,Tbl_KPIMaster[KPI],0)),"")</f>
        <v/>
      </c>
      <c r="I1430" s="9">
        <f>IFERROR(INDEX(Tbl_KPIMaster[Maximum Target],MATCH($G1430,Tbl_KPIMaster[KPI],0)),"")</f>
        <v/>
      </c>
      <c r="J1430" s="9" t="n">
        <v>1.0754</v>
      </c>
      <c r="K1430" s="8">
        <f>IFERROR(INDEX(Tbl_KPIMaster[Tolerance],MATCH($G1430,Tbl_KPIMaster[KPI],0)),"")</f>
        <v/>
      </c>
      <c r="L1430" s="8">
        <f>IFERROR(INDEX(Tbl_KPIMaster[Owner],MATCH($G1430,Tbl_KPIMaster[KPI],0)),"")</f>
        <v/>
      </c>
      <c r="M1430" s="10" t="inlineStr"/>
      <c r="N1430" s="8" t="inlineStr"/>
      <c r="O1430" s="8" t="inlineStr">
        <is>
          <t>Medium</t>
        </is>
      </c>
      <c r="P1430" s="8" t="inlineStr">
        <is>
          <t>Closed</t>
        </is>
      </c>
      <c r="Q1430" s="9">
        <f>IFERROR(IF(INDEX(Tbl_KPIMaster[Direction],MATCH($G1430,Tbl_KPIMaster[KPI],0))="Lower is Better",IF($J1430=0,1,IF($I1430=0,0,$I1430/$J1430)),IF($I1430=0,1,$J1430/$I1430)),0)</f>
        <v/>
      </c>
      <c r="R1430" s="8">
        <f>IF(OR($I1430="",$J1430=""),"",$J1430-$I1430)</f>
        <v/>
      </c>
      <c r="S1430" s="8">
        <f>IFERROR(IF(INDEX(Tbl_KPIMaster[Direction],MATCH($G1430,Tbl_KPIMaster[KPI],0))="Lower is Better",IF($J1430&lt;=$I1430,"Green",IF($J1430&lt;=$I1430+IF($I1430=0,$K1430,$I1430*$K1430),"Amber","Red")),IF($J1430&gt;=$I1430,"Green",IF($J1430&gt;=$I1430-IF($I1430=0,$K1430,$I1430*$K1430),"Amber","Red"))),"")</f>
        <v/>
      </c>
      <c r="T1430" s="10" t="inlineStr"/>
    </row>
    <row r="1431">
      <c r="A1431" s="3" t="n">
        <v>46201</v>
      </c>
      <c r="B1431" s="4">
        <f>IF($A1431="","",TEXT($A1431,"mmm-yyyy"))</f>
        <v/>
      </c>
      <c r="C1431" s="4">
        <f>IF($A1431="","","W"&amp;WEEKNUM($A1431,2))</f>
        <v/>
      </c>
      <c r="D1431" s="4">
        <f>IF($A1431="","",TEXT($A1431,"ddd"))</f>
        <v/>
      </c>
      <c r="E1431" s="4" t="inlineStr">
        <is>
          <t>Utilities</t>
        </is>
      </c>
      <c r="F1431" s="4">
        <f>IFERROR(INDEX(Tbl_KPIMaster[Category],MATCH($G1431,Tbl_KPIMaster[KPI],0)),"")</f>
        <v/>
      </c>
      <c r="G1431" s="4" t="inlineStr">
        <is>
          <t>Power Consumption</t>
        </is>
      </c>
      <c r="H1431" s="4">
        <f>IFERROR(INDEX(Tbl_KPIMaster[Unit],MATCH($G1431,Tbl_KPIMaster[KPI],0)),"")</f>
        <v/>
      </c>
      <c r="I1431" s="5">
        <f>IFERROR(INDEX(Tbl_KPIMaster[Maximum Target],MATCH($G1431,Tbl_KPIMaster[KPI],0)),"")</f>
        <v/>
      </c>
      <c r="J1431" s="5" t="n">
        <v>4651.24</v>
      </c>
      <c r="K1431" s="4">
        <f>IFERROR(INDEX(Tbl_KPIMaster[Tolerance],MATCH($G1431,Tbl_KPIMaster[KPI],0)),"")</f>
        <v/>
      </c>
      <c r="L1431" s="4">
        <f>IFERROR(INDEX(Tbl_KPIMaster[Owner],MATCH($G1431,Tbl_KPIMaster[KPI],0)),"")</f>
        <v/>
      </c>
      <c r="M1431" s="6" t="inlineStr">
        <is>
          <t>Equipment breakdown</t>
        </is>
      </c>
      <c r="N1431" s="4" t="inlineStr">
        <is>
          <t>Engineering support needed</t>
        </is>
      </c>
      <c r="O1431" s="4" t="inlineStr">
        <is>
          <t>Medium</t>
        </is>
      </c>
      <c r="P1431" s="4" t="inlineStr">
        <is>
          <t>Closed</t>
        </is>
      </c>
      <c r="Q1431" s="5">
        <f>IFERROR(IF(INDEX(Tbl_KPIMaster[Direction],MATCH($G1431,Tbl_KPIMaster[KPI],0))="Lower is Better",IF($J1431=0,1,IF($I1431=0,0,$I1431/$J1431)),IF($I1431=0,1,$J1431/$I1431)),0)</f>
        <v/>
      </c>
      <c r="R1431" s="4">
        <f>IF(OR($I1431="",$J1431=""),"",$J1431-$I1431)</f>
        <v/>
      </c>
      <c r="S1431" s="4">
        <f>IFERROR(IF(INDEX(Tbl_KPIMaster[Direction],MATCH($G1431,Tbl_KPIMaster[KPI],0))="Lower is Better",IF($J1431&lt;=$I1431,"Green",IF($J1431&lt;=$I1431+IF($I1431=0,$K1431,$I1431*$K1431),"Amber","Red")),IF($J1431&gt;=$I1431,"Green",IF($J1431&gt;=$I1431-IF($I1431=0,$K1431,$I1431*$K1431),"Amber","Red"))),"")</f>
        <v/>
      </c>
      <c r="T1431" s="6" t="inlineStr"/>
    </row>
    <row r="1432">
      <c r="A1432" s="7" t="n">
        <v>46201</v>
      </c>
      <c r="B1432" s="8">
        <f>IF($A1432="","",TEXT($A1432,"mmm-yyyy"))</f>
        <v/>
      </c>
      <c r="C1432" s="8">
        <f>IF($A1432="","","W"&amp;WEEKNUM($A1432,2))</f>
        <v/>
      </c>
      <c r="D1432" s="8">
        <f>IF($A1432="","",TEXT($A1432,"ddd"))</f>
        <v/>
      </c>
      <c r="E1432" s="8" t="inlineStr">
        <is>
          <t>Utilities</t>
        </is>
      </c>
      <c r="F1432" s="8">
        <f>IFERROR(INDEX(Tbl_KPIMaster[Category],MATCH($G1432,Tbl_KPIMaster[KPI],0)),"")</f>
        <v/>
      </c>
      <c r="G1432" s="8" t="inlineStr">
        <is>
          <t>Water Consumption</t>
        </is>
      </c>
      <c r="H1432" s="8">
        <f>IFERROR(INDEX(Tbl_KPIMaster[Unit],MATCH($G1432,Tbl_KPIMaster[KPI],0)),"")</f>
        <v/>
      </c>
      <c r="I1432" s="9">
        <f>IFERROR(INDEX(Tbl_KPIMaster[Maximum Target],MATCH($G1432,Tbl_KPIMaster[KPI],0)),"")</f>
        <v/>
      </c>
      <c r="J1432" s="9" t="n">
        <v>51.8</v>
      </c>
      <c r="K1432" s="8">
        <f>IFERROR(INDEX(Tbl_KPIMaster[Tolerance],MATCH($G1432,Tbl_KPIMaster[KPI],0)),"")</f>
        <v/>
      </c>
      <c r="L1432" s="8">
        <f>IFERROR(INDEX(Tbl_KPIMaster[Owner],MATCH($G1432,Tbl_KPIMaster[KPI],0)),"")</f>
        <v/>
      </c>
      <c r="M1432" s="10" t="inlineStr">
        <is>
          <t>Awaiting spares</t>
        </is>
      </c>
      <c r="N1432" s="8" t="inlineStr">
        <is>
          <t>Engineering support needed</t>
        </is>
      </c>
      <c r="O1432" s="8" t="inlineStr">
        <is>
          <t>Medium</t>
        </is>
      </c>
      <c r="P1432" s="8" t="inlineStr">
        <is>
          <t>Closed</t>
        </is>
      </c>
      <c r="Q1432" s="9">
        <f>IFERROR(IF(INDEX(Tbl_KPIMaster[Direction],MATCH($G1432,Tbl_KPIMaster[KPI],0))="Lower is Better",IF($J1432=0,1,IF($I1432=0,0,$I1432/$J1432)),IF($I1432=0,1,$J1432/$I1432)),0)</f>
        <v/>
      </c>
      <c r="R1432" s="8">
        <f>IF(OR($I1432="",$J1432=""),"",$J1432-$I1432)</f>
        <v/>
      </c>
      <c r="S1432" s="8">
        <f>IFERROR(IF(INDEX(Tbl_KPIMaster[Direction],MATCH($G1432,Tbl_KPIMaster[KPI],0))="Lower is Better",IF($J1432&lt;=$I1432,"Green",IF($J1432&lt;=$I1432+IF($I1432=0,$K1432,$I1432*$K1432),"Amber","Red")),IF($J1432&gt;=$I1432,"Green",IF($J1432&gt;=$I1432-IF($I1432=0,$K1432,$I1432*$K1432),"Amber","Red"))),"")</f>
        <v/>
      </c>
      <c r="T1432" s="10" t="inlineStr"/>
    </row>
    <row r="1433">
      <c r="A1433" s="3" t="n">
        <v>46201</v>
      </c>
      <c r="B1433" s="4">
        <f>IF($A1433="","",TEXT($A1433,"mmm-yyyy"))</f>
        <v/>
      </c>
      <c r="C1433" s="4">
        <f>IF($A1433="","","W"&amp;WEEKNUM($A1433,2))</f>
        <v/>
      </c>
      <c r="D1433" s="4">
        <f>IF($A1433="","",TEXT($A1433,"ddd"))</f>
        <v/>
      </c>
      <c r="E1433" s="4" t="inlineStr">
        <is>
          <t>Warehouse</t>
        </is>
      </c>
      <c r="F1433" s="4">
        <f>IFERROR(INDEX(Tbl_KPIMaster[Category],MATCH($G1433,Tbl_KPIMaster[KPI],0)),"")</f>
        <v/>
      </c>
      <c r="G1433" s="4" t="inlineStr">
        <is>
          <t>On-Time Dispatch %</t>
        </is>
      </c>
      <c r="H1433" s="4">
        <f>IFERROR(INDEX(Tbl_KPIMaster[Unit],MATCH($G1433,Tbl_KPIMaster[KPI],0)),"")</f>
        <v/>
      </c>
      <c r="I1433" s="5">
        <f>IFERROR(INDEX(Tbl_KPIMaster[Maximum Target],MATCH($G1433,Tbl_KPIMaster[KPI],0)),"")</f>
        <v/>
      </c>
      <c r="J1433" s="5" t="n">
        <v>0.8534</v>
      </c>
      <c r="K1433" s="4">
        <f>IFERROR(INDEX(Tbl_KPIMaster[Tolerance],MATCH($G1433,Tbl_KPIMaster[KPI],0)),"")</f>
        <v/>
      </c>
      <c r="L1433" s="4">
        <f>IFERROR(INDEX(Tbl_KPIMaster[Owner],MATCH($G1433,Tbl_KPIMaster[KPI],0)),"")</f>
        <v/>
      </c>
      <c r="M1433" s="6" t="inlineStr">
        <is>
          <t>Process improvement in progress</t>
        </is>
      </c>
      <c r="N1433" s="4" t="inlineStr">
        <is>
          <t>Procurement follow-up</t>
        </is>
      </c>
      <c r="O1433" s="4" t="inlineStr">
        <is>
          <t>High</t>
        </is>
      </c>
      <c r="P1433" s="4" t="inlineStr">
        <is>
          <t>In Progress</t>
        </is>
      </c>
      <c r="Q1433" s="5">
        <f>IFERROR(IF(INDEX(Tbl_KPIMaster[Direction],MATCH($G1433,Tbl_KPIMaster[KPI],0))="Lower is Better",IF($J1433=0,1,IF($I1433=0,0,$I1433/$J1433)),IF($I1433=0,1,$J1433/$I1433)),0)</f>
        <v/>
      </c>
      <c r="R1433" s="4">
        <f>IF(OR($I1433="",$J1433=""),"",$J1433-$I1433)</f>
        <v/>
      </c>
      <c r="S1433" s="4">
        <f>IFERROR(IF(INDEX(Tbl_KPIMaster[Direction],MATCH($G1433,Tbl_KPIMaster[KPI],0))="Lower is Better",IF($J1433&lt;=$I1433,"Green",IF($J1433&lt;=$I1433+IF($I1433=0,$K1433,$I1433*$K1433),"Amber","Red")),IF($J1433&gt;=$I1433,"Green",IF($J1433&gt;=$I1433-IF($I1433=0,$K1433,$I1433*$K1433),"Amber","Red"))),"")</f>
        <v/>
      </c>
      <c r="T1433" s="6" t="inlineStr"/>
    </row>
    <row r="1434">
      <c r="A1434" s="7" t="n">
        <v>46201</v>
      </c>
      <c r="B1434" s="8">
        <f>IF($A1434="","",TEXT($A1434,"mmm-yyyy"))</f>
        <v/>
      </c>
      <c r="C1434" s="8">
        <f>IF($A1434="","","W"&amp;WEEKNUM($A1434,2))</f>
        <v/>
      </c>
      <c r="D1434" s="8">
        <f>IF($A1434="","",TEXT($A1434,"ddd"))</f>
        <v/>
      </c>
      <c r="E1434" s="8" t="inlineStr">
        <is>
          <t>Warehouse</t>
        </is>
      </c>
      <c r="F1434" s="8">
        <f>IFERROR(INDEX(Tbl_KPIMaster[Category],MATCH($G1434,Tbl_KPIMaster[KPI],0)),"")</f>
        <v/>
      </c>
      <c r="G1434" s="8" t="inlineStr">
        <is>
          <t>Inventory Accuracy %</t>
        </is>
      </c>
      <c r="H1434" s="8">
        <f>IFERROR(INDEX(Tbl_KPIMaster[Unit],MATCH($G1434,Tbl_KPIMaster[KPI],0)),"")</f>
        <v/>
      </c>
      <c r="I1434" s="9">
        <f>IFERROR(INDEX(Tbl_KPIMaster[Maximum Target],MATCH($G1434,Tbl_KPIMaster[KPI],0)),"")</f>
        <v/>
      </c>
      <c r="J1434" s="9" t="n">
        <v>0.9019</v>
      </c>
      <c r="K1434" s="8">
        <f>IFERROR(INDEX(Tbl_KPIMaster[Tolerance],MATCH($G1434,Tbl_KPIMaster[KPI],0)),"")</f>
        <v/>
      </c>
      <c r="L1434" s="8">
        <f>IFERROR(INDEX(Tbl_KPIMaster[Owner],MATCH($G1434,Tbl_KPIMaster[KPI],0)),"")</f>
        <v/>
      </c>
      <c r="M1434" s="10" t="inlineStr">
        <is>
          <t>Manpower shortage</t>
        </is>
      </c>
      <c r="N1434" s="8" t="inlineStr"/>
      <c r="O1434" s="8" t="inlineStr">
        <is>
          <t>Medium</t>
        </is>
      </c>
      <c r="P1434" s="8" t="inlineStr">
        <is>
          <t>Closed</t>
        </is>
      </c>
      <c r="Q1434" s="9">
        <f>IFERROR(IF(INDEX(Tbl_KPIMaster[Direction],MATCH($G1434,Tbl_KPIMaster[KPI],0))="Lower is Better",IF($J1434=0,1,IF($I1434=0,0,$I1434/$J1434)),IF($I1434=0,1,$J1434/$I1434)),0)</f>
        <v/>
      </c>
      <c r="R1434" s="8">
        <f>IF(OR($I1434="",$J1434=""),"",$J1434-$I1434)</f>
        <v/>
      </c>
      <c r="S1434" s="8">
        <f>IFERROR(IF(INDEX(Tbl_KPIMaster[Direction],MATCH($G1434,Tbl_KPIMaster[KPI],0))="Lower is Better",IF($J1434&lt;=$I1434,"Green",IF($J1434&lt;=$I1434+IF($I1434=0,$K1434,$I1434*$K1434),"Amber","Red")),IF($J1434&gt;=$I1434,"Green",IF($J1434&gt;=$I1434-IF($I1434=0,$K1434,$I1434*$K1434),"Amber","Red"))),"")</f>
        <v/>
      </c>
      <c r="T1434" s="10" t="inlineStr"/>
    </row>
    <row r="1435">
      <c r="A1435" s="3" t="n">
        <v>46201</v>
      </c>
      <c r="B1435" s="4">
        <f>IF($A1435="","",TEXT($A1435,"mmm-yyyy"))</f>
        <v/>
      </c>
      <c r="C1435" s="4">
        <f>IF($A1435="","","W"&amp;WEEKNUM($A1435,2))</f>
        <v/>
      </c>
      <c r="D1435" s="4">
        <f>IF($A1435="","",TEXT($A1435,"ddd"))</f>
        <v/>
      </c>
      <c r="E1435" s="4" t="inlineStr">
        <is>
          <t>HR</t>
        </is>
      </c>
      <c r="F1435" s="4">
        <f>IFERROR(INDEX(Tbl_KPIMaster[Category],MATCH($G1435,Tbl_KPIMaster[KPI],0)),"")</f>
        <v/>
      </c>
      <c r="G1435" s="4" t="inlineStr">
        <is>
          <t>Absenteeism %</t>
        </is>
      </c>
      <c r="H1435" s="4">
        <f>IFERROR(INDEX(Tbl_KPIMaster[Unit],MATCH($G1435,Tbl_KPIMaster[KPI],0)),"")</f>
        <v/>
      </c>
      <c r="I1435" s="5">
        <f>IFERROR(INDEX(Tbl_KPIMaster[Maximum Target],MATCH($G1435,Tbl_KPIMaster[KPI],0)),"")</f>
        <v/>
      </c>
      <c r="J1435" s="5" t="n">
        <v>0.217</v>
      </c>
      <c r="K1435" s="4">
        <f>IFERROR(INDEX(Tbl_KPIMaster[Tolerance],MATCH($G1435,Tbl_KPIMaster[KPI],0)),"")</f>
        <v/>
      </c>
      <c r="L1435" s="4">
        <f>IFERROR(INDEX(Tbl_KPIMaster[Owner],MATCH($G1435,Tbl_KPIMaster[KPI],0)),"")</f>
        <v/>
      </c>
      <c r="M1435" s="6" t="inlineStr">
        <is>
          <t>Preventive check done</t>
        </is>
      </c>
      <c r="N1435" s="4" t="inlineStr">
        <is>
          <t>Engineering support needed</t>
        </is>
      </c>
      <c r="O1435" s="4" t="inlineStr">
        <is>
          <t>Medium</t>
        </is>
      </c>
      <c r="P1435" s="4" t="inlineStr">
        <is>
          <t>In Progress</t>
        </is>
      </c>
      <c r="Q1435" s="5">
        <f>IFERROR(IF(INDEX(Tbl_KPIMaster[Direction],MATCH($G1435,Tbl_KPIMaster[KPI],0))="Lower is Better",IF($J1435=0,1,IF($I1435=0,0,$I1435/$J1435)),IF($I1435=0,1,$J1435/$I1435)),0)</f>
        <v/>
      </c>
      <c r="R1435" s="4">
        <f>IF(OR($I1435="",$J1435=""),"",$J1435-$I1435)</f>
        <v/>
      </c>
      <c r="S1435" s="4">
        <f>IFERROR(IF(INDEX(Tbl_KPIMaster[Direction],MATCH($G1435,Tbl_KPIMaster[KPI],0))="Lower is Better",IF($J1435&lt;=$I1435,"Green",IF($J1435&lt;=$I1435+IF($I1435=0,$K1435,$I1435*$K1435),"Amber","Red")),IF($J1435&gt;=$I1435,"Green",IF($J1435&gt;=$I1435-IF($I1435=0,$K1435,$I1435*$K1435),"Amber","Red"))),"")</f>
        <v/>
      </c>
      <c r="T1435" s="6" t="inlineStr"/>
    </row>
    <row r="1436">
      <c r="A1436" s="7" t="n">
        <v>46201</v>
      </c>
      <c r="B1436" s="8">
        <f>IF($A1436="","",TEXT($A1436,"mmm-yyyy"))</f>
        <v/>
      </c>
      <c r="C1436" s="8">
        <f>IF($A1436="","","W"&amp;WEEKNUM($A1436,2))</f>
        <v/>
      </c>
      <c r="D1436" s="8">
        <f>IF($A1436="","",TEXT($A1436,"ddd"))</f>
        <v/>
      </c>
      <c r="E1436" s="8" t="inlineStr">
        <is>
          <t>HR</t>
        </is>
      </c>
      <c r="F1436" s="8">
        <f>IFERROR(INDEX(Tbl_KPIMaster[Category],MATCH($G1436,Tbl_KPIMaster[KPI],0)),"")</f>
        <v/>
      </c>
      <c r="G1436" s="8" t="inlineStr">
        <is>
          <t>Training Hours</t>
        </is>
      </c>
      <c r="H1436" s="8">
        <f>IFERROR(INDEX(Tbl_KPIMaster[Unit],MATCH($G1436,Tbl_KPIMaster[KPI],0)),"")</f>
        <v/>
      </c>
      <c r="I1436" s="9">
        <f>IFERROR(INDEX(Tbl_KPIMaster[Maximum Target],MATCH($G1436,Tbl_KPIMaster[KPI],0)),"")</f>
        <v/>
      </c>
      <c r="J1436" s="9" t="n">
        <v>2.12</v>
      </c>
      <c r="K1436" s="8">
        <f>IFERROR(INDEX(Tbl_KPIMaster[Tolerance],MATCH($G1436,Tbl_KPIMaster[KPI],0)),"")</f>
        <v/>
      </c>
      <c r="L1436" s="8">
        <f>IFERROR(INDEX(Tbl_KPIMaster[Owner],MATCH($G1436,Tbl_KPIMaster[KPI],0)),"")</f>
        <v/>
      </c>
      <c r="M1436" s="10" t="inlineStr"/>
      <c r="N1436" s="8" t="inlineStr"/>
      <c r="O1436" s="8" t="inlineStr">
        <is>
          <t>Low</t>
        </is>
      </c>
      <c r="P1436" s="8" t="inlineStr">
        <is>
          <t>Closed</t>
        </is>
      </c>
      <c r="Q1436" s="9">
        <f>IFERROR(IF(INDEX(Tbl_KPIMaster[Direction],MATCH($G1436,Tbl_KPIMaster[KPI],0))="Lower is Better",IF($J1436=0,1,IF($I1436=0,0,$I1436/$J1436)),IF($I1436=0,1,$J1436/$I1436)),0)</f>
        <v/>
      </c>
      <c r="R1436" s="8">
        <f>IF(OR($I1436="",$J1436=""),"",$J1436-$I1436)</f>
        <v/>
      </c>
      <c r="S1436" s="8">
        <f>IFERROR(IF(INDEX(Tbl_KPIMaster[Direction],MATCH($G1436,Tbl_KPIMaster[KPI],0))="Lower is Better",IF($J1436&lt;=$I1436,"Green",IF($J1436&lt;=$I1436+IF($I1436=0,$K1436,$I1436*$K1436),"Amber","Red")),IF($J1436&gt;=$I1436,"Green",IF($J1436&gt;=$I1436-IF($I1436=0,$K1436,$I1436*$K1436),"Amber","Red"))),"")</f>
        <v/>
      </c>
      <c r="T1436" s="10" t="inlineStr"/>
    </row>
    <row r="1437">
      <c r="A1437" s="3" t="n">
        <v>46201</v>
      </c>
      <c r="B1437" s="4">
        <f>IF($A1437="","",TEXT($A1437,"mmm-yyyy"))</f>
        <v/>
      </c>
      <c r="C1437" s="4">
        <f>IF($A1437="","","W"&amp;WEEKNUM($A1437,2))</f>
        <v/>
      </c>
      <c r="D1437" s="4">
        <f>IF($A1437="","",TEXT($A1437,"ddd"))</f>
        <v/>
      </c>
      <c r="E1437" s="4" t="inlineStr">
        <is>
          <t>Engineering</t>
        </is>
      </c>
      <c r="F1437" s="4">
        <f>IFERROR(INDEX(Tbl_KPIMaster[Category],MATCH($G1437,Tbl_KPIMaster[KPI],0)),"")</f>
        <v/>
      </c>
      <c r="G1437" s="4" t="inlineStr">
        <is>
          <t>Project Milestone Adherence %</t>
        </is>
      </c>
      <c r="H1437" s="4">
        <f>IFERROR(INDEX(Tbl_KPIMaster[Unit],MATCH($G1437,Tbl_KPIMaster[KPI],0)),"")</f>
        <v/>
      </c>
      <c r="I1437" s="5">
        <f>IFERROR(INDEX(Tbl_KPIMaster[Maximum Target],MATCH($G1437,Tbl_KPIMaster[KPI],0)),"")</f>
        <v/>
      </c>
      <c r="J1437" s="5" t="n">
        <v>0.8102</v>
      </c>
      <c r="K1437" s="4">
        <f>IFERROR(INDEX(Tbl_KPIMaster[Tolerance],MATCH($G1437,Tbl_KPIMaster[KPI],0)),"")</f>
        <v/>
      </c>
      <c r="L1437" s="4">
        <f>IFERROR(INDEX(Tbl_KPIMaster[Owner],MATCH($G1437,Tbl_KPIMaster[KPI],0)),"")</f>
        <v/>
      </c>
      <c r="M1437" s="6" t="inlineStr">
        <is>
          <t>Line changeover impact</t>
        </is>
      </c>
      <c r="N1437" s="4" t="inlineStr"/>
      <c r="O1437" s="4" t="inlineStr">
        <is>
          <t>Medium</t>
        </is>
      </c>
      <c r="P1437" s="4" t="inlineStr">
        <is>
          <t>Closed</t>
        </is>
      </c>
      <c r="Q1437" s="5">
        <f>IFERROR(IF(INDEX(Tbl_KPIMaster[Direction],MATCH($G1437,Tbl_KPIMaster[KPI],0))="Lower is Better",IF($J1437=0,1,IF($I1437=0,0,$I1437/$J1437)),IF($I1437=0,1,$J1437/$I1437)),0)</f>
        <v/>
      </c>
      <c r="R1437" s="4">
        <f>IF(OR($I1437="",$J1437=""),"",$J1437-$I1437)</f>
        <v/>
      </c>
      <c r="S1437" s="4">
        <f>IFERROR(IF(INDEX(Tbl_KPIMaster[Direction],MATCH($G1437,Tbl_KPIMaster[KPI],0))="Lower is Better",IF($J1437&lt;=$I1437,"Green",IF($J1437&lt;=$I1437+IF($I1437=0,$K1437,$I1437*$K1437),"Amber","Red")),IF($J1437&gt;=$I1437,"Green",IF($J1437&gt;=$I1437-IF($I1437=0,$K1437,$I1437*$K1437),"Amber","Red"))),"")</f>
        <v/>
      </c>
      <c r="T1437" s="6" t="inlineStr"/>
    </row>
    <row r="1438">
      <c r="A1438" s="7" t="n">
        <v>46201</v>
      </c>
      <c r="B1438" s="8">
        <f>IF($A1438="","",TEXT($A1438,"mmm-yyyy"))</f>
        <v/>
      </c>
      <c r="C1438" s="8">
        <f>IF($A1438="","","W"&amp;WEEKNUM($A1438,2))</f>
        <v/>
      </c>
      <c r="D1438" s="8">
        <f>IF($A1438="","",TEXT($A1438,"ddd"))</f>
        <v/>
      </c>
      <c r="E1438" s="8" t="inlineStr">
        <is>
          <t>Engineering</t>
        </is>
      </c>
      <c r="F1438" s="8">
        <f>IFERROR(INDEX(Tbl_KPIMaster[Category],MATCH($G1438,Tbl_KPIMaster[KPI],0)),"")</f>
        <v/>
      </c>
      <c r="G1438" s="8" t="inlineStr">
        <is>
          <t>Breakdown Resolution Time</t>
        </is>
      </c>
      <c r="H1438" s="8">
        <f>IFERROR(INDEX(Tbl_KPIMaster[Unit],MATCH($G1438,Tbl_KPIMaster[KPI],0)),"")</f>
        <v/>
      </c>
      <c r="I1438" s="9">
        <f>IFERROR(INDEX(Tbl_KPIMaster[Maximum Target],MATCH($G1438,Tbl_KPIMaster[KPI],0)),"")</f>
        <v/>
      </c>
      <c r="J1438" s="9" t="n">
        <v>0</v>
      </c>
      <c r="K1438" s="8">
        <f>IFERROR(INDEX(Tbl_KPIMaster[Tolerance],MATCH($G1438,Tbl_KPIMaster[KPI],0)),"")</f>
        <v/>
      </c>
      <c r="L1438" s="8">
        <f>IFERROR(INDEX(Tbl_KPIMaster[Owner],MATCH($G1438,Tbl_KPIMaster[KPI],0)),"")</f>
        <v/>
      </c>
      <c r="M1438" s="10" t="inlineStr">
        <is>
          <t>Preventive check done</t>
        </is>
      </c>
      <c r="N1438" s="8" t="inlineStr">
        <is>
          <t>Procurement follow-up</t>
        </is>
      </c>
      <c r="O1438" s="8" t="inlineStr">
        <is>
          <t>High</t>
        </is>
      </c>
      <c r="P1438" s="8" t="inlineStr">
        <is>
          <t>In Progress</t>
        </is>
      </c>
      <c r="Q1438" s="9">
        <f>IFERROR(IF(INDEX(Tbl_KPIMaster[Direction],MATCH($G1438,Tbl_KPIMaster[KPI],0))="Lower is Better",IF($J1438=0,1,IF($I1438=0,0,$I1438/$J1438)),IF($I1438=0,1,$J1438/$I1438)),0)</f>
        <v/>
      </c>
      <c r="R1438" s="8">
        <f>IF(OR($I1438="",$J1438=""),"",$J1438-$I1438)</f>
        <v/>
      </c>
      <c r="S1438" s="8">
        <f>IFERROR(IF(INDEX(Tbl_KPIMaster[Direction],MATCH($G1438,Tbl_KPIMaster[KPI],0))="Lower is Better",IF($J1438&lt;=$I1438,"Green",IF($J1438&lt;=$I1438+IF($I1438=0,$K1438,$I1438*$K1438),"Amber","Red")),IF($J1438&gt;=$I1438,"Green",IF($J1438&gt;=$I1438-IF($I1438=0,$K1438,$I1438*$K1438),"Amber","Red"))),"")</f>
        <v/>
      </c>
      <c r="T1438" s="10" t="inlineStr"/>
    </row>
    <row r="1439">
      <c r="A1439" s="3" t="n">
        <v>46201</v>
      </c>
      <c r="B1439" s="4">
        <f>IF($A1439="","",TEXT($A1439,"mmm-yyyy"))</f>
        <v/>
      </c>
      <c r="C1439" s="4">
        <f>IF($A1439="","","W"&amp;WEEKNUM($A1439,2))</f>
        <v/>
      </c>
      <c r="D1439" s="4">
        <f>IF($A1439="","",TEXT($A1439,"ddd"))</f>
        <v/>
      </c>
      <c r="E1439" s="4" t="inlineStr">
        <is>
          <t>Cost</t>
        </is>
      </c>
      <c r="F1439" s="4">
        <f>IFERROR(INDEX(Tbl_KPIMaster[Category],MATCH($G1439,Tbl_KPIMaster[KPI],0)),"")</f>
        <v/>
      </c>
      <c r="G1439" s="4" t="inlineStr">
        <is>
          <t>Cost per Unit</t>
        </is>
      </c>
      <c r="H1439" s="4">
        <f>IFERROR(INDEX(Tbl_KPIMaster[Unit],MATCH($G1439,Tbl_KPIMaster[KPI],0)),"")</f>
        <v/>
      </c>
      <c r="I1439" s="5">
        <f>IFERROR(INDEX(Tbl_KPIMaster[Maximum Target],MATCH($G1439,Tbl_KPIMaster[KPI],0)),"")</f>
        <v/>
      </c>
      <c r="J1439" s="5" t="n">
        <v>40.9</v>
      </c>
      <c r="K1439" s="4">
        <f>IFERROR(INDEX(Tbl_KPIMaster[Tolerance],MATCH($G1439,Tbl_KPIMaster[KPI],0)),"")</f>
        <v/>
      </c>
      <c r="L1439" s="4">
        <f>IFERROR(INDEX(Tbl_KPIMaster[Owner],MATCH($G1439,Tbl_KPIMaster[KPI],0)),"")</f>
        <v/>
      </c>
      <c r="M1439" s="6" t="inlineStr">
        <is>
          <t>Within normal range</t>
        </is>
      </c>
      <c r="N1439" s="4" t="inlineStr">
        <is>
          <t>Engineering support needed</t>
        </is>
      </c>
      <c r="O1439" s="4" t="inlineStr">
        <is>
          <t>Medium</t>
        </is>
      </c>
      <c r="P1439" s="4" t="inlineStr">
        <is>
          <t>In Progress</t>
        </is>
      </c>
      <c r="Q1439" s="5">
        <f>IFERROR(IF(INDEX(Tbl_KPIMaster[Direction],MATCH($G1439,Tbl_KPIMaster[KPI],0))="Lower is Better",IF($J1439=0,1,IF($I1439=0,0,$I1439/$J1439)),IF($I1439=0,1,$J1439/$I1439)),0)</f>
        <v/>
      </c>
      <c r="R1439" s="4">
        <f>IF(OR($I1439="",$J1439=""),"",$J1439-$I1439)</f>
        <v/>
      </c>
      <c r="S1439" s="4">
        <f>IFERROR(IF(INDEX(Tbl_KPIMaster[Direction],MATCH($G1439,Tbl_KPIMaster[KPI],0))="Lower is Better",IF($J1439&lt;=$I1439,"Green",IF($J1439&lt;=$I1439+IF($I1439=0,$K1439,$I1439*$K1439),"Amber","Red")),IF($J1439&gt;=$I1439,"Green",IF($J1439&gt;=$I1439-IF($I1439=0,$K1439,$I1439*$K1439),"Amber","Red"))),"")</f>
        <v/>
      </c>
      <c r="T1439" s="6" t="inlineStr"/>
    </row>
    <row r="1440">
      <c r="A1440" s="7" t="n">
        <v>46201</v>
      </c>
      <c r="B1440" s="8">
        <f>IF($A1440="","",TEXT($A1440,"mmm-yyyy"))</f>
        <v/>
      </c>
      <c r="C1440" s="8">
        <f>IF($A1440="","","W"&amp;WEEKNUM($A1440,2))</f>
        <v/>
      </c>
      <c r="D1440" s="8">
        <f>IF($A1440="","",TEXT($A1440,"ddd"))</f>
        <v/>
      </c>
      <c r="E1440" s="8" t="inlineStr">
        <is>
          <t>Cost</t>
        </is>
      </c>
      <c r="F1440" s="8">
        <f>IFERROR(INDEX(Tbl_KPIMaster[Category],MATCH($G1440,Tbl_KPIMaster[KPI],0)),"")</f>
        <v/>
      </c>
      <c r="G1440" s="8" t="inlineStr">
        <is>
          <t>Budget Variance %</t>
        </is>
      </c>
      <c r="H1440" s="8">
        <f>IFERROR(INDEX(Tbl_KPIMaster[Unit],MATCH($G1440,Tbl_KPIMaster[KPI],0)),"")</f>
        <v/>
      </c>
      <c r="I1440" s="9">
        <f>IFERROR(INDEX(Tbl_KPIMaster[Maximum Target],MATCH($G1440,Tbl_KPIMaster[KPI],0)),"")</f>
        <v/>
      </c>
      <c r="J1440" s="9" t="n">
        <v>0</v>
      </c>
      <c r="K1440" s="8">
        <f>IFERROR(INDEX(Tbl_KPIMaster[Tolerance],MATCH($G1440,Tbl_KPIMaster[KPI],0)),"")</f>
        <v/>
      </c>
      <c r="L1440" s="8">
        <f>IFERROR(INDEX(Tbl_KPIMaster[Owner],MATCH($G1440,Tbl_KPIMaster[KPI],0)),"")</f>
        <v/>
      </c>
      <c r="M1440" s="10" t="inlineStr">
        <is>
          <t>Vendor delay</t>
        </is>
      </c>
      <c r="N1440" s="8" t="inlineStr">
        <is>
          <t>Engineering support needed</t>
        </is>
      </c>
      <c r="O1440" s="8" t="inlineStr">
        <is>
          <t>Low</t>
        </is>
      </c>
      <c r="P1440" s="8" t="inlineStr">
        <is>
          <t>Open</t>
        </is>
      </c>
      <c r="Q1440" s="9">
        <f>IFERROR(IF(INDEX(Tbl_KPIMaster[Direction],MATCH($G1440,Tbl_KPIMaster[KPI],0))="Lower is Better",IF($J1440=0,1,IF($I1440=0,0,$I1440/$J1440)),IF($I1440=0,1,$J1440/$I1440)),0)</f>
        <v/>
      </c>
      <c r="R1440" s="8">
        <f>IF(OR($I1440="",$J1440=""),"",$J1440-$I1440)</f>
        <v/>
      </c>
      <c r="S1440" s="8">
        <f>IFERROR(IF(INDEX(Tbl_KPIMaster[Direction],MATCH($G1440,Tbl_KPIMaster[KPI],0))="Lower is Better",IF($J1440&lt;=$I1440,"Green",IF($J1440&lt;=$I1440+IF($I1440=0,$K1440,$I1440*$K1440),"Amber","Red")),IF($J1440&gt;=$I1440,"Green",IF($J1440&gt;=$I1440-IF($I1440=0,$K1440,$I1440*$K1440),"Amber","Red"))),"")</f>
        <v/>
      </c>
      <c r="T1440" s="10" t="inlineStr"/>
    </row>
    <row r="1441">
      <c r="A1441" s="3" t="n">
        <v>46201</v>
      </c>
      <c r="B1441" s="4">
        <f>IF($A1441="","",TEXT($A1441,"mmm-yyyy"))</f>
        <v/>
      </c>
      <c r="C1441" s="4">
        <f>IF($A1441="","","W"&amp;WEEKNUM($A1441,2))</f>
        <v/>
      </c>
      <c r="D1441" s="4">
        <f>IF($A1441="","",TEXT($A1441,"ddd"))</f>
        <v/>
      </c>
      <c r="E1441" s="4" t="inlineStr">
        <is>
          <t>Energy</t>
        </is>
      </c>
      <c r="F1441" s="4">
        <f>IFERROR(INDEX(Tbl_KPIMaster[Category],MATCH($G1441,Tbl_KPIMaster[KPI],0)),"")</f>
        <v/>
      </c>
      <c r="G1441" s="4" t="inlineStr">
        <is>
          <t>Energy Intensity (kWh/unit)</t>
        </is>
      </c>
      <c r="H1441" s="4">
        <f>IFERROR(INDEX(Tbl_KPIMaster[Unit],MATCH($G1441,Tbl_KPIMaster[KPI],0)),"")</f>
        <v/>
      </c>
      <c r="I1441" s="5">
        <f>IFERROR(INDEX(Tbl_KPIMaster[Maximum Target],MATCH($G1441,Tbl_KPIMaster[KPI],0)),"")</f>
        <v/>
      </c>
      <c r="J1441" s="5" t="n">
        <v>4.48</v>
      </c>
      <c r="K1441" s="4">
        <f>IFERROR(INDEX(Tbl_KPIMaster[Tolerance],MATCH($G1441,Tbl_KPIMaster[KPI],0)),"")</f>
        <v/>
      </c>
      <c r="L1441" s="4">
        <f>IFERROR(INDEX(Tbl_KPIMaster[Owner],MATCH($G1441,Tbl_KPIMaster[KPI],0)),"")</f>
        <v/>
      </c>
      <c r="M1441" s="6" t="inlineStr"/>
      <c r="N1441" s="4" t="inlineStr">
        <is>
          <t>Procurement follow-up</t>
        </is>
      </c>
      <c r="O1441" s="4" t="inlineStr">
        <is>
          <t>Medium</t>
        </is>
      </c>
      <c r="P1441" s="4" t="inlineStr">
        <is>
          <t>Closed</t>
        </is>
      </c>
      <c r="Q1441" s="5">
        <f>IFERROR(IF(INDEX(Tbl_KPIMaster[Direction],MATCH($G1441,Tbl_KPIMaster[KPI],0))="Lower is Better",IF($J1441=0,1,IF($I1441=0,0,$I1441/$J1441)),IF($I1441=0,1,$J1441/$I1441)),0)</f>
        <v/>
      </c>
      <c r="R1441" s="4">
        <f>IF(OR($I1441="",$J1441=""),"",$J1441-$I1441)</f>
        <v/>
      </c>
      <c r="S1441" s="4">
        <f>IFERROR(IF(INDEX(Tbl_KPIMaster[Direction],MATCH($G1441,Tbl_KPIMaster[KPI],0))="Lower is Better",IF($J1441&lt;=$I1441,"Green",IF($J1441&lt;=$I1441+IF($I1441=0,$K1441,$I1441*$K1441),"Amber","Red")),IF($J1441&gt;=$I1441,"Green",IF($J1441&gt;=$I1441-IF($I1441=0,$K1441,$I1441*$K1441),"Amber","Red"))),"")</f>
        <v/>
      </c>
      <c r="T1441" s="6" t="inlineStr"/>
    </row>
    <row r="1442">
      <c r="A1442" s="7" t="n">
        <v>46201</v>
      </c>
      <c r="B1442" s="8">
        <f>IF($A1442="","",TEXT($A1442,"mmm-yyyy"))</f>
        <v/>
      </c>
      <c r="C1442" s="8">
        <f>IF($A1442="","","W"&amp;WEEKNUM($A1442,2))</f>
        <v/>
      </c>
      <c r="D1442" s="8">
        <f>IF($A1442="","",TEXT($A1442,"ddd"))</f>
        <v/>
      </c>
      <c r="E1442" s="8" t="inlineStr">
        <is>
          <t>Energy</t>
        </is>
      </c>
      <c r="F1442" s="8">
        <f>IFERROR(INDEX(Tbl_KPIMaster[Category],MATCH($G1442,Tbl_KPIMaster[KPI],0)),"")</f>
        <v/>
      </c>
      <c r="G1442" s="8" t="inlineStr">
        <is>
          <t>Renewable Energy Share %</t>
        </is>
      </c>
      <c r="H1442" s="8">
        <f>IFERROR(INDEX(Tbl_KPIMaster[Unit],MATCH($G1442,Tbl_KPIMaster[KPI],0)),"")</f>
        <v/>
      </c>
      <c r="I1442" s="9">
        <f>IFERROR(INDEX(Tbl_KPIMaster[Maximum Target],MATCH($G1442,Tbl_KPIMaster[KPI],0)),"")</f>
        <v/>
      </c>
      <c r="J1442" s="9" t="n">
        <v>0.2315</v>
      </c>
      <c r="K1442" s="8">
        <f>IFERROR(INDEX(Tbl_KPIMaster[Tolerance],MATCH($G1442,Tbl_KPIMaster[KPI],0)),"")</f>
        <v/>
      </c>
      <c r="L1442" s="8">
        <f>IFERROR(INDEX(Tbl_KPIMaster[Owner],MATCH($G1442,Tbl_KPIMaster[KPI],0)),"")</f>
        <v/>
      </c>
      <c r="M1442" s="10" t="inlineStr">
        <is>
          <t>Equipment breakdown</t>
        </is>
      </c>
      <c r="N1442" s="8" t="inlineStr"/>
      <c r="O1442" s="8" t="inlineStr">
        <is>
          <t>High</t>
        </is>
      </c>
      <c r="P1442" s="8" t="inlineStr">
        <is>
          <t>Open</t>
        </is>
      </c>
      <c r="Q1442" s="9">
        <f>IFERROR(IF(INDEX(Tbl_KPIMaster[Direction],MATCH($G1442,Tbl_KPIMaster[KPI],0))="Lower is Better",IF($J1442=0,1,IF($I1442=0,0,$I1442/$J1442)),IF($I1442=0,1,$J1442/$I1442)),0)</f>
        <v/>
      </c>
      <c r="R1442" s="8">
        <f>IF(OR($I1442="",$J1442=""),"",$J1442-$I1442)</f>
        <v/>
      </c>
      <c r="S1442" s="8">
        <f>IFERROR(IF(INDEX(Tbl_KPIMaster[Direction],MATCH($G1442,Tbl_KPIMaster[KPI],0))="Lower is Better",IF($J1442&lt;=$I1442,"Green",IF($J1442&lt;=$I1442+IF($I1442=0,$K1442,$I1442*$K1442),"Amber","Red")),IF($J1442&gt;=$I1442,"Green",IF($J1442&gt;=$I1442-IF($I1442=0,$K1442,$I1442*$K1442),"Amber","Red"))),"")</f>
        <v/>
      </c>
      <c r="T1442" s="10" t="inlineStr"/>
    </row>
    <row r="1443">
      <c r="A1443" s="3" t="n">
        <v>46202</v>
      </c>
      <c r="B1443" s="4">
        <f>IF($A1443="","",TEXT($A1443,"mmm-yyyy"))</f>
        <v/>
      </c>
      <c r="C1443" s="4">
        <f>IF($A1443="","","W"&amp;WEEKNUM($A1443,2))</f>
        <v/>
      </c>
      <c r="D1443" s="4">
        <f>IF($A1443="","",TEXT($A1443,"ddd"))</f>
        <v/>
      </c>
      <c r="E1443" s="4" t="inlineStr">
        <is>
          <t>Safety</t>
        </is>
      </c>
      <c r="F1443" s="4">
        <f>IFERROR(INDEX(Tbl_KPIMaster[Category],MATCH($G1443,Tbl_KPIMaster[KPI],0)),"")</f>
        <v/>
      </c>
      <c r="G1443" s="4" t="inlineStr">
        <is>
          <t>Safety Incidents (LTI)</t>
        </is>
      </c>
      <c r="H1443" s="4">
        <f>IFERROR(INDEX(Tbl_KPIMaster[Unit],MATCH($G1443,Tbl_KPIMaster[KPI],0)),"")</f>
        <v/>
      </c>
      <c r="I1443" s="5">
        <f>IFERROR(INDEX(Tbl_KPIMaster[Maximum Target],MATCH($G1443,Tbl_KPIMaster[KPI],0)),"")</f>
        <v/>
      </c>
      <c r="J1443" s="5" t="n">
        <v>0</v>
      </c>
      <c r="K1443" s="4">
        <f>IFERROR(INDEX(Tbl_KPIMaster[Tolerance],MATCH($G1443,Tbl_KPIMaster[KPI],0)),"")</f>
        <v/>
      </c>
      <c r="L1443" s="4">
        <f>IFERROR(INDEX(Tbl_KPIMaster[Owner],MATCH($G1443,Tbl_KPIMaster[KPI],0)),"")</f>
        <v/>
      </c>
      <c r="M1443" s="6" t="inlineStr">
        <is>
          <t>Process improvement in progress</t>
        </is>
      </c>
      <c r="N1443" s="4" t="inlineStr">
        <is>
          <t>Management approval pending</t>
        </is>
      </c>
      <c r="O1443" s="4" t="inlineStr">
        <is>
          <t>Medium</t>
        </is>
      </c>
      <c r="P1443" s="4" t="inlineStr">
        <is>
          <t>Closed</t>
        </is>
      </c>
      <c r="Q1443" s="5">
        <f>IFERROR(IF(INDEX(Tbl_KPIMaster[Direction],MATCH($G1443,Tbl_KPIMaster[KPI],0))="Lower is Better",IF($J1443=0,1,IF($I1443=0,0,$I1443/$J1443)),IF($I1443=0,1,$J1443/$I1443)),0)</f>
        <v/>
      </c>
      <c r="R1443" s="4">
        <f>IF(OR($I1443="",$J1443=""),"",$J1443-$I1443)</f>
        <v/>
      </c>
      <c r="S1443" s="4">
        <f>IFERROR(IF(INDEX(Tbl_KPIMaster[Direction],MATCH($G1443,Tbl_KPIMaster[KPI],0))="Lower is Better",IF($J1443&lt;=$I1443,"Green",IF($J1443&lt;=$I1443+IF($I1443=0,$K1443,$I1443*$K1443),"Amber","Red")),IF($J1443&gt;=$I1443,"Green",IF($J1443&gt;=$I1443-IF($I1443=0,$K1443,$I1443*$K1443),"Amber","Red"))),"")</f>
        <v/>
      </c>
      <c r="T1443" s="6" t="inlineStr"/>
    </row>
    <row r="1444">
      <c r="A1444" s="7" t="n">
        <v>46202</v>
      </c>
      <c r="B1444" s="8">
        <f>IF($A1444="","",TEXT($A1444,"mmm-yyyy"))</f>
        <v/>
      </c>
      <c r="C1444" s="8">
        <f>IF($A1444="","","W"&amp;WEEKNUM($A1444,2))</f>
        <v/>
      </c>
      <c r="D1444" s="8">
        <f>IF($A1444="","",TEXT($A1444,"ddd"))</f>
        <v/>
      </c>
      <c r="E1444" s="8" t="inlineStr">
        <is>
          <t>Safety</t>
        </is>
      </c>
      <c r="F1444" s="8">
        <f>IFERROR(INDEX(Tbl_KPIMaster[Category],MATCH($G1444,Tbl_KPIMaster[KPI],0)),"")</f>
        <v/>
      </c>
      <c r="G1444" s="8" t="inlineStr">
        <is>
          <t>Near Miss Reports</t>
        </is>
      </c>
      <c r="H1444" s="8">
        <f>IFERROR(INDEX(Tbl_KPIMaster[Unit],MATCH($G1444,Tbl_KPIMaster[KPI],0)),"")</f>
        <v/>
      </c>
      <c r="I1444" s="9">
        <f>IFERROR(INDEX(Tbl_KPIMaster[Maximum Target],MATCH($G1444,Tbl_KPIMaster[KPI],0)),"")</f>
        <v/>
      </c>
      <c r="J1444" s="9" t="n">
        <v>2</v>
      </c>
      <c r="K1444" s="8">
        <f>IFERROR(INDEX(Tbl_KPIMaster[Tolerance],MATCH($G1444,Tbl_KPIMaster[KPI],0)),"")</f>
        <v/>
      </c>
      <c r="L1444" s="8">
        <f>IFERROR(INDEX(Tbl_KPIMaster[Owner],MATCH($G1444,Tbl_KPIMaster[KPI],0)),"")</f>
        <v/>
      </c>
      <c r="M1444" s="10" t="inlineStr"/>
      <c r="N1444" s="8" t="inlineStr">
        <is>
          <t>Procurement follow-up</t>
        </is>
      </c>
      <c r="O1444" s="8" t="inlineStr">
        <is>
          <t>Medium</t>
        </is>
      </c>
      <c r="P1444" s="8" t="inlineStr">
        <is>
          <t>Closed</t>
        </is>
      </c>
      <c r="Q1444" s="9">
        <f>IFERROR(IF(INDEX(Tbl_KPIMaster[Direction],MATCH($G1444,Tbl_KPIMaster[KPI],0))="Lower is Better",IF($J1444=0,1,IF($I1444=0,0,$I1444/$J1444)),IF($I1444=0,1,$J1444/$I1444)),0)</f>
        <v/>
      </c>
      <c r="R1444" s="8">
        <f>IF(OR($I1444="",$J1444=""),"",$J1444-$I1444)</f>
        <v/>
      </c>
      <c r="S1444" s="8">
        <f>IFERROR(IF(INDEX(Tbl_KPIMaster[Direction],MATCH($G1444,Tbl_KPIMaster[KPI],0))="Lower is Better",IF($J1444&lt;=$I1444,"Green",IF($J1444&lt;=$I1444+IF($I1444=0,$K1444,$I1444*$K1444),"Amber","Red")),IF($J1444&gt;=$I1444,"Green",IF($J1444&gt;=$I1444-IF($I1444=0,$K1444,$I1444*$K1444),"Amber","Red"))),"")</f>
        <v/>
      </c>
      <c r="T1444" s="10" t="inlineStr"/>
    </row>
    <row r="1445">
      <c r="A1445" s="3" t="n">
        <v>46202</v>
      </c>
      <c r="B1445" s="4">
        <f>IF($A1445="","",TEXT($A1445,"mmm-yyyy"))</f>
        <v/>
      </c>
      <c r="C1445" s="4">
        <f>IF($A1445="","","W"&amp;WEEKNUM($A1445,2))</f>
        <v/>
      </c>
      <c r="D1445" s="4">
        <f>IF($A1445="","",TEXT($A1445,"ddd"))</f>
        <v/>
      </c>
      <c r="E1445" s="4" t="inlineStr">
        <is>
          <t>Production</t>
        </is>
      </c>
      <c r="F1445" s="4">
        <f>IFERROR(INDEX(Tbl_KPIMaster[Category],MATCH($G1445,Tbl_KPIMaster[KPI],0)),"")</f>
        <v/>
      </c>
      <c r="G1445" s="4" t="inlineStr">
        <is>
          <t>Production Output</t>
        </is>
      </c>
      <c r="H1445" s="4">
        <f>IFERROR(INDEX(Tbl_KPIMaster[Unit],MATCH($G1445,Tbl_KPIMaster[KPI],0)),"")</f>
        <v/>
      </c>
      <c r="I1445" s="5">
        <f>IFERROR(INDEX(Tbl_KPIMaster[Maximum Target],MATCH($G1445,Tbl_KPIMaster[KPI],0)),"")</f>
        <v/>
      </c>
      <c r="J1445" s="5" t="n">
        <v>1345.86</v>
      </c>
      <c r="K1445" s="4">
        <f>IFERROR(INDEX(Tbl_KPIMaster[Tolerance],MATCH($G1445,Tbl_KPIMaster[KPI],0)),"")</f>
        <v/>
      </c>
      <c r="L1445" s="4">
        <f>IFERROR(INDEX(Tbl_KPIMaster[Owner],MATCH($G1445,Tbl_KPIMaster[KPI],0)),"")</f>
        <v/>
      </c>
      <c r="M1445" s="6" t="inlineStr">
        <is>
          <t>New operator training effect</t>
        </is>
      </c>
      <c r="N1445" s="4" t="inlineStr"/>
      <c r="O1445" s="4" t="inlineStr">
        <is>
          <t>Medium</t>
        </is>
      </c>
      <c r="P1445" s="4" t="inlineStr">
        <is>
          <t>In Progress</t>
        </is>
      </c>
      <c r="Q1445" s="5">
        <f>IFERROR(IF(INDEX(Tbl_KPIMaster[Direction],MATCH($G1445,Tbl_KPIMaster[KPI],0))="Lower is Better",IF($J1445=0,1,IF($I1445=0,0,$I1445/$J1445)),IF($I1445=0,1,$J1445/$I1445)),0)</f>
        <v/>
      </c>
      <c r="R1445" s="4">
        <f>IF(OR($I1445="",$J1445=""),"",$J1445-$I1445)</f>
        <v/>
      </c>
      <c r="S1445" s="4">
        <f>IFERROR(IF(INDEX(Tbl_KPIMaster[Direction],MATCH($G1445,Tbl_KPIMaster[KPI],0))="Lower is Better",IF($J1445&lt;=$I1445,"Green",IF($J1445&lt;=$I1445+IF($I1445=0,$K1445,$I1445*$K1445),"Amber","Red")),IF($J1445&gt;=$I1445,"Green",IF($J1445&gt;=$I1445-IF($I1445=0,$K1445,$I1445*$K1445),"Amber","Red"))),"")</f>
        <v/>
      </c>
      <c r="T1445" s="6" t="inlineStr"/>
    </row>
    <row r="1446">
      <c r="A1446" s="7" t="n">
        <v>46202</v>
      </c>
      <c r="B1446" s="8">
        <f>IF($A1446="","",TEXT($A1446,"mmm-yyyy"))</f>
        <v/>
      </c>
      <c r="C1446" s="8">
        <f>IF($A1446="","","W"&amp;WEEKNUM($A1446,2))</f>
        <v/>
      </c>
      <c r="D1446" s="8">
        <f>IF($A1446="","",TEXT($A1446,"ddd"))</f>
        <v/>
      </c>
      <c r="E1446" s="8" t="inlineStr">
        <is>
          <t>Production</t>
        </is>
      </c>
      <c r="F1446" s="8">
        <f>IFERROR(INDEX(Tbl_KPIMaster[Category],MATCH($G1446,Tbl_KPIMaster[KPI],0)),"")</f>
        <v/>
      </c>
      <c r="G1446" s="8" t="inlineStr">
        <is>
          <t>OEE %</t>
        </is>
      </c>
      <c r="H1446" s="8">
        <f>IFERROR(INDEX(Tbl_KPIMaster[Unit],MATCH($G1446,Tbl_KPIMaster[KPI],0)),"")</f>
        <v/>
      </c>
      <c r="I1446" s="9">
        <f>IFERROR(INDEX(Tbl_KPIMaster[Maximum Target],MATCH($G1446,Tbl_KPIMaster[KPI],0)),"")</f>
        <v/>
      </c>
      <c r="J1446" s="9" t="n">
        <v>0.9634</v>
      </c>
      <c r="K1446" s="8">
        <f>IFERROR(INDEX(Tbl_KPIMaster[Tolerance],MATCH($G1446,Tbl_KPIMaster[KPI],0)),"")</f>
        <v/>
      </c>
      <c r="L1446" s="8">
        <f>IFERROR(INDEX(Tbl_KPIMaster[Owner],MATCH($G1446,Tbl_KPIMaster[KPI],0)),"")</f>
        <v/>
      </c>
      <c r="M1446" s="10" t="inlineStr">
        <is>
          <t>Weather impact</t>
        </is>
      </c>
      <c r="N1446" s="8" t="inlineStr"/>
      <c r="O1446" s="8" t="inlineStr">
        <is>
          <t>Low</t>
        </is>
      </c>
      <c r="P1446" s="8" t="inlineStr">
        <is>
          <t>Closed</t>
        </is>
      </c>
      <c r="Q1446" s="9">
        <f>IFERROR(IF(INDEX(Tbl_KPIMaster[Direction],MATCH($G1446,Tbl_KPIMaster[KPI],0))="Lower is Better",IF($J1446=0,1,IF($I1446=0,0,$I1446/$J1446)),IF($I1446=0,1,$J1446/$I1446)),0)</f>
        <v/>
      </c>
      <c r="R1446" s="8">
        <f>IF(OR($I1446="",$J1446=""),"",$J1446-$I1446)</f>
        <v/>
      </c>
      <c r="S1446" s="8">
        <f>IFERROR(IF(INDEX(Tbl_KPIMaster[Direction],MATCH($G1446,Tbl_KPIMaster[KPI],0))="Lower is Better",IF($J1446&lt;=$I1446,"Green",IF($J1446&lt;=$I1446+IF($I1446=0,$K1446,$I1446*$K1446),"Amber","Red")),IF($J1446&gt;=$I1446,"Green",IF($J1446&gt;=$I1446-IF($I1446=0,$K1446,$I1446*$K1446),"Amber","Red"))),"")</f>
        <v/>
      </c>
      <c r="T1446" s="10" t="inlineStr"/>
    </row>
    <row r="1447">
      <c r="A1447" s="3" t="n">
        <v>46202</v>
      </c>
      <c r="B1447" s="4">
        <f>IF($A1447="","",TEXT($A1447,"mmm-yyyy"))</f>
        <v/>
      </c>
      <c r="C1447" s="4">
        <f>IF($A1447="","","W"&amp;WEEKNUM($A1447,2))</f>
        <v/>
      </c>
      <c r="D1447" s="4">
        <f>IF($A1447="","",TEXT($A1447,"ddd"))</f>
        <v/>
      </c>
      <c r="E1447" s="4" t="inlineStr">
        <is>
          <t>Quality</t>
        </is>
      </c>
      <c r="F1447" s="4">
        <f>IFERROR(INDEX(Tbl_KPIMaster[Category],MATCH($G1447,Tbl_KPIMaster[KPI],0)),"")</f>
        <v/>
      </c>
      <c r="G1447" s="4" t="inlineStr">
        <is>
          <t>Defect Rate %</t>
        </is>
      </c>
      <c r="H1447" s="4">
        <f>IFERROR(INDEX(Tbl_KPIMaster[Unit],MATCH($G1447,Tbl_KPIMaster[KPI],0)),"")</f>
        <v/>
      </c>
      <c r="I1447" s="5">
        <f>IFERROR(INDEX(Tbl_KPIMaster[Maximum Target],MATCH($G1447,Tbl_KPIMaster[KPI],0)),"")</f>
        <v/>
      </c>
      <c r="J1447" s="5" t="n">
        <v>1.3507</v>
      </c>
      <c r="K1447" s="4">
        <f>IFERROR(INDEX(Tbl_KPIMaster[Tolerance],MATCH($G1447,Tbl_KPIMaster[KPI],0)),"")</f>
        <v/>
      </c>
      <c r="L1447" s="4">
        <f>IFERROR(INDEX(Tbl_KPIMaster[Owner],MATCH($G1447,Tbl_KPIMaster[KPI],0)),"")</f>
        <v/>
      </c>
      <c r="M1447" s="6" t="inlineStr">
        <is>
          <t>Vendor delay</t>
        </is>
      </c>
      <c r="N1447" s="4" t="inlineStr">
        <is>
          <t>Procurement follow-up</t>
        </is>
      </c>
      <c r="O1447" s="4" t="inlineStr">
        <is>
          <t>Low</t>
        </is>
      </c>
      <c r="P1447" s="4" t="inlineStr">
        <is>
          <t>Closed</t>
        </is>
      </c>
      <c r="Q1447" s="5">
        <f>IFERROR(IF(INDEX(Tbl_KPIMaster[Direction],MATCH($G1447,Tbl_KPIMaster[KPI],0))="Lower is Better",IF($J1447=0,1,IF($I1447=0,0,$I1447/$J1447)),IF($I1447=0,1,$J1447/$I1447)),0)</f>
        <v/>
      </c>
      <c r="R1447" s="4">
        <f>IF(OR($I1447="",$J1447=""),"",$J1447-$I1447)</f>
        <v/>
      </c>
      <c r="S1447" s="4">
        <f>IFERROR(IF(INDEX(Tbl_KPIMaster[Direction],MATCH($G1447,Tbl_KPIMaster[KPI],0))="Lower is Better",IF($J1447&lt;=$I1447,"Green",IF($J1447&lt;=$I1447+IF($I1447=0,$K1447,$I1447*$K1447),"Amber","Red")),IF($J1447&gt;=$I1447,"Green",IF($J1447&gt;=$I1447-IF($I1447=0,$K1447,$I1447*$K1447),"Amber","Red"))),"")</f>
        <v/>
      </c>
      <c r="T1447" s="6" t="inlineStr"/>
    </row>
    <row r="1448">
      <c r="A1448" s="7" t="n">
        <v>46202</v>
      </c>
      <c r="B1448" s="8">
        <f>IF($A1448="","",TEXT($A1448,"mmm-yyyy"))</f>
        <v/>
      </c>
      <c r="C1448" s="8">
        <f>IF($A1448="","","W"&amp;WEEKNUM($A1448,2))</f>
        <v/>
      </c>
      <c r="D1448" s="8">
        <f>IF($A1448="","",TEXT($A1448,"ddd"))</f>
        <v/>
      </c>
      <c r="E1448" s="8" t="inlineStr">
        <is>
          <t>Quality</t>
        </is>
      </c>
      <c r="F1448" s="8">
        <f>IFERROR(INDEX(Tbl_KPIMaster[Category],MATCH($G1448,Tbl_KPIMaster[KPI],0)),"")</f>
        <v/>
      </c>
      <c r="G1448" s="8" t="inlineStr">
        <is>
          <t>Customer Complaints</t>
        </is>
      </c>
      <c r="H1448" s="8">
        <f>IFERROR(INDEX(Tbl_KPIMaster[Unit],MATCH($G1448,Tbl_KPIMaster[KPI],0)),"")</f>
        <v/>
      </c>
      <c r="I1448" s="9">
        <f>IFERROR(INDEX(Tbl_KPIMaster[Maximum Target],MATCH($G1448,Tbl_KPIMaster[KPI],0)),"")</f>
        <v/>
      </c>
      <c r="J1448" s="9" t="n">
        <v>0</v>
      </c>
      <c r="K1448" s="8">
        <f>IFERROR(INDEX(Tbl_KPIMaster[Tolerance],MATCH($G1448,Tbl_KPIMaster[KPI],0)),"")</f>
        <v/>
      </c>
      <c r="L1448" s="8">
        <f>IFERROR(INDEX(Tbl_KPIMaster[Owner],MATCH($G1448,Tbl_KPIMaster[KPI],0)),"")</f>
        <v/>
      </c>
      <c r="M1448" s="10" t="inlineStr">
        <is>
          <t>New operator training effect</t>
        </is>
      </c>
      <c r="N1448" s="8" t="inlineStr">
        <is>
          <t>Engineering support needed</t>
        </is>
      </c>
      <c r="O1448" s="8" t="inlineStr">
        <is>
          <t>Low</t>
        </is>
      </c>
      <c r="P1448" s="8" t="inlineStr">
        <is>
          <t>In Progress</t>
        </is>
      </c>
      <c r="Q1448" s="9">
        <f>IFERROR(IF(INDEX(Tbl_KPIMaster[Direction],MATCH($G1448,Tbl_KPIMaster[KPI],0))="Lower is Better",IF($J1448=0,1,IF($I1448=0,0,$I1448/$J1448)),IF($I1448=0,1,$J1448/$I1448)),0)</f>
        <v/>
      </c>
      <c r="R1448" s="8">
        <f>IF(OR($I1448="",$J1448=""),"",$J1448-$I1448)</f>
        <v/>
      </c>
      <c r="S1448" s="8">
        <f>IFERROR(IF(INDEX(Tbl_KPIMaster[Direction],MATCH($G1448,Tbl_KPIMaster[KPI],0))="Lower is Better",IF($J1448&lt;=$I1448,"Green",IF($J1448&lt;=$I1448+IF($I1448=0,$K1448,$I1448*$K1448),"Amber","Red")),IF($J1448&gt;=$I1448,"Green",IF($J1448&gt;=$I1448-IF($I1448=0,$K1448,$I1448*$K1448),"Amber","Red"))),"")</f>
        <v/>
      </c>
      <c r="T1448" s="10" t="inlineStr"/>
    </row>
    <row r="1449">
      <c r="A1449" s="3" t="n">
        <v>46202</v>
      </c>
      <c r="B1449" s="4">
        <f>IF($A1449="","",TEXT($A1449,"mmm-yyyy"))</f>
        <v/>
      </c>
      <c r="C1449" s="4">
        <f>IF($A1449="","","W"&amp;WEEKNUM($A1449,2))</f>
        <v/>
      </c>
      <c r="D1449" s="4">
        <f>IF($A1449="","",TEXT($A1449,"ddd"))</f>
        <v/>
      </c>
      <c r="E1449" s="4" t="inlineStr">
        <is>
          <t>Maintenance</t>
        </is>
      </c>
      <c r="F1449" s="4">
        <f>IFERROR(INDEX(Tbl_KPIMaster[Category],MATCH($G1449,Tbl_KPIMaster[KPI],0)),"")</f>
        <v/>
      </c>
      <c r="G1449" s="4" t="inlineStr">
        <is>
          <t>Unplanned Downtime</t>
        </is>
      </c>
      <c r="H1449" s="4">
        <f>IFERROR(INDEX(Tbl_KPIMaster[Unit],MATCH($G1449,Tbl_KPIMaster[KPI],0)),"")</f>
        <v/>
      </c>
      <c r="I1449" s="5">
        <f>IFERROR(INDEX(Tbl_KPIMaster[Maximum Target],MATCH($G1449,Tbl_KPIMaster[KPI],0)),"")</f>
        <v/>
      </c>
      <c r="J1449" s="5" t="n">
        <v>0</v>
      </c>
      <c r="K1449" s="4">
        <f>IFERROR(INDEX(Tbl_KPIMaster[Tolerance],MATCH($G1449,Tbl_KPIMaster[KPI],0)),"")</f>
        <v/>
      </c>
      <c r="L1449" s="4">
        <f>IFERROR(INDEX(Tbl_KPIMaster[Owner],MATCH($G1449,Tbl_KPIMaster[KPI],0)),"")</f>
        <v/>
      </c>
      <c r="M1449" s="6" t="inlineStr">
        <is>
          <t>Awaiting spares</t>
        </is>
      </c>
      <c r="N1449" s="4" t="inlineStr">
        <is>
          <t>Management approval pending</t>
        </is>
      </c>
      <c r="O1449" s="4" t="inlineStr">
        <is>
          <t>Low</t>
        </is>
      </c>
      <c r="P1449" s="4" t="inlineStr">
        <is>
          <t>Closed</t>
        </is>
      </c>
      <c r="Q1449" s="5">
        <f>IFERROR(IF(INDEX(Tbl_KPIMaster[Direction],MATCH($G1449,Tbl_KPIMaster[KPI],0))="Lower is Better",IF($J1449=0,1,IF($I1449=0,0,$I1449/$J1449)),IF($I1449=0,1,$J1449/$I1449)),0)</f>
        <v/>
      </c>
      <c r="R1449" s="4">
        <f>IF(OR($I1449="",$J1449=""),"",$J1449-$I1449)</f>
        <v/>
      </c>
      <c r="S1449" s="4">
        <f>IFERROR(IF(INDEX(Tbl_KPIMaster[Direction],MATCH($G1449,Tbl_KPIMaster[KPI],0))="Lower is Better",IF($J1449&lt;=$I1449,"Green",IF($J1449&lt;=$I1449+IF($I1449=0,$K1449,$I1449*$K1449),"Amber","Red")),IF($J1449&gt;=$I1449,"Green",IF($J1449&gt;=$I1449-IF($I1449=0,$K1449,$I1449*$K1449),"Amber","Red"))),"")</f>
        <v/>
      </c>
      <c r="T1449" s="6" t="inlineStr"/>
    </row>
    <row r="1450">
      <c r="A1450" s="7" t="n">
        <v>46202</v>
      </c>
      <c r="B1450" s="8">
        <f>IF($A1450="","",TEXT($A1450,"mmm-yyyy"))</f>
        <v/>
      </c>
      <c r="C1450" s="8">
        <f>IF($A1450="","","W"&amp;WEEKNUM($A1450,2))</f>
        <v/>
      </c>
      <c r="D1450" s="8">
        <f>IF($A1450="","",TEXT($A1450,"ddd"))</f>
        <v/>
      </c>
      <c r="E1450" s="8" t="inlineStr">
        <is>
          <t>Maintenance</t>
        </is>
      </c>
      <c r="F1450" s="8">
        <f>IFERROR(INDEX(Tbl_KPIMaster[Category],MATCH($G1450,Tbl_KPIMaster[KPI],0)),"")</f>
        <v/>
      </c>
      <c r="G1450" s="8" t="inlineStr">
        <is>
          <t>PM Compliance %</t>
        </is>
      </c>
      <c r="H1450" s="8">
        <f>IFERROR(INDEX(Tbl_KPIMaster[Unit],MATCH($G1450,Tbl_KPIMaster[KPI],0)),"")</f>
        <v/>
      </c>
      <c r="I1450" s="9">
        <f>IFERROR(INDEX(Tbl_KPIMaster[Maximum Target],MATCH($G1450,Tbl_KPIMaster[KPI],0)),"")</f>
        <v/>
      </c>
      <c r="J1450" s="9" t="n">
        <v>1.2197</v>
      </c>
      <c r="K1450" s="8">
        <f>IFERROR(INDEX(Tbl_KPIMaster[Tolerance],MATCH($G1450,Tbl_KPIMaster[KPI],0)),"")</f>
        <v/>
      </c>
      <c r="L1450" s="8">
        <f>IFERROR(INDEX(Tbl_KPIMaster[Owner],MATCH($G1450,Tbl_KPIMaster[KPI],0)),"")</f>
        <v/>
      </c>
      <c r="M1450" s="10" t="inlineStr">
        <is>
          <t>Line changeover impact</t>
        </is>
      </c>
      <c r="N1450" s="8" t="inlineStr"/>
      <c r="O1450" s="8" t="inlineStr">
        <is>
          <t>Low</t>
        </is>
      </c>
      <c r="P1450" s="8" t="inlineStr">
        <is>
          <t>Closed</t>
        </is>
      </c>
      <c r="Q1450" s="9">
        <f>IFERROR(IF(INDEX(Tbl_KPIMaster[Direction],MATCH($G1450,Tbl_KPIMaster[KPI],0))="Lower is Better",IF($J1450=0,1,IF($I1450=0,0,$I1450/$J1450)),IF($I1450=0,1,$J1450/$I1450)),0)</f>
        <v/>
      </c>
      <c r="R1450" s="8">
        <f>IF(OR($I1450="",$J1450=""),"",$J1450-$I1450)</f>
        <v/>
      </c>
      <c r="S1450" s="8">
        <f>IFERROR(IF(INDEX(Tbl_KPIMaster[Direction],MATCH($G1450,Tbl_KPIMaster[KPI],0))="Lower is Better",IF($J1450&lt;=$I1450,"Green",IF($J1450&lt;=$I1450+IF($I1450=0,$K1450,$I1450*$K1450),"Amber","Red")),IF($J1450&gt;=$I1450,"Green",IF($J1450&gt;=$I1450-IF($I1450=0,$K1450,$I1450*$K1450),"Amber","Red"))),"")</f>
        <v/>
      </c>
      <c r="T1450" s="10" t="inlineStr"/>
    </row>
    <row r="1451">
      <c r="A1451" s="3" t="n">
        <v>46202</v>
      </c>
      <c r="B1451" s="4">
        <f>IF($A1451="","",TEXT($A1451,"mmm-yyyy"))</f>
        <v/>
      </c>
      <c r="C1451" s="4">
        <f>IF($A1451="","","W"&amp;WEEKNUM($A1451,2))</f>
        <v/>
      </c>
      <c r="D1451" s="4">
        <f>IF($A1451="","",TEXT($A1451,"ddd"))</f>
        <v/>
      </c>
      <c r="E1451" s="4" t="inlineStr">
        <is>
          <t>Utilities</t>
        </is>
      </c>
      <c r="F1451" s="4">
        <f>IFERROR(INDEX(Tbl_KPIMaster[Category],MATCH($G1451,Tbl_KPIMaster[KPI],0)),"")</f>
        <v/>
      </c>
      <c r="G1451" s="4" t="inlineStr">
        <is>
          <t>Power Consumption</t>
        </is>
      </c>
      <c r="H1451" s="4">
        <f>IFERROR(INDEX(Tbl_KPIMaster[Unit],MATCH($G1451,Tbl_KPIMaster[KPI],0)),"")</f>
        <v/>
      </c>
      <c r="I1451" s="5">
        <f>IFERROR(INDEX(Tbl_KPIMaster[Maximum Target],MATCH($G1451,Tbl_KPIMaster[KPI],0)),"")</f>
        <v/>
      </c>
      <c r="J1451" s="5" t="n">
        <v>4844.41</v>
      </c>
      <c r="K1451" s="4">
        <f>IFERROR(INDEX(Tbl_KPIMaster[Tolerance],MATCH($G1451,Tbl_KPIMaster[KPI],0)),"")</f>
        <v/>
      </c>
      <c r="L1451" s="4">
        <f>IFERROR(INDEX(Tbl_KPIMaster[Owner],MATCH($G1451,Tbl_KPIMaster[KPI],0)),"")</f>
        <v/>
      </c>
      <c r="M1451" s="6" t="inlineStr">
        <is>
          <t>Manpower shortage</t>
        </is>
      </c>
      <c r="N1451" s="4" t="inlineStr"/>
      <c r="O1451" s="4" t="inlineStr">
        <is>
          <t>Medium</t>
        </is>
      </c>
      <c r="P1451" s="4" t="inlineStr">
        <is>
          <t>Closed</t>
        </is>
      </c>
      <c r="Q1451" s="5">
        <f>IFERROR(IF(INDEX(Tbl_KPIMaster[Direction],MATCH($G1451,Tbl_KPIMaster[KPI],0))="Lower is Better",IF($J1451=0,1,IF($I1451=0,0,$I1451/$J1451)),IF($I1451=0,1,$J1451/$I1451)),0)</f>
        <v/>
      </c>
      <c r="R1451" s="4">
        <f>IF(OR($I1451="",$J1451=""),"",$J1451-$I1451)</f>
        <v/>
      </c>
      <c r="S1451" s="4">
        <f>IFERROR(IF(INDEX(Tbl_KPIMaster[Direction],MATCH($G1451,Tbl_KPIMaster[KPI],0))="Lower is Better",IF($J1451&lt;=$I1451,"Green",IF($J1451&lt;=$I1451+IF($I1451=0,$K1451,$I1451*$K1451),"Amber","Red")),IF($J1451&gt;=$I1451,"Green",IF($J1451&gt;=$I1451-IF($I1451=0,$K1451,$I1451*$K1451),"Amber","Red"))),"")</f>
        <v/>
      </c>
      <c r="T1451" s="6" t="inlineStr"/>
    </row>
    <row r="1452">
      <c r="A1452" s="7" t="n">
        <v>46202</v>
      </c>
      <c r="B1452" s="8">
        <f>IF($A1452="","",TEXT($A1452,"mmm-yyyy"))</f>
        <v/>
      </c>
      <c r="C1452" s="8">
        <f>IF($A1452="","","W"&amp;WEEKNUM($A1452,2))</f>
        <v/>
      </c>
      <c r="D1452" s="8">
        <f>IF($A1452="","",TEXT($A1452,"ddd"))</f>
        <v/>
      </c>
      <c r="E1452" s="8" t="inlineStr">
        <is>
          <t>Utilities</t>
        </is>
      </c>
      <c r="F1452" s="8">
        <f>IFERROR(INDEX(Tbl_KPIMaster[Category],MATCH($G1452,Tbl_KPIMaster[KPI],0)),"")</f>
        <v/>
      </c>
      <c r="G1452" s="8" t="inlineStr">
        <is>
          <t>Water Consumption</t>
        </is>
      </c>
      <c r="H1452" s="8">
        <f>IFERROR(INDEX(Tbl_KPIMaster[Unit],MATCH($G1452,Tbl_KPIMaster[KPI],0)),"")</f>
        <v/>
      </c>
      <c r="I1452" s="9">
        <f>IFERROR(INDEX(Tbl_KPIMaster[Maximum Target],MATCH($G1452,Tbl_KPIMaster[KPI],0)),"")</f>
        <v/>
      </c>
      <c r="J1452" s="9" t="n">
        <v>49.9</v>
      </c>
      <c r="K1452" s="8">
        <f>IFERROR(INDEX(Tbl_KPIMaster[Tolerance],MATCH($G1452,Tbl_KPIMaster[KPI],0)),"")</f>
        <v/>
      </c>
      <c r="L1452" s="8">
        <f>IFERROR(INDEX(Tbl_KPIMaster[Owner],MATCH($G1452,Tbl_KPIMaster[KPI],0)),"")</f>
        <v/>
      </c>
      <c r="M1452" s="10" t="inlineStr">
        <is>
          <t>Manpower shortage</t>
        </is>
      </c>
      <c r="N1452" s="8" t="inlineStr"/>
      <c r="O1452" s="8" t="inlineStr">
        <is>
          <t>High</t>
        </is>
      </c>
      <c r="P1452" s="8" t="inlineStr">
        <is>
          <t>In Progress</t>
        </is>
      </c>
      <c r="Q1452" s="9">
        <f>IFERROR(IF(INDEX(Tbl_KPIMaster[Direction],MATCH($G1452,Tbl_KPIMaster[KPI],0))="Lower is Better",IF($J1452=0,1,IF($I1452=0,0,$I1452/$J1452)),IF($I1452=0,1,$J1452/$I1452)),0)</f>
        <v/>
      </c>
      <c r="R1452" s="8">
        <f>IF(OR($I1452="",$J1452=""),"",$J1452-$I1452)</f>
        <v/>
      </c>
      <c r="S1452" s="8">
        <f>IFERROR(IF(INDEX(Tbl_KPIMaster[Direction],MATCH($G1452,Tbl_KPIMaster[KPI],0))="Lower is Better",IF($J1452&lt;=$I1452,"Green",IF($J1452&lt;=$I1452+IF($I1452=0,$K1452,$I1452*$K1452),"Amber","Red")),IF($J1452&gt;=$I1452,"Green",IF($J1452&gt;=$I1452-IF($I1452=0,$K1452,$I1452*$K1452),"Amber","Red"))),"")</f>
        <v/>
      </c>
      <c r="T1452" s="10" t="inlineStr"/>
    </row>
    <row r="1453">
      <c r="A1453" s="3" t="n">
        <v>46202</v>
      </c>
      <c r="B1453" s="4">
        <f>IF($A1453="","",TEXT($A1453,"mmm-yyyy"))</f>
        <v/>
      </c>
      <c r="C1453" s="4">
        <f>IF($A1453="","","W"&amp;WEEKNUM($A1453,2))</f>
        <v/>
      </c>
      <c r="D1453" s="4">
        <f>IF($A1453="","",TEXT($A1453,"ddd"))</f>
        <v/>
      </c>
      <c r="E1453" s="4" t="inlineStr">
        <is>
          <t>Warehouse</t>
        </is>
      </c>
      <c r="F1453" s="4">
        <f>IFERROR(INDEX(Tbl_KPIMaster[Category],MATCH($G1453,Tbl_KPIMaster[KPI],0)),"")</f>
        <v/>
      </c>
      <c r="G1453" s="4" t="inlineStr">
        <is>
          <t>On-Time Dispatch %</t>
        </is>
      </c>
      <c r="H1453" s="4">
        <f>IFERROR(INDEX(Tbl_KPIMaster[Unit],MATCH($G1453,Tbl_KPIMaster[KPI],0)),"")</f>
        <v/>
      </c>
      <c r="I1453" s="5">
        <f>IFERROR(INDEX(Tbl_KPIMaster[Maximum Target],MATCH($G1453,Tbl_KPIMaster[KPI],0)),"")</f>
        <v/>
      </c>
      <c r="J1453" s="5" t="n">
        <v>0.8424</v>
      </c>
      <c r="K1453" s="4">
        <f>IFERROR(INDEX(Tbl_KPIMaster[Tolerance],MATCH($G1453,Tbl_KPIMaster[KPI],0)),"")</f>
        <v/>
      </c>
      <c r="L1453" s="4">
        <f>IFERROR(INDEX(Tbl_KPIMaster[Owner],MATCH($G1453,Tbl_KPIMaster[KPI],0)),"")</f>
        <v/>
      </c>
      <c r="M1453" s="6" t="inlineStr">
        <is>
          <t>Weather impact</t>
        </is>
      </c>
      <c r="N1453" s="4" t="inlineStr"/>
      <c r="O1453" s="4" t="inlineStr">
        <is>
          <t>High</t>
        </is>
      </c>
      <c r="P1453" s="4" t="inlineStr">
        <is>
          <t>In Progress</t>
        </is>
      </c>
      <c r="Q1453" s="5">
        <f>IFERROR(IF(INDEX(Tbl_KPIMaster[Direction],MATCH($G1453,Tbl_KPIMaster[KPI],0))="Lower is Better",IF($J1453=0,1,IF($I1453=0,0,$I1453/$J1453)),IF($I1453=0,1,$J1453/$I1453)),0)</f>
        <v/>
      </c>
      <c r="R1453" s="4">
        <f>IF(OR($I1453="",$J1453=""),"",$J1453-$I1453)</f>
        <v/>
      </c>
      <c r="S1453" s="4">
        <f>IFERROR(IF(INDEX(Tbl_KPIMaster[Direction],MATCH($G1453,Tbl_KPIMaster[KPI],0))="Lower is Better",IF($J1453&lt;=$I1453,"Green",IF($J1453&lt;=$I1453+IF($I1453=0,$K1453,$I1453*$K1453),"Amber","Red")),IF($J1453&gt;=$I1453,"Green",IF($J1453&gt;=$I1453-IF($I1453=0,$K1453,$I1453*$K1453),"Amber","Red"))),"")</f>
        <v/>
      </c>
      <c r="T1453" s="6" t="inlineStr"/>
    </row>
    <row r="1454">
      <c r="A1454" s="7" t="n">
        <v>46202</v>
      </c>
      <c r="B1454" s="8">
        <f>IF($A1454="","",TEXT($A1454,"mmm-yyyy"))</f>
        <v/>
      </c>
      <c r="C1454" s="8">
        <f>IF($A1454="","","W"&amp;WEEKNUM($A1454,2))</f>
        <v/>
      </c>
      <c r="D1454" s="8">
        <f>IF($A1454="","",TEXT($A1454,"ddd"))</f>
        <v/>
      </c>
      <c r="E1454" s="8" t="inlineStr">
        <is>
          <t>Warehouse</t>
        </is>
      </c>
      <c r="F1454" s="8">
        <f>IFERROR(INDEX(Tbl_KPIMaster[Category],MATCH($G1454,Tbl_KPIMaster[KPI],0)),"")</f>
        <v/>
      </c>
      <c r="G1454" s="8" t="inlineStr">
        <is>
          <t>Inventory Accuracy %</t>
        </is>
      </c>
      <c r="H1454" s="8">
        <f>IFERROR(INDEX(Tbl_KPIMaster[Unit],MATCH($G1454,Tbl_KPIMaster[KPI],0)),"")</f>
        <v/>
      </c>
      <c r="I1454" s="9">
        <f>IFERROR(INDEX(Tbl_KPIMaster[Maximum Target],MATCH($G1454,Tbl_KPIMaster[KPI],0)),"")</f>
        <v/>
      </c>
      <c r="J1454" s="9" t="n">
        <v>1.1578</v>
      </c>
      <c r="K1454" s="8">
        <f>IFERROR(INDEX(Tbl_KPIMaster[Tolerance],MATCH($G1454,Tbl_KPIMaster[KPI],0)),"")</f>
        <v/>
      </c>
      <c r="L1454" s="8">
        <f>IFERROR(INDEX(Tbl_KPIMaster[Owner],MATCH($G1454,Tbl_KPIMaster[KPI],0)),"")</f>
        <v/>
      </c>
      <c r="M1454" s="10" t="inlineStr">
        <is>
          <t>New operator training effect</t>
        </is>
      </c>
      <c r="N1454" s="8" t="inlineStr"/>
      <c r="O1454" s="8" t="inlineStr">
        <is>
          <t>Low</t>
        </is>
      </c>
      <c r="P1454" s="8" t="inlineStr">
        <is>
          <t>Open</t>
        </is>
      </c>
      <c r="Q1454" s="9">
        <f>IFERROR(IF(INDEX(Tbl_KPIMaster[Direction],MATCH($G1454,Tbl_KPIMaster[KPI],0))="Lower is Better",IF($J1454=0,1,IF($I1454=0,0,$I1454/$J1454)),IF($I1454=0,1,$J1454/$I1454)),0)</f>
        <v/>
      </c>
      <c r="R1454" s="8">
        <f>IF(OR($I1454="",$J1454=""),"",$J1454-$I1454)</f>
        <v/>
      </c>
      <c r="S1454" s="8">
        <f>IFERROR(IF(INDEX(Tbl_KPIMaster[Direction],MATCH($G1454,Tbl_KPIMaster[KPI],0))="Lower is Better",IF($J1454&lt;=$I1454,"Green",IF($J1454&lt;=$I1454+IF($I1454=0,$K1454,$I1454*$K1454),"Amber","Red")),IF($J1454&gt;=$I1454,"Green",IF($J1454&gt;=$I1454-IF($I1454=0,$K1454,$I1454*$K1454),"Amber","Red"))),"")</f>
        <v/>
      </c>
      <c r="T1454" s="10" t="inlineStr"/>
    </row>
    <row r="1455">
      <c r="A1455" s="3" t="n">
        <v>46202</v>
      </c>
      <c r="B1455" s="4">
        <f>IF($A1455="","",TEXT($A1455,"mmm-yyyy"))</f>
        <v/>
      </c>
      <c r="C1455" s="4">
        <f>IF($A1455="","","W"&amp;WEEKNUM($A1455,2))</f>
        <v/>
      </c>
      <c r="D1455" s="4">
        <f>IF($A1455="","",TEXT($A1455,"ddd"))</f>
        <v/>
      </c>
      <c r="E1455" s="4" t="inlineStr">
        <is>
          <t>HR</t>
        </is>
      </c>
      <c r="F1455" s="4">
        <f>IFERROR(INDEX(Tbl_KPIMaster[Category],MATCH($G1455,Tbl_KPIMaster[KPI],0)),"")</f>
        <v/>
      </c>
      <c r="G1455" s="4" t="inlineStr">
        <is>
          <t>Absenteeism %</t>
        </is>
      </c>
      <c r="H1455" s="4">
        <f>IFERROR(INDEX(Tbl_KPIMaster[Unit],MATCH($G1455,Tbl_KPIMaster[KPI],0)),"")</f>
        <v/>
      </c>
      <c r="I1455" s="5">
        <f>IFERROR(INDEX(Tbl_KPIMaster[Maximum Target],MATCH($G1455,Tbl_KPIMaster[KPI],0)),"")</f>
        <v/>
      </c>
      <c r="J1455" s="5" t="n">
        <v>0</v>
      </c>
      <c r="K1455" s="4">
        <f>IFERROR(INDEX(Tbl_KPIMaster[Tolerance],MATCH($G1455,Tbl_KPIMaster[KPI],0)),"")</f>
        <v/>
      </c>
      <c r="L1455" s="4">
        <f>IFERROR(INDEX(Tbl_KPIMaster[Owner],MATCH($G1455,Tbl_KPIMaster[KPI],0)),"")</f>
        <v/>
      </c>
      <c r="M1455" s="6" t="inlineStr">
        <is>
          <t>Awaiting spares</t>
        </is>
      </c>
      <c r="N1455" s="4" t="inlineStr"/>
      <c r="O1455" s="4" t="inlineStr">
        <is>
          <t>Low</t>
        </is>
      </c>
      <c r="P1455" s="4" t="inlineStr">
        <is>
          <t>Closed</t>
        </is>
      </c>
      <c r="Q1455" s="5">
        <f>IFERROR(IF(INDEX(Tbl_KPIMaster[Direction],MATCH($G1455,Tbl_KPIMaster[KPI],0))="Lower is Better",IF($J1455=0,1,IF($I1455=0,0,$I1455/$J1455)),IF($I1455=0,1,$J1455/$I1455)),0)</f>
        <v/>
      </c>
      <c r="R1455" s="4">
        <f>IF(OR($I1455="",$J1455=""),"",$J1455-$I1455)</f>
        <v/>
      </c>
      <c r="S1455" s="4">
        <f>IFERROR(IF(INDEX(Tbl_KPIMaster[Direction],MATCH($G1455,Tbl_KPIMaster[KPI],0))="Lower is Better",IF($J1455&lt;=$I1455,"Green",IF($J1455&lt;=$I1455+IF($I1455=0,$K1455,$I1455*$K1455),"Amber","Red")),IF($J1455&gt;=$I1455,"Green",IF($J1455&gt;=$I1455-IF($I1455=0,$K1455,$I1455*$K1455),"Amber","Red"))),"")</f>
        <v/>
      </c>
      <c r="T1455" s="6" t="inlineStr"/>
    </row>
    <row r="1456">
      <c r="A1456" s="7" t="n">
        <v>46202</v>
      </c>
      <c r="B1456" s="8">
        <f>IF($A1456="","",TEXT($A1456,"mmm-yyyy"))</f>
        <v/>
      </c>
      <c r="C1456" s="8">
        <f>IF($A1456="","","W"&amp;WEEKNUM($A1456,2))</f>
        <v/>
      </c>
      <c r="D1456" s="8">
        <f>IF($A1456="","",TEXT($A1456,"ddd"))</f>
        <v/>
      </c>
      <c r="E1456" s="8" t="inlineStr">
        <is>
          <t>HR</t>
        </is>
      </c>
      <c r="F1456" s="8">
        <f>IFERROR(INDEX(Tbl_KPIMaster[Category],MATCH($G1456,Tbl_KPIMaster[KPI],0)),"")</f>
        <v/>
      </c>
      <c r="G1456" s="8" t="inlineStr">
        <is>
          <t>Training Hours</t>
        </is>
      </c>
      <c r="H1456" s="8">
        <f>IFERROR(INDEX(Tbl_KPIMaster[Unit],MATCH($G1456,Tbl_KPIMaster[KPI],0)),"")</f>
        <v/>
      </c>
      <c r="I1456" s="9">
        <f>IFERROR(INDEX(Tbl_KPIMaster[Maximum Target],MATCH($G1456,Tbl_KPIMaster[KPI],0)),"")</f>
        <v/>
      </c>
      <c r="J1456" s="9" t="n">
        <v>1.76</v>
      </c>
      <c r="K1456" s="8">
        <f>IFERROR(INDEX(Tbl_KPIMaster[Tolerance],MATCH($G1456,Tbl_KPIMaster[KPI],0)),"")</f>
        <v/>
      </c>
      <c r="L1456" s="8">
        <f>IFERROR(INDEX(Tbl_KPIMaster[Owner],MATCH($G1456,Tbl_KPIMaster[KPI],0)),"")</f>
        <v/>
      </c>
      <c r="M1456" s="10" t="inlineStr">
        <is>
          <t>Vendor delay</t>
        </is>
      </c>
      <c r="N1456" s="8" t="inlineStr">
        <is>
          <t>Engineering support needed</t>
        </is>
      </c>
      <c r="O1456" s="8" t="inlineStr">
        <is>
          <t>Low</t>
        </is>
      </c>
      <c r="P1456" s="8" t="inlineStr">
        <is>
          <t>Closed</t>
        </is>
      </c>
      <c r="Q1456" s="9">
        <f>IFERROR(IF(INDEX(Tbl_KPIMaster[Direction],MATCH($G1456,Tbl_KPIMaster[KPI],0))="Lower is Better",IF($J1456=0,1,IF($I1456=0,0,$I1456/$J1456)),IF($I1456=0,1,$J1456/$I1456)),0)</f>
        <v/>
      </c>
      <c r="R1456" s="8">
        <f>IF(OR($I1456="",$J1456=""),"",$J1456-$I1456)</f>
        <v/>
      </c>
      <c r="S1456" s="8">
        <f>IFERROR(IF(INDEX(Tbl_KPIMaster[Direction],MATCH($G1456,Tbl_KPIMaster[KPI],0))="Lower is Better",IF($J1456&lt;=$I1456,"Green",IF($J1456&lt;=$I1456+IF($I1456=0,$K1456,$I1456*$K1456),"Amber","Red")),IF($J1456&gt;=$I1456,"Green",IF($J1456&gt;=$I1456-IF($I1456=0,$K1456,$I1456*$K1456),"Amber","Red"))),"")</f>
        <v/>
      </c>
      <c r="T1456" s="10" t="inlineStr"/>
    </row>
    <row r="1457">
      <c r="A1457" s="3" t="n">
        <v>46202</v>
      </c>
      <c r="B1457" s="4">
        <f>IF($A1457="","",TEXT($A1457,"mmm-yyyy"))</f>
        <v/>
      </c>
      <c r="C1457" s="4">
        <f>IF($A1457="","","W"&amp;WEEKNUM($A1457,2))</f>
        <v/>
      </c>
      <c r="D1457" s="4">
        <f>IF($A1457="","",TEXT($A1457,"ddd"))</f>
        <v/>
      </c>
      <c r="E1457" s="4" t="inlineStr">
        <is>
          <t>Engineering</t>
        </is>
      </c>
      <c r="F1457" s="4">
        <f>IFERROR(INDEX(Tbl_KPIMaster[Category],MATCH($G1457,Tbl_KPIMaster[KPI],0)),"")</f>
        <v/>
      </c>
      <c r="G1457" s="4" t="inlineStr">
        <is>
          <t>Project Milestone Adherence %</t>
        </is>
      </c>
      <c r="H1457" s="4">
        <f>IFERROR(INDEX(Tbl_KPIMaster[Unit],MATCH($G1457,Tbl_KPIMaster[KPI],0)),"")</f>
        <v/>
      </c>
      <c r="I1457" s="5">
        <f>IFERROR(INDEX(Tbl_KPIMaster[Maximum Target],MATCH($G1457,Tbl_KPIMaster[KPI],0)),"")</f>
        <v/>
      </c>
      <c r="J1457" s="5" t="n">
        <v>1.1243</v>
      </c>
      <c r="K1457" s="4">
        <f>IFERROR(INDEX(Tbl_KPIMaster[Tolerance],MATCH($G1457,Tbl_KPIMaster[KPI],0)),"")</f>
        <v/>
      </c>
      <c r="L1457" s="4">
        <f>IFERROR(INDEX(Tbl_KPIMaster[Owner],MATCH($G1457,Tbl_KPIMaster[KPI],0)),"")</f>
        <v/>
      </c>
      <c r="M1457" s="6" t="inlineStr">
        <is>
          <t>New operator training effect</t>
        </is>
      </c>
      <c r="N1457" s="4" t="inlineStr"/>
      <c r="O1457" s="4" t="inlineStr">
        <is>
          <t>Low</t>
        </is>
      </c>
      <c r="P1457" s="4" t="inlineStr">
        <is>
          <t>Closed</t>
        </is>
      </c>
      <c r="Q1457" s="5">
        <f>IFERROR(IF(INDEX(Tbl_KPIMaster[Direction],MATCH($G1457,Tbl_KPIMaster[KPI],0))="Lower is Better",IF($J1457=0,1,IF($I1457=0,0,$I1457/$J1457)),IF($I1457=0,1,$J1457/$I1457)),0)</f>
        <v/>
      </c>
      <c r="R1457" s="4">
        <f>IF(OR($I1457="",$J1457=""),"",$J1457-$I1457)</f>
        <v/>
      </c>
      <c r="S1457" s="4">
        <f>IFERROR(IF(INDEX(Tbl_KPIMaster[Direction],MATCH($G1457,Tbl_KPIMaster[KPI],0))="Lower is Better",IF($J1457&lt;=$I1457,"Green",IF($J1457&lt;=$I1457+IF($I1457=0,$K1457,$I1457*$K1457),"Amber","Red")),IF($J1457&gt;=$I1457,"Green",IF($J1457&gt;=$I1457-IF($I1457=0,$K1457,$I1457*$K1457),"Amber","Red"))),"")</f>
        <v/>
      </c>
      <c r="T1457" s="6" t="inlineStr"/>
    </row>
    <row r="1458">
      <c r="A1458" s="7" t="n">
        <v>46202</v>
      </c>
      <c r="B1458" s="8">
        <f>IF($A1458="","",TEXT($A1458,"mmm-yyyy"))</f>
        <v/>
      </c>
      <c r="C1458" s="8">
        <f>IF($A1458="","","W"&amp;WEEKNUM($A1458,2))</f>
        <v/>
      </c>
      <c r="D1458" s="8">
        <f>IF($A1458="","",TEXT($A1458,"ddd"))</f>
        <v/>
      </c>
      <c r="E1458" s="8" t="inlineStr">
        <is>
          <t>Engineering</t>
        </is>
      </c>
      <c r="F1458" s="8">
        <f>IFERROR(INDEX(Tbl_KPIMaster[Category],MATCH($G1458,Tbl_KPIMaster[KPI],0)),"")</f>
        <v/>
      </c>
      <c r="G1458" s="8" t="inlineStr">
        <is>
          <t>Breakdown Resolution Time</t>
        </is>
      </c>
      <c r="H1458" s="8">
        <f>IFERROR(INDEX(Tbl_KPIMaster[Unit],MATCH($G1458,Tbl_KPIMaster[KPI],0)),"")</f>
        <v/>
      </c>
      <c r="I1458" s="9">
        <f>IFERROR(INDEX(Tbl_KPIMaster[Maximum Target],MATCH($G1458,Tbl_KPIMaster[KPI],0)),"")</f>
        <v/>
      </c>
      <c r="J1458" s="9" t="n">
        <v>0.14</v>
      </c>
      <c r="K1458" s="8">
        <f>IFERROR(INDEX(Tbl_KPIMaster[Tolerance],MATCH($G1458,Tbl_KPIMaster[KPI],0)),"")</f>
        <v/>
      </c>
      <c r="L1458" s="8">
        <f>IFERROR(INDEX(Tbl_KPIMaster[Owner],MATCH($G1458,Tbl_KPIMaster[KPI],0)),"")</f>
        <v/>
      </c>
      <c r="M1458" s="10" t="inlineStr">
        <is>
          <t>Vendor delay</t>
        </is>
      </c>
      <c r="N1458" s="8" t="inlineStr">
        <is>
          <t>Engineering support needed</t>
        </is>
      </c>
      <c r="O1458" s="8" t="inlineStr">
        <is>
          <t>Low</t>
        </is>
      </c>
      <c r="P1458" s="8" t="inlineStr">
        <is>
          <t>Closed</t>
        </is>
      </c>
      <c r="Q1458" s="9">
        <f>IFERROR(IF(INDEX(Tbl_KPIMaster[Direction],MATCH($G1458,Tbl_KPIMaster[KPI],0))="Lower is Better",IF($J1458=0,1,IF($I1458=0,0,$I1458/$J1458)),IF($I1458=0,1,$J1458/$I1458)),0)</f>
        <v/>
      </c>
      <c r="R1458" s="8">
        <f>IF(OR($I1458="",$J1458=""),"",$J1458-$I1458)</f>
        <v/>
      </c>
      <c r="S1458" s="8">
        <f>IFERROR(IF(INDEX(Tbl_KPIMaster[Direction],MATCH($G1458,Tbl_KPIMaster[KPI],0))="Lower is Better",IF($J1458&lt;=$I1458,"Green",IF($J1458&lt;=$I1458+IF($I1458=0,$K1458,$I1458*$K1458),"Amber","Red")),IF($J1458&gt;=$I1458,"Green",IF($J1458&gt;=$I1458-IF($I1458=0,$K1458,$I1458*$K1458),"Amber","Red"))),"")</f>
        <v/>
      </c>
      <c r="T1458" s="10" t="inlineStr"/>
    </row>
    <row r="1459">
      <c r="A1459" s="3" t="n">
        <v>46202</v>
      </c>
      <c r="B1459" s="4">
        <f>IF($A1459="","",TEXT($A1459,"mmm-yyyy"))</f>
        <v/>
      </c>
      <c r="C1459" s="4">
        <f>IF($A1459="","","W"&amp;WEEKNUM($A1459,2))</f>
        <v/>
      </c>
      <c r="D1459" s="4">
        <f>IF($A1459="","",TEXT($A1459,"ddd"))</f>
        <v/>
      </c>
      <c r="E1459" s="4" t="inlineStr">
        <is>
          <t>Cost</t>
        </is>
      </c>
      <c r="F1459" s="4">
        <f>IFERROR(INDEX(Tbl_KPIMaster[Category],MATCH($G1459,Tbl_KPIMaster[KPI],0)),"")</f>
        <v/>
      </c>
      <c r="G1459" s="4" t="inlineStr">
        <is>
          <t>Cost per Unit</t>
        </is>
      </c>
      <c r="H1459" s="4">
        <f>IFERROR(INDEX(Tbl_KPIMaster[Unit],MATCH($G1459,Tbl_KPIMaster[KPI],0)),"")</f>
        <v/>
      </c>
      <c r="I1459" s="5">
        <f>IFERROR(INDEX(Tbl_KPIMaster[Maximum Target],MATCH($G1459,Tbl_KPIMaster[KPI],0)),"")</f>
        <v/>
      </c>
      <c r="J1459" s="5" t="n">
        <v>37.14</v>
      </c>
      <c r="K1459" s="4">
        <f>IFERROR(INDEX(Tbl_KPIMaster[Tolerance],MATCH($G1459,Tbl_KPIMaster[KPI],0)),"")</f>
        <v/>
      </c>
      <c r="L1459" s="4">
        <f>IFERROR(INDEX(Tbl_KPIMaster[Owner],MATCH($G1459,Tbl_KPIMaster[KPI],0)),"")</f>
        <v/>
      </c>
      <c r="M1459" s="6" t="inlineStr">
        <is>
          <t>Vendor delay</t>
        </is>
      </c>
      <c r="N1459" s="4" t="inlineStr">
        <is>
          <t>Management approval pending</t>
        </is>
      </c>
      <c r="O1459" s="4" t="inlineStr">
        <is>
          <t>Low</t>
        </is>
      </c>
      <c r="P1459" s="4" t="inlineStr">
        <is>
          <t>Closed</t>
        </is>
      </c>
      <c r="Q1459" s="5">
        <f>IFERROR(IF(INDEX(Tbl_KPIMaster[Direction],MATCH($G1459,Tbl_KPIMaster[KPI],0))="Lower is Better",IF($J1459=0,1,IF($I1459=0,0,$I1459/$J1459)),IF($I1459=0,1,$J1459/$I1459)),0)</f>
        <v/>
      </c>
      <c r="R1459" s="4">
        <f>IF(OR($I1459="",$J1459=""),"",$J1459-$I1459)</f>
        <v/>
      </c>
      <c r="S1459" s="4">
        <f>IFERROR(IF(INDEX(Tbl_KPIMaster[Direction],MATCH($G1459,Tbl_KPIMaster[KPI],0))="Lower is Better",IF($J1459&lt;=$I1459,"Green",IF($J1459&lt;=$I1459+IF($I1459=0,$K1459,$I1459*$K1459),"Amber","Red")),IF($J1459&gt;=$I1459,"Green",IF($J1459&gt;=$I1459-IF($I1459=0,$K1459,$I1459*$K1459),"Amber","Red"))),"")</f>
        <v/>
      </c>
      <c r="T1459" s="6" t="inlineStr"/>
    </row>
    <row r="1460">
      <c r="A1460" s="7" t="n">
        <v>46202</v>
      </c>
      <c r="B1460" s="8">
        <f>IF($A1460="","",TEXT($A1460,"mmm-yyyy"))</f>
        <v/>
      </c>
      <c r="C1460" s="8">
        <f>IF($A1460="","","W"&amp;WEEKNUM($A1460,2))</f>
        <v/>
      </c>
      <c r="D1460" s="8">
        <f>IF($A1460="","",TEXT($A1460,"ddd"))</f>
        <v/>
      </c>
      <c r="E1460" s="8" t="inlineStr">
        <is>
          <t>Cost</t>
        </is>
      </c>
      <c r="F1460" s="8">
        <f>IFERROR(INDEX(Tbl_KPIMaster[Category],MATCH($G1460,Tbl_KPIMaster[KPI],0)),"")</f>
        <v/>
      </c>
      <c r="G1460" s="8" t="inlineStr">
        <is>
          <t>Budget Variance %</t>
        </is>
      </c>
      <c r="H1460" s="8">
        <f>IFERROR(INDEX(Tbl_KPIMaster[Unit],MATCH($G1460,Tbl_KPIMaster[KPI],0)),"")</f>
        <v/>
      </c>
      <c r="I1460" s="9">
        <f>IFERROR(INDEX(Tbl_KPIMaster[Maximum Target],MATCH($G1460,Tbl_KPIMaster[KPI],0)),"")</f>
        <v/>
      </c>
      <c r="J1460" s="9" t="n">
        <v>0</v>
      </c>
      <c r="K1460" s="8">
        <f>IFERROR(INDEX(Tbl_KPIMaster[Tolerance],MATCH($G1460,Tbl_KPIMaster[KPI],0)),"")</f>
        <v/>
      </c>
      <c r="L1460" s="8">
        <f>IFERROR(INDEX(Tbl_KPIMaster[Owner],MATCH($G1460,Tbl_KPIMaster[KPI],0)),"")</f>
        <v/>
      </c>
      <c r="M1460" s="10" t="inlineStr">
        <is>
          <t>Awaiting spares</t>
        </is>
      </c>
      <c r="N1460" s="8" t="inlineStr"/>
      <c r="O1460" s="8" t="inlineStr">
        <is>
          <t>Low</t>
        </is>
      </c>
      <c r="P1460" s="8" t="inlineStr">
        <is>
          <t>In Progress</t>
        </is>
      </c>
      <c r="Q1460" s="9">
        <f>IFERROR(IF(INDEX(Tbl_KPIMaster[Direction],MATCH($G1460,Tbl_KPIMaster[KPI],0))="Lower is Better",IF($J1460=0,1,IF($I1460=0,0,$I1460/$J1460)),IF($I1460=0,1,$J1460/$I1460)),0)</f>
        <v/>
      </c>
      <c r="R1460" s="8">
        <f>IF(OR($I1460="",$J1460=""),"",$J1460-$I1460)</f>
        <v/>
      </c>
      <c r="S1460" s="8">
        <f>IFERROR(IF(INDEX(Tbl_KPIMaster[Direction],MATCH($G1460,Tbl_KPIMaster[KPI],0))="Lower is Better",IF($J1460&lt;=$I1460,"Green",IF($J1460&lt;=$I1460+IF($I1460=0,$K1460,$I1460*$K1460),"Amber","Red")),IF($J1460&gt;=$I1460,"Green",IF($J1460&gt;=$I1460-IF($I1460=0,$K1460,$I1460*$K1460),"Amber","Red"))),"")</f>
        <v/>
      </c>
      <c r="T1460" s="10" t="inlineStr"/>
    </row>
    <row r="1461">
      <c r="A1461" s="3" t="n">
        <v>46202</v>
      </c>
      <c r="B1461" s="4">
        <f>IF($A1461="","",TEXT($A1461,"mmm-yyyy"))</f>
        <v/>
      </c>
      <c r="C1461" s="4">
        <f>IF($A1461="","","W"&amp;WEEKNUM($A1461,2))</f>
        <v/>
      </c>
      <c r="D1461" s="4">
        <f>IF($A1461="","",TEXT($A1461,"ddd"))</f>
        <v/>
      </c>
      <c r="E1461" s="4" t="inlineStr">
        <is>
          <t>Energy</t>
        </is>
      </c>
      <c r="F1461" s="4">
        <f>IFERROR(INDEX(Tbl_KPIMaster[Category],MATCH($G1461,Tbl_KPIMaster[KPI],0)),"")</f>
        <v/>
      </c>
      <c r="G1461" s="4" t="inlineStr">
        <is>
          <t>Energy Intensity (kWh/unit)</t>
        </is>
      </c>
      <c r="H1461" s="4">
        <f>IFERROR(INDEX(Tbl_KPIMaster[Unit],MATCH($G1461,Tbl_KPIMaster[KPI],0)),"")</f>
        <v/>
      </c>
      <c r="I1461" s="5">
        <f>IFERROR(INDEX(Tbl_KPIMaster[Maximum Target],MATCH($G1461,Tbl_KPIMaster[KPI],0)),"")</f>
        <v/>
      </c>
      <c r="J1461" s="5" t="n">
        <v>3.59</v>
      </c>
      <c r="K1461" s="4">
        <f>IFERROR(INDEX(Tbl_KPIMaster[Tolerance],MATCH($G1461,Tbl_KPIMaster[KPI],0)),"")</f>
        <v/>
      </c>
      <c r="L1461" s="4">
        <f>IFERROR(INDEX(Tbl_KPIMaster[Owner],MATCH($G1461,Tbl_KPIMaster[KPI],0)),"")</f>
        <v/>
      </c>
      <c r="M1461" s="6" t="inlineStr">
        <is>
          <t>Weather impact</t>
        </is>
      </c>
      <c r="N1461" s="4" t="inlineStr"/>
      <c r="O1461" s="4" t="inlineStr">
        <is>
          <t>Low</t>
        </is>
      </c>
      <c r="P1461" s="4" t="inlineStr">
        <is>
          <t>Closed</t>
        </is>
      </c>
      <c r="Q1461" s="5">
        <f>IFERROR(IF(INDEX(Tbl_KPIMaster[Direction],MATCH($G1461,Tbl_KPIMaster[KPI],0))="Lower is Better",IF($J1461=0,1,IF($I1461=0,0,$I1461/$J1461)),IF($I1461=0,1,$J1461/$I1461)),0)</f>
        <v/>
      </c>
      <c r="R1461" s="4">
        <f>IF(OR($I1461="",$J1461=""),"",$J1461-$I1461)</f>
        <v/>
      </c>
      <c r="S1461" s="4">
        <f>IFERROR(IF(INDEX(Tbl_KPIMaster[Direction],MATCH($G1461,Tbl_KPIMaster[KPI],0))="Lower is Better",IF($J1461&lt;=$I1461,"Green",IF($J1461&lt;=$I1461+IF($I1461=0,$K1461,$I1461*$K1461),"Amber","Red")),IF($J1461&gt;=$I1461,"Green",IF($J1461&gt;=$I1461-IF($I1461=0,$K1461,$I1461*$K1461),"Amber","Red"))),"")</f>
        <v/>
      </c>
      <c r="T1461" s="6" t="inlineStr"/>
    </row>
    <row r="1462">
      <c r="A1462" s="7" t="n">
        <v>46202</v>
      </c>
      <c r="B1462" s="8">
        <f>IF($A1462="","",TEXT($A1462,"mmm-yyyy"))</f>
        <v/>
      </c>
      <c r="C1462" s="8">
        <f>IF($A1462="","","W"&amp;WEEKNUM($A1462,2))</f>
        <v/>
      </c>
      <c r="D1462" s="8">
        <f>IF($A1462="","",TEXT($A1462,"ddd"))</f>
        <v/>
      </c>
      <c r="E1462" s="8" t="inlineStr">
        <is>
          <t>Energy</t>
        </is>
      </c>
      <c r="F1462" s="8">
        <f>IFERROR(INDEX(Tbl_KPIMaster[Category],MATCH($G1462,Tbl_KPIMaster[KPI],0)),"")</f>
        <v/>
      </c>
      <c r="G1462" s="8" t="inlineStr">
        <is>
          <t>Renewable Energy Share %</t>
        </is>
      </c>
      <c r="H1462" s="8">
        <f>IFERROR(INDEX(Tbl_KPIMaster[Unit],MATCH($G1462,Tbl_KPIMaster[KPI],0)),"")</f>
        <v/>
      </c>
      <c r="I1462" s="9">
        <f>IFERROR(INDEX(Tbl_KPIMaster[Maximum Target],MATCH($G1462,Tbl_KPIMaster[KPI],0)),"")</f>
        <v/>
      </c>
      <c r="J1462" s="9" t="n">
        <v>0.2513</v>
      </c>
      <c r="K1462" s="8">
        <f>IFERROR(INDEX(Tbl_KPIMaster[Tolerance],MATCH($G1462,Tbl_KPIMaster[KPI],0)),"")</f>
        <v/>
      </c>
      <c r="L1462" s="8">
        <f>IFERROR(INDEX(Tbl_KPIMaster[Owner],MATCH($G1462,Tbl_KPIMaster[KPI],0)),"")</f>
        <v/>
      </c>
      <c r="M1462" s="10" t="inlineStr">
        <is>
          <t>New operator training effect</t>
        </is>
      </c>
      <c r="N1462" s="8" t="inlineStr"/>
      <c r="O1462" s="8" t="inlineStr">
        <is>
          <t>Low</t>
        </is>
      </c>
      <c r="P1462" s="8" t="inlineStr">
        <is>
          <t>Open</t>
        </is>
      </c>
      <c r="Q1462" s="9">
        <f>IFERROR(IF(INDEX(Tbl_KPIMaster[Direction],MATCH($G1462,Tbl_KPIMaster[KPI],0))="Lower is Better",IF($J1462=0,1,IF($I1462=0,0,$I1462/$J1462)),IF($I1462=0,1,$J1462/$I1462)),0)</f>
        <v/>
      </c>
      <c r="R1462" s="8">
        <f>IF(OR($I1462="",$J1462=""),"",$J1462-$I1462)</f>
        <v/>
      </c>
      <c r="S1462" s="8">
        <f>IFERROR(IF(INDEX(Tbl_KPIMaster[Direction],MATCH($G1462,Tbl_KPIMaster[KPI],0))="Lower is Better",IF($J1462&lt;=$I1462,"Green",IF($J1462&lt;=$I1462+IF($I1462=0,$K1462,$I1462*$K1462),"Amber","Red")),IF($J1462&gt;=$I1462,"Green",IF($J1462&gt;=$I1462-IF($I1462=0,$K1462,$I1462*$K1462),"Amber","Red"))),"")</f>
        <v/>
      </c>
      <c r="T1462" s="10" t="inlineStr"/>
    </row>
    <row r="1463">
      <c r="A1463" s="3" t="n">
        <v>46203</v>
      </c>
      <c r="B1463" s="4">
        <f>IF($A1463="","",TEXT($A1463,"mmm-yyyy"))</f>
        <v/>
      </c>
      <c r="C1463" s="4">
        <f>IF($A1463="","","W"&amp;WEEKNUM($A1463,2))</f>
        <v/>
      </c>
      <c r="D1463" s="4">
        <f>IF($A1463="","",TEXT($A1463,"ddd"))</f>
        <v/>
      </c>
      <c r="E1463" s="4" t="inlineStr">
        <is>
          <t>Safety</t>
        </is>
      </c>
      <c r="F1463" s="4">
        <f>IFERROR(INDEX(Tbl_KPIMaster[Category],MATCH($G1463,Tbl_KPIMaster[KPI],0)),"")</f>
        <v/>
      </c>
      <c r="G1463" s="4" t="inlineStr">
        <is>
          <t>Safety Incidents (LTI)</t>
        </is>
      </c>
      <c r="H1463" s="4">
        <f>IFERROR(INDEX(Tbl_KPIMaster[Unit],MATCH($G1463,Tbl_KPIMaster[KPI],0)),"")</f>
        <v/>
      </c>
      <c r="I1463" s="5">
        <f>IFERROR(INDEX(Tbl_KPIMaster[Maximum Target],MATCH($G1463,Tbl_KPIMaster[KPI],0)),"")</f>
        <v/>
      </c>
      <c r="J1463" s="5" t="n">
        <v>0</v>
      </c>
      <c r="K1463" s="4">
        <f>IFERROR(INDEX(Tbl_KPIMaster[Tolerance],MATCH($G1463,Tbl_KPIMaster[KPI],0)),"")</f>
        <v/>
      </c>
      <c r="L1463" s="4">
        <f>IFERROR(INDEX(Tbl_KPIMaster[Owner],MATCH($G1463,Tbl_KPIMaster[KPI],0)),"")</f>
        <v/>
      </c>
      <c r="M1463" s="6" t="inlineStr">
        <is>
          <t>Within normal range</t>
        </is>
      </c>
      <c r="N1463" s="4" t="inlineStr"/>
      <c r="O1463" s="4" t="inlineStr">
        <is>
          <t>High</t>
        </is>
      </c>
      <c r="P1463" s="4" t="inlineStr">
        <is>
          <t>Open</t>
        </is>
      </c>
      <c r="Q1463" s="5">
        <f>IFERROR(IF(INDEX(Tbl_KPIMaster[Direction],MATCH($G1463,Tbl_KPIMaster[KPI],0))="Lower is Better",IF($J1463=0,1,IF($I1463=0,0,$I1463/$J1463)),IF($I1463=0,1,$J1463/$I1463)),0)</f>
        <v/>
      </c>
      <c r="R1463" s="4">
        <f>IF(OR($I1463="",$J1463=""),"",$J1463-$I1463)</f>
        <v/>
      </c>
      <c r="S1463" s="4">
        <f>IFERROR(IF(INDEX(Tbl_KPIMaster[Direction],MATCH($G1463,Tbl_KPIMaster[KPI],0))="Lower is Better",IF($J1463&lt;=$I1463,"Green",IF($J1463&lt;=$I1463+IF($I1463=0,$K1463,$I1463*$K1463),"Amber","Red")),IF($J1463&gt;=$I1463,"Green",IF($J1463&gt;=$I1463-IF($I1463=0,$K1463,$I1463*$K1463),"Amber","Red"))),"")</f>
        <v/>
      </c>
      <c r="T1463" s="6" t="inlineStr"/>
    </row>
    <row r="1464">
      <c r="A1464" s="7" t="n">
        <v>46203</v>
      </c>
      <c r="B1464" s="8">
        <f>IF($A1464="","",TEXT($A1464,"mmm-yyyy"))</f>
        <v/>
      </c>
      <c r="C1464" s="8">
        <f>IF($A1464="","","W"&amp;WEEKNUM($A1464,2))</f>
        <v/>
      </c>
      <c r="D1464" s="8">
        <f>IF($A1464="","",TEXT($A1464,"ddd"))</f>
        <v/>
      </c>
      <c r="E1464" s="8" t="inlineStr">
        <is>
          <t>Safety</t>
        </is>
      </c>
      <c r="F1464" s="8">
        <f>IFERROR(INDEX(Tbl_KPIMaster[Category],MATCH($G1464,Tbl_KPIMaster[KPI],0)),"")</f>
        <v/>
      </c>
      <c r="G1464" s="8" t="inlineStr">
        <is>
          <t>Near Miss Reports</t>
        </is>
      </c>
      <c r="H1464" s="8">
        <f>IFERROR(INDEX(Tbl_KPIMaster[Unit],MATCH($G1464,Tbl_KPIMaster[KPI],0)),"")</f>
        <v/>
      </c>
      <c r="I1464" s="9">
        <f>IFERROR(INDEX(Tbl_KPIMaster[Maximum Target],MATCH($G1464,Tbl_KPIMaster[KPI],0)),"")</f>
        <v/>
      </c>
      <c r="J1464" s="9" t="n">
        <v>2</v>
      </c>
      <c r="K1464" s="8">
        <f>IFERROR(INDEX(Tbl_KPIMaster[Tolerance],MATCH($G1464,Tbl_KPIMaster[KPI],0)),"")</f>
        <v/>
      </c>
      <c r="L1464" s="8">
        <f>IFERROR(INDEX(Tbl_KPIMaster[Owner],MATCH($G1464,Tbl_KPIMaster[KPI],0)),"")</f>
        <v/>
      </c>
      <c r="M1464" s="10" t="inlineStr">
        <is>
          <t>Line changeover impact</t>
        </is>
      </c>
      <c r="N1464" s="8" t="inlineStr"/>
      <c r="O1464" s="8" t="inlineStr">
        <is>
          <t>Low</t>
        </is>
      </c>
      <c r="P1464" s="8" t="inlineStr">
        <is>
          <t>Closed</t>
        </is>
      </c>
      <c r="Q1464" s="9">
        <f>IFERROR(IF(INDEX(Tbl_KPIMaster[Direction],MATCH($G1464,Tbl_KPIMaster[KPI],0))="Lower is Better",IF($J1464=0,1,IF($I1464=0,0,$I1464/$J1464)),IF($I1464=0,1,$J1464/$I1464)),0)</f>
        <v/>
      </c>
      <c r="R1464" s="8">
        <f>IF(OR($I1464="",$J1464=""),"",$J1464-$I1464)</f>
        <v/>
      </c>
      <c r="S1464" s="8">
        <f>IFERROR(IF(INDEX(Tbl_KPIMaster[Direction],MATCH($G1464,Tbl_KPIMaster[KPI],0))="Lower is Better",IF($J1464&lt;=$I1464,"Green",IF($J1464&lt;=$I1464+IF($I1464=0,$K1464,$I1464*$K1464),"Amber","Red")),IF($J1464&gt;=$I1464,"Green",IF($J1464&gt;=$I1464-IF($I1464=0,$K1464,$I1464*$K1464),"Amber","Red"))),"")</f>
        <v/>
      </c>
      <c r="T1464" s="10" t="inlineStr"/>
    </row>
    <row r="1465">
      <c r="A1465" s="3" t="n">
        <v>46203</v>
      </c>
      <c r="B1465" s="4">
        <f>IF($A1465="","",TEXT($A1465,"mmm-yyyy"))</f>
        <v/>
      </c>
      <c r="C1465" s="4">
        <f>IF($A1465="","","W"&amp;WEEKNUM($A1465,2))</f>
        <v/>
      </c>
      <c r="D1465" s="4">
        <f>IF($A1465="","",TEXT($A1465,"ddd"))</f>
        <v/>
      </c>
      <c r="E1465" s="4" t="inlineStr">
        <is>
          <t>Production</t>
        </is>
      </c>
      <c r="F1465" s="4">
        <f>IFERROR(INDEX(Tbl_KPIMaster[Category],MATCH($G1465,Tbl_KPIMaster[KPI],0)),"")</f>
        <v/>
      </c>
      <c r="G1465" s="4" t="inlineStr">
        <is>
          <t>Production Output</t>
        </is>
      </c>
      <c r="H1465" s="4">
        <f>IFERROR(INDEX(Tbl_KPIMaster[Unit],MATCH($G1465,Tbl_KPIMaster[KPI],0)),"")</f>
        <v/>
      </c>
      <c r="I1465" s="5">
        <f>IFERROR(INDEX(Tbl_KPIMaster[Maximum Target],MATCH($G1465,Tbl_KPIMaster[KPI],0)),"")</f>
        <v/>
      </c>
      <c r="J1465" s="5" t="n">
        <v>929.98</v>
      </c>
      <c r="K1465" s="4">
        <f>IFERROR(INDEX(Tbl_KPIMaster[Tolerance],MATCH($G1465,Tbl_KPIMaster[KPI],0)),"")</f>
        <v/>
      </c>
      <c r="L1465" s="4">
        <f>IFERROR(INDEX(Tbl_KPIMaster[Owner],MATCH($G1465,Tbl_KPIMaster[KPI],0)),"")</f>
        <v/>
      </c>
      <c r="M1465" s="6" t="inlineStr">
        <is>
          <t>Process improvement in progress</t>
        </is>
      </c>
      <c r="N1465" s="4" t="inlineStr">
        <is>
          <t>Management approval pending</t>
        </is>
      </c>
      <c r="O1465" s="4" t="inlineStr">
        <is>
          <t>Low</t>
        </is>
      </c>
      <c r="P1465" s="4" t="inlineStr">
        <is>
          <t>Closed</t>
        </is>
      </c>
      <c r="Q1465" s="5">
        <f>IFERROR(IF(INDEX(Tbl_KPIMaster[Direction],MATCH($G1465,Tbl_KPIMaster[KPI],0))="Lower is Better",IF($J1465=0,1,IF($I1465=0,0,$I1465/$J1465)),IF($I1465=0,1,$J1465/$I1465)),0)</f>
        <v/>
      </c>
      <c r="R1465" s="4">
        <f>IF(OR($I1465="",$J1465=""),"",$J1465-$I1465)</f>
        <v/>
      </c>
      <c r="S1465" s="4">
        <f>IFERROR(IF(INDEX(Tbl_KPIMaster[Direction],MATCH($G1465,Tbl_KPIMaster[KPI],0))="Lower is Better",IF($J1465&lt;=$I1465,"Green",IF($J1465&lt;=$I1465+IF($I1465=0,$K1465,$I1465*$K1465),"Amber","Red")),IF($J1465&gt;=$I1465,"Green",IF($J1465&gt;=$I1465-IF($I1465=0,$K1465,$I1465*$K1465),"Amber","Red"))),"")</f>
        <v/>
      </c>
      <c r="T1465" s="6" t="inlineStr"/>
    </row>
    <row r="1466">
      <c r="A1466" s="7" t="n">
        <v>46203</v>
      </c>
      <c r="B1466" s="8">
        <f>IF($A1466="","",TEXT($A1466,"mmm-yyyy"))</f>
        <v/>
      </c>
      <c r="C1466" s="8">
        <f>IF($A1466="","","W"&amp;WEEKNUM($A1466,2))</f>
        <v/>
      </c>
      <c r="D1466" s="8">
        <f>IF($A1466="","",TEXT($A1466,"ddd"))</f>
        <v/>
      </c>
      <c r="E1466" s="8" t="inlineStr">
        <is>
          <t>Production</t>
        </is>
      </c>
      <c r="F1466" s="8">
        <f>IFERROR(INDEX(Tbl_KPIMaster[Category],MATCH($G1466,Tbl_KPIMaster[KPI],0)),"")</f>
        <v/>
      </c>
      <c r="G1466" s="8" t="inlineStr">
        <is>
          <t>OEE %</t>
        </is>
      </c>
      <c r="H1466" s="8">
        <f>IFERROR(INDEX(Tbl_KPIMaster[Unit],MATCH($G1466,Tbl_KPIMaster[KPI],0)),"")</f>
        <v/>
      </c>
      <c r="I1466" s="9">
        <f>IFERROR(INDEX(Tbl_KPIMaster[Maximum Target],MATCH($G1466,Tbl_KPIMaster[KPI],0)),"")</f>
        <v/>
      </c>
      <c r="J1466" s="9" t="n">
        <v>0.8162</v>
      </c>
      <c r="K1466" s="8">
        <f>IFERROR(INDEX(Tbl_KPIMaster[Tolerance],MATCH($G1466,Tbl_KPIMaster[KPI],0)),"")</f>
        <v/>
      </c>
      <c r="L1466" s="8">
        <f>IFERROR(INDEX(Tbl_KPIMaster[Owner],MATCH($G1466,Tbl_KPIMaster[KPI],0)),"")</f>
        <v/>
      </c>
      <c r="M1466" s="10" t="inlineStr"/>
      <c r="N1466" s="8" t="inlineStr"/>
      <c r="O1466" s="8" t="inlineStr">
        <is>
          <t>High</t>
        </is>
      </c>
      <c r="P1466" s="8" t="inlineStr">
        <is>
          <t>In Progress</t>
        </is>
      </c>
      <c r="Q1466" s="9">
        <f>IFERROR(IF(INDEX(Tbl_KPIMaster[Direction],MATCH($G1466,Tbl_KPIMaster[KPI],0))="Lower is Better",IF($J1466=0,1,IF($I1466=0,0,$I1466/$J1466)),IF($I1466=0,1,$J1466/$I1466)),0)</f>
        <v/>
      </c>
      <c r="R1466" s="8">
        <f>IF(OR($I1466="",$J1466=""),"",$J1466-$I1466)</f>
        <v/>
      </c>
      <c r="S1466" s="8">
        <f>IFERROR(IF(INDEX(Tbl_KPIMaster[Direction],MATCH($G1466,Tbl_KPIMaster[KPI],0))="Lower is Better",IF($J1466&lt;=$I1466,"Green",IF($J1466&lt;=$I1466+IF($I1466=0,$K1466,$I1466*$K1466),"Amber","Red")),IF($J1466&gt;=$I1466,"Green",IF($J1466&gt;=$I1466-IF($I1466=0,$K1466,$I1466*$K1466),"Amber","Red"))),"")</f>
        <v/>
      </c>
      <c r="T1466" s="10" t="inlineStr"/>
    </row>
    <row r="1467">
      <c r="A1467" s="3" t="n">
        <v>46203</v>
      </c>
      <c r="B1467" s="4">
        <f>IF($A1467="","",TEXT($A1467,"mmm-yyyy"))</f>
        <v/>
      </c>
      <c r="C1467" s="4">
        <f>IF($A1467="","","W"&amp;WEEKNUM($A1467,2))</f>
        <v/>
      </c>
      <c r="D1467" s="4">
        <f>IF($A1467="","",TEXT($A1467,"ddd"))</f>
        <v/>
      </c>
      <c r="E1467" s="4" t="inlineStr">
        <is>
          <t>Quality</t>
        </is>
      </c>
      <c r="F1467" s="4">
        <f>IFERROR(INDEX(Tbl_KPIMaster[Category],MATCH($G1467,Tbl_KPIMaster[KPI],0)),"")</f>
        <v/>
      </c>
      <c r="G1467" s="4" t="inlineStr">
        <is>
          <t>Defect Rate %</t>
        </is>
      </c>
      <c r="H1467" s="4">
        <f>IFERROR(INDEX(Tbl_KPIMaster[Unit],MATCH($G1467,Tbl_KPIMaster[KPI],0)),"")</f>
        <v/>
      </c>
      <c r="I1467" s="5">
        <f>IFERROR(INDEX(Tbl_KPIMaster[Maximum Target],MATCH($G1467,Tbl_KPIMaster[KPI],0)),"")</f>
        <v/>
      </c>
      <c r="J1467" s="5" t="n">
        <v>0.8414</v>
      </c>
      <c r="K1467" s="4">
        <f>IFERROR(INDEX(Tbl_KPIMaster[Tolerance],MATCH($G1467,Tbl_KPIMaster[KPI],0)),"")</f>
        <v/>
      </c>
      <c r="L1467" s="4">
        <f>IFERROR(INDEX(Tbl_KPIMaster[Owner],MATCH($G1467,Tbl_KPIMaster[KPI],0)),"")</f>
        <v/>
      </c>
      <c r="M1467" s="6" t="inlineStr">
        <is>
          <t>Preventive check done</t>
        </is>
      </c>
      <c r="N1467" s="4" t="inlineStr"/>
      <c r="O1467" s="4" t="inlineStr">
        <is>
          <t>Low</t>
        </is>
      </c>
      <c r="P1467" s="4" t="inlineStr">
        <is>
          <t>Closed</t>
        </is>
      </c>
      <c r="Q1467" s="5">
        <f>IFERROR(IF(INDEX(Tbl_KPIMaster[Direction],MATCH($G1467,Tbl_KPIMaster[KPI],0))="Lower is Better",IF($J1467=0,1,IF($I1467=0,0,$I1467/$J1467)),IF($I1467=0,1,$J1467/$I1467)),0)</f>
        <v/>
      </c>
      <c r="R1467" s="4">
        <f>IF(OR($I1467="",$J1467=""),"",$J1467-$I1467)</f>
        <v/>
      </c>
      <c r="S1467" s="4">
        <f>IFERROR(IF(INDEX(Tbl_KPIMaster[Direction],MATCH($G1467,Tbl_KPIMaster[KPI],0))="Lower is Better",IF($J1467&lt;=$I1467,"Green",IF($J1467&lt;=$I1467+IF($I1467=0,$K1467,$I1467*$K1467),"Amber","Red")),IF($J1467&gt;=$I1467,"Green",IF($J1467&gt;=$I1467-IF($I1467=0,$K1467,$I1467*$K1467),"Amber","Red"))),"")</f>
        <v/>
      </c>
      <c r="T1467" s="6" t="inlineStr"/>
    </row>
    <row r="1468">
      <c r="A1468" s="7" t="n">
        <v>46203</v>
      </c>
      <c r="B1468" s="8">
        <f>IF($A1468="","",TEXT($A1468,"mmm-yyyy"))</f>
        <v/>
      </c>
      <c r="C1468" s="8">
        <f>IF($A1468="","","W"&amp;WEEKNUM($A1468,2))</f>
        <v/>
      </c>
      <c r="D1468" s="8">
        <f>IF($A1468="","",TEXT($A1468,"ddd"))</f>
        <v/>
      </c>
      <c r="E1468" s="8" t="inlineStr">
        <is>
          <t>Quality</t>
        </is>
      </c>
      <c r="F1468" s="8">
        <f>IFERROR(INDEX(Tbl_KPIMaster[Category],MATCH($G1468,Tbl_KPIMaster[KPI],0)),"")</f>
        <v/>
      </c>
      <c r="G1468" s="8" t="inlineStr">
        <is>
          <t>Customer Complaints</t>
        </is>
      </c>
      <c r="H1468" s="8">
        <f>IFERROR(INDEX(Tbl_KPIMaster[Unit],MATCH($G1468,Tbl_KPIMaster[KPI],0)),"")</f>
        <v/>
      </c>
      <c r="I1468" s="9">
        <f>IFERROR(INDEX(Tbl_KPIMaster[Maximum Target],MATCH($G1468,Tbl_KPIMaster[KPI],0)),"")</f>
        <v/>
      </c>
      <c r="J1468" s="9" t="n">
        <v>0</v>
      </c>
      <c r="K1468" s="8">
        <f>IFERROR(INDEX(Tbl_KPIMaster[Tolerance],MATCH($G1468,Tbl_KPIMaster[KPI],0)),"")</f>
        <v/>
      </c>
      <c r="L1468" s="8">
        <f>IFERROR(INDEX(Tbl_KPIMaster[Owner],MATCH($G1468,Tbl_KPIMaster[KPI],0)),"")</f>
        <v/>
      </c>
      <c r="M1468" s="10" t="inlineStr"/>
      <c r="N1468" s="8" t="inlineStr">
        <is>
          <t>Management approval pending</t>
        </is>
      </c>
      <c r="O1468" s="8" t="inlineStr">
        <is>
          <t>Low</t>
        </is>
      </c>
      <c r="P1468" s="8" t="inlineStr">
        <is>
          <t>Open</t>
        </is>
      </c>
      <c r="Q1468" s="9">
        <f>IFERROR(IF(INDEX(Tbl_KPIMaster[Direction],MATCH($G1468,Tbl_KPIMaster[KPI],0))="Lower is Better",IF($J1468=0,1,IF($I1468=0,0,$I1468/$J1468)),IF($I1468=0,1,$J1468/$I1468)),0)</f>
        <v/>
      </c>
      <c r="R1468" s="8">
        <f>IF(OR($I1468="",$J1468=""),"",$J1468-$I1468)</f>
        <v/>
      </c>
      <c r="S1468" s="8">
        <f>IFERROR(IF(INDEX(Tbl_KPIMaster[Direction],MATCH($G1468,Tbl_KPIMaster[KPI],0))="Lower is Better",IF($J1468&lt;=$I1468,"Green",IF($J1468&lt;=$I1468+IF($I1468=0,$K1468,$I1468*$K1468),"Amber","Red")),IF($J1468&gt;=$I1468,"Green",IF($J1468&gt;=$I1468-IF($I1468=0,$K1468,$I1468*$K1468),"Amber","Red"))),"")</f>
        <v/>
      </c>
      <c r="T1468" s="10" t="inlineStr"/>
    </row>
    <row r="1469">
      <c r="A1469" s="3" t="n">
        <v>46203</v>
      </c>
      <c r="B1469" s="4">
        <f>IF($A1469="","",TEXT($A1469,"mmm-yyyy"))</f>
        <v/>
      </c>
      <c r="C1469" s="4">
        <f>IF($A1469="","","W"&amp;WEEKNUM($A1469,2))</f>
        <v/>
      </c>
      <c r="D1469" s="4">
        <f>IF($A1469="","",TEXT($A1469,"ddd"))</f>
        <v/>
      </c>
      <c r="E1469" s="4" t="inlineStr">
        <is>
          <t>Maintenance</t>
        </is>
      </c>
      <c r="F1469" s="4">
        <f>IFERROR(INDEX(Tbl_KPIMaster[Category],MATCH($G1469,Tbl_KPIMaster[KPI],0)),"")</f>
        <v/>
      </c>
      <c r="G1469" s="4" t="inlineStr">
        <is>
          <t>Unplanned Downtime</t>
        </is>
      </c>
      <c r="H1469" s="4">
        <f>IFERROR(INDEX(Tbl_KPIMaster[Unit],MATCH($G1469,Tbl_KPIMaster[KPI],0)),"")</f>
        <v/>
      </c>
      <c r="I1469" s="5">
        <f>IFERROR(INDEX(Tbl_KPIMaster[Maximum Target],MATCH($G1469,Tbl_KPIMaster[KPI],0)),"")</f>
        <v/>
      </c>
      <c r="J1469" s="5" t="n">
        <v>2.39</v>
      </c>
      <c r="K1469" s="4">
        <f>IFERROR(INDEX(Tbl_KPIMaster[Tolerance],MATCH($G1469,Tbl_KPIMaster[KPI],0)),"")</f>
        <v/>
      </c>
      <c r="L1469" s="4">
        <f>IFERROR(INDEX(Tbl_KPIMaster[Owner],MATCH($G1469,Tbl_KPIMaster[KPI],0)),"")</f>
        <v/>
      </c>
      <c r="M1469" s="6" t="inlineStr">
        <is>
          <t>Process improvement in progress</t>
        </is>
      </c>
      <c r="N1469" s="4" t="inlineStr">
        <is>
          <t>Procurement follow-up</t>
        </is>
      </c>
      <c r="O1469" s="4" t="inlineStr">
        <is>
          <t>Medium</t>
        </is>
      </c>
      <c r="P1469" s="4" t="inlineStr">
        <is>
          <t>Open</t>
        </is>
      </c>
      <c r="Q1469" s="5">
        <f>IFERROR(IF(INDEX(Tbl_KPIMaster[Direction],MATCH($G1469,Tbl_KPIMaster[KPI],0))="Lower is Better",IF($J1469=0,1,IF($I1469=0,0,$I1469/$J1469)),IF($I1469=0,1,$J1469/$I1469)),0)</f>
        <v/>
      </c>
      <c r="R1469" s="4">
        <f>IF(OR($I1469="",$J1469=""),"",$J1469-$I1469)</f>
        <v/>
      </c>
      <c r="S1469" s="4">
        <f>IFERROR(IF(INDEX(Tbl_KPIMaster[Direction],MATCH($G1469,Tbl_KPIMaster[KPI],0))="Lower is Better",IF($J1469&lt;=$I1469,"Green",IF($J1469&lt;=$I1469+IF($I1469=0,$K1469,$I1469*$K1469),"Amber","Red")),IF($J1469&gt;=$I1469,"Green",IF($J1469&gt;=$I1469-IF($I1469=0,$K1469,$I1469*$K1469),"Amber","Red"))),"")</f>
        <v/>
      </c>
      <c r="T1469" s="6" t="inlineStr"/>
    </row>
    <row r="1470">
      <c r="A1470" s="7" t="n">
        <v>46203</v>
      </c>
      <c r="B1470" s="8">
        <f>IF($A1470="","",TEXT($A1470,"mmm-yyyy"))</f>
        <v/>
      </c>
      <c r="C1470" s="8">
        <f>IF($A1470="","","W"&amp;WEEKNUM($A1470,2))</f>
        <v/>
      </c>
      <c r="D1470" s="8">
        <f>IF($A1470="","",TEXT($A1470,"ddd"))</f>
        <v/>
      </c>
      <c r="E1470" s="8" t="inlineStr">
        <is>
          <t>Maintenance</t>
        </is>
      </c>
      <c r="F1470" s="8">
        <f>IFERROR(INDEX(Tbl_KPIMaster[Category],MATCH($G1470,Tbl_KPIMaster[KPI],0)),"")</f>
        <v/>
      </c>
      <c r="G1470" s="8" t="inlineStr">
        <is>
          <t>PM Compliance %</t>
        </is>
      </c>
      <c r="H1470" s="8">
        <f>IFERROR(INDEX(Tbl_KPIMaster[Unit],MATCH($G1470,Tbl_KPIMaster[KPI],0)),"")</f>
        <v/>
      </c>
      <c r="I1470" s="9">
        <f>IFERROR(INDEX(Tbl_KPIMaster[Maximum Target],MATCH($G1470,Tbl_KPIMaster[KPI],0)),"")</f>
        <v/>
      </c>
      <c r="J1470" s="9" t="n">
        <v>0.8613</v>
      </c>
      <c r="K1470" s="8">
        <f>IFERROR(INDEX(Tbl_KPIMaster[Tolerance],MATCH($G1470,Tbl_KPIMaster[KPI],0)),"")</f>
        <v/>
      </c>
      <c r="L1470" s="8">
        <f>IFERROR(INDEX(Tbl_KPIMaster[Owner],MATCH($G1470,Tbl_KPIMaster[KPI],0)),"")</f>
        <v/>
      </c>
      <c r="M1470" s="10" t="inlineStr">
        <is>
          <t>Process improvement in progress</t>
        </is>
      </c>
      <c r="N1470" s="8" t="inlineStr"/>
      <c r="O1470" s="8" t="inlineStr">
        <is>
          <t>Low</t>
        </is>
      </c>
      <c r="P1470" s="8" t="inlineStr">
        <is>
          <t>Closed</t>
        </is>
      </c>
      <c r="Q1470" s="9">
        <f>IFERROR(IF(INDEX(Tbl_KPIMaster[Direction],MATCH($G1470,Tbl_KPIMaster[KPI],0))="Lower is Better",IF($J1470=0,1,IF($I1470=0,0,$I1470/$J1470)),IF($I1470=0,1,$J1470/$I1470)),0)</f>
        <v/>
      </c>
      <c r="R1470" s="8">
        <f>IF(OR($I1470="",$J1470=""),"",$J1470-$I1470)</f>
        <v/>
      </c>
      <c r="S1470" s="8">
        <f>IFERROR(IF(INDEX(Tbl_KPIMaster[Direction],MATCH($G1470,Tbl_KPIMaster[KPI],0))="Lower is Better",IF($J1470&lt;=$I1470,"Green",IF($J1470&lt;=$I1470+IF($I1470=0,$K1470,$I1470*$K1470),"Amber","Red")),IF($J1470&gt;=$I1470,"Green",IF($J1470&gt;=$I1470-IF($I1470=0,$K1470,$I1470*$K1470),"Amber","Red"))),"")</f>
        <v/>
      </c>
      <c r="T1470" s="10" t="inlineStr"/>
    </row>
    <row r="1471">
      <c r="A1471" s="3" t="n">
        <v>46203</v>
      </c>
      <c r="B1471" s="4">
        <f>IF($A1471="","",TEXT($A1471,"mmm-yyyy"))</f>
        <v/>
      </c>
      <c r="C1471" s="4">
        <f>IF($A1471="","","W"&amp;WEEKNUM($A1471,2))</f>
        <v/>
      </c>
      <c r="D1471" s="4">
        <f>IF($A1471="","",TEXT($A1471,"ddd"))</f>
        <v/>
      </c>
      <c r="E1471" s="4" t="inlineStr">
        <is>
          <t>Utilities</t>
        </is>
      </c>
      <c r="F1471" s="4">
        <f>IFERROR(INDEX(Tbl_KPIMaster[Category],MATCH($G1471,Tbl_KPIMaster[KPI],0)),"")</f>
        <v/>
      </c>
      <c r="G1471" s="4" t="inlineStr">
        <is>
          <t>Power Consumption</t>
        </is>
      </c>
      <c r="H1471" s="4">
        <f>IFERROR(INDEX(Tbl_KPIMaster[Unit],MATCH($G1471,Tbl_KPIMaster[KPI],0)),"")</f>
        <v/>
      </c>
      <c r="I1471" s="5">
        <f>IFERROR(INDEX(Tbl_KPIMaster[Maximum Target],MATCH($G1471,Tbl_KPIMaster[KPI],0)),"")</f>
        <v/>
      </c>
      <c r="J1471" s="5" t="n">
        <v>4781.96</v>
      </c>
      <c r="K1471" s="4">
        <f>IFERROR(INDEX(Tbl_KPIMaster[Tolerance],MATCH($G1471,Tbl_KPIMaster[KPI],0)),"")</f>
        <v/>
      </c>
      <c r="L1471" s="4">
        <f>IFERROR(INDEX(Tbl_KPIMaster[Owner],MATCH($G1471,Tbl_KPIMaster[KPI],0)),"")</f>
        <v/>
      </c>
      <c r="M1471" s="6" t="inlineStr">
        <is>
          <t>Within normal range</t>
        </is>
      </c>
      <c r="N1471" s="4" t="inlineStr"/>
      <c r="O1471" s="4" t="inlineStr">
        <is>
          <t>Low</t>
        </is>
      </c>
      <c r="P1471" s="4" t="inlineStr">
        <is>
          <t>Closed</t>
        </is>
      </c>
      <c r="Q1471" s="5">
        <f>IFERROR(IF(INDEX(Tbl_KPIMaster[Direction],MATCH($G1471,Tbl_KPIMaster[KPI],0))="Lower is Better",IF($J1471=0,1,IF($I1471=0,0,$I1471/$J1471)),IF($I1471=0,1,$J1471/$I1471)),0)</f>
        <v/>
      </c>
      <c r="R1471" s="4">
        <f>IF(OR($I1471="",$J1471=""),"",$J1471-$I1471)</f>
        <v/>
      </c>
      <c r="S1471" s="4">
        <f>IFERROR(IF(INDEX(Tbl_KPIMaster[Direction],MATCH($G1471,Tbl_KPIMaster[KPI],0))="Lower is Better",IF($J1471&lt;=$I1471,"Green",IF($J1471&lt;=$I1471+IF($I1471=0,$K1471,$I1471*$K1471),"Amber","Red")),IF($J1471&gt;=$I1471,"Green",IF($J1471&gt;=$I1471-IF($I1471=0,$K1471,$I1471*$K1471),"Amber","Red"))),"")</f>
        <v/>
      </c>
      <c r="T1471" s="6" t="inlineStr"/>
    </row>
    <row r="1472">
      <c r="A1472" s="7" t="n">
        <v>46203</v>
      </c>
      <c r="B1472" s="8">
        <f>IF($A1472="","",TEXT($A1472,"mmm-yyyy"))</f>
        <v/>
      </c>
      <c r="C1472" s="8">
        <f>IF($A1472="","","W"&amp;WEEKNUM($A1472,2))</f>
        <v/>
      </c>
      <c r="D1472" s="8">
        <f>IF($A1472="","",TEXT($A1472,"ddd"))</f>
        <v/>
      </c>
      <c r="E1472" s="8" t="inlineStr">
        <is>
          <t>Utilities</t>
        </is>
      </c>
      <c r="F1472" s="8">
        <f>IFERROR(INDEX(Tbl_KPIMaster[Category],MATCH($G1472,Tbl_KPIMaster[KPI],0)),"")</f>
        <v/>
      </c>
      <c r="G1472" s="8" t="inlineStr">
        <is>
          <t>Water Consumption</t>
        </is>
      </c>
      <c r="H1472" s="8">
        <f>IFERROR(INDEX(Tbl_KPIMaster[Unit],MATCH($G1472,Tbl_KPIMaster[KPI],0)),"")</f>
        <v/>
      </c>
      <c r="I1472" s="9">
        <f>IFERROR(INDEX(Tbl_KPIMaster[Maximum Target],MATCH($G1472,Tbl_KPIMaster[KPI],0)),"")</f>
        <v/>
      </c>
      <c r="J1472" s="9" t="n">
        <v>38.29</v>
      </c>
      <c r="K1472" s="8">
        <f>IFERROR(INDEX(Tbl_KPIMaster[Tolerance],MATCH($G1472,Tbl_KPIMaster[KPI],0)),"")</f>
        <v/>
      </c>
      <c r="L1472" s="8">
        <f>IFERROR(INDEX(Tbl_KPIMaster[Owner],MATCH($G1472,Tbl_KPIMaster[KPI],0)),"")</f>
        <v/>
      </c>
      <c r="M1472" s="10" t="inlineStr"/>
      <c r="N1472" s="8" t="inlineStr"/>
      <c r="O1472" s="8" t="inlineStr">
        <is>
          <t>Low</t>
        </is>
      </c>
      <c r="P1472" s="8" t="inlineStr">
        <is>
          <t>In Progress</t>
        </is>
      </c>
      <c r="Q1472" s="9">
        <f>IFERROR(IF(INDEX(Tbl_KPIMaster[Direction],MATCH($G1472,Tbl_KPIMaster[KPI],0))="Lower is Better",IF($J1472=0,1,IF($I1472=0,0,$I1472/$J1472)),IF($I1472=0,1,$J1472/$I1472)),0)</f>
        <v/>
      </c>
      <c r="R1472" s="8">
        <f>IF(OR($I1472="",$J1472=""),"",$J1472-$I1472)</f>
        <v/>
      </c>
      <c r="S1472" s="8">
        <f>IFERROR(IF(INDEX(Tbl_KPIMaster[Direction],MATCH($G1472,Tbl_KPIMaster[KPI],0))="Lower is Better",IF($J1472&lt;=$I1472,"Green",IF($J1472&lt;=$I1472+IF($I1472=0,$K1472,$I1472*$K1472),"Amber","Red")),IF($J1472&gt;=$I1472,"Green",IF($J1472&gt;=$I1472-IF($I1472=0,$K1472,$I1472*$K1472),"Amber","Red"))),"")</f>
        <v/>
      </c>
      <c r="T1472" s="10" t="inlineStr"/>
    </row>
    <row r="1473">
      <c r="A1473" s="3" t="n">
        <v>46203</v>
      </c>
      <c r="B1473" s="4">
        <f>IF($A1473="","",TEXT($A1473,"mmm-yyyy"))</f>
        <v/>
      </c>
      <c r="C1473" s="4">
        <f>IF($A1473="","","W"&amp;WEEKNUM($A1473,2))</f>
        <v/>
      </c>
      <c r="D1473" s="4">
        <f>IF($A1473="","",TEXT($A1473,"ddd"))</f>
        <v/>
      </c>
      <c r="E1473" s="4" t="inlineStr">
        <is>
          <t>Warehouse</t>
        </is>
      </c>
      <c r="F1473" s="4">
        <f>IFERROR(INDEX(Tbl_KPIMaster[Category],MATCH($G1473,Tbl_KPIMaster[KPI],0)),"")</f>
        <v/>
      </c>
      <c r="G1473" s="4" t="inlineStr">
        <is>
          <t>On-Time Dispatch %</t>
        </is>
      </c>
      <c r="H1473" s="4">
        <f>IFERROR(INDEX(Tbl_KPIMaster[Unit],MATCH($G1473,Tbl_KPIMaster[KPI],0)),"")</f>
        <v/>
      </c>
      <c r="I1473" s="5">
        <f>IFERROR(INDEX(Tbl_KPIMaster[Maximum Target],MATCH($G1473,Tbl_KPIMaster[KPI],0)),"")</f>
        <v/>
      </c>
      <c r="J1473" s="5" t="n">
        <v>0.9370000000000001</v>
      </c>
      <c r="K1473" s="4">
        <f>IFERROR(INDEX(Tbl_KPIMaster[Tolerance],MATCH($G1473,Tbl_KPIMaster[KPI],0)),"")</f>
        <v/>
      </c>
      <c r="L1473" s="4">
        <f>IFERROR(INDEX(Tbl_KPIMaster[Owner],MATCH($G1473,Tbl_KPIMaster[KPI],0)),"")</f>
        <v/>
      </c>
      <c r="M1473" s="6" t="inlineStr">
        <is>
          <t>Process improvement in progress</t>
        </is>
      </c>
      <c r="N1473" s="4" t="inlineStr">
        <is>
          <t>Procurement follow-up</t>
        </is>
      </c>
      <c r="O1473" s="4" t="inlineStr">
        <is>
          <t>Medium</t>
        </is>
      </c>
      <c r="P1473" s="4" t="inlineStr">
        <is>
          <t>Closed</t>
        </is>
      </c>
      <c r="Q1473" s="5">
        <f>IFERROR(IF(INDEX(Tbl_KPIMaster[Direction],MATCH($G1473,Tbl_KPIMaster[KPI],0))="Lower is Better",IF($J1473=0,1,IF($I1473=0,0,$I1473/$J1473)),IF($I1473=0,1,$J1473/$I1473)),0)</f>
        <v/>
      </c>
      <c r="R1473" s="4">
        <f>IF(OR($I1473="",$J1473=""),"",$J1473-$I1473)</f>
        <v/>
      </c>
      <c r="S1473" s="4">
        <f>IFERROR(IF(INDEX(Tbl_KPIMaster[Direction],MATCH($G1473,Tbl_KPIMaster[KPI],0))="Lower is Better",IF($J1473&lt;=$I1473,"Green",IF($J1473&lt;=$I1473+IF($I1473=0,$K1473,$I1473*$K1473),"Amber","Red")),IF($J1473&gt;=$I1473,"Green",IF($J1473&gt;=$I1473-IF($I1473=0,$K1473,$I1473*$K1473),"Amber","Red"))),"")</f>
        <v/>
      </c>
      <c r="T1473" s="6" t="inlineStr"/>
    </row>
    <row r="1474">
      <c r="A1474" s="7" t="n">
        <v>46203</v>
      </c>
      <c r="B1474" s="8">
        <f>IF($A1474="","",TEXT($A1474,"mmm-yyyy"))</f>
        <v/>
      </c>
      <c r="C1474" s="8">
        <f>IF($A1474="","","W"&amp;WEEKNUM($A1474,2))</f>
        <v/>
      </c>
      <c r="D1474" s="8">
        <f>IF($A1474="","",TEXT($A1474,"ddd"))</f>
        <v/>
      </c>
      <c r="E1474" s="8" t="inlineStr">
        <is>
          <t>Warehouse</t>
        </is>
      </c>
      <c r="F1474" s="8">
        <f>IFERROR(INDEX(Tbl_KPIMaster[Category],MATCH($G1474,Tbl_KPIMaster[KPI],0)),"")</f>
        <v/>
      </c>
      <c r="G1474" s="8" t="inlineStr">
        <is>
          <t>Inventory Accuracy %</t>
        </is>
      </c>
      <c r="H1474" s="8">
        <f>IFERROR(INDEX(Tbl_KPIMaster[Unit],MATCH($G1474,Tbl_KPIMaster[KPI],0)),"")</f>
        <v/>
      </c>
      <c r="I1474" s="9">
        <f>IFERROR(INDEX(Tbl_KPIMaster[Maximum Target],MATCH($G1474,Tbl_KPIMaster[KPI],0)),"")</f>
        <v/>
      </c>
      <c r="J1474" s="9" t="n">
        <v>1.0131</v>
      </c>
      <c r="K1474" s="8">
        <f>IFERROR(INDEX(Tbl_KPIMaster[Tolerance],MATCH($G1474,Tbl_KPIMaster[KPI],0)),"")</f>
        <v/>
      </c>
      <c r="L1474" s="8">
        <f>IFERROR(INDEX(Tbl_KPIMaster[Owner],MATCH($G1474,Tbl_KPIMaster[KPI],0)),"")</f>
        <v/>
      </c>
      <c r="M1474" s="10" t="inlineStr">
        <is>
          <t>Preventive check done</t>
        </is>
      </c>
      <c r="N1474" s="8" t="inlineStr"/>
      <c r="O1474" s="8" t="inlineStr">
        <is>
          <t>Low</t>
        </is>
      </c>
      <c r="P1474" s="8" t="inlineStr">
        <is>
          <t>Open</t>
        </is>
      </c>
      <c r="Q1474" s="9">
        <f>IFERROR(IF(INDEX(Tbl_KPIMaster[Direction],MATCH($G1474,Tbl_KPIMaster[KPI],0))="Lower is Better",IF($J1474=0,1,IF($I1474=0,0,$I1474/$J1474)),IF($I1474=0,1,$J1474/$I1474)),0)</f>
        <v/>
      </c>
      <c r="R1474" s="8">
        <f>IF(OR($I1474="",$J1474=""),"",$J1474-$I1474)</f>
        <v/>
      </c>
      <c r="S1474" s="8">
        <f>IFERROR(IF(INDEX(Tbl_KPIMaster[Direction],MATCH($G1474,Tbl_KPIMaster[KPI],0))="Lower is Better",IF($J1474&lt;=$I1474,"Green",IF($J1474&lt;=$I1474+IF($I1474=0,$K1474,$I1474*$K1474),"Amber","Red")),IF($J1474&gt;=$I1474,"Green",IF($J1474&gt;=$I1474-IF($I1474=0,$K1474,$I1474*$K1474),"Amber","Red"))),"")</f>
        <v/>
      </c>
      <c r="T1474" s="10" t="inlineStr"/>
    </row>
    <row r="1475">
      <c r="A1475" s="3" t="n">
        <v>46203</v>
      </c>
      <c r="B1475" s="4">
        <f>IF($A1475="","",TEXT($A1475,"mmm-yyyy"))</f>
        <v/>
      </c>
      <c r="C1475" s="4">
        <f>IF($A1475="","","W"&amp;WEEKNUM($A1475,2))</f>
        <v/>
      </c>
      <c r="D1475" s="4">
        <f>IF($A1475="","",TEXT($A1475,"ddd"))</f>
        <v/>
      </c>
      <c r="E1475" s="4" t="inlineStr">
        <is>
          <t>HR</t>
        </is>
      </c>
      <c r="F1475" s="4">
        <f>IFERROR(INDEX(Tbl_KPIMaster[Category],MATCH($G1475,Tbl_KPIMaster[KPI],0)),"")</f>
        <v/>
      </c>
      <c r="G1475" s="4" t="inlineStr">
        <is>
          <t>Absenteeism %</t>
        </is>
      </c>
      <c r="H1475" s="4">
        <f>IFERROR(INDEX(Tbl_KPIMaster[Unit],MATCH($G1475,Tbl_KPIMaster[KPI],0)),"")</f>
        <v/>
      </c>
      <c r="I1475" s="5">
        <f>IFERROR(INDEX(Tbl_KPIMaster[Maximum Target],MATCH($G1475,Tbl_KPIMaster[KPI],0)),"")</f>
        <v/>
      </c>
      <c r="J1475" s="5" t="n">
        <v>0.669</v>
      </c>
      <c r="K1475" s="4">
        <f>IFERROR(INDEX(Tbl_KPIMaster[Tolerance],MATCH($G1475,Tbl_KPIMaster[KPI],0)),"")</f>
        <v/>
      </c>
      <c r="L1475" s="4">
        <f>IFERROR(INDEX(Tbl_KPIMaster[Owner],MATCH($G1475,Tbl_KPIMaster[KPI],0)),"")</f>
        <v/>
      </c>
      <c r="M1475" s="6" t="inlineStr">
        <is>
          <t>Manpower shortage</t>
        </is>
      </c>
      <c r="N1475" s="4" t="inlineStr">
        <is>
          <t>Procurement follow-up</t>
        </is>
      </c>
      <c r="O1475" s="4" t="inlineStr">
        <is>
          <t>Low</t>
        </is>
      </c>
      <c r="P1475" s="4" t="inlineStr">
        <is>
          <t>Closed</t>
        </is>
      </c>
      <c r="Q1475" s="5">
        <f>IFERROR(IF(INDEX(Tbl_KPIMaster[Direction],MATCH($G1475,Tbl_KPIMaster[KPI],0))="Lower is Better",IF($J1475=0,1,IF($I1475=0,0,$I1475/$J1475)),IF($I1475=0,1,$J1475/$I1475)),0)</f>
        <v/>
      </c>
      <c r="R1475" s="4">
        <f>IF(OR($I1475="",$J1475=""),"",$J1475-$I1475)</f>
        <v/>
      </c>
      <c r="S1475" s="4">
        <f>IFERROR(IF(INDEX(Tbl_KPIMaster[Direction],MATCH($G1475,Tbl_KPIMaster[KPI],0))="Lower is Better",IF($J1475&lt;=$I1475,"Green",IF($J1475&lt;=$I1475+IF($I1475=0,$K1475,$I1475*$K1475),"Amber","Red")),IF($J1475&gt;=$I1475,"Green",IF($J1475&gt;=$I1475-IF($I1475=0,$K1475,$I1475*$K1475),"Amber","Red"))),"")</f>
        <v/>
      </c>
      <c r="T1475" s="6" t="inlineStr"/>
    </row>
    <row r="1476">
      <c r="A1476" s="7" t="n">
        <v>46203</v>
      </c>
      <c r="B1476" s="8">
        <f>IF($A1476="","",TEXT($A1476,"mmm-yyyy"))</f>
        <v/>
      </c>
      <c r="C1476" s="8">
        <f>IF($A1476="","","W"&amp;WEEKNUM($A1476,2))</f>
        <v/>
      </c>
      <c r="D1476" s="8">
        <f>IF($A1476="","",TEXT($A1476,"ddd"))</f>
        <v/>
      </c>
      <c r="E1476" s="8" t="inlineStr">
        <is>
          <t>HR</t>
        </is>
      </c>
      <c r="F1476" s="8">
        <f>IFERROR(INDEX(Tbl_KPIMaster[Category],MATCH($G1476,Tbl_KPIMaster[KPI],0)),"")</f>
        <v/>
      </c>
      <c r="G1476" s="8" t="inlineStr">
        <is>
          <t>Training Hours</t>
        </is>
      </c>
      <c r="H1476" s="8">
        <f>IFERROR(INDEX(Tbl_KPIMaster[Unit],MATCH($G1476,Tbl_KPIMaster[KPI],0)),"")</f>
        <v/>
      </c>
      <c r="I1476" s="9">
        <f>IFERROR(INDEX(Tbl_KPIMaster[Maximum Target],MATCH($G1476,Tbl_KPIMaster[KPI],0)),"")</f>
        <v/>
      </c>
      <c r="J1476" s="9" t="n">
        <v>2.49</v>
      </c>
      <c r="K1476" s="8">
        <f>IFERROR(INDEX(Tbl_KPIMaster[Tolerance],MATCH($G1476,Tbl_KPIMaster[KPI],0)),"")</f>
        <v/>
      </c>
      <c r="L1476" s="8">
        <f>IFERROR(INDEX(Tbl_KPIMaster[Owner],MATCH($G1476,Tbl_KPIMaster[KPI],0)),"")</f>
        <v/>
      </c>
      <c r="M1476" s="10" t="inlineStr">
        <is>
          <t>Manpower shortage</t>
        </is>
      </c>
      <c r="N1476" s="8" t="inlineStr"/>
      <c r="O1476" s="8" t="inlineStr">
        <is>
          <t>Medium</t>
        </is>
      </c>
      <c r="P1476" s="8" t="inlineStr">
        <is>
          <t>In Progress</t>
        </is>
      </c>
      <c r="Q1476" s="9">
        <f>IFERROR(IF(INDEX(Tbl_KPIMaster[Direction],MATCH($G1476,Tbl_KPIMaster[KPI],0))="Lower is Better",IF($J1476=0,1,IF($I1476=0,0,$I1476/$J1476)),IF($I1476=0,1,$J1476/$I1476)),0)</f>
        <v/>
      </c>
      <c r="R1476" s="8">
        <f>IF(OR($I1476="",$J1476=""),"",$J1476-$I1476)</f>
        <v/>
      </c>
      <c r="S1476" s="8">
        <f>IFERROR(IF(INDEX(Tbl_KPIMaster[Direction],MATCH($G1476,Tbl_KPIMaster[KPI],0))="Lower is Better",IF($J1476&lt;=$I1476,"Green",IF($J1476&lt;=$I1476+IF($I1476=0,$K1476,$I1476*$K1476),"Amber","Red")),IF($J1476&gt;=$I1476,"Green",IF($J1476&gt;=$I1476-IF($I1476=0,$K1476,$I1476*$K1476),"Amber","Red"))),"")</f>
        <v/>
      </c>
      <c r="T1476" s="10" t="inlineStr"/>
    </row>
    <row r="1477">
      <c r="A1477" s="3" t="n">
        <v>46203</v>
      </c>
      <c r="B1477" s="4">
        <f>IF($A1477="","",TEXT($A1477,"mmm-yyyy"))</f>
        <v/>
      </c>
      <c r="C1477" s="4">
        <f>IF($A1477="","","W"&amp;WEEKNUM($A1477,2))</f>
        <v/>
      </c>
      <c r="D1477" s="4">
        <f>IF($A1477="","",TEXT($A1477,"ddd"))</f>
        <v/>
      </c>
      <c r="E1477" s="4" t="inlineStr">
        <is>
          <t>Engineering</t>
        </is>
      </c>
      <c r="F1477" s="4">
        <f>IFERROR(INDEX(Tbl_KPIMaster[Category],MATCH($G1477,Tbl_KPIMaster[KPI],0)),"")</f>
        <v/>
      </c>
      <c r="G1477" s="4" t="inlineStr">
        <is>
          <t>Project Milestone Adherence %</t>
        </is>
      </c>
      <c r="H1477" s="4">
        <f>IFERROR(INDEX(Tbl_KPIMaster[Unit],MATCH($G1477,Tbl_KPIMaster[KPI],0)),"")</f>
        <v/>
      </c>
      <c r="I1477" s="5">
        <f>IFERROR(INDEX(Tbl_KPIMaster[Maximum Target],MATCH($G1477,Tbl_KPIMaster[KPI],0)),"")</f>
        <v/>
      </c>
      <c r="J1477" s="5" t="n">
        <v>0.9082</v>
      </c>
      <c r="K1477" s="4">
        <f>IFERROR(INDEX(Tbl_KPIMaster[Tolerance],MATCH($G1477,Tbl_KPIMaster[KPI],0)),"")</f>
        <v/>
      </c>
      <c r="L1477" s="4">
        <f>IFERROR(INDEX(Tbl_KPIMaster[Owner],MATCH($G1477,Tbl_KPIMaster[KPI],0)),"")</f>
        <v/>
      </c>
      <c r="M1477" s="6" t="inlineStr">
        <is>
          <t>Manpower shortage</t>
        </is>
      </c>
      <c r="N1477" s="4" t="inlineStr">
        <is>
          <t>Management approval pending</t>
        </is>
      </c>
      <c r="O1477" s="4" t="inlineStr">
        <is>
          <t>High</t>
        </is>
      </c>
      <c r="P1477" s="4" t="inlineStr">
        <is>
          <t>Closed</t>
        </is>
      </c>
      <c r="Q1477" s="5">
        <f>IFERROR(IF(INDEX(Tbl_KPIMaster[Direction],MATCH($G1477,Tbl_KPIMaster[KPI],0))="Lower is Better",IF($J1477=0,1,IF($I1477=0,0,$I1477/$J1477)),IF($I1477=0,1,$J1477/$I1477)),0)</f>
        <v/>
      </c>
      <c r="R1477" s="4">
        <f>IF(OR($I1477="",$J1477=""),"",$J1477-$I1477)</f>
        <v/>
      </c>
      <c r="S1477" s="4">
        <f>IFERROR(IF(INDEX(Tbl_KPIMaster[Direction],MATCH($G1477,Tbl_KPIMaster[KPI],0))="Lower is Better",IF($J1477&lt;=$I1477,"Green",IF($J1477&lt;=$I1477+IF($I1477=0,$K1477,$I1477*$K1477),"Amber","Red")),IF($J1477&gt;=$I1477,"Green",IF($J1477&gt;=$I1477-IF($I1477=0,$K1477,$I1477*$K1477),"Amber","Red"))),"")</f>
        <v/>
      </c>
      <c r="T1477" s="6" t="inlineStr"/>
    </row>
    <row r="1478">
      <c r="A1478" s="7" t="n">
        <v>46203</v>
      </c>
      <c r="B1478" s="8">
        <f>IF($A1478="","",TEXT($A1478,"mmm-yyyy"))</f>
        <v/>
      </c>
      <c r="C1478" s="8">
        <f>IF($A1478="","","W"&amp;WEEKNUM($A1478,2))</f>
        <v/>
      </c>
      <c r="D1478" s="8">
        <f>IF($A1478="","",TEXT($A1478,"ddd"))</f>
        <v/>
      </c>
      <c r="E1478" s="8" t="inlineStr">
        <is>
          <t>Engineering</t>
        </is>
      </c>
      <c r="F1478" s="8">
        <f>IFERROR(INDEX(Tbl_KPIMaster[Category],MATCH($G1478,Tbl_KPIMaster[KPI],0)),"")</f>
        <v/>
      </c>
      <c r="G1478" s="8" t="inlineStr">
        <is>
          <t>Breakdown Resolution Time</t>
        </is>
      </c>
      <c r="H1478" s="8">
        <f>IFERROR(INDEX(Tbl_KPIMaster[Unit],MATCH($G1478,Tbl_KPIMaster[KPI],0)),"")</f>
        <v/>
      </c>
      <c r="I1478" s="9">
        <f>IFERROR(INDEX(Tbl_KPIMaster[Maximum Target],MATCH($G1478,Tbl_KPIMaster[KPI],0)),"")</f>
        <v/>
      </c>
      <c r="J1478" s="9" t="n">
        <v>0</v>
      </c>
      <c r="K1478" s="8">
        <f>IFERROR(INDEX(Tbl_KPIMaster[Tolerance],MATCH($G1478,Tbl_KPIMaster[KPI],0)),"")</f>
        <v/>
      </c>
      <c r="L1478" s="8">
        <f>IFERROR(INDEX(Tbl_KPIMaster[Owner],MATCH($G1478,Tbl_KPIMaster[KPI],0)),"")</f>
        <v/>
      </c>
      <c r="M1478" s="10" t="inlineStr">
        <is>
          <t>Line changeover impact</t>
        </is>
      </c>
      <c r="N1478" s="8" t="inlineStr">
        <is>
          <t>Management approval pending</t>
        </is>
      </c>
      <c r="O1478" s="8" t="inlineStr">
        <is>
          <t>Medium</t>
        </is>
      </c>
      <c r="P1478" s="8" t="inlineStr">
        <is>
          <t>Open</t>
        </is>
      </c>
      <c r="Q1478" s="9">
        <f>IFERROR(IF(INDEX(Tbl_KPIMaster[Direction],MATCH($G1478,Tbl_KPIMaster[KPI],0))="Lower is Better",IF($J1478=0,1,IF($I1478=0,0,$I1478/$J1478)),IF($I1478=0,1,$J1478/$I1478)),0)</f>
        <v/>
      </c>
      <c r="R1478" s="8">
        <f>IF(OR($I1478="",$J1478=""),"",$J1478-$I1478)</f>
        <v/>
      </c>
      <c r="S1478" s="8">
        <f>IFERROR(IF(INDEX(Tbl_KPIMaster[Direction],MATCH($G1478,Tbl_KPIMaster[KPI],0))="Lower is Better",IF($J1478&lt;=$I1478,"Green",IF($J1478&lt;=$I1478+IF($I1478=0,$K1478,$I1478*$K1478),"Amber","Red")),IF($J1478&gt;=$I1478,"Green",IF($J1478&gt;=$I1478-IF($I1478=0,$K1478,$I1478*$K1478),"Amber","Red"))),"")</f>
        <v/>
      </c>
      <c r="T1478" s="10" t="inlineStr"/>
    </row>
    <row r="1479">
      <c r="A1479" s="3" t="n">
        <v>46203</v>
      </c>
      <c r="B1479" s="4">
        <f>IF($A1479="","",TEXT($A1479,"mmm-yyyy"))</f>
        <v/>
      </c>
      <c r="C1479" s="4">
        <f>IF($A1479="","","W"&amp;WEEKNUM($A1479,2))</f>
        <v/>
      </c>
      <c r="D1479" s="4">
        <f>IF($A1479="","",TEXT($A1479,"ddd"))</f>
        <v/>
      </c>
      <c r="E1479" s="4" t="inlineStr">
        <is>
          <t>Cost</t>
        </is>
      </c>
      <c r="F1479" s="4">
        <f>IFERROR(INDEX(Tbl_KPIMaster[Category],MATCH($G1479,Tbl_KPIMaster[KPI],0)),"")</f>
        <v/>
      </c>
      <c r="G1479" s="4" t="inlineStr">
        <is>
          <t>Cost per Unit</t>
        </is>
      </c>
      <c r="H1479" s="4">
        <f>IFERROR(INDEX(Tbl_KPIMaster[Unit],MATCH($G1479,Tbl_KPIMaster[KPI],0)),"")</f>
        <v/>
      </c>
      <c r="I1479" s="5">
        <f>IFERROR(INDEX(Tbl_KPIMaster[Maximum Target],MATCH($G1479,Tbl_KPIMaster[KPI],0)),"")</f>
        <v/>
      </c>
      <c r="J1479" s="5" t="n">
        <v>47.61</v>
      </c>
      <c r="K1479" s="4">
        <f>IFERROR(INDEX(Tbl_KPIMaster[Tolerance],MATCH($G1479,Tbl_KPIMaster[KPI],0)),"")</f>
        <v/>
      </c>
      <c r="L1479" s="4">
        <f>IFERROR(INDEX(Tbl_KPIMaster[Owner],MATCH($G1479,Tbl_KPIMaster[KPI],0)),"")</f>
        <v/>
      </c>
      <c r="M1479" s="6" t="inlineStr">
        <is>
          <t>Manpower shortage</t>
        </is>
      </c>
      <c r="N1479" s="4" t="inlineStr">
        <is>
          <t>Procurement follow-up</t>
        </is>
      </c>
      <c r="O1479" s="4" t="inlineStr">
        <is>
          <t>Medium</t>
        </is>
      </c>
      <c r="P1479" s="4" t="inlineStr">
        <is>
          <t>Closed</t>
        </is>
      </c>
      <c r="Q1479" s="5">
        <f>IFERROR(IF(INDEX(Tbl_KPIMaster[Direction],MATCH($G1479,Tbl_KPIMaster[KPI],0))="Lower is Better",IF($J1479=0,1,IF($I1479=0,0,$I1479/$J1479)),IF($I1479=0,1,$J1479/$I1479)),0)</f>
        <v/>
      </c>
      <c r="R1479" s="4">
        <f>IF(OR($I1479="",$J1479=""),"",$J1479-$I1479)</f>
        <v/>
      </c>
      <c r="S1479" s="4">
        <f>IFERROR(IF(INDEX(Tbl_KPIMaster[Direction],MATCH($G1479,Tbl_KPIMaster[KPI],0))="Lower is Better",IF($J1479&lt;=$I1479,"Green",IF($J1479&lt;=$I1479+IF($I1479=0,$K1479,$I1479*$K1479),"Amber","Red")),IF($J1479&gt;=$I1479,"Green",IF($J1479&gt;=$I1479-IF($I1479=0,$K1479,$I1479*$K1479),"Amber","Red"))),"")</f>
        <v/>
      </c>
      <c r="T1479" s="6" t="inlineStr"/>
    </row>
    <row r="1480">
      <c r="A1480" s="7" t="n">
        <v>46203</v>
      </c>
      <c r="B1480" s="8">
        <f>IF($A1480="","",TEXT($A1480,"mmm-yyyy"))</f>
        <v/>
      </c>
      <c r="C1480" s="8">
        <f>IF($A1480="","","W"&amp;WEEKNUM($A1480,2))</f>
        <v/>
      </c>
      <c r="D1480" s="8">
        <f>IF($A1480="","",TEXT($A1480,"ddd"))</f>
        <v/>
      </c>
      <c r="E1480" s="8" t="inlineStr">
        <is>
          <t>Cost</t>
        </is>
      </c>
      <c r="F1480" s="8">
        <f>IFERROR(INDEX(Tbl_KPIMaster[Category],MATCH($G1480,Tbl_KPIMaster[KPI],0)),"")</f>
        <v/>
      </c>
      <c r="G1480" s="8" t="inlineStr">
        <is>
          <t>Budget Variance %</t>
        </is>
      </c>
      <c r="H1480" s="8">
        <f>IFERROR(INDEX(Tbl_KPIMaster[Unit],MATCH($G1480,Tbl_KPIMaster[KPI],0)),"")</f>
        <v/>
      </c>
      <c r="I1480" s="9">
        <f>IFERROR(INDEX(Tbl_KPIMaster[Maximum Target],MATCH($G1480,Tbl_KPIMaster[KPI],0)),"")</f>
        <v/>
      </c>
      <c r="J1480" s="9" t="n">
        <v>0</v>
      </c>
      <c r="K1480" s="8">
        <f>IFERROR(INDEX(Tbl_KPIMaster[Tolerance],MATCH($G1480,Tbl_KPIMaster[KPI],0)),"")</f>
        <v/>
      </c>
      <c r="L1480" s="8">
        <f>IFERROR(INDEX(Tbl_KPIMaster[Owner],MATCH($G1480,Tbl_KPIMaster[KPI],0)),"")</f>
        <v/>
      </c>
      <c r="M1480" s="10" t="inlineStr">
        <is>
          <t>Line changeover impact</t>
        </is>
      </c>
      <c r="N1480" s="8" t="inlineStr"/>
      <c r="O1480" s="8" t="inlineStr">
        <is>
          <t>Low</t>
        </is>
      </c>
      <c r="P1480" s="8" t="inlineStr">
        <is>
          <t>Closed</t>
        </is>
      </c>
      <c r="Q1480" s="9">
        <f>IFERROR(IF(INDEX(Tbl_KPIMaster[Direction],MATCH($G1480,Tbl_KPIMaster[KPI],0))="Lower is Better",IF($J1480=0,1,IF($I1480=0,0,$I1480/$J1480)),IF($I1480=0,1,$J1480/$I1480)),0)</f>
        <v/>
      </c>
      <c r="R1480" s="8">
        <f>IF(OR($I1480="",$J1480=""),"",$J1480-$I1480)</f>
        <v/>
      </c>
      <c r="S1480" s="8">
        <f>IFERROR(IF(INDEX(Tbl_KPIMaster[Direction],MATCH($G1480,Tbl_KPIMaster[KPI],0))="Lower is Better",IF($J1480&lt;=$I1480,"Green",IF($J1480&lt;=$I1480+IF($I1480=0,$K1480,$I1480*$K1480),"Amber","Red")),IF($J1480&gt;=$I1480,"Green",IF($J1480&gt;=$I1480-IF($I1480=0,$K1480,$I1480*$K1480),"Amber","Red"))),"")</f>
        <v/>
      </c>
      <c r="T1480" s="10" t="inlineStr"/>
    </row>
    <row r="1481">
      <c r="A1481" s="3" t="n">
        <v>46203</v>
      </c>
      <c r="B1481" s="4">
        <f>IF($A1481="","",TEXT($A1481,"mmm-yyyy"))</f>
        <v/>
      </c>
      <c r="C1481" s="4">
        <f>IF($A1481="","","W"&amp;WEEKNUM($A1481,2))</f>
        <v/>
      </c>
      <c r="D1481" s="4">
        <f>IF($A1481="","",TEXT($A1481,"ddd"))</f>
        <v/>
      </c>
      <c r="E1481" s="4" t="inlineStr">
        <is>
          <t>Energy</t>
        </is>
      </c>
      <c r="F1481" s="4">
        <f>IFERROR(INDEX(Tbl_KPIMaster[Category],MATCH($G1481,Tbl_KPIMaster[KPI],0)),"")</f>
        <v/>
      </c>
      <c r="G1481" s="4" t="inlineStr">
        <is>
          <t>Energy Intensity (kWh/unit)</t>
        </is>
      </c>
      <c r="H1481" s="4">
        <f>IFERROR(INDEX(Tbl_KPIMaster[Unit],MATCH($G1481,Tbl_KPIMaster[KPI],0)),"")</f>
        <v/>
      </c>
      <c r="I1481" s="5">
        <f>IFERROR(INDEX(Tbl_KPIMaster[Maximum Target],MATCH($G1481,Tbl_KPIMaster[KPI],0)),"")</f>
        <v/>
      </c>
      <c r="J1481" s="5" t="n">
        <v>4.19</v>
      </c>
      <c r="K1481" s="4">
        <f>IFERROR(INDEX(Tbl_KPIMaster[Tolerance],MATCH($G1481,Tbl_KPIMaster[KPI],0)),"")</f>
        <v/>
      </c>
      <c r="L1481" s="4">
        <f>IFERROR(INDEX(Tbl_KPIMaster[Owner],MATCH($G1481,Tbl_KPIMaster[KPI],0)),"")</f>
        <v/>
      </c>
      <c r="M1481" s="6" t="inlineStr">
        <is>
          <t>Manpower shortage</t>
        </is>
      </c>
      <c r="N1481" s="4" t="inlineStr"/>
      <c r="O1481" s="4" t="inlineStr">
        <is>
          <t>Low</t>
        </is>
      </c>
      <c r="P1481" s="4" t="inlineStr">
        <is>
          <t>Open</t>
        </is>
      </c>
      <c r="Q1481" s="5">
        <f>IFERROR(IF(INDEX(Tbl_KPIMaster[Direction],MATCH($G1481,Tbl_KPIMaster[KPI],0))="Lower is Better",IF($J1481=0,1,IF($I1481=0,0,$I1481/$J1481)),IF($I1481=0,1,$J1481/$I1481)),0)</f>
        <v/>
      </c>
      <c r="R1481" s="4">
        <f>IF(OR($I1481="",$J1481=""),"",$J1481-$I1481)</f>
        <v/>
      </c>
      <c r="S1481" s="4">
        <f>IFERROR(IF(INDEX(Tbl_KPIMaster[Direction],MATCH($G1481,Tbl_KPIMaster[KPI],0))="Lower is Better",IF($J1481&lt;=$I1481,"Green",IF($J1481&lt;=$I1481+IF($I1481=0,$K1481,$I1481*$K1481),"Amber","Red")),IF($J1481&gt;=$I1481,"Green",IF($J1481&gt;=$I1481-IF($I1481=0,$K1481,$I1481*$K1481),"Amber","Red"))),"")</f>
        <v/>
      </c>
      <c r="T1481" s="6" t="inlineStr"/>
    </row>
    <row r="1482">
      <c r="A1482" s="7" t="n">
        <v>46203</v>
      </c>
      <c r="B1482" s="8">
        <f>IF($A1482="","",TEXT($A1482,"mmm-yyyy"))</f>
        <v/>
      </c>
      <c r="C1482" s="8">
        <f>IF($A1482="","","W"&amp;WEEKNUM($A1482,2))</f>
        <v/>
      </c>
      <c r="D1482" s="8">
        <f>IF($A1482="","",TEXT($A1482,"ddd"))</f>
        <v/>
      </c>
      <c r="E1482" s="8" t="inlineStr">
        <is>
          <t>Energy</t>
        </is>
      </c>
      <c r="F1482" s="8">
        <f>IFERROR(INDEX(Tbl_KPIMaster[Category],MATCH($G1482,Tbl_KPIMaster[KPI],0)),"")</f>
        <v/>
      </c>
      <c r="G1482" s="8" t="inlineStr">
        <is>
          <t>Renewable Energy Share %</t>
        </is>
      </c>
      <c r="H1482" s="8">
        <f>IFERROR(INDEX(Tbl_KPIMaster[Unit],MATCH($G1482,Tbl_KPIMaster[KPI],0)),"")</f>
        <v/>
      </c>
      <c r="I1482" s="9">
        <f>IFERROR(INDEX(Tbl_KPIMaster[Maximum Target],MATCH($G1482,Tbl_KPIMaster[KPI],0)),"")</f>
        <v/>
      </c>
      <c r="J1482" s="9" t="n">
        <v>0.2729</v>
      </c>
      <c r="K1482" s="8">
        <f>IFERROR(INDEX(Tbl_KPIMaster[Tolerance],MATCH($G1482,Tbl_KPIMaster[KPI],0)),"")</f>
        <v/>
      </c>
      <c r="L1482" s="8">
        <f>IFERROR(INDEX(Tbl_KPIMaster[Owner],MATCH($G1482,Tbl_KPIMaster[KPI],0)),"")</f>
        <v/>
      </c>
      <c r="M1482" s="10" t="inlineStr">
        <is>
          <t>Line changeover impact</t>
        </is>
      </c>
      <c r="N1482" s="8" t="inlineStr"/>
      <c r="O1482" s="8" t="inlineStr">
        <is>
          <t>Low</t>
        </is>
      </c>
      <c r="P1482" s="8" t="inlineStr">
        <is>
          <t>Closed</t>
        </is>
      </c>
      <c r="Q1482" s="9">
        <f>IFERROR(IF(INDEX(Tbl_KPIMaster[Direction],MATCH($G1482,Tbl_KPIMaster[KPI],0))="Lower is Better",IF($J1482=0,1,IF($I1482=0,0,$I1482/$J1482)),IF($I1482=0,1,$J1482/$I1482)),0)</f>
        <v/>
      </c>
      <c r="R1482" s="8">
        <f>IF(OR($I1482="",$J1482=""),"",$J1482-$I1482)</f>
        <v/>
      </c>
      <c r="S1482" s="8">
        <f>IFERROR(IF(INDEX(Tbl_KPIMaster[Direction],MATCH($G1482,Tbl_KPIMaster[KPI],0))="Lower is Better",IF($J1482&lt;=$I1482,"Green",IF($J1482&lt;=$I1482+IF($I1482=0,$K1482,$I1482*$K1482),"Amber","Red")),IF($J1482&gt;=$I1482,"Green",IF($J1482&gt;=$I1482-IF($I1482=0,$K1482,$I1482*$K1482),"Amber","Red"))),"")</f>
        <v/>
      </c>
      <c r="T1482" s="10" t="inlineStr"/>
    </row>
    <row r="1483">
      <c r="A1483" s="3" t="n">
        <v>46204</v>
      </c>
      <c r="B1483" s="4">
        <f>IF($A1483="","",TEXT($A1483,"mmm-yyyy"))</f>
        <v/>
      </c>
      <c r="C1483" s="4">
        <f>IF($A1483="","","W"&amp;WEEKNUM($A1483,2))</f>
        <v/>
      </c>
      <c r="D1483" s="4">
        <f>IF($A1483="","",TEXT($A1483,"ddd"))</f>
        <v/>
      </c>
      <c r="E1483" s="4" t="inlineStr">
        <is>
          <t>Safety</t>
        </is>
      </c>
      <c r="F1483" s="4">
        <f>IFERROR(INDEX(Tbl_KPIMaster[Category],MATCH($G1483,Tbl_KPIMaster[KPI],0)),"")</f>
        <v/>
      </c>
      <c r="G1483" s="4" t="inlineStr">
        <is>
          <t>Safety Incidents (LTI)</t>
        </is>
      </c>
      <c r="H1483" s="4">
        <f>IFERROR(INDEX(Tbl_KPIMaster[Unit],MATCH($G1483,Tbl_KPIMaster[KPI],0)),"")</f>
        <v/>
      </c>
      <c r="I1483" s="5">
        <f>IFERROR(INDEX(Tbl_KPIMaster[Maximum Target],MATCH($G1483,Tbl_KPIMaster[KPI],0)),"")</f>
        <v/>
      </c>
      <c r="J1483" s="5" t="n">
        <v>0</v>
      </c>
      <c r="K1483" s="4">
        <f>IFERROR(INDEX(Tbl_KPIMaster[Tolerance],MATCH($G1483,Tbl_KPIMaster[KPI],0)),"")</f>
        <v/>
      </c>
      <c r="L1483" s="4">
        <f>IFERROR(INDEX(Tbl_KPIMaster[Owner],MATCH($G1483,Tbl_KPIMaster[KPI],0)),"")</f>
        <v/>
      </c>
      <c r="M1483" s="6" t="inlineStr"/>
      <c r="N1483" s="4" t="inlineStr"/>
      <c r="O1483" s="4" t="inlineStr">
        <is>
          <t>Low</t>
        </is>
      </c>
      <c r="P1483" s="4" t="inlineStr">
        <is>
          <t>Closed</t>
        </is>
      </c>
      <c r="Q1483" s="5">
        <f>IFERROR(IF(INDEX(Tbl_KPIMaster[Direction],MATCH($G1483,Tbl_KPIMaster[KPI],0))="Lower is Better",IF($J1483=0,1,IF($I1483=0,0,$I1483/$J1483)),IF($I1483=0,1,$J1483/$I1483)),0)</f>
        <v/>
      </c>
      <c r="R1483" s="4">
        <f>IF(OR($I1483="",$J1483=""),"",$J1483-$I1483)</f>
        <v/>
      </c>
      <c r="S1483" s="4">
        <f>IFERROR(IF(INDEX(Tbl_KPIMaster[Direction],MATCH($G1483,Tbl_KPIMaster[KPI],0))="Lower is Better",IF($J1483&lt;=$I1483,"Green",IF($J1483&lt;=$I1483+IF($I1483=0,$K1483,$I1483*$K1483),"Amber","Red")),IF($J1483&gt;=$I1483,"Green",IF($J1483&gt;=$I1483-IF($I1483=0,$K1483,$I1483*$K1483),"Amber","Red"))),"")</f>
        <v/>
      </c>
      <c r="T1483" s="6" t="inlineStr"/>
    </row>
    <row r="1484">
      <c r="A1484" s="7" t="n">
        <v>46204</v>
      </c>
      <c r="B1484" s="8">
        <f>IF($A1484="","",TEXT($A1484,"mmm-yyyy"))</f>
        <v/>
      </c>
      <c r="C1484" s="8">
        <f>IF($A1484="","","W"&amp;WEEKNUM($A1484,2))</f>
        <v/>
      </c>
      <c r="D1484" s="8">
        <f>IF($A1484="","",TEXT($A1484,"ddd"))</f>
        <v/>
      </c>
      <c r="E1484" s="8" t="inlineStr">
        <is>
          <t>Safety</t>
        </is>
      </c>
      <c r="F1484" s="8">
        <f>IFERROR(INDEX(Tbl_KPIMaster[Category],MATCH($G1484,Tbl_KPIMaster[KPI],0)),"")</f>
        <v/>
      </c>
      <c r="G1484" s="8" t="inlineStr">
        <is>
          <t>Near Miss Reports</t>
        </is>
      </c>
      <c r="H1484" s="8">
        <f>IFERROR(INDEX(Tbl_KPIMaster[Unit],MATCH($G1484,Tbl_KPIMaster[KPI],0)),"")</f>
        <v/>
      </c>
      <c r="I1484" s="9">
        <f>IFERROR(INDEX(Tbl_KPIMaster[Maximum Target],MATCH($G1484,Tbl_KPIMaster[KPI],0)),"")</f>
        <v/>
      </c>
      <c r="J1484" s="9" t="n">
        <v>1</v>
      </c>
      <c r="K1484" s="8">
        <f>IFERROR(INDEX(Tbl_KPIMaster[Tolerance],MATCH($G1484,Tbl_KPIMaster[KPI],0)),"")</f>
        <v/>
      </c>
      <c r="L1484" s="8">
        <f>IFERROR(INDEX(Tbl_KPIMaster[Owner],MATCH($G1484,Tbl_KPIMaster[KPI],0)),"")</f>
        <v/>
      </c>
      <c r="M1484" s="10" t="inlineStr">
        <is>
          <t>Within normal range</t>
        </is>
      </c>
      <c r="N1484" s="8" t="inlineStr">
        <is>
          <t>Procurement follow-up</t>
        </is>
      </c>
      <c r="O1484" s="8" t="inlineStr">
        <is>
          <t>Low</t>
        </is>
      </c>
      <c r="P1484" s="8" t="inlineStr">
        <is>
          <t>Closed</t>
        </is>
      </c>
      <c r="Q1484" s="9">
        <f>IFERROR(IF(INDEX(Tbl_KPIMaster[Direction],MATCH($G1484,Tbl_KPIMaster[KPI],0))="Lower is Better",IF($J1484=0,1,IF($I1484=0,0,$I1484/$J1484)),IF($I1484=0,1,$J1484/$I1484)),0)</f>
        <v/>
      </c>
      <c r="R1484" s="8">
        <f>IF(OR($I1484="",$J1484=""),"",$J1484-$I1484)</f>
        <v/>
      </c>
      <c r="S1484" s="8">
        <f>IFERROR(IF(INDEX(Tbl_KPIMaster[Direction],MATCH($G1484,Tbl_KPIMaster[KPI],0))="Lower is Better",IF($J1484&lt;=$I1484,"Green",IF($J1484&lt;=$I1484+IF($I1484=0,$K1484,$I1484*$K1484),"Amber","Red")),IF($J1484&gt;=$I1484,"Green",IF($J1484&gt;=$I1484-IF($I1484=0,$K1484,$I1484*$K1484),"Amber","Red"))),"")</f>
        <v/>
      </c>
      <c r="T1484" s="10" t="inlineStr"/>
    </row>
    <row r="1485">
      <c r="A1485" s="3" t="n">
        <v>46204</v>
      </c>
      <c r="B1485" s="4">
        <f>IF($A1485="","",TEXT($A1485,"mmm-yyyy"))</f>
        <v/>
      </c>
      <c r="C1485" s="4">
        <f>IF($A1485="","","W"&amp;WEEKNUM($A1485,2))</f>
        <v/>
      </c>
      <c r="D1485" s="4">
        <f>IF($A1485="","",TEXT($A1485,"ddd"))</f>
        <v/>
      </c>
      <c r="E1485" s="4" t="inlineStr">
        <is>
          <t>Production</t>
        </is>
      </c>
      <c r="F1485" s="4">
        <f>IFERROR(INDEX(Tbl_KPIMaster[Category],MATCH($G1485,Tbl_KPIMaster[KPI],0)),"")</f>
        <v/>
      </c>
      <c r="G1485" s="4" t="inlineStr">
        <is>
          <t>Production Output</t>
        </is>
      </c>
      <c r="H1485" s="4">
        <f>IFERROR(INDEX(Tbl_KPIMaster[Unit],MATCH($G1485,Tbl_KPIMaster[KPI],0)),"")</f>
        <v/>
      </c>
      <c r="I1485" s="5">
        <f>IFERROR(INDEX(Tbl_KPIMaster[Maximum Target],MATCH($G1485,Tbl_KPIMaster[KPI],0)),"")</f>
        <v/>
      </c>
      <c r="J1485" s="5" t="n">
        <v>1310.77</v>
      </c>
      <c r="K1485" s="4">
        <f>IFERROR(INDEX(Tbl_KPIMaster[Tolerance],MATCH($G1485,Tbl_KPIMaster[KPI],0)),"")</f>
        <v/>
      </c>
      <c r="L1485" s="4">
        <f>IFERROR(INDEX(Tbl_KPIMaster[Owner],MATCH($G1485,Tbl_KPIMaster[KPI],0)),"")</f>
        <v/>
      </c>
      <c r="M1485" s="6" t="inlineStr">
        <is>
          <t>Line changeover impact</t>
        </is>
      </c>
      <c r="N1485" s="4" t="inlineStr"/>
      <c r="O1485" s="4" t="inlineStr">
        <is>
          <t>Low</t>
        </is>
      </c>
      <c r="P1485" s="4" t="inlineStr">
        <is>
          <t>In Progress</t>
        </is>
      </c>
      <c r="Q1485" s="5">
        <f>IFERROR(IF(INDEX(Tbl_KPIMaster[Direction],MATCH($G1485,Tbl_KPIMaster[KPI],0))="Lower is Better",IF($J1485=0,1,IF($I1485=0,0,$I1485/$J1485)),IF($I1485=0,1,$J1485/$I1485)),0)</f>
        <v/>
      </c>
      <c r="R1485" s="4">
        <f>IF(OR($I1485="",$J1485=""),"",$J1485-$I1485)</f>
        <v/>
      </c>
      <c r="S1485" s="4">
        <f>IFERROR(IF(INDEX(Tbl_KPIMaster[Direction],MATCH($G1485,Tbl_KPIMaster[KPI],0))="Lower is Better",IF($J1485&lt;=$I1485,"Green",IF($J1485&lt;=$I1485+IF($I1485=0,$K1485,$I1485*$K1485),"Amber","Red")),IF($J1485&gt;=$I1485,"Green",IF($J1485&gt;=$I1485-IF($I1485=0,$K1485,$I1485*$K1485),"Amber","Red"))),"")</f>
        <v/>
      </c>
      <c r="T1485" s="6" t="inlineStr"/>
    </row>
    <row r="1486">
      <c r="A1486" s="7" t="n">
        <v>46204</v>
      </c>
      <c r="B1486" s="8">
        <f>IF($A1486="","",TEXT($A1486,"mmm-yyyy"))</f>
        <v/>
      </c>
      <c r="C1486" s="8">
        <f>IF($A1486="","","W"&amp;WEEKNUM($A1486,2))</f>
        <v/>
      </c>
      <c r="D1486" s="8">
        <f>IF($A1486="","",TEXT($A1486,"ddd"))</f>
        <v/>
      </c>
      <c r="E1486" s="8" t="inlineStr">
        <is>
          <t>Production</t>
        </is>
      </c>
      <c r="F1486" s="8">
        <f>IFERROR(INDEX(Tbl_KPIMaster[Category],MATCH($G1486,Tbl_KPIMaster[KPI],0)),"")</f>
        <v/>
      </c>
      <c r="G1486" s="8" t="inlineStr">
        <is>
          <t>OEE %</t>
        </is>
      </c>
      <c r="H1486" s="8">
        <f>IFERROR(INDEX(Tbl_KPIMaster[Unit],MATCH($G1486,Tbl_KPIMaster[KPI],0)),"")</f>
        <v/>
      </c>
      <c r="I1486" s="9">
        <f>IFERROR(INDEX(Tbl_KPIMaster[Maximum Target],MATCH($G1486,Tbl_KPIMaster[KPI],0)),"")</f>
        <v/>
      </c>
      <c r="J1486" s="9" t="n">
        <v>0.8405</v>
      </c>
      <c r="K1486" s="8">
        <f>IFERROR(INDEX(Tbl_KPIMaster[Tolerance],MATCH($G1486,Tbl_KPIMaster[KPI],0)),"")</f>
        <v/>
      </c>
      <c r="L1486" s="8">
        <f>IFERROR(INDEX(Tbl_KPIMaster[Owner],MATCH($G1486,Tbl_KPIMaster[KPI],0)),"")</f>
        <v/>
      </c>
      <c r="M1486" s="10" t="inlineStr">
        <is>
          <t>Process improvement in progress</t>
        </is>
      </c>
      <c r="N1486" s="8" t="inlineStr"/>
      <c r="O1486" s="8" t="inlineStr">
        <is>
          <t>Low</t>
        </is>
      </c>
      <c r="P1486" s="8" t="inlineStr">
        <is>
          <t>Closed</t>
        </is>
      </c>
      <c r="Q1486" s="9">
        <f>IFERROR(IF(INDEX(Tbl_KPIMaster[Direction],MATCH($G1486,Tbl_KPIMaster[KPI],0))="Lower is Better",IF($J1486=0,1,IF($I1486=0,0,$I1486/$J1486)),IF($I1486=0,1,$J1486/$I1486)),0)</f>
        <v/>
      </c>
      <c r="R1486" s="8">
        <f>IF(OR($I1486="",$J1486=""),"",$J1486-$I1486)</f>
        <v/>
      </c>
      <c r="S1486" s="8">
        <f>IFERROR(IF(INDEX(Tbl_KPIMaster[Direction],MATCH($G1486,Tbl_KPIMaster[KPI],0))="Lower is Better",IF($J1486&lt;=$I1486,"Green",IF($J1486&lt;=$I1486+IF($I1486=0,$K1486,$I1486*$K1486),"Amber","Red")),IF($J1486&gt;=$I1486,"Green",IF($J1486&gt;=$I1486-IF($I1486=0,$K1486,$I1486*$K1486),"Amber","Red"))),"")</f>
        <v/>
      </c>
      <c r="T1486" s="10" t="inlineStr"/>
    </row>
    <row r="1487">
      <c r="A1487" s="3" t="n">
        <v>46204</v>
      </c>
      <c r="B1487" s="4">
        <f>IF($A1487="","",TEXT($A1487,"mmm-yyyy"))</f>
        <v/>
      </c>
      <c r="C1487" s="4">
        <f>IF($A1487="","","W"&amp;WEEKNUM($A1487,2))</f>
        <v/>
      </c>
      <c r="D1487" s="4">
        <f>IF($A1487="","",TEXT($A1487,"ddd"))</f>
        <v/>
      </c>
      <c r="E1487" s="4" t="inlineStr">
        <is>
          <t>Quality</t>
        </is>
      </c>
      <c r="F1487" s="4">
        <f>IFERROR(INDEX(Tbl_KPIMaster[Category],MATCH($G1487,Tbl_KPIMaster[KPI],0)),"")</f>
        <v/>
      </c>
      <c r="G1487" s="4" t="inlineStr">
        <is>
          <t>Defect Rate %</t>
        </is>
      </c>
      <c r="H1487" s="4">
        <f>IFERROR(INDEX(Tbl_KPIMaster[Unit],MATCH($G1487,Tbl_KPIMaster[KPI],0)),"")</f>
        <v/>
      </c>
      <c r="I1487" s="5">
        <f>IFERROR(INDEX(Tbl_KPIMaster[Maximum Target],MATCH($G1487,Tbl_KPIMaster[KPI],0)),"")</f>
        <v/>
      </c>
      <c r="J1487" s="5" t="n">
        <v>1.1513</v>
      </c>
      <c r="K1487" s="4">
        <f>IFERROR(INDEX(Tbl_KPIMaster[Tolerance],MATCH($G1487,Tbl_KPIMaster[KPI],0)),"")</f>
        <v/>
      </c>
      <c r="L1487" s="4">
        <f>IFERROR(INDEX(Tbl_KPIMaster[Owner],MATCH($G1487,Tbl_KPIMaster[KPI],0)),"")</f>
        <v/>
      </c>
      <c r="M1487" s="6" t="inlineStr">
        <is>
          <t>Within normal range</t>
        </is>
      </c>
      <c r="N1487" s="4" t="inlineStr"/>
      <c r="O1487" s="4" t="inlineStr">
        <is>
          <t>Low</t>
        </is>
      </c>
      <c r="P1487" s="4" t="inlineStr">
        <is>
          <t>Open</t>
        </is>
      </c>
      <c r="Q1487" s="5">
        <f>IFERROR(IF(INDEX(Tbl_KPIMaster[Direction],MATCH($G1487,Tbl_KPIMaster[KPI],0))="Lower is Better",IF($J1487=0,1,IF($I1487=0,0,$I1487/$J1487)),IF($I1487=0,1,$J1487/$I1487)),0)</f>
        <v/>
      </c>
      <c r="R1487" s="4">
        <f>IF(OR($I1487="",$J1487=""),"",$J1487-$I1487)</f>
        <v/>
      </c>
      <c r="S1487" s="4">
        <f>IFERROR(IF(INDEX(Tbl_KPIMaster[Direction],MATCH($G1487,Tbl_KPIMaster[KPI],0))="Lower is Better",IF($J1487&lt;=$I1487,"Green",IF($J1487&lt;=$I1487+IF($I1487=0,$K1487,$I1487*$K1487),"Amber","Red")),IF($J1487&gt;=$I1487,"Green",IF($J1487&gt;=$I1487-IF($I1487=0,$K1487,$I1487*$K1487),"Amber","Red"))),"")</f>
        <v/>
      </c>
      <c r="T1487" s="6" t="inlineStr"/>
    </row>
    <row r="1488">
      <c r="A1488" s="7" t="n">
        <v>46204</v>
      </c>
      <c r="B1488" s="8">
        <f>IF($A1488="","",TEXT($A1488,"mmm-yyyy"))</f>
        <v/>
      </c>
      <c r="C1488" s="8">
        <f>IF($A1488="","","W"&amp;WEEKNUM($A1488,2))</f>
        <v/>
      </c>
      <c r="D1488" s="8">
        <f>IF($A1488="","",TEXT($A1488,"ddd"))</f>
        <v/>
      </c>
      <c r="E1488" s="8" t="inlineStr">
        <is>
          <t>Quality</t>
        </is>
      </c>
      <c r="F1488" s="8">
        <f>IFERROR(INDEX(Tbl_KPIMaster[Category],MATCH($G1488,Tbl_KPIMaster[KPI],0)),"")</f>
        <v/>
      </c>
      <c r="G1488" s="8" t="inlineStr">
        <is>
          <t>Customer Complaints</t>
        </is>
      </c>
      <c r="H1488" s="8">
        <f>IFERROR(INDEX(Tbl_KPIMaster[Unit],MATCH($G1488,Tbl_KPIMaster[KPI],0)),"")</f>
        <v/>
      </c>
      <c r="I1488" s="9">
        <f>IFERROR(INDEX(Tbl_KPIMaster[Maximum Target],MATCH($G1488,Tbl_KPIMaster[KPI],0)),"")</f>
        <v/>
      </c>
      <c r="J1488" s="9" t="n">
        <v>0</v>
      </c>
      <c r="K1488" s="8">
        <f>IFERROR(INDEX(Tbl_KPIMaster[Tolerance],MATCH($G1488,Tbl_KPIMaster[KPI],0)),"")</f>
        <v/>
      </c>
      <c r="L1488" s="8">
        <f>IFERROR(INDEX(Tbl_KPIMaster[Owner],MATCH($G1488,Tbl_KPIMaster[KPI],0)),"")</f>
        <v/>
      </c>
      <c r="M1488" s="10" t="inlineStr">
        <is>
          <t>Manpower shortage</t>
        </is>
      </c>
      <c r="N1488" s="8" t="inlineStr"/>
      <c r="O1488" s="8" t="inlineStr">
        <is>
          <t>Low</t>
        </is>
      </c>
      <c r="P1488" s="8" t="inlineStr">
        <is>
          <t>In Progress</t>
        </is>
      </c>
      <c r="Q1488" s="9">
        <f>IFERROR(IF(INDEX(Tbl_KPIMaster[Direction],MATCH($G1488,Tbl_KPIMaster[KPI],0))="Lower is Better",IF($J1488=0,1,IF($I1488=0,0,$I1488/$J1488)),IF($I1488=0,1,$J1488/$I1488)),0)</f>
        <v/>
      </c>
      <c r="R1488" s="8">
        <f>IF(OR($I1488="",$J1488=""),"",$J1488-$I1488)</f>
        <v/>
      </c>
      <c r="S1488" s="8">
        <f>IFERROR(IF(INDEX(Tbl_KPIMaster[Direction],MATCH($G1488,Tbl_KPIMaster[KPI],0))="Lower is Better",IF($J1488&lt;=$I1488,"Green",IF($J1488&lt;=$I1488+IF($I1488=0,$K1488,$I1488*$K1488),"Amber","Red")),IF($J1488&gt;=$I1488,"Green",IF($J1488&gt;=$I1488-IF($I1488=0,$K1488,$I1488*$K1488),"Amber","Red"))),"")</f>
        <v/>
      </c>
      <c r="T1488" s="10" t="inlineStr"/>
    </row>
    <row r="1489">
      <c r="A1489" s="3" t="n">
        <v>46204</v>
      </c>
      <c r="B1489" s="4">
        <f>IF($A1489="","",TEXT($A1489,"mmm-yyyy"))</f>
        <v/>
      </c>
      <c r="C1489" s="4">
        <f>IF($A1489="","","W"&amp;WEEKNUM($A1489,2))</f>
        <v/>
      </c>
      <c r="D1489" s="4">
        <f>IF($A1489="","",TEXT($A1489,"ddd"))</f>
        <v/>
      </c>
      <c r="E1489" s="4" t="inlineStr">
        <is>
          <t>Maintenance</t>
        </is>
      </c>
      <c r="F1489" s="4">
        <f>IFERROR(INDEX(Tbl_KPIMaster[Category],MATCH($G1489,Tbl_KPIMaster[KPI],0)),"")</f>
        <v/>
      </c>
      <c r="G1489" s="4" t="inlineStr">
        <is>
          <t>Unplanned Downtime</t>
        </is>
      </c>
      <c r="H1489" s="4">
        <f>IFERROR(INDEX(Tbl_KPIMaster[Unit],MATCH($G1489,Tbl_KPIMaster[KPI],0)),"")</f>
        <v/>
      </c>
      <c r="I1489" s="5">
        <f>IFERROR(INDEX(Tbl_KPIMaster[Maximum Target],MATCH($G1489,Tbl_KPIMaster[KPI],0)),"")</f>
        <v/>
      </c>
      <c r="J1489" s="5" t="n">
        <v>0.25</v>
      </c>
      <c r="K1489" s="4">
        <f>IFERROR(INDEX(Tbl_KPIMaster[Tolerance],MATCH($G1489,Tbl_KPIMaster[KPI],0)),"")</f>
        <v/>
      </c>
      <c r="L1489" s="4">
        <f>IFERROR(INDEX(Tbl_KPIMaster[Owner],MATCH($G1489,Tbl_KPIMaster[KPI],0)),"")</f>
        <v/>
      </c>
      <c r="M1489" s="6" t="inlineStr">
        <is>
          <t>Line changeover impact</t>
        </is>
      </c>
      <c r="N1489" s="4" t="inlineStr">
        <is>
          <t>Engineering support needed</t>
        </is>
      </c>
      <c r="O1489" s="4" t="inlineStr">
        <is>
          <t>Low</t>
        </is>
      </c>
      <c r="P1489" s="4" t="inlineStr">
        <is>
          <t>In Progress</t>
        </is>
      </c>
      <c r="Q1489" s="5">
        <f>IFERROR(IF(INDEX(Tbl_KPIMaster[Direction],MATCH($G1489,Tbl_KPIMaster[KPI],0))="Lower is Better",IF($J1489=0,1,IF($I1489=0,0,$I1489/$J1489)),IF($I1489=0,1,$J1489/$I1489)),0)</f>
        <v/>
      </c>
      <c r="R1489" s="4">
        <f>IF(OR($I1489="",$J1489=""),"",$J1489-$I1489)</f>
        <v/>
      </c>
      <c r="S1489" s="4">
        <f>IFERROR(IF(INDEX(Tbl_KPIMaster[Direction],MATCH($G1489,Tbl_KPIMaster[KPI],0))="Lower is Better",IF($J1489&lt;=$I1489,"Green",IF($J1489&lt;=$I1489+IF($I1489=0,$K1489,$I1489*$K1489),"Amber","Red")),IF($J1489&gt;=$I1489,"Green",IF($J1489&gt;=$I1489-IF($I1489=0,$K1489,$I1489*$K1489),"Amber","Red"))),"")</f>
        <v/>
      </c>
      <c r="T1489" s="6" t="inlineStr"/>
    </row>
    <row r="1490">
      <c r="A1490" s="7" t="n">
        <v>46204</v>
      </c>
      <c r="B1490" s="8">
        <f>IF($A1490="","",TEXT($A1490,"mmm-yyyy"))</f>
        <v/>
      </c>
      <c r="C1490" s="8">
        <f>IF($A1490="","","W"&amp;WEEKNUM($A1490,2))</f>
        <v/>
      </c>
      <c r="D1490" s="8">
        <f>IF($A1490="","",TEXT($A1490,"ddd"))</f>
        <v/>
      </c>
      <c r="E1490" s="8" t="inlineStr">
        <is>
          <t>Maintenance</t>
        </is>
      </c>
      <c r="F1490" s="8">
        <f>IFERROR(INDEX(Tbl_KPIMaster[Category],MATCH($G1490,Tbl_KPIMaster[KPI],0)),"")</f>
        <v/>
      </c>
      <c r="G1490" s="8" t="inlineStr">
        <is>
          <t>PM Compliance %</t>
        </is>
      </c>
      <c r="H1490" s="8">
        <f>IFERROR(INDEX(Tbl_KPIMaster[Unit],MATCH($G1490,Tbl_KPIMaster[KPI],0)),"")</f>
        <v/>
      </c>
      <c r="I1490" s="9">
        <f>IFERROR(INDEX(Tbl_KPIMaster[Maximum Target],MATCH($G1490,Tbl_KPIMaster[KPI],0)),"")</f>
        <v/>
      </c>
      <c r="J1490" s="9" t="n">
        <v>0.9744</v>
      </c>
      <c r="K1490" s="8">
        <f>IFERROR(INDEX(Tbl_KPIMaster[Tolerance],MATCH($G1490,Tbl_KPIMaster[KPI],0)),"")</f>
        <v/>
      </c>
      <c r="L1490" s="8">
        <f>IFERROR(INDEX(Tbl_KPIMaster[Owner],MATCH($G1490,Tbl_KPIMaster[KPI],0)),"")</f>
        <v/>
      </c>
      <c r="M1490" s="10" t="inlineStr">
        <is>
          <t>Awaiting spares</t>
        </is>
      </c>
      <c r="N1490" s="8" t="inlineStr"/>
      <c r="O1490" s="8" t="inlineStr">
        <is>
          <t>Low</t>
        </is>
      </c>
      <c r="P1490" s="8" t="inlineStr">
        <is>
          <t>Closed</t>
        </is>
      </c>
      <c r="Q1490" s="9">
        <f>IFERROR(IF(INDEX(Tbl_KPIMaster[Direction],MATCH($G1490,Tbl_KPIMaster[KPI],0))="Lower is Better",IF($J1490=0,1,IF($I1490=0,0,$I1490/$J1490)),IF($I1490=0,1,$J1490/$I1490)),0)</f>
        <v/>
      </c>
      <c r="R1490" s="8">
        <f>IF(OR($I1490="",$J1490=""),"",$J1490-$I1490)</f>
        <v/>
      </c>
      <c r="S1490" s="8">
        <f>IFERROR(IF(INDEX(Tbl_KPIMaster[Direction],MATCH($G1490,Tbl_KPIMaster[KPI],0))="Lower is Better",IF($J1490&lt;=$I1490,"Green",IF($J1490&lt;=$I1490+IF($I1490=0,$K1490,$I1490*$K1490),"Amber","Red")),IF($J1490&gt;=$I1490,"Green",IF($J1490&gt;=$I1490-IF($I1490=0,$K1490,$I1490*$K1490),"Amber","Red"))),"")</f>
        <v/>
      </c>
      <c r="T1490" s="10" t="inlineStr"/>
    </row>
    <row r="1491">
      <c r="A1491" s="3" t="n">
        <v>46204</v>
      </c>
      <c r="B1491" s="4">
        <f>IF($A1491="","",TEXT($A1491,"mmm-yyyy"))</f>
        <v/>
      </c>
      <c r="C1491" s="4">
        <f>IF($A1491="","","W"&amp;WEEKNUM($A1491,2))</f>
        <v/>
      </c>
      <c r="D1491" s="4">
        <f>IF($A1491="","",TEXT($A1491,"ddd"))</f>
        <v/>
      </c>
      <c r="E1491" s="4" t="inlineStr">
        <is>
          <t>Utilities</t>
        </is>
      </c>
      <c r="F1491" s="4">
        <f>IFERROR(INDEX(Tbl_KPIMaster[Category],MATCH($G1491,Tbl_KPIMaster[KPI],0)),"")</f>
        <v/>
      </c>
      <c r="G1491" s="4" t="inlineStr">
        <is>
          <t>Power Consumption</t>
        </is>
      </c>
      <c r="H1491" s="4">
        <f>IFERROR(INDEX(Tbl_KPIMaster[Unit],MATCH($G1491,Tbl_KPIMaster[KPI],0)),"")</f>
        <v/>
      </c>
      <c r="I1491" s="5">
        <f>IFERROR(INDEX(Tbl_KPIMaster[Maximum Target],MATCH($G1491,Tbl_KPIMaster[KPI],0)),"")</f>
        <v/>
      </c>
      <c r="J1491" s="5" t="n">
        <v>4289.23</v>
      </c>
      <c r="K1491" s="4">
        <f>IFERROR(INDEX(Tbl_KPIMaster[Tolerance],MATCH($G1491,Tbl_KPIMaster[KPI],0)),"")</f>
        <v/>
      </c>
      <c r="L1491" s="4">
        <f>IFERROR(INDEX(Tbl_KPIMaster[Owner],MATCH($G1491,Tbl_KPIMaster[KPI],0)),"")</f>
        <v/>
      </c>
      <c r="M1491" s="6" t="inlineStr">
        <is>
          <t>Within normal range</t>
        </is>
      </c>
      <c r="N1491" s="4" t="inlineStr">
        <is>
          <t>Management approval pending</t>
        </is>
      </c>
      <c r="O1491" s="4" t="inlineStr">
        <is>
          <t>Medium</t>
        </is>
      </c>
      <c r="P1491" s="4" t="inlineStr">
        <is>
          <t>In Progress</t>
        </is>
      </c>
      <c r="Q1491" s="5">
        <f>IFERROR(IF(INDEX(Tbl_KPIMaster[Direction],MATCH($G1491,Tbl_KPIMaster[KPI],0))="Lower is Better",IF($J1491=0,1,IF($I1491=0,0,$I1491/$J1491)),IF($I1491=0,1,$J1491/$I1491)),0)</f>
        <v/>
      </c>
      <c r="R1491" s="4">
        <f>IF(OR($I1491="",$J1491=""),"",$J1491-$I1491)</f>
        <v/>
      </c>
      <c r="S1491" s="4">
        <f>IFERROR(IF(INDEX(Tbl_KPIMaster[Direction],MATCH($G1491,Tbl_KPIMaster[KPI],0))="Lower is Better",IF($J1491&lt;=$I1491,"Green",IF($J1491&lt;=$I1491+IF($I1491=0,$K1491,$I1491*$K1491),"Amber","Red")),IF($J1491&gt;=$I1491,"Green",IF($J1491&gt;=$I1491-IF($I1491=0,$K1491,$I1491*$K1491),"Amber","Red"))),"")</f>
        <v/>
      </c>
      <c r="T1491" s="6" t="inlineStr"/>
    </row>
    <row r="1492">
      <c r="A1492" s="7" t="n">
        <v>46204</v>
      </c>
      <c r="B1492" s="8">
        <f>IF($A1492="","",TEXT($A1492,"mmm-yyyy"))</f>
        <v/>
      </c>
      <c r="C1492" s="8">
        <f>IF($A1492="","","W"&amp;WEEKNUM($A1492,2))</f>
        <v/>
      </c>
      <c r="D1492" s="8">
        <f>IF($A1492="","",TEXT($A1492,"ddd"))</f>
        <v/>
      </c>
      <c r="E1492" s="8" t="inlineStr">
        <is>
          <t>Utilities</t>
        </is>
      </c>
      <c r="F1492" s="8">
        <f>IFERROR(INDEX(Tbl_KPIMaster[Category],MATCH($G1492,Tbl_KPIMaster[KPI],0)),"")</f>
        <v/>
      </c>
      <c r="G1492" s="8" t="inlineStr">
        <is>
          <t>Water Consumption</t>
        </is>
      </c>
      <c r="H1492" s="8">
        <f>IFERROR(INDEX(Tbl_KPIMaster[Unit],MATCH($G1492,Tbl_KPIMaster[KPI],0)),"")</f>
        <v/>
      </c>
      <c r="I1492" s="9">
        <f>IFERROR(INDEX(Tbl_KPIMaster[Maximum Target],MATCH($G1492,Tbl_KPIMaster[KPI],0)),"")</f>
        <v/>
      </c>
      <c r="J1492" s="9" t="n">
        <v>49.6</v>
      </c>
      <c r="K1492" s="8">
        <f>IFERROR(INDEX(Tbl_KPIMaster[Tolerance],MATCH($G1492,Tbl_KPIMaster[KPI],0)),"")</f>
        <v/>
      </c>
      <c r="L1492" s="8">
        <f>IFERROR(INDEX(Tbl_KPIMaster[Owner],MATCH($G1492,Tbl_KPIMaster[KPI],0)),"")</f>
        <v/>
      </c>
      <c r="M1492" s="10" t="inlineStr">
        <is>
          <t>Awaiting spares</t>
        </is>
      </c>
      <c r="N1492" s="8" t="inlineStr"/>
      <c r="O1492" s="8" t="inlineStr">
        <is>
          <t>Medium</t>
        </is>
      </c>
      <c r="P1492" s="8" t="inlineStr">
        <is>
          <t>Closed</t>
        </is>
      </c>
      <c r="Q1492" s="9">
        <f>IFERROR(IF(INDEX(Tbl_KPIMaster[Direction],MATCH($G1492,Tbl_KPIMaster[KPI],0))="Lower is Better",IF($J1492=0,1,IF($I1492=0,0,$I1492/$J1492)),IF($I1492=0,1,$J1492/$I1492)),0)</f>
        <v/>
      </c>
      <c r="R1492" s="8">
        <f>IF(OR($I1492="",$J1492=""),"",$J1492-$I1492)</f>
        <v/>
      </c>
      <c r="S1492" s="8">
        <f>IFERROR(IF(INDEX(Tbl_KPIMaster[Direction],MATCH($G1492,Tbl_KPIMaster[KPI],0))="Lower is Better",IF($J1492&lt;=$I1492,"Green",IF($J1492&lt;=$I1492+IF($I1492=0,$K1492,$I1492*$K1492),"Amber","Red")),IF($J1492&gt;=$I1492,"Green",IF($J1492&gt;=$I1492-IF($I1492=0,$K1492,$I1492*$K1492),"Amber","Red"))),"")</f>
        <v/>
      </c>
      <c r="T1492" s="10" t="inlineStr"/>
    </row>
    <row r="1493">
      <c r="A1493" s="3" t="n">
        <v>46204</v>
      </c>
      <c r="B1493" s="4">
        <f>IF($A1493="","",TEXT($A1493,"mmm-yyyy"))</f>
        <v/>
      </c>
      <c r="C1493" s="4">
        <f>IF($A1493="","","W"&amp;WEEKNUM($A1493,2))</f>
        <v/>
      </c>
      <c r="D1493" s="4">
        <f>IF($A1493="","",TEXT($A1493,"ddd"))</f>
        <v/>
      </c>
      <c r="E1493" s="4" t="inlineStr">
        <is>
          <t>Warehouse</t>
        </is>
      </c>
      <c r="F1493" s="4">
        <f>IFERROR(INDEX(Tbl_KPIMaster[Category],MATCH($G1493,Tbl_KPIMaster[KPI],0)),"")</f>
        <v/>
      </c>
      <c r="G1493" s="4" t="inlineStr">
        <is>
          <t>On-Time Dispatch %</t>
        </is>
      </c>
      <c r="H1493" s="4">
        <f>IFERROR(INDEX(Tbl_KPIMaster[Unit],MATCH($G1493,Tbl_KPIMaster[KPI],0)),"")</f>
        <v/>
      </c>
      <c r="I1493" s="5">
        <f>IFERROR(INDEX(Tbl_KPIMaster[Maximum Target],MATCH($G1493,Tbl_KPIMaster[KPI],0)),"")</f>
        <v/>
      </c>
      <c r="J1493" s="5" t="n">
        <v>0.9372</v>
      </c>
      <c r="K1493" s="4">
        <f>IFERROR(INDEX(Tbl_KPIMaster[Tolerance],MATCH($G1493,Tbl_KPIMaster[KPI],0)),"")</f>
        <v/>
      </c>
      <c r="L1493" s="4">
        <f>IFERROR(INDEX(Tbl_KPIMaster[Owner],MATCH($G1493,Tbl_KPIMaster[KPI],0)),"")</f>
        <v/>
      </c>
      <c r="M1493" s="6" t="inlineStr">
        <is>
          <t>Equipment breakdown</t>
        </is>
      </c>
      <c r="N1493" s="4" t="inlineStr">
        <is>
          <t>Procurement follow-up</t>
        </is>
      </c>
      <c r="O1493" s="4" t="inlineStr">
        <is>
          <t>Medium</t>
        </is>
      </c>
      <c r="P1493" s="4" t="inlineStr">
        <is>
          <t>Closed</t>
        </is>
      </c>
      <c r="Q1493" s="5">
        <f>IFERROR(IF(INDEX(Tbl_KPIMaster[Direction],MATCH($G1493,Tbl_KPIMaster[KPI],0))="Lower is Better",IF($J1493=0,1,IF($I1493=0,0,$I1493/$J1493)),IF($I1493=0,1,$J1493/$I1493)),0)</f>
        <v/>
      </c>
      <c r="R1493" s="4">
        <f>IF(OR($I1493="",$J1493=""),"",$J1493-$I1493)</f>
        <v/>
      </c>
      <c r="S1493" s="4">
        <f>IFERROR(IF(INDEX(Tbl_KPIMaster[Direction],MATCH($G1493,Tbl_KPIMaster[KPI],0))="Lower is Better",IF($J1493&lt;=$I1493,"Green",IF($J1493&lt;=$I1493+IF($I1493=0,$K1493,$I1493*$K1493),"Amber","Red")),IF($J1493&gt;=$I1493,"Green",IF($J1493&gt;=$I1493-IF($I1493=0,$K1493,$I1493*$K1493),"Amber","Red"))),"")</f>
        <v/>
      </c>
      <c r="T1493" s="6" t="inlineStr"/>
    </row>
    <row r="1494">
      <c r="A1494" s="7" t="n">
        <v>46204</v>
      </c>
      <c r="B1494" s="8">
        <f>IF($A1494="","",TEXT($A1494,"mmm-yyyy"))</f>
        <v/>
      </c>
      <c r="C1494" s="8">
        <f>IF($A1494="","","W"&amp;WEEKNUM($A1494,2))</f>
        <v/>
      </c>
      <c r="D1494" s="8">
        <f>IF($A1494="","",TEXT($A1494,"ddd"))</f>
        <v/>
      </c>
      <c r="E1494" s="8" t="inlineStr">
        <is>
          <t>Warehouse</t>
        </is>
      </c>
      <c r="F1494" s="8">
        <f>IFERROR(INDEX(Tbl_KPIMaster[Category],MATCH($G1494,Tbl_KPIMaster[KPI],0)),"")</f>
        <v/>
      </c>
      <c r="G1494" s="8" t="inlineStr">
        <is>
          <t>Inventory Accuracy %</t>
        </is>
      </c>
      <c r="H1494" s="8">
        <f>IFERROR(INDEX(Tbl_KPIMaster[Unit],MATCH($G1494,Tbl_KPIMaster[KPI],0)),"")</f>
        <v/>
      </c>
      <c r="I1494" s="9">
        <f>IFERROR(INDEX(Tbl_KPIMaster[Maximum Target],MATCH($G1494,Tbl_KPIMaster[KPI],0)),"")</f>
        <v/>
      </c>
      <c r="J1494" s="9" t="n">
        <v>0.8177</v>
      </c>
      <c r="K1494" s="8">
        <f>IFERROR(INDEX(Tbl_KPIMaster[Tolerance],MATCH($G1494,Tbl_KPIMaster[KPI],0)),"")</f>
        <v/>
      </c>
      <c r="L1494" s="8">
        <f>IFERROR(INDEX(Tbl_KPIMaster[Owner],MATCH($G1494,Tbl_KPIMaster[KPI],0)),"")</f>
        <v/>
      </c>
      <c r="M1494" s="10" t="inlineStr">
        <is>
          <t>Preventive check done</t>
        </is>
      </c>
      <c r="N1494" s="8" t="inlineStr"/>
      <c r="O1494" s="8" t="inlineStr">
        <is>
          <t>Medium</t>
        </is>
      </c>
      <c r="P1494" s="8" t="inlineStr">
        <is>
          <t>Closed</t>
        </is>
      </c>
      <c r="Q1494" s="9">
        <f>IFERROR(IF(INDEX(Tbl_KPIMaster[Direction],MATCH($G1494,Tbl_KPIMaster[KPI],0))="Lower is Better",IF($J1494=0,1,IF($I1494=0,0,$I1494/$J1494)),IF($I1494=0,1,$J1494/$I1494)),0)</f>
        <v/>
      </c>
      <c r="R1494" s="8">
        <f>IF(OR($I1494="",$J1494=""),"",$J1494-$I1494)</f>
        <v/>
      </c>
      <c r="S1494" s="8">
        <f>IFERROR(IF(INDEX(Tbl_KPIMaster[Direction],MATCH($G1494,Tbl_KPIMaster[KPI],0))="Lower is Better",IF($J1494&lt;=$I1494,"Green",IF($J1494&lt;=$I1494+IF($I1494=0,$K1494,$I1494*$K1494),"Amber","Red")),IF($J1494&gt;=$I1494,"Green",IF($J1494&gt;=$I1494-IF($I1494=0,$K1494,$I1494*$K1494),"Amber","Red"))),"")</f>
        <v/>
      </c>
      <c r="T1494" s="10" t="inlineStr"/>
    </row>
    <row r="1495">
      <c r="A1495" s="3" t="n">
        <v>46204</v>
      </c>
      <c r="B1495" s="4">
        <f>IF($A1495="","",TEXT($A1495,"mmm-yyyy"))</f>
        <v/>
      </c>
      <c r="C1495" s="4">
        <f>IF($A1495="","","W"&amp;WEEKNUM($A1495,2))</f>
        <v/>
      </c>
      <c r="D1495" s="4">
        <f>IF($A1495="","",TEXT($A1495,"ddd"))</f>
        <v/>
      </c>
      <c r="E1495" s="4" t="inlineStr">
        <is>
          <t>HR</t>
        </is>
      </c>
      <c r="F1495" s="4">
        <f>IFERROR(INDEX(Tbl_KPIMaster[Category],MATCH($G1495,Tbl_KPIMaster[KPI],0)),"")</f>
        <v/>
      </c>
      <c r="G1495" s="4" t="inlineStr">
        <is>
          <t>Absenteeism %</t>
        </is>
      </c>
      <c r="H1495" s="4">
        <f>IFERROR(INDEX(Tbl_KPIMaster[Unit],MATCH($G1495,Tbl_KPIMaster[KPI],0)),"")</f>
        <v/>
      </c>
      <c r="I1495" s="5">
        <f>IFERROR(INDEX(Tbl_KPIMaster[Maximum Target],MATCH($G1495,Tbl_KPIMaster[KPI],0)),"")</f>
        <v/>
      </c>
      <c r="J1495" s="5" t="n">
        <v>0</v>
      </c>
      <c r="K1495" s="4">
        <f>IFERROR(INDEX(Tbl_KPIMaster[Tolerance],MATCH($G1495,Tbl_KPIMaster[KPI],0)),"")</f>
        <v/>
      </c>
      <c r="L1495" s="4">
        <f>IFERROR(INDEX(Tbl_KPIMaster[Owner],MATCH($G1495,Tbl_KPIMaster[KPI],0)),"")</f>
        <v/>
      </c>
      <c r="M1495" s="6" t="inlineStr">
        <is>
          <t>Line changeover impact</t>
        </is>
      </c>
      <c r="N1495" s="4" t="inlineStr"/>
      <c r="O1495" s="4" t="inlineStr">
        <is>
          <t>Medium</t>
        </is>
      </c>
      <c r="P1495" s="4" t="inlineStr">
        <is>
          <t>Open</t>
        </is>
      </c>
      <c r="Q1495" s="5">
        <f>IFERROR(IF(INDEX(Tbl_KPIMaster[Direction],MATCH($G1495,Tbl_KPIMaster[KPI],0))="Lower is Better",IF($J1495=0,1,IF($I1495=0,0,$I1495/$J1495)),IF($I1495=0,1,$J1495/$I1495)),0)</f>
        <v/>
      </c>
      <c r="R1495" s="4">
        <f>IF(OR($I1495="",$J1495=""),"",$J1495-$I1495)</f>
        <v/>
      </c>
      <c r="S1495" s="4">
        <f>IFERROR(IF(INDEX(Tbl_KPIMaster[Direction],MATCH($G1495,Tbl_KPIMaster[KPI],0))="Lower is Better",IF($J1495&lt;=$I1495,"Green",IF($J1495&lt;=$I1495+IF($I1495=0,$K1495,$I1495*$K1495),"Amber","Red")),IF($J1495&gt;=$I1495,"Green",IF($J1495&gt;=$I1495-IF($I1495=0,$K1495,$I1495*$K1495),"Amber","Red"))),"")</f>
        <v/>
      </c>
      <c r="T1495" s="6" t="inlineStr"/>
    </row>
    <row r="1496">
      <c r="A1496" s="7" t="n">
        <v>46204</v>
      </c>
      <c r="B1496" s="8">
        <f>IF($A1496="","",TEXT($A1496,"mmm-yyyy"))</f>
        <v/>
      </c>
      <c r="C1496" s="8">
        <f>IF($A1496="","","W"&amp;WEEKNUM($A1496,2))</f>
        <v/>
      </c>
      <c r="D1496" s="8">
        <f>IF($A1496="","",TEXT($A1496,"ddd"))</f>
        <v/>
      </c>
      <c r="E1496" s="8" t="inlineStr">
        <is>
          <t>HR</t>
        </is>
      </c>
      <c r="F1496" s="8">
        <f>IFERROR(INDEX(Tbl_KPIMaster[Category],MATCH($G1496,Tbl_KPIMaster[KPI],0)),"")</f>
        <v/>
      </c>
      <c r="G1496" s="8" t="inlineStr">
        <is>
          <t>Training Hours</t>
        </is>
      </c>
      <c r="H1496" s="8">
        <f>IFERROR(INDEX(Tbl_KPIMaster[Unit],MATCH($G1496,Tbl_KPIMaster[KPI],0)),"")</f>
        <v/>
      </c>
      <c r="I1496" s="9">
        <f>IFERROR(INDEX(Tbl_KPIMaster[Maximum Target],MATCH($G1496,Tbl_KPIMaster[KPI],0)),"")</f>
        <v/>
      </c>
      <c r="J1496" s="9" t="n">
        <v>1.82</v>
      </c>
      <c r="K1496" s="8">
        <f>IFERROR(INDEX(Tbl_KPIMaster[Tolerance],MATCH($G1496,Tbl_KPIMaster[KPI],0)),"")</f>
        <v/>
      </c>
      <c r="L1496" s="8">
        <f>IFERROR(INDEX(Tbl_KPIMaster[Owner],MATCH($G1496,Tbl_KPIMaster[KPI],0)),"")</f>
        <v/>
      </c>
      <c r="M1496" s="10" t="inlineStr">
        <is>
          <t>Within normal range</t>
        </is>
      </c>
      <c r="N1496" s="8" t="inlineStr">
        <is>
          <t>Procurement follow-up</t>
        </is>
      </c>
      <c r="O1496" s="8" t="inlineStr">
        <is>
          <t>High</t>
        </is>
      </c>
      <c r="P1496" s="8" t="inlineStr">
        <is>
          <t>In Progress</t>
        </is>
      </c>
      <c r="Q1496" s="9">
        <f>IFERROR(IF(INDEX(Tbl_KPIMaster[Direction],MATCH($G1496,Tbl_KPIMaster[KPI],0))="Lower is Better",IF($J1496=0,1,IF($I1496=0,0,$I1496/$J1496)),IF($I1496=0,1,$J1496/$I1496)),0)</f>
        <v/>
      </c>
      <c r="R1496" s="8">
        <f>IF(OR($I1496="",$J1496=""),"",$J1496-$I1496)</f>
        <v/>
      </c>
      <c r="S1496" s="8">
        <f>IFERROR(IF(INDEX(Tbl_KPIMaster[Direction],MATCH($G1496,Tbl_KPIMaster[KPI],0))="Lower is Better",IF($J1496&lt;=$I1496,"Green",IF($J1496&lt;=$I1496+IF($I1496=0,$K1496,$I1496*$K1496),"Amber","Red")),IF($J1496&gt;=$I1496,"Green",IF($J1496&gt;=$I1496-IF($I1496=0,$K1496,$I1496*$K1496),"Amber","Red"))),"")</f>
        <v/>
      </c>
      <c r="T1496" s="10" t="inlineStr"/>
    </row>
    <row r="1497">
      <c r="A1497" s="3" t="n">
        <v>46204</v>
      </c>
      <c r="B1497" s="4">
        <f>IF($A1497="","",TEXT($A1497,"mmm-yyyy"))</f>
        <v/>
      </c>
      <c r="C1497" s="4">
        <f>IF($A1497="","","W"&amp;WEEKNUM($A1497,2))</f>
        <v/>
      </c>
      <c r="D1497" s="4">
        <f>IF($A1497="","",TEXT($A1497,"ddd"))</f>
        <v/>
      </c>
      <c r="E1497" s="4" t="inlineStr">
        <is>
          <t>Engineering</t>
        </is>
      </c>
      <c r="F1497" s="4">
        <f>IFERROR(INDEX(Tbl_KPIMaster[Category],MATCH($G1497,Tbl_KPIMaster[KPI],0)),"")</f>
        <v/>
      </c>
      <c r="G1497" s="4" t="inlineStr">
        <is>
          <t>Project Milestone Adherence %</t>
        </is>
      </c>
      <c r="H1497" s="4">
        <f>IFERROR(INDEX(Tbl_KPIMaster[Unit],MATCH($G1497,Tbl_KPIMaster[KPI],0)),"")</f>
        <v/>
      </c>
      <c r="I1497" s="5">
        <f>IFERROR(INDEX(Tbl_KPIMaster[Maximum Target],MATCH($G1497,Tbl_KPIMaster[KPI],0)),"")</f>
        <v/>
      </c>
      <c r="J1497" s="5" t="n">
        <v>0.9545</v>
      </c>
      <c r="K1497" s="4">
        <f>IFERROR(INDEX(Tbl_KPIMaster[Tolerance],MATCH($G1497,Tbl_KPIMaster[KPI],0)),"")</f>
        <v/>
      </c>
      <c r="L1497" s="4">
        <f>IFERROR(INDEX(Tbl_KPIMaster[Owner],MATCH($G1497,Tbl_KPIMaster[KPI],0)),"")</f>
        <v/>
      </c>
      <c r="M1497" s="6" t="inlineStr">
        <is>
          <t>Manpower shortage</t>
        </is>
      </c>
      <c r="N1497" s="4" t="inlineStr"/>
      <c r="O1497" s="4" t="inlineStr">
        <is>
          <t>Medium</t>
        </is>
      </c>
      <c r="P1497" s="4" t="inlineStr">
        <is>
          <t>In Progress</t>
        </is>
      </c>
      <c r="Q1497" s="5">
        <f>IFERROR(IF(INDEX(Tbl_KPIMaster[Direction],MATCH($G1497,Tbl_KPIMaster[KPI],0))="Lower is Better",IF($J1497=0,1,IF($I1497=0,0,$I1497/$J1497)),IF($I1497=0,1,$J1497/$I1497)),0)</f>
        <v/>
      </c>
      <c r="R1497" s="4">
        <f>IF(OR($I1497="",$J1497=""),"",$J1497-$I1497)</f>
        <v/>
      </c>
      <c r="S1497" s="4">
        <f>IFERROR(IF(INDEX(Tbl_KPIMaster[Direction],MATCH($G1497,Tbl_KPIMaster[KPI],0))="Lower is Better",IF($J1497&lt;=$I1497,"Green",IF($J1497&lt;=$I1497+IF($I1497=0,$K1497,$I1497*$K1497),"Amber","Red")),IF($J1497&gt;=$I1497,"Green",IF($J1497&gt;=$I1497-IF($I1497=0,$K1497,$I1497*$K1497),"Amber","Red"))),"")</f>
        <v/>
      </c>
      <c r="T1497" s="6" t="inlineStr"/>
    </row>
    <row r="1498">
      <c r="A1498" s="7" t="n">
        <v>46204</v>
      </c>
      <c r="B1498" s="8">
        <f>IF($A1498="","",TEXT($A1498,"mmm-yyyy"))</f>
        <v/>
      </c>
      <c r="C1498" s="8">
        <f>IF($A1498="","","W"&amp;WEEKNUM($A1498,2))</f>
        <v/>
      </c>
      <c r="D1498" s="8">
        <f>IF($A1498="","",TEXT($A1498,"ddd"))</f>
        <v/>
      </c>
      <c r="E1498" s="8" t="inlineStr">
        <is>
          <t>Engineering</t>
        </is>
      </c>
      <c r="F1498" s="8">
        <f>IFERROR(INDEX(Tbl_KPIMaster[Category],MATCH($G1498,Tbl_KPIMaster[KPI],0)),"")</f>
        <v/>
      </c>
      <c r="G1498" s="8" t="inlineStr">
        <is>
          <t>Breakdown Resolution Time</t>
        </is>
      </c>
      <c r="H1498" s="8">
        <f>IFERROR(INDEX(Tbl_KPIMaster[Unit],MATCH($G1498,Tbl_KPIMaster[KPI],0)),"")</f>
        <v/>
      </c>
      <c r="I1498" s="9">
        <f>IFERROR(INDEX(Tbl_KPIMaster[Maximum Target],MATCH($G1498,Tbl_KPIMaster[KPI],0)),"")</f>
        <v/>
      </c>
      <c r="J1498" s="9" t="n">
        <v>0.02</v>
      </c>
      <c r="K1498" s="8">
        <f>IFERROR(INDEX(Tbl_KPIMaster[Tolerance],MATCH($G1498,Tbl_KPIMaster[KPI],0)),"")</f>
        <v/>
      </c>
      <c r="L1498" s="8">
        <f>IFERROR(INDEX(Tbl_KPIMaster[Owner],MATCH($G1498,Tbl_KPIMaster[KPI],0)),"")</f>
        <v/>
      </c>
      <c r="M1498" s="10" t="inlineStr">
        <is>
          <t>Line changeover impact</t>
        </is>
      </c>
      <c r="N1498" s="8" t="inlineStr">
        <is>
          <t>Procurement follow-up</t>
        </is>
      </c>
      <c r="O1498" s="8" t="inlineStr">
        <is>
          <t>Medium</t>
        </is>
      </c>
      <c r="P1498" s="8" t="inlineStr">
        <is>
          <t>Closed</t>
        </is>
      </c>
      <c r="Q1498" s="9">
        <f>IFERROR(IF(INDEX(Tbl_KPIMaster[Direction],MATCH($G1498,Tbl_KPIMaster[KPI],0))="Lower is Better",IF($J1498=0,1,IF($I1498=0,0,$I1498/$J1498)),IF($I1498=0,1,$J1498/$I1498)),0)</f>
        <v/>
      </c>
      <c r="R1498" s="8">
        <f>IF(OR($I1498="",$J1498=""),"",$J1498-$I1498)</f>
        <v/>
      </c>
      <c r="S1498" s="8">
        <f>IFERROR(IF(INDEX(Tbl_KPIMaster[Direction],MATCH($G1498,Tbl_KPIMaster[KPI],0))="Lower is Better",IF($J1498&lt;=$I1498,"Green",IF($J1498&lt;=$I1498+IF($I1498=0,$K1498,$I1498*$K1498),"Amber","Red")),IF($J1498&gt;=$I1498,"Green",IF($J1498&gt;=$I1498-IF($I1498=0,$K1498,$I1498*$K1498),"Amber","Red"))),"")</f>
        <v/>
      </c>
      <c r="T1498" s="10" t="inlineStr"/>
    </row>
    <row r="1499">
      <c r="A1499" s="3" t="n">
        <v>46204</v>
      </c>
      <c r="B1499" s="4">
        <f>IF($A1499="","",TEXT($A1499,"mmm-yyyy"))</f>
        <v/>
      </c>
      <c r="C1499" s="4">
        <f>IF($A1499="","","W"&amp;WEEKNUM($A1499,2))</f>
        <v/>
      </c>
      <c r="D1499" s="4">
        <f>IF($A1499="","",TEXT($A1499,"ddd"))</f>
        <v/>
      </c>
      <c r="E1499" s="4" t="inlineStr">
        <is>
          <t>Cost</t>
        </is>
      </c>
      <c r="F1499" s="4">
        <f>IFERROR(INDEX(Tbl_KPIMaster[Category],MATCH($G1499,Tbl_KPIMaster[KPI],0)),"")</f>
        <v/>
      </c>
      <c r="G1499" s="4" t="inlineStr">
        <is>
          <t>Cost per Unit</t>
        </is>
      </c>
      <c r="H1499" s="4">
        <f>IFERROR(INDEX(Tbl_KPIMaster[Unit],MATCH($G1499,Tbl_KPIMaster[KPI],0)),"")</f>
        <v/>
      </c>
      <c r="I1499" s="5">
        <f>IFERROR(INDEX(Tbl_KPIMaster[Maximum Target],MATCH($G1499,Tbl_KPIMaster[KPI],0)),"")</f>
        <v/>
      </c>
      <c r="J1499" s="5" t="n">
        <v>49.79</v>
      </c>
      <c r="K1499" s="4">
        <f>IFERROR(INDEX(Tbl_KPIMaster[Tolerance],MATCH($G1499,Tbl_KPIMaster[KPI],0)),"")</f>
        <v/>
      </c>
      <c r="L1499" s="4">
        <f>IFERROR(INDEX(Tbl_KPIMaster[Owner],MATCH($G1499,Tbl_KPIMaster[KPI],0)),"")</f>
        <v/>
      </c>
      <c r="M1499" s="6" t="inlineStr">
        <is>
          <t>New operator training effect</t>
        </is>
      </c>
      <c r="N1499" s="4" t="inlineStr"/>
      <c r="O1499" s="4" t="inlineStr">
        <is>
          <t>Medium</t>
        </is>
      </c>
      <c r="P1499" s="4" t="inlineStr">
        <is>
          <t>Closed</t>
        </is>
      </c>
      <c r="Q1499" s="5">
        <f>IFERROR(IF(INDEX(Tbl_KPIMaster[Direction],MATCH($G1499,Tbl_KPIMaster[KPI],0))="Lower is Better",IF($J1499=0,1,IF($I1499=0,0,$I1499/$J1499)),IF($I1499=0,1,$J1499/$I1499)),0)</f>
        <v/>
      </c>
      <c r="R1499" s="4">
        <f>IF(OR($I1499="",$J1499=""),"",$J1499-$I1499)</f>
        <v/>
      </c>
      <c r="S1499" s="4">
        <f>IFERROR(IF(INDEX(Tbl_KPIMaster[Direction],MATCH($G1499,Tbl_KPIMaster[KPI],0))="Lower is Better",IF($J1499&lt;=$I1499,"Green",IF($J1499&lt;=$I1499+IF($I1499=0,$K1499,$I1499*$K1499),"Amber","Red")),IF($J1499&gt;=$I1499,"Green",IF($J1499&gt;=$I1499-IF($I1499=0,$K1499,$I1499*$K1499),"Amber","Red"))),"")</f>
        <v/>
      </c>
      <c r="T1499" s="6" t="inlineStr"/>
    </row>
    <row r="1500">
      <c r="A1500" s="7" t="n">
        <v>46204</v>
      </c>
      <c r="B1500" s="8">
        <f>IF($A1500="","",TEXT($A1500,"mmm-yyyy"))</f>
        <v/>
      </c>
      <c r="C1500" s="8">
        <f>IF($A1500="","","W"&amp;WEEKNUM($A1500,2))</f>
        <v/>
      </c>
      <c r="D1500" s="8">
        <f>IF($A1500="","",TEXT($A1500,"ddd"))</f>
        <v/>
      </c>
      <c r="E1500" s="8" t="inlineStr">
        <is>
          <t>Cost</t>
        </is>
      </c>
      <c r="F1500" s="8">
        <f>IFERROR(INDEX(Tbl_KPIMaster[Category],MATCH($G1500,Tbl_KPIMaster[KPI],0)),"")</f>
        <v/>
      </c>
      <c r="G1500" s="8" t="inlineStr">
        <is>
          <t>Budget Variance %</t>
        </is>
      </c>
      <c r="H1500" s="8">
        <f>IFERROR(INDEX(Tbl_KPIMaster[Unit],MATCH($G1500,Tbl_KPIMaster[KPI],0)),"")</f>
        <v/>
      </c>
      <c r="I1500" s="9">
        <f>IFERROR(INDEX(Tbl_KPIMaster[Maximum Target],MATCH($G1500,Tbl_KPIMaster[KPI],0)),"")</f>
        <v/>
      </c>
      <c r="J1500" s="9" t="n">
        <v>0</v>
      </c>
      <c r="K1500" s="8">
        <f>IFERROR(INDEX(Tbl_KPIMaster[Tolerance],MATCH($G1500,Tbl_KPIMaster[KPI],0)),"")</f>
        <v/>
      </c>
      <c r="L1500" s="8">
        <f>IFERROR(INDEX(Tbl_KPIMaster[Owner],MATCH($G1500,Tbl_KPIMaster[KPI],0)),"")</f>
        <v/>
      </c>
      <c r="M1500" s="10" t="inlineStr">
        <is>
          <t>Vendor delay</t>
        </is>
      </c>
      <c r="N1500" s="8" t="inlineStr"/>
      <c r="O1500" s="8" t="inlineStr">
        <is>
          <t>Low</t>
        </is>
      </c>
      <c r="P1500" s="8" t="inlineStr">
        <is>
          <t>Open</t>
        </is>
      </c>
      <c r="Q1500" s="9">
        <f>IFERROR(IF(INDEX(Tbl_KPIMaster[Direction],MATCH($G1500,Tbl_KPIMaster[KPI],0))="Lower is Better",IF($J1500=0,1,IF($I1500=0,0,$I1500/$J1500)),IF($I1500=0,1,$J1500/$I1500)),0)</f>
        <v/>
      </c>
      <c r="R1500" s="8">
        <f>IF(OR($I1500="",$J1500=""),"",$J1500-$I1500)</f>
        <v/>
      </c>
      <c r="S1500" s="8">
        <f>IFERROR(IF(INDEX(Tbl_KPIMaster[Direction],MATCH($G1500,Tbl_KPIMaster[KPI],0))="Lower is Better",IF($J1500&lt;=$I1500,"Green",IF($J1500&lt;=$I1500+IF($I1500=0,$K1500,$I1500*$K1500),"Amber","Red")),IF($J1500&gt;=$I1500,"Green",IF($J1500&gt;=$I1500-IF($I1500=0,$K1500,$I1500*$K1500),"Amber","Red"))),"")</f>
        <v/>
      </c>
      <c r="T1500" s="10" t="inlineStr"/>
    </row>
    <row r="1501">
      <c r="A1501" s="3" t="n">
        <v>46204</v>
      </c>
      <c r="B1501" s="4">
        <f>IF($A1501="","",TEXT($A1501,"mmm-yyyy"))</f>
        <v/>
      </c>
      <c r="C1501" s="4">
        <f>IF($A1501="","","W"&amp;WEEKNUM($A1501,2))</f>
        <v/>
      </c>
      <c r="D1501" s="4">
        <f>IF($A1501="","",TEXT($A1501,"ddd"))</f>
        <v/>
      </c>
      <c r="E1501" s="4" t="inlineStr">
        <is>
          <t>Energy</t>
        </is>
      </c>
      <c r="F1501" s="4">
        <f>IFERROR(INDEX(Tbl_KPIMaster[Category],MATCH($G1501,Tbl_KPIMaster[KPI],0)),"")</f>
        <v/>
      </c>
      <c r="G1501" s="4" t="inlineStr">
        <is>
          <t>Energy Intensity (kWh/unit)</t>
        </is>
      </c>
      <c r="H1501" s="4">
        <f>IFERROR(INDEX(Tbl_KPIMaster[Unit],MATCH($G1501,Tbl_KPIMaster[KPI],0)),"")</f>
        <v/>
      </c>
      <c r="I1501" s="5">
        <f>IFERROR(INDEX(Tbl_KPIMaster[Maximum Target],MATCH($G1501,Tbl_KPIMaster[KPI],0)),"")</f>
        <v/>
      </c>
      <c r="J1501" s="5" t="n">
        <v>3.79</v>
      </c>
      <c r="K1501" s="4">
        <f>IFERROR(INDEX(Tbl_KPIMaster[Tolerance],MATCH($G1501,Tbl_KPIMaster[KPI],0)),"")</f>
        <v/>
      </c>
      <c r="L1501" s="4">
        <f>IFERROR(INDEX(Tbl_KPIMaster[Owner],MATCH($G1501,Tbl_KPIMaster[KPI],0)),"")</f>
        <v/>
      </c>
      <c r="M1501" s="6" t="inlineStr">
        <is>
          <t>Weather impact</t>
        </is>
      </c>
      <c r="N1501" s="4" t="inlineStr"/>
      <c r="O1501" s="4" t="inlineStr">
        <is>
          <t>High</t>
        </is>
      </c>
      <c r="P1501" s="4" t="inlineStr">
        <is>
          <t>Closed</t>
        </is>
      </c>
      <c r="Q1501" s="5">
        <f>IFERROR(IF(INDEX(Tbl_KPIMaster[Direction],MATCH($G1501,Tbl_KPIMaster[KPI],0))="Lower is Better",IF($J1501=0,1,IF($I1501=0,0,$I1501/$J1501)),IF($I1501=0,1,$J1501/$I1501)),0)</f>
        <v/>
      </c>
      <c r="R1501" s="4">
        <f>IF(OR($I1501="",$J1501=""),"",$J1501-$I1501)</f>
        <v/>
      </c>
      <c r="S1501" s="4">
        <f>IFERROR(IF(INDEX(Tbl_KPIMaster[Direction],MATCH($G1501,Tbl_KPIMaster[KPI],0))="Lower is Better",IF($J1501&lt;=$I1501,"Green",IF($J1501&lt;=$I1501+IF($I1501=0,$K1501,$I1501*$K1501),"Amber","Red")),IF($J1501&gt;=$I1501,"Green",IF($J1501&gt;=$I1501-IF($I1501=0,$K1501,$I1501*$K1501),"Amber","Red"))),"")</f>
        <v/>
      </c>
      <c r="T1501" s="6" t="inlineStr"/>
    </row>
    <row r="1502">
      <c r="A1502" s="7" t="n">
        <v>46204</v>
      </c>
      <c r="B1502" s="8">
        <f>IF($A1502="","",TEXT($A1502,"mmm-yyyy"))</f>
        <v/>
      </c>
      <c r="C1502" s="8">
        <f>IF($A1502="","","W"&amp;WEEKNUM($A1502,2))</f>
        <v/>
      </c>
      <c r="D1502" s="8">
        <f>IF($A1502="","",TEXT($A1502,"ddd"))</f>
        <v/>
      </c>
      <c r="E1502" s="8" t="inlineStr">
        <is>
          <t>Energy</t>
        </is>
      </c>
      <c r="F1502" s="8">
        <f>IFERROR(INDEX(Tbl_KPIMaster[Category],MATCH($G1502,Tbl_KPIMaster[KPI],0)),"")</f>
        <v/>
      </c>
      <c r="G1502" s="8" t="inlineStr">
        <is>
          <t>Renewable Energy Share %</t>
        </is>
      </c>
      <c r="H1502" s="8">
        <f>IFERROR(INDEX(Tbl_KPIMaster[Unit],MATCH($G1502,Tbl_KPIMaster[KPI],0)),"")</f>
        <v/>
      </c>
      <c r="I1502" s="9">
        <f>IFERROR(INDEX(Tbl_KPIMaster[Maximum Target],MATCH($G1502,Tbl_KPIMaster[KPI],0)),"")</f>
        <v/>
      </c>
      <c r="J1502" s="9" t="n">
        <v>0.246</v>
      </c>
      <c r="K1502" s="8">
        <f>IFERROR(INDEX(Tbl_KPIMaster[Tolerance],MATCH($G1502,Tbl_KPIMaster[KPI],0)),"")</f>
        <v/>
      </c>
      <c r="L1502" s="8">
        <f>IFERROR(INDEX(Tbl_KPIMaster[Owner],MATCH($G1502,Tbl_KPIMaster[KPI],0)),"")</f>
        <v/>
      </c>
      <c r="M1502" s="10" t="inlineStr">
        <is>
          <t>Line changeover impact</t>
        </is>
      </c>
      <c r="N1502" s="8" t="inlineStr">
        <is>
          <t>Engineering support needed</t>
        </is>
      </c>
      <c r="O1502" s="8" t="inlineStr">
        <is>
          <t>Low</t>
        </is>
      </c>
      <c r="P1502" s="8" t="inlineStr">
        <is>
          <t>Closed</t>
        </is>
      </c>
      <c r="Q1502" s="9">
        <f>IFERROR(IF(INDEX(Tbl_KPIMaster[Direction],MATCH($G1502,Tbl_KPIMaster[KPI],0))="Lower is Better",IF($J1502=0,1,IF($I1502=0,0,$I1502/$J1502)),IF($I1502=0,1,$J1502/$I1502)),0)</f>
        <v/>
      </c>
      <c r="R1502" s="8">
        <f>IF(OR($I1502="",$J1502=""),"",$J1502-$I1502)</f>
        <v/>
      </c>
      <c r="S1502" s="8">
        <f>IFERROR(IF(INDEX(Tbl_KPIMaster[Direction],MATCH($G1502,Tbl_KPIMaster[KPI],0))="Lower is Better",IF($J1502&lt;=$I1502,"Green",IF($J1502&lt;=$I1502+IF($I1502=0,$K1502,$I1502*$K1502),"Amber","Red")),IF($J1502&gt;=$I1502,"Green",IF($J1502&gt;=$I1502-IF($I1502=0,$K1502,$I1502*$K1502),"Amber","Red"))),"")</f>
        <v/>
      </c>
      <c r="T1502" s="10" t="inlineStr"/>
    </row>
    <row r="1503">
      <c r="A1503" s="3" t="n">
        <v>46205</v>
      </c>
      <c r="B1503" s="4">
        <f>IF($A1503="","",TEXT($A1503,"mmm-yyyy"))</f>
        <v/>
      </c>
      <c r="C1503" s="4">
        <f>IF($A1503="","","W"&amp;WEEKNUM($A1503,2))</f>
        <v/>
      </c>
      <c r="D1503" s="4">
        <f>IF($A1503="","",TEXT($A1503,"ddd"))</f>
        <v/>
      </c>
      <c r="E1503" s="4" t="inlineStr">
        <is>
          <t>Safety</t>
        </is>
      </c>
      <c r="F1503" s="4">
        <f>IFERROR(INDEX(Tbl_KPIMaster[Category],MATCH($G1503,Tbl_KPIMaster[KPI],0)),"")</f>
        <v/>
      </c>
      <c r="G1503" s="4" t="inlineStr">
        <is>
          <t>Safety Incidents (LTI)</t>
        </is>
      </c>
      <c r="H1503" s="4">
        <f>IFERROR(INDEX(Tbl_KPIMaster[Unit],MATCH($G1503,Tbl_KPIMaster[KPI],0)),"")</f>
        <v/>
      </c>
      <c r="I1503" s="5">
        <f>IFERROR(INDEX(Tbl_KPIMaster[Maximum Target],MATCH($G1503,Tbl_KPIMaster[KPI],0)),"")</f>
        <v/>
      </c>
      <c r="J1503" s="5" t="n">
        <v>0</v>
      </c>
      <c r="K1503" s="4">
        <f>IFERROR(INDEX(Tbl_KPIMaster[Tolerance],MATCH($G1503,Tbl_KPIMaster[KPI],0)),"")</f>
        <v/>
      </c>
      <c r="L1503" s="4">
        <f>IFERROR(INDEX(Tbl_KPIMaster[Owner],MATCH($G1503,Tbl_KPIMaster[KPI],0)),"")</f>
        <v/>
      </c>
      <c r="M1503" s="6" t="inlineStr">
        <is>
          <t>Weather impact</t>
        </is>
      </c>
      <c r="N1503" s="4" t="inlineStr"/>
      <c r="O1503" s="4" t="inlineStr">
        <is>
          <t>Low</t>
        </is>
      </c>
      <c r="P1503" s="4" t="inlineStr">
        <is>
          <t>Closed</t>
        </is>
      </c>
      <c r="Q1503" s="5">
        <f>IFERROR(IF(INDEX(Tbl_KPIMaster[Direction],MATCH($G1503,Tbl_KPIMaster[KPI],0))="Lower is Better",IF($J1503=0,1,IF($I1503=0,0,$I1503/$J1503)),IF($I1503=0,1,$J1503/$I1503)),0)</f>
        <v/>
      </c>
      <c r="R1503" s="4">
        <f>IF(OR($I1503="",$J1503=""),"",$J1503-$I1503)</f>
        <v/>
      </c>
      <c r="S1503" s="4">
        <f>IFERROR(IF(INDEX(Tbl_KPIMaster[Direction],MATCH($G1503,Tbl_KPIMaster[KPI],0))="Lower is Better",IF($J1503&lt;=$I1503,"Green",IF($J1503&lt;=$I1503+IF($I1503=0,$K1503,$I1503*$K1503),"Amber","Red")),IF($J1503&gt;=$I1503,"Green",IF($J1503&gt;=$I1503-IF($I1503=0,$K1503,$I1503*$K1503),"Amber","Red"))),"")</f>
        <v/>
      </c>
      <c r="T1503" s="6" t="inlineStr"/>
    </row>
    <row r="1504">
      <c r="A1504" s="7" t="n">
        <v>46205</v>
      </c>
      <c r="B1504" s="8">
        <f>IF($A1504="","",TEXT($A1504,"mmm-yyyy"))</f>
        <v/>
      </c>
      <c r="C1504" s="8">
        <f>IF($A1504="","","W"&amp;WEEKNUM($A1504,2))</f>
        <v/>
      </c>
      <c r="D1504" s="8">
        <f>IF($A1504="","",TEXT($A1504,"ddd"))</f>
        <v/>
      </c>
      <c r="E1504" s="8" t="inlineStr">
        <is>
          <t>Safety</t>
        </is>
      </c>
      <c r="F1504" s="8">
        <f>IFERROR(INDEX(Tbl_KPIMaster[Category],MATCH($G1504,Tbl_KPIMaster[KPI],0)),"")</f>
        <v/>
      </c>
      <c r="G1504" s="8" t="inlineStr">
        <is>
          <t>Near Miss Reports</t>
        </is>
      </c>
      <c r="H1504" s="8">
        <f>IFERROR(INDEX(Tbl_KPIMaster[Unit],MATCH($G1504,Tbl_KPIMaster[KPI],0)),"")</f>
        <v/>
      </c>
      <c r="I1504" s="9">
        <f>IFERROR(INDEX(Tbl_KPIMaster[Maximum Target],MATCH($G1504,Tbl_KPIMaster[KPI],0)),"")</f>
        <v/>
      </c>
      <c r="J1504" s="9" t="n">
        <v>2</v>
      </c>
      <c r="K1504" s="8">
        <f>IFERROR(INDEX(Tbl_KPIMaster[Tolerance],MATCH($G1504,Tbl_KPIMaster[KPI],0)),"")</f>
        <v/>
      </c>
      <c r="L1504" s="8">
        <f>IFERROR(INDEX(Tbl_KPIMaster[Owner],MATCH($G1504,Tbl_KPIMaster[KPI],0)),"")</f>
        <v/>
      </c>
      <c r="M1504" s="10" t="inlineStr">
        <is>
          <t>Vendor delay</t>
        </is>
      </c>
      <c r="N1504" s="8" t="inlineStr"/>
      <c r="O1504" s="8" t="inlineStr">
        <is>
          <t>Low</t>
        </is>
      </c>
      <c r="P1504" s="8" t="inlineStr">
        <is>
          <t>Closed</t>
        </is>
      </c>
      <c r="Q1504" s="9">
        <f>IFERROR(IF(INDEX(Tbl_KPIMaster[Direction],MATCH($G1504,Tbl_KPIMaster[KPI],0))="Lower is Better",IF($J1504=0,1,IF($I1504=0,0,$I1504/$J1504)),IF($I1504=0,1,$J1504/$I1504)),0)</f>
        <v/>
      </c>
      <c r="R1504" s="8">
        <f>IF(OR($I1504="",$J1504=""),"",$J1504-$I1504)</f>
        <v/>
      </c>
      <c r="S1504" s="8">
        <f>IFERROR(IF(INDEX(Tbl_KPIMaster[Direction],MATCH($G1504,Tbl_KPIMaster[KPI],0))="Lower is Better",IF($J1504&lt;=$I1504,"Green",IF($J1504&lt;=$I1504+IF($I1504=0,$K1504,$I1504*$K1504),"Amber","Red")),IF($J1504&gt;=$I1504,"Green",IF($J1504&gt;=$I1504-IF($I1504=0,$K1504,$I1504*$K1504),"Amber","Red"))),"")</f>
        <v/>
      </c>
      <c r="T1504" s="10" t="inlineStr"/>
    </row>
    <row r="1505">
      <c r="A1505" s="3" t="n">
        <v>46205</v>
      </c>
      <c r="B1505" s="4">
        <f>IF($A1505="","",TEXT($A1505,"mmm-yyyy"))</f>
        <v/>
      </c>
      <c r="C1505" s="4">
        <f>IF($A1505="","","W"&amp;WEEKNUM($A1505,2))</f>
        <v/>
      </c>
      <c r="D1505" s="4">
        <f>IF($A1505="","",TEXT($A1505,"ddd"))</f>
        <v/>
      </c>
      <c r="E1505" s="4" t="inlineStr">
        <is>
          <t>Production</t>
        </is>
      </c>
      <c r="F1505" s="4">
        <f>IFERROR(INDEX(Tbl_KPIMaster[Category],MATCH($G1505,Tbl_KPIMaster[KPI],0)),"")</f>
        <v/>
      </c>
      <c r="G1505" s="4" t="inlineStr">
        <is>
          <t>Production Output</t>
        </is>
      </c>
      <c r="H1505" s="4">
        <f>IFERROR(INDEX(Tbl_KPIMaster[Unit],MATCH($G1505,Tbl_KPIMaster[KPI],0)),"")</f>
        <v/>
      </c>
      <c r="I1505" s="5">
        <f>IFERROR(INDEX(Tbl_KPIMaster[Maximum Target],MATCH($G1505,Tbl_KPIMaster[KPI],0)),"")</f>
        <v/>
      </c>
      <c r="J1505" s="5" t="n">
        <v>943.22</v>
      </c>
      <c r="K1505" s="4">
        <f>IFERROR(INDEX(Tbl_KPIMaster[Tolerance],MATCH($G1505,Tbl_KPIMaster[KPI],0)),"")</f>
        <v/>
      </c>
      <c r="L1505" s="4">
        <f>IFERROR(INDEX(Tbl_KPIMaster[Owner],MATCH($G1505,Tbl_KPIMaster[KPI],0)),"")</f>
        <v/>
      </c>
      <c r="M1505" s="6" t="inlineStr">
        <is>
          <t>Manpower shortage</t>
        </is>
      </c>
      <c r="N1505" s="4" t="inlineStr">
        <is>
          <t>Management approval pending</t>
        </is>
      </c>
      <c r="O1505" s="4" t="inlineStr">
        <is>
          <t>High</t>
        </is>
      </c>
      <c r="P1505" s="4" t="inlineStr">
        <is>
          <t>Closed</t>
        </is>
      </c>
      <c r="Q1505" s="5">
        <f>IFERROR(IF(INDEX(Tbl_KPIMaster[Direction],MATCH($G1505,Tbl_KPIMaster[KPI],0))="Lower is Better",IF($J1505=0,1,IF($I1505=0,0,$I1505/$J1505)),IF($I1505=0,1,$J1505/$I1505)),0)</f>
        <v/>
      </c>
      <c r="R1505" s="4">
        <f>IF(OR($I1505="",$J1505=""),"",$J1505-$I1505)</f>
        <v/>
      </c>
      <c r="S1505" s="4">
        <f>IFERROR(IF(INDEX(Tbl_KPIMaster[Direction],MATCH($G1505,Tbl_KPIMaster[KPI],0))="Lower is Better",IF($J1505&lt;=$I1505,"Green",IF($J1505&lt;=$I1505+IF($I1505=0,$K1505,$I1505*$K1505),"Amber","Red")),IF($J1505&gt;=$I1505,"Green",IF($J1505&gt;=$I1505-IF($I1505=0,$K1505,$I1505*$K1505),"Amber","Red"))),"")</f>
        <v/>
      </c>
      <c r="T1505" s="6" t="inlineStr"/>
    </row>
    <row r="1506">
      <c r="A1506" s="7" t="n">
        <v>46205</v>
      </c>
      <c r="B1506" s="8">
        <f>IF($A1506="","",TEXT($A1506,"mmm-yyyy"))</f>
        <v/>
      </c>
      <c r="C1506" s="8">
        <f>IF($A1506="","","W"&amp;WEEKNUM($A1506,2))</f>
        <v/>
      </c>
      <c r="D1506" s="8">
        <f>IF($A1506="","",TEXT($A1506,"ddd"))</f>
        <v/>
      </c>
      <c r="E1506" s="8" t="inlineStr">
        <is>
          <t>Production</t>
        </is>
      </c>
      <c r="F1506" s="8">
        <f>IFERROR(INDEX(Tbl_KPIMaster[Category],MATCH($G1506,Tbl_KPIMaster[KPI],0)),"")</f>
        <v/>
      </c>
      <c r="G1506" s="8" t="inlineStr">
        <is>
          <t>OEE %</t>
        </is>
      </c>
      <c r="H1506" s="8">
        <f>IFERROR(INDEX(Tbl_KPIMaster[Unit],MATCH($G1506,Tbl_KPIMaster[KPI],0)),"")</f>
        <v/>
      </c>
      <c r="I1506" s="9">
        <f>IFERROR(INDEX(Tbl_KPIMaster[Maximum Target],MATCH($G1506,Tbl_KPIMaster[KPI],0)),"")</f>
        <v/>
      </c>
      <c r="J1506" s="9" t="n">
        <v>0.7796999999999999</v>
      </c>
      <c r="K1506" s="8">
        <f>IFERROR(INDEX(Tbl_KPIMaster[Tolerance],MATCH($G1506,Tbl_KPIMaster[KPI],0)),"")</f>
        <v/>
      </c>
      <c r="L1506" s="8">
        <f>IFERROR(INDEX(Tbl_KPIMaster[Owner],MATCH($G1506,Tbl_KPIMaster[KPI],0)),"")</f>
        <v/>
      </c>
      <c r="M1506" s="10" t="inlineStr">
        <is>
          <t>Weather impact</t>
        </is>
      </c>
      <c r="N1506" s="8" t="inlineStr">
        <is>
          <t>Procurement follow-up</t>
        </is>
      </c>
      <c r="O1506" s="8" t="inlineStr">
        <is>
          <t>High</t>
        </is>
      </c>
      <c r="P1506" s="8" t="inlineStr">
        <is>
          <t>Closed</t>
        </is>
      </c>
      <c r="Q1506" s="9">
        <f>IFERROR(IF(INDEX(Tbl_KPIMaster[Direction],MATCH($G1506,Tbl_KPIMaster[KPI],0))="Lower is Better",IF($J1506=0,1,IF($I1506=0,0,$I1506/$J1506)),IF($I1506=0,1,$J1506/$I1506)),0)</f>
        <v/>
      </c>
      <c r="R1506" s="8">
        <f>IF(OR($I1506="",$J1506=""),"",$J1506-$I1506)</f>
        <v/>
      </c>
      <c r="S1506" s="8">
        <f>IFERROR(IF(INDEX(Tbl_KPIMaster[Direction],MATCH($G1506,Tbl_KPIMaster[KPI],0))="Lower is Better",IF($J1506&lt;=$I1506,"Green",IF($J1506&lt;=$I1506+IF($I1506=0,$K1506,$I1506*$K1506),"Amber","Red")),IF($J1506&gt;=$I1506,"Green",IF($J1506&gt;=$I1506-IF($I1506=0,$K1506,$I1506*$K1506),"Amber","Red"))),"")</f>
        <v/>
      </c>
      <c r="T1506" s="10" t="inlineStr"/>
    </row>
    <row r="1507">
      <c r="A1507" s="3" t="n">
        <v>46205</v>
      </c>
      <c r="B1507" s="4">
        <f>IF($A1507="","",TEXT($A1507,"mmm-yyyy"))</f>
        <v/>
      </c>
      <c r="C1507" s="4">
        <f>IF($A1507="","","W"&amp;WEEKNUM($A1507,2))</f>
        <v/>
      </c>
      <c r="D1507" s="4">
        <f>IF($A1507="","",TEXT($A1507,"ddd"))</f>
        <v/>
      </c>
      <c r="E1507" s="4" t="inlineStr">
        <is>
          <t>Quality</t>
        </is>
      </c>
      <c r="F1507" s="4">
        <f>IFERROR(INDEX(Tbl_KPIMaster[Category],MATCH($G1507,Tbl_KPIMaster[KPI],0)),"")</f>
        <v/>
      </c>
      <c r="G1507" s="4" t="inlineStr">
        <is>
          <t>Defect Rate %</t>
        </is>
      </c>
      <c r="H1507" s="4">
        <f>IFERROR(INDEX(Tbl_KPIMaster[Unit],MATCH($G1507,Tbl_KPIMaster[KPI],0)),"")</f>
        <v/>
      </c>
      <c r="I1507" s="5">
        <f>IFERROR(INDEX(Tbl_KPIMaster[Maximum Target],MATCH($G1507,Tbl_KPIMaster[KPI],0)),"")</f>
        <v/>
      </c>
      <c r="J1507" s="5" t="n">
        <v>0.2727</v>
      </c>
      <c r="K1507" s="4">
        <f>IFERROR(INDEX(Tbl_KPIMaster[Tolerance],MATCH($G1507,Tbl_KPIMaster[KPI],0)),"")</f>
        <v/>
      </c>
      <c r="L1507" s="4">
        <f>IFERROR(INDEX(Tbl_KPIMaster[Owner],MATCH($G1507,Tbl_KPIMaster[KPI],0)),"")</f>
        <v/>
      </c>
      <c r="M1507" s="6" t="inlineStr">
        <is>
          <t>Weather impact</t>
        </is>
      </c>
      <c r="N1507" s="4" t="inlineStr">
        <is>
          <t>Engineering support needed</t>
        </is>
      </c>
      <c r="O1507" s="4" t="inlineStr">
        <is>
          <t>Medium</t>
        </is>
      </c>
      <c r="P1507" s="4" t="inlineStr">
        <is>
          <t>Closed</t>
        </is>
      </c>
      <c r="Q1507" s="5">
        <f>IFERROR(IF(INDEX(Tbl_KPIMaster[Direction],MATCH($G1507,Tbl_KPIMaster[KPI],0))="Lower is Better",IF($J1507=0,1,IF($I1507=0,0,$I1507/$J1507)),IF($I1507=0,1,$J1507/$I1507)),0)</f>
        <v/>
      </c>
      <c r="R1507" s="4">
        <f>IF(OR($I1507="",$J1507=""),"",$J1507-$I1507)</f>
        <v/>
      </c>
      <c r="S1507" s="4">
        <f>IFERROR(IF(INDEX(Tbl_KPIMaster[Direction],MATCH($G1507,Tbl_KPIMaster[KPI],0))="Lower is Better",IF($J1507&lt;=$I1507,"Green",IF($J1507&lt;=$I1507+IF($I1507=0,$K1507,$I1507*$K1507),"Amber","Red")),IF($J1507&gt;=$I1507,"Green",IF($J1507&gt;=$I1507-IF($I1507=0,$K1507,$I1507*$K1507),"Amber","Red"))),"")</f>
        <v/>
      </c>
      <c r="T1507" s="6" t="inlineStr"/>
    </row>
    <row r="1508">
      <c r="A1508" s="7" t="n">
        <v>46205</v>
      </c>
      <c r="B1508" s="8">
        <f>IF($A1508="","",TEXT($A1508,"mmm-yyyy"))</f>
        <v/>
      </c>
      <c r="C1508" s="8">
        <f>IF($A1508="","","W"&amp;WEEKNUM($A1508,2))</f>
        <v/>
      </c>
      <c r="D1508" s="8">
        <f>IF($A1508="","",TEXT($A1508,"ddd"))</f>
        <v/>
      </c>
      <c r="E1508" s="8" t="inlineStr">
        <is>
          <t>Quality</t>
        </is>
      </c>
      <c r="F1508" s="8">
        <f>IFERROR(INDEX(Tbl_KPIMaster[Category],MATCH($G1508,Tbl_KPIMaster[KPI],0)),"")</f>
        <v/>
      </c>
      <c r="G1508" s="8" t="inlineStr">
        <is>
          <t>Customer Complaints</t>
        </is>
      </c>
      <c r="H1508" s="8">
        <f>IFERROR(INDEX(Tbl_KPIMaster[Unit],MATCH($G1508,Tbl_KPIMaster[KPI],0)),"")</f>
        <v/>
      </c>
      <c r="I1508" s="9">
        <f>IFERROR(INDEX(Tbl_KPIMaster[Maximum Target],MATCH($G1508,Tbl_KPIMaster[KPI],0)),"")</f>
        <v/>
      </c>
      <c r="J1508" s="9" t="n">
        <v>0</v>
      </c>
      <c r="K1508" s="8">
        <f>IFERROR(INDEX(Tbl_KPIMaster[Tolerance],MATCH($G1508,Tbl_KPIMaster[KPI],0)),"")</f>
        <v/>
      </c>
      <c r="L1508" s="8">
        <f>IFERROR(INDEX(Tbl_KPIMaster[Owner],MATCH($G1508,Tbl_KPIMaster[KPI],0)),"")</f>
        <v/>
      </c>
      <c r="M1508" s="10" t="inlineStr">
        <is>
          <t>Equipment breakdown</t>
        </is>
      </c>
      <c r="N1508" s="8" t="inlineStr"/>
      <c r="O1508" s="8" t="inlineStr">
        <is>
          <t>Low</t>
        </is>
      </c>
      <c r="P1508" s="8" t="inlineStr">
        <is>
          <t>Closed</t>
        </is>
      </c>
      <c r="Q1508" s="9">
        <f>IFERROR(IF(INDEX(Tbl_KPIMaster[Direction],MATCH($G1508,Tbl_KPIMaster[KPI],0))="Lower is Better",IF($J1508=0,1,IF($I1508=0,0,$I1508/$J1508)),IF($I1508=0,1,$J1508/$I1508)),0)</f>
        <v/>
      </c>
      <c r="R1508" s="8">
        <f>IF(OR($I1508="",$J1508=""),"",$J1508-$I1508)</f>
        <v/>
      </c>
      <c r="S1508" s="8">
        <f>IFERROR(IF(INDEX(Tbl_KPIMaster[Direction],MATCH($G1508,Tbl_KPIMaster[KPI],0))="Lower is Better",IF($J1508&lt;=$I1508,"Green",IF($J1508&lt;=$I1508+IF($I1508=0,$K1508,$I1508*$K1508),"Amber","Red")),IF($J1508&gt;=$I1508,"Green",IF($J1508&gt;=$I1508-IF($I1508=0,$K1508,$I1508*$K1508),"Amber","Red"))),"")</f>
        <v/>
      </c>
      <c r="T1508" s="10" t="inlineStr"/>
    </row>
    <row r="1509">
      <c r="A1509" s="3" t="n">
        <v>46205</v>
      </c>
      <c r="B1509" s="4">
        <f>IF($A1509="","",TEXT($A1509,"mmm-yyyy"))</f>
        <v/>
      </c>
      <c r="C1509" s="4">
        <f>IF($A1509="","","W"&amp;WEEKNUM($A1509,2))</f>
        <v/>
      </c>
      <c r="D1509" s="4">
        <f>IF($A1509="","",TEXT($A1509,"ddd"))</f>
        <v/>
      </c>
      <c r="E1509" s="4" t="inlineStr">
        <is>
          <t>Maintenance</t>
        </is>
      </c>
      <c r="F1509" s="4">
        <f>IFERROR(INDEX(Tbl_KPIMaster[Category],MATCH($G1509,Tbl_KPIMaster[KPI],0)),"")</f>
        <v/>
      </c>
      <c r="G1509" s="4" t="inlineStr">
        <is>
          <t>Unplanned Downtime</t>
        </is>
      </c>
      <c r="H1509" s="4">
        <f>IFERROR(INDEX(Tbl_KPIMaster[Unit],MATCH($G1509,Tbl_KPIMaster[KPI],0)),"")</f>
        <v/>
      </c>
      <c r="I1509" s="5">
        <f>IFERROR(INDEX(Tbl_KPIMaster[Maximum Target],MATCH($G1509,Tbl_KPIMaster[KPI],0)),"")</f>
        <v/>
      </c>
      <c r="J1509" s="5" t="n">
        <v>0</v>
      </c>
      <c r="K1509" s="4">
        <f>IFERROR(INDEX(Tbl_KPIMaster[Tolerance],MATCH($G1509,Tbl_KPIMaster[KPI],0)),"")</f>
        <v/>
      </c>
      <c r="L1509" s="4">
        <f>IFERROR(INDEX(Tbl_KPIMaster[Owner],MATCH($G1509,Tbl_KPIMaster[KPI],0)),"")</f>
        <v/>
      </c>
      <c r="M1509" s="6" t="inlineStr">
        <is>
          <t>Equipment breakdown</t>
        </is>
      </c>
      <c r="N1509" s="4" t="inlineStr"/>
      <c r="O1509" s="4" t="inlineStr">
        <is>
          <t>Medium</t>
        </is>
      </c>
      <c r="P1509" s="4" t="inlineStr">
        <is>
          <t>Closed</t>
        </is>
      </c>
      <c r="Q1509" s="5">
        <f>IFERROR(IF(INDEX(Tbl_KPIMaster[Direction],MATCH($G1509,Tbl_KPIMaster[KPI],0))="Lower is Better",IF($J1509=0,1,IF($I1509=0,0,$I1509/$J1509)),IF($I1509=0,1,$J1509/$I1509)),0)</f>
        <v/>
      </c>
      <c r="R1509" s="4">
        <f>IF(OR($I1509="",$J1509=""),"",$J1509-$I1509)</f>
        <v/>
      </c>
      <c r="S1509" s="4">
        <f>IFERROR(IF(INDEX(Tbl_KPIMaster[Direction],MATCH($G1509,Tbl_KPIMaster[KPI],0))="Lower is Better",IF($J1509&lt;=$I1509,"Green",IF($J1509&lt;=$I1509+IF($I1509=0,$K1509,$I1509*$K1509),"Amber","Red")),IF($J1509&gt;=$I1509,"Green",IF($J1509&gt;=$I1509-IF($I1509=0,$K1509,$I1509*$K1509),"Amber","Red"))),"")</f>
        <v/>
      </c>
      <c r="T1509" s="6" t="inlineStr"/>
    </row>
    <row r="1510">
      <c r="A1510" s="7" t="n">
        <v>46205</v>
      </c>
      <c r="B1510" s="8">
        <f>IF($A1510="","",TEXT($A1510,"mmm-yyyy"))</f>
        <v/>
      </c>
      <c r="C1510" s="8">
        <f>IF($A1510="","","W"&amp;WEEKNUM($A1510,2))</f>
        <v/>
      </c>
      <c r="D1510" s="8">
        <f>IF($A1510="","",TEXT($A1510,"ddd"))</f>
        <v/>
      </c>
      <c r="E1510" s="8" t="inlineStr">
        <is>
          <t>Maintenance</t>
        </is>
      </c>
      <c r="F1510" s="8">
        <f>IFERROR(INDEX(Tbl_KPIMaster[Category],MATCH($G1510,Tbl_KPIMaster[KPI],0)),"")</f>
        <v/>
      </c>
      <c r="G1510" s="8" t="inlineStr">
        <is>
          <t>PM Compliance %</t>
        </is>
      </c>
      <c r="H1510" s="8">
        <f>IFERROR(INDEX(Tbl_KPIMaster[Unit],MATCH($G1510,Tbl_KPIMaster[KPI],0)),"")</f>
        <v/>
      </c>
      <c r="I1510" s="9">
        <f>IFERROR(INDEX(Tbl_KPIMaster[Maximum Target],MATCH($G1510,Tbl_KPIMaster[KPI],0)),"")</f>
        <v/>
      </c>
      <c r="J1510" s="9" t="n">
        <v>0.9253</v>
      </c>
      <c r="K1510" s="8">
        <f>IFERROR(INDEX(Tbl_KPIMaster[Tolerance],MATCH($G1510,Tbl_KPIMaster[KPI],0)),"")</f>
        <v/>
      </c>
      <c r="L1510" s="8">
        <f>IFERROR(INDEX(Tbl_KPIMaster[Owner],MATCH($G1510,Tbl_KPIMaster[KPI],0)),"")</f>
        <v/>
      </c>
      <c r="M1510" s="10" t="inlineStr">
        <is>
          <t>Weather impact</t>
        </is>
      </c>
      <c r="N1510" s="8" t="inlineStr">
        <is>
          <t>Engineering support needed</t>
        </is>
      </c>
      <c r="O1510" s="8" t="inlineStr">
        <is>
          <t>Medium</t>
        </is>
      </c>
      <c r="P1510" s="8" t="inlineStr">
        <is>
          <t>Open</t>
        </is>
      </c>
      <c r="Q1510" s="9">
        <f>IFERROR(IF(INDEX(Tbl_KPIMaster[Direction],MATCH($G1510,Tbl_KPIMaster[KPI],0))="Lower is Better",IF($J1510=0,1,IF($I1510=0,0,$I1510/$J1510)),IF($I1510=0,1,$J1510/$I1510)),0)</f>
        <v/>
      </c>
      <c r="R1510" s="8">
        <f>IF(OR($I1510="",$J1510=""),"",$J1510-$I1510)</f>
        <v/>
      </c>
      <c r="S1510" s="8">
        <f>IFERROR(IF(INDEX(Tbl_KPIMaster[Direction],MATCH($G1510,Tbl_KPIMaster[KPI],0))="Lower is Better",IF($J1510&lt;=$I1510,"Green",IF($J1510&lt;=$I1510+IF($I1510=0,$K1510,$I1510*$K1510),"Amber","Red")),IF($J1510&gt;=$I1510,"Green",IF($J1510&gt;=$I1510-IF($I1510=0,$K1510,$I1510*$K1510),"Amber","Red"))),"")</f>
        <v/>
      </c>
      <c r="T1510" s="10" t="inlineStr"/>
    </row>
    <row r="1511">
      <c r="A1511" s="3" t="n">
        <v>46205</v>
      </c>
      <c r="B1511" s="4">
        <f>IF($A1511="","",TEXT($A1511,"mmm-yyyy"))</f>
        <v/>
      </c>
      <c r="C1511" s="4">
        <f>IF($A1511="","","W"&amp;WEEKNUM($A1511,2))</f>
        <v/>
      </c>
      <c r="D1511" s="4">
        <f>IF($A1511="","",TEXT($A1511,"ddd"))</f>
        <v/>
      </c>
      <c r="E1511" s="4" t="inlineStr">
        <is>
          <t>Utilities</t>
        </is>
      </c>
      <c r="F1511" s="4">
        <f>IFERROR(INDEX(Tbl_KPIMaster[Category],MATCH($G1511,Tbl_KPIMaster[KPI],0)),"")</f>
        <v/>
      </c>
      <c r="G1511" s="4" t="inlineStr">
        <is>
          <t>Power Consumption</t>
        </is>
      </c>
      <c r="H1511" s="4">
        <f>IFERROR(INDEX(Tbl_KPIMaster[Unit],MATCH($G1511,Tbl_KPIMaster[KPI],0)),"")</f>
        <v/>
      </c>
      <c r="I1511" s="5">
        <f>IFERROR(INDEX(Tbl_KPIMaster[Maximum Target],MATCH($G1511,Tbl_KPIMaster[KPI],0)),"")</f>
        <v/>
      </c>
      <c r="J1511" s="5" t="n">
        <v>3583.49</v>
      </c>
      <c r="K1511" s="4">
        <f>IFERROR(INDEX(Tbl_KPIMaster[Tolerance],MATCH($G1511,Tbl_KPIMaster[KPI],0)),"")</f>
        <v/>
      </c>
      <c r="L1511" s="4">
        <f>IFERROR(INDEX(Tbl_KPIMaster[Owner],MATCH($G1511,Tbl_KPIMaster[KPI],0)),"")</f>
        <v/>
      </c>
      <c r="M1511" s="6" t="inlineStr">
        <is>
          <t>Preventive check done</t>
        </is>
      </c>
      <c r="N1511" s="4" t="inlineStr"/>
      <c r="O1511" s="4" t="inlineStr">
        <is>
          <t>High</t>
        </is>
      </c>
      <c r="P1511" s="4" t="inlineStr">
        <is>
          <t>Closed</t>
        </is>
      </c>
      <c r="Q1511" s="5">
        <f>IFERROR(IF(INDEX(Tbl_KPIMaster[Direction],MATCH($G1511,Tbl_KPIMaster[KPI],0))="Lower is Better",IF($J1511=0,1,IF($I1511=0,0,$I1511/$J1511)),IF($I1511=0,1,$J1511/$I1511)),0)</f>
        <v/>
      </c>
      <c r="R1511" s="4">
        <f>IF(OR($I1511="",$J1511=""),"",$J1511-$I1511)</f>
        <v/>
      </c>
      <c r="S1511" s="4">
        <f>IFERROR(IF(INDEX(Tbl_KPIMaster[Direction],MATCH($G1511,Tbl_KPIMaster[KPI],0))="Lower is Better",IF($J1511&lt;=$I1511,"Green",IF($J1511&lt;=$I1511+IF($I1511=0,$K1511,$I1511*$K1511),"Amber","Red")),IF($J1511&gt;=$I1511,"Green",IF($J1511&gt;=$I1511-IF($I1511=0,$K1511,$I1511*$K1511),"Amber","Red"))),"")</f>
        <v/>
      </c>
      <c r="T1511" s="6" t="inlineStr"/>
    </row>
    <row r="1512">
      <c r="A1512" s="7" t="n">
        <v>46205</v>
      </c>
      <c r="B1512" s="8">
        <f>IF($A1512="","",TEXT($A1512,"mmm-yyyy"))</f>
        <v/>
      </c>
      <c r="C1512" s="8">
        <f>IF($A1512="","","W"&amp;WEEKNUM($A1512,2))</f>
        <v/>
      </c>
      <c r="D1512" s="8">
        <f>IF($A1512="","",TEXT($A1512,"ddd"))</f>
        <v/>
      </c>
      <c r="E1512" s="8" t="inlineStr">
        <is>
          <t>Utilities</t>
        </is>
      </c>
      <c r="F1512" s="8">
        <f>IFERROR(INDEX(Tbl_KPIMaster[Category],MATCH($G1512,Tbl_KPIMaster[KPI],0)),"")</f>
        <v/>
      </c>
      <c r="G1512" s="8" t="inlineStr">
        <is>
          <t>Water Consumption</t>
        </is>
      </c>
      <c r="H1512" s="8">
        <f>IFERROR(INDEX(Tbl_KPIMaster[Unit],MATCH($G1512,Tbl_KPIMaster[KPI],0)),"")</f>
        <v/>
      </c>
      <c r="I1512" s="9">
        <f>IFERROR(INDEX(Tbl_KPIMaster[Maximum Target],MATCH($G1512,Tbl_KPIMaster[KPI],0)),"")</f>
        <v/>
      </c>
      <c r="J1512" s="9" t="n">
        <v>61.28</v>
      </c>
      <c r="K1512" s="8">
        <f>IFERROR(INDEX(Tbl_KPIMaster[Tolerance],MATCH($G1512,Tbl_KPIMaster[KPI],0)),"")</f>
        <v/>
      </c>
      <c r="L1512" s="8">
        <f>IFERROR(INDEX(Tbl_KPIMaster[Owner],MATCH($G1512,Tbl_KPIMaster[KPI],0)),"")</f>
        <v/>
      </c>
      <c r="M1512" s="10" t="inlineStr">
        <is>
          <t>Preventive check done</t>
        </is>
      </c>
      <c r="N1512" s="8" t="inlineStr">
        <is>
          <t>Procurement follow-up</t>
        </is>
      </c>
      <c r="O1512" s="8" t="inlineStr">
        <is>
          <t>Low</t>
        </is>
      </c>
      <c r="P1512" s="8" t="inlineStr">
        <is>
          <t>Closed</t>
        </is>
      </c>
      <c r="Q1512" s="9">
        <f>IFERROR(IF(INDEX(Tbl_KPIMaster[Direction],MATCH($G1512,Tbl_KPIMaster[KPI],0))="Lower is Better",IF($J1512=0,1,IF($I1512=0,0,$I1512/$J1512)),IF($I1512=0,1,$J1512/$I1512)),0)</f>
        <v/>
      </c>
      <c r="R1512" s="8">
        <f>IF(OR($I1512="",$J1512=""),"",$J1512-$I1512)</f>
        <v/>
      </c>
      <c r="S1512" s="8">
        <f>IFERROR(IF(INDEX(Tbl_KPIMaster[Direction],MATCH($G1512,Tbl_KPIMaster[KPI],0))="Lower is Better",IF($J1512&lt;=$I1512,"Green",IF($J1512&lt;=$I1512+IF($I1512=0,$K1512,$I1512*$K1512),"Amber","Red")),IF($J1512&gt;=$I1512,"Green",IF($J1512&gt;=$I1512-IF($I1512=0,$K1512,$I1512*$K1512),"Amber","Red"))),"")</f>
        <v/>
      </c>
      <c r="T1512" s="10" t="inlineStr"/>
    </row>
    <row r="1513">
      <c r="A1513" s="3" t="n">
        <v>46205</v>
      </c>
      <c r="B1513" s="4">
        <f>IF($A1513="","",TEXT($A1513,"mmm-yyyy"))</f>
        <v/>
      </c>
      <c r="C1513" s="4">
        <f>IF($A1513="","","W"&amp;WEEKNUM($A1513,2))</f>
        <v/>
      </c>
      <c r="D1513" s="4">
        <f>IF($A1513="","",TEXT($A1513,"ddd"))</f>
        <v/>
      </c>
      <c r="E1513" s="4" t="inlineStr">
        <is>
          <t>Warehouse</t>
        </is>
      </c>
      <c r="F1513" s="4">
        <f>IFERROR(INDEX(Tbl_KPIMaster[Category],MATCH($G1513,Tbl_KPIMaster[KPI],0)),"")</f>
        <v/>
      </c>
      <c r="G1513" s="4" t="inlineStr">
        <is>
          <t>On-Time Dispatch %</t>
        </is>
      </c>
      <c r="H1513" s="4">
        <f>IFERROR(INDEX(Tbl_KPIMaster[Unit],MATCH($G1513,Tbl_KPIMaster[KPI],0)),"")</f>
        <v/>
      </c>
      <c r="I1513" s="5">
        <f>IFERROR(INDEX(Tbl_KPIMaster[Maximum Target],MATCH($G1513,Tbl_KPIMaster[KPI],0)),"")</f>
        <v/>
      </c>
      <c r="J1513" s="5" t="n">
        <v>1.1057</v>
      </c>
      <c r="K1513" s="4">
        <f>IFERROR(INDEX(Tbl_KPIMaster[Tolerance],MATCH($G1513,Tbl_KPIMaster[KPI],0)),"")</f>
        <v/>
      </c>
      <c r="L1513" s="4">
        <f>IFERROR(INDEX(Tbl_KPIMaster[Owner],MATCH($G1513,Tbl_KPIMaster[KPI],0)),"")</f>
        <v/>
      </c>
      <c r="M1513" s="6" t="inlineStr">
        <is>
          <t>Weather impact</t>
        </is>
      </c>
      <c r="N1513" s="4" t="inlineStr"/>
      <c r="O1513" s="4" t="inlineStr">
        <is>
          <t>Low</t>
        </is>
      </c>
      <c r="P1513" s="4" t="inlineStr">
        <is>
          <t>Open</t>
        </is>
      </c>
      <c r="Q1513" s="5">
        <f>IFERROR(IF(INDEX(Tbl_KPIMaster[Direction],MATCH($G1513,Tbl_KPIMaster[KPI],0))="Lower is Better",IF($J1513=0,1,IF($I1513=0,0,$I1513/$J1513)),IF($I1513=0,1,$J1513/$I1513)),0)</f>
        <v/>
      </c>
      <c r="R1513" s="4">
        <f>IF(OR($I1513="",$J1513=""),"",$J1513-$I1513)</f>
        <v/>
      </c>
      <c r="S1513" s="4">
        <f>IFERROR(IF(INDEX(Tbl_KPIMaster[Direction],MATCH($G1513,Tbl_KPIMaster[KPI],0))="Lower is Better",IF($J1513&lt;=$I1513,"Green",IF($J1513&lt;=$I1513+IF($I1513=0,$K1513,$I1513*$K1513),"Amber","Red")),IF($J1513&gt;=$I1513,"Green",IF($J1513&gt;=$I1513-IF($I1513=0,$K1513,$I1513*$K1513),"Amber","Red"))),"")</f>
        <v/>
      </c>
      <c r="T1513" s="6" t="inlineStr"/>
    </row>
    <row r="1514">
      <c r="A1514" s="7" t="n">
        <v>46205</v>
      </c>
      <c r="B1514" s="8">
        <f>IF($A1514="","",TEXT($A1514,"mmm-yyyy"))</f>
        <v/>
      </c>
      <c r="C1514" s="8">
        <f>IF($A1514="","","W"&amp;WEEKNUM($A1514,2))</f>
        <v/>
      </c>
      <c r="D1514" s="8">
        <f>IF($A1514="","",TEXT($A1514,"ddd"))</f>
        <v/>
      </c>
      <c r="E1514" s="8" t="inlineStr">
        <is>
          <t>Warehouse</t>
        </is>
      </c>
      <c r="F1514" s="8">
        <f>IFERROR(INDEX(Tbl_KPIMaster[Category],MATCH($G1514,Tbl_KPIMaster[KPI],0)),"")</f>
        <v/>
      </c>
      <c r="G1514" s="8" t="inlineStr">
        <is>
          <t>Inventory Accuracy %</t>
        </is>
      </c>
      <c r="H1514" s="8">
        <f>IFERROR(INDEX(Tbl_KPIMaster[Unit],MATCH($G1514,Tbl_KPIMaster[KPI],0)),"")</f>
        <v/>
      </c>
      <c r="I1514" s="9">
        <f>IFERROR(INDEX(Tbl_KPIMaster[Maximum Target],MATCH($G1514,Tbl_KPIMaster[KPI],0)),"")</f>
        <v/>
      </c>
      <c r="J1514" s="9" t="n">
        <v>1.1926</v>
      </c>
      <c r="K1514" s="8">
        <f>IFERROR(INDEX(Tbl_KPIMaster[Tolerance],MATCH($G1514,Tbl_KPIMaster[KPI],0)),"")</f>
        <v/>
      </c>
      <c r="L1514" s="8">
        <f>IFERROR(INDEX(Tbl_KPIMaster[Owner],MATCH($G1514,Tbl_KPIMaster[KPI],0)),"")</f>
        <v/>
      </c>
      <c r="M1514" s="10" t="inlineStr">
        <is>
          <t>Preventive check done</t>
        </is>
      </c>
      <c r="N1514" s="8" t="inlineStr"/>
      <c r="O1514" s="8" t="inlineStr">
        <is>
          <t>Low</t>
        </is>
      </c>
      <c r="P1514" s="8" t="inlineStr">
        <is>
          <t>Open</t>
        </is>
      </c>
      <c r="Q1514" s="9">
        <f>IFERROR(IF(INDEX(Tbl_KPIMaster[Direction],MATCH($G1514,Tbl_KPIMaster[KPI],0))="Lower is Better",IF($J1514=0,1,IF($I1514=0,0,$I1514/$J1514)),IF($I1514=0,1,$J1514/$I1514)),0)</f>
        <v/>
      </c>
      <c r="R1514" s="8">
        <f>IF(OR($I1514="",$J1514=""),"",$J1514-$I1514)</f>
        <v/>
      </c>
      <c r="S1514" s="8">
        <f>IFERROR(IF(INDEX(Tbl_KPIMaster[Direction],MATCH($G1514,Tbl_KPIMaster[KPI],0))="Lower is Better",IF($J1514&lt;=$I1514,"Green",IF($J1514&lt;=$I1514+IF($I1514=0,$K1514,$I1514*$K1514),"Amber","Red")),IF($J1514&gt;=$I1514,"Green",IF($J1514&gt;=$I1514-IF($I1514=0,$K1514,$I1514*$K1514),"Amber","Red"))),"")</f>
        <v/>
      </c>
      <c r="T1514" s="10" t="inlineStr"/>
    </row>
    <row r="1515">
      <c r="A1515" s="3" t="n">
        <v>46205</v>
      </c>
      <c r="B1515" s="4">
        <f>IF($A1515="","",TEXT($A1515,"mmm-yyyy"))</f>
        <v/>
      </c>
      <c r="C1515" s="4">
        <f>IF($A1515="","","W"&amp;WEEKNUM($A1515,2))</f>
        <v/>
      </c>
      <c r="D1515" s="4">
        <f>IF($A1515="","",TEXT($A1515,"ddd"))</f>
        <v/>
      </c>
      <c r="E1515" s="4" t="inlineStr">
        <is>
          <t>HR</t>
        </is>
      </c>
      <c r="F1515" s="4">
        <f>IFERROR(INDEX(Tbl_KPIMaster[Category],MATCH($G1515,Tbl_KPIMaster[KPI],0)),"")</f>
        <v/>
      </c>
      <c r="G1515" s="4" t="inlineStr">
        <is>
          <t>Absenteeism %</t>
        </is>
      </c>
      <c r="H1515" s="4">
        <f>IFERROR(INDEX(Tbl_KPIMaster[Unit],MATCH($G1515,Tbl_KPIMaster[KPI],0)),"")</f>
        <v/>
      </c>
      <c r="I1515" s="5">
        <f>IFERROR(INDEX(Tbl_KPIMaster[Maximum Target],MATCH($G1515,Tbl_KPIMaster[KPI],0)),"")</f>
        <v/>
      </c>
      <c r="J1515" s="5" t="n">
        <v>0.2237</v>
      </c>
      <c r="K1515" s="4">
        <f>IFERROR(INDEX(Tbl_KPIMaster[Tolerance],MATCH($G1515,Tbl_KPIMaster[KPI],0)),"")</f>
        <v/>
      </c>
      <c r="L1515" s="4">
        <f>IFERROR(INDEX(Tbl_KPIMaster[Owner],MATCH($G1515,Tbl_KPIMaster[KPI],0)),"")</f>
        <v/>
      </c>
      <c r="M1515" s="6" t="inlineStr"/>
      <c r="N1515" s="4" t="inlineStr"/>
      <c r="O1515" s="4" t="inlineStr">
        <is>
          <t>High</t>
        </is>
      </c>
      <c r="P1515" s="4" t="inlineStr">
        <is>
          <t>Closed</t>
        </is>
      </c>
      <c r="Q1515" s="5">
        <f>IFERROR(IF(INDEX(Tbl_KPIMaster[Direction],MATCH($G1515,Tbl_KPIMaster[KPI],0))="Lower is Better",IF($J1515=0,1,IF($I1515=0,0,$I1515/$J1515)),IF($I1515=0,1,$J1515/$I1515)),0)</f>
        <v/>
      </c>
      <c r="R1515" s="4">
        <f>IF(OR($I1515="",$J1515=""),"",$J1515-$I1515)</f>
        <v/>
      </c>
      <c r="S1515" s="4">
        <f>IFERROR(IF(INDEX(Tbl_KPIMaster[Direction],MATCH($G1515,Tbl_KPIMaster[KPI],0))="Lower is Better",IF($J1515&lt;=$I1515,"Green",IF($J1515&lt;=$I1515+IF($I1515=0,$K1515,$I1515*$K1515),"Amber","Red")),IF($J1515&gt;=$I1515,"Green",IF($J1515&gt;=$I1515-IF($I1515=0,$K1515,$I1515*$K1515),"Amber","Red"))),"")</f>
        <v/>
      </c>
      <c r="T1515" s="6" t="inlineStr"/>
    </row>
    <row r="1516">
      <c r="A1516" s="7" t="n">
        <v>46205</v>
      </c>
      <c r="B1516" s="8">
        <f>IF($A1516="","",TEXT($A1516,"mmm-yyyy"))</f>
        <v/>
      </c>
      <c r="C1516" s="8">
        <f>IF($A1516="","","W"&amp;WEEKNUM($A1516,2))</f>
        <v/>
      </c>
      <c r="D1516" s="8">
        <f>IF($A1516="","",TEXT($A1516,"ddd"))</f>
        <v/>
      </c>
      <c r="E1516" s="8" t="inlineStr">
        <is>
          <t>HR</t>
        </is>
      </c>
      <c r="F1516" s="8">
        <f>IFERROR(INDEX(Tbl_KPIMaster[Category],MATCH($G1516,Tbl_KPIMaster[KPI],0)),"")</f>
        <v/>
      </c>
      <c r="G1516" s="8" t="inlineStr">
        <is>
          <t>Training Hours</t>
        </is>
      </c>
      <c r="H1516" s="8">
        <f>IFERROR(INDEX(Tbl_KPIMaster[Unit],MATCH($G1516,Tbl_KPIMaster[KPI],0)),"")</f>
        <v/>
      </c>
      <c r="I1516" s="9">
        <f>IFERROR(INDEX(Tbl_KPIMaster[Maximum Target],MATCH($G1516,Tbl_KPIMaster[KPI],0)),"")</f>
        <v/>
      </c>
      <c r="J1516" s="9" t="n">
        <v>2.15</v>
      </c>
      <c r="K1516" s="8">
        <f>IFERROR(INDEX(Tbl_KPIMaster[Tolerance],MATCH($G1516,Tbl_KPIMaster[KPI],0)),"")</f>
        <v/>
      </c>
      <c r="L1516" s="8">
        <f>IFERROR(INDEX(Tbl_KPIMaster[Owner],MATCH($G1516,Tbl_KPIMaster[KPI],0)),"")</f>
        <v/>
      </c>
      <c r="M1516" s="10" t="inlineStr">
        <is>
          <t>Line changeover impact</t>
        </is>
      </c>
      <c r="N1516" s="8" t="inlineStr"/>
      <c r="O1516" s="8" t="inlineStr">
        <is>
          <t>Medium</t>
        </is>
      </c>
      <c r="P1516" s="8" t="inlineStr">
        <is>
          <t>Open</t>
        </is>
      </c>
      <c r="Q1516" s="9">
        <f>IFERROR(IF(INDEX(Tbl_KPIMaster[Direction],MATCH($G1516,Tbl_KPIMaster[KPI],0))="Lower is Better",IF($J1516=0,1,IF($I1516=0,0,$I1516/$J1516)),IF($I1516=0,1,$J1516/$I1516)),0)</f>
        <v/>
      </c>
      <c r="R1516" s="8">
        <f>IF(OR($I1516="",$J1516=""),"",$J1516-$I1516)</f>
        <v/>
      </c>
      <c r="S1516" s="8">
        <f>IFERROR(IF(INDEX(Tbl_KPIMaster[Direction],MATCH($G1516,Tbl_KPIMaster[KPI],0))="Lower is Better",IF($J1516&lt;=$I1516,"Green",IF($J1516&lt;=$I1516+IF($I1516=0,$K1516,$I1516*$K1516),"Amber","Red")),IF($J1516&gt;=$I1516,"Green",IF($J1516&gt;=$I1516-IF($I1516=0,$K1516,$I1516*$K1516),"Amber","Red"))),"")</f>
        <v/>
      </c>
      <c r="T1516" s="10" t="inlineStr"/>
    </row>
    <row r="1517">
      <c r="A1517" s="3" t="n">
        <v>46205</v>
      </c>
      <c r="B1517" s="4">
        <f>IF($A1517="","",TEXT($A1517,"mmm-yyyy"))</f>
        <v/>
      </c>
      <c r="C1517" s="4">
        <f>IF($A1517="","","W"&amp;WEEKNUM($A1517,2))</f>
        <v/>
      </c>
      <c r="D1517" s="4">
        <f>IF($A1517="","",TEXT($A1517,"ddd"))</f>
        <v/>
      </c>
      <c r="E1517" s="4" t="inlineStr">
        <is>
          <t>Engineering</t>
        </is>
      </c>
      <c r="F1517" s="4">
        <f>IFERROR(INDEX(Tbl_KPIMaster[Category],MATCH($G1517,Tbl_KPIMaster[KPI],0)),"")</f>
        <v/>
      </c>
      <c r="G1517" s="4" t="inlineStr">
        <is>
          <t>Project Milestone Adherence %</t>
        </is>
      </c>
      <c r="H1517" s="4">
        <f>IFERROR(INDEX(Tbl_KPIMaster[Unit],MATCH($G1517,Tbl_KPIMaster[KPI],0)),"")</f>
        <v/>
      </c>
      <c r="I1517" s="5">
        <f>IFERROR(INDEX(Tbl_KPIMaster[Maximum Target],MATCH($G1517,Tbl_KPIMaster[KPI],0)),"")</f>
        <v/>
      </c>
      <c r="J1517" s="5" t="n">
        <v>0.9388</v>
      </c>
      <c r="K1517" s="4">
        <f>IFERROR(INDEX(Tbl_KPIMaster[Tolerance],MATCH($G1517,Tbl_KPIMaster[KPI],0)),"")</f>
        <v/>
      </c>
      <c r="L1517" s="4">
        <f>IFERROR(INDEX(Tbl_KPIMaster[Owner],MATCH($G1517,Tbl_KPIMaster[KPI],0)),"")</f>
        <v/>
      </c>
      <c r="M1517" s="6" t="inlineStr">
        <is>
          <t>Awaiting spares</t>
        </is>
      </c>
      <c r="N1517" s="4" t="inlineStr"/>
      <c r="O1517" s="4" t="inlineStr">
        <is>
          <t>Low</t>
        </is>
      </c>
      <c r="P1517" s="4" t="inlineStr">
        <is>
          <t>Open</t>
        </is>
      </c>
      <c r="Q1517" s="5">
        <f>IFERROR(IF(INDEX(Tbl_KPIMaster[Direction],MATCH($G1517,Tbl_KPIMaster[KPI],0))="Lower is Better",IF($J1517=0,1,IF($I1517=0,0,$I1517/$J1517)),IF($I1517=0,1,$J1517/$I1517)),0)</f>
        <v/>
      </c>
      <c r="R1517" s="4">
        <f>IF(OR($I1517="",$J1517=""),"",$J1517-$I1517)</f>
        <v/>
      </c>
      <c r="S1517" s="4">
        <f>IFERROR(IF(INDEX(Tbl_KPIMaster[Direction],MATCH($G1517,Tbl_KPIMaster[KPI],0))="Lower is Better",IF($J1517&lt;=$I1517,"Green",IF($J1517&lt;=$I1517+IF($I1517=0,$K1517,$I1517*$K1517),"Amber","Red")),IF($J1517&gt;=$I1517,"Green",IF($J1517&gt;=$I1517-IF($I1517=0,$K1517,$I1517*$K1517),"Amber","Red"))),"")</f>
        <v/>
      </c>
      <c r="T1517" s="6" t="inlineStr"/>
    </row>
    <row r="1518">
      <c r="A1518" s="7" t="n">
        <v>46205</v>
      </c>
      <c r="B1518" s="8">
        <f>IF($A1518="","",TEXT($A1518,"mmm-yyyy"))</f>
        <v/>
      </c>
      <c r="C1518" s="8">
        <f>IF($A1518="","","W"&amp;WEEKNUM($A1518,2))</f>
        <v/>
      </c>
      <c r="D1518" s="8">
        <f>IF($A1518="","",TEXT($A1518,"ddd"))</f>
        <v/>
      </c>
      <c r="E1518" s="8" t="inlineStr">
        <is>
          <t>Engineering</t>
        </is>
      </c>
      <c r="F1518" s="8">
        <f>IFERROR(INDEX(Tbl_KPIMaster[Category],MATCH($G1518,Tbl_KPIMaster[KPI],0)),"")</f>
        <v/>
      </c>
      <c r="G1518" s="8" t="inlineStr">
        <is>
          <t>Breakdown Resolution Time</t>
        </is>
      </c>
      <c r="H1518" s="8">
        <f>IFERROR(INDEX(Tbl_KPIMaster[Unit],MATCH($G1518,Tbl_KPIMaster[KPI],0)),"")</f>
        <v/>
      </c>
      <c r="I1518" s="9">
        <f>IFERROR(INDEX(Tbl_KPIMaster[Maximum Target],MATCH($G1518,Tbl_KPIMaster[KPI],0)),"")</f>
        <v/>
      </c>
      <c r="J1518" s="9" t="n">
        <v>0</v>
      </c>
      <c r="K1518" s="8">
        <f>IFERROR(INDEX(Tbl_KPIMaster[Tolerance],MATCH($G1518,Tbl_KPIMaster[KPI],0)),"")</f>
        <v/>
      </c>
      <c r="L1518" s="8">
        <f>IFERROR(INDEX(Tbl_KPIMaster[Owner],MATCH($G1518,Tbl_KPIMaster[KPI],0)),"")</f>
        <v/>
      </c>
      <c r="M1518" s="10" t="inlineStr">
        <is>
          <t>Weather impact</t>
        </is>
      </c>
      <c r="N1518" s="8" t="inlineStr"/>
      <c r="O1518" s="8" t="inlineStr">
        <is>
          <t>Medium</t>
        </is>
      </c>
      <c r="P1518" s="8" t="inlineStr">
        <is>
          <t>Closed</t>
        </is>
      </c>
      <c r="Q1518" s="9">
        <f>IFERROR(IF(INDEX(Tbl_KPIMaster[Direction],MATCH($G1518,Tbl_KPIMaster[KPI],0))="Lower is Better",IF($J1518=0,1,IF($I1518=0,0,$I1518/$J1518)),IF($I1518=0,1,$J1518/$I1518)),0)</f>
        <v/>
      </c>
      <c r="R1518" s="8">
        <f>IF(OR($I1518="",$J1518=""),"",$J1518-$I1518)</f>
        <v/>
      </c>
      <c r="S1518" s="8">
        <f>IFERROR(IF(INDEX(Tbl_KPIMaster[Direction],MATCH($G1518,Tbl_KPIMaster[KPI],0))="Lower is Better",IF($J1518&lt;=$I1518,"Green",IF($J1518&lt;=$I1518+IF($I1518=0,$K1518,$I1518*$K1518),"Amber","Red")),IF($J1518&gt;=$I1518,"Green",IF($J1518&gt;=$I1518-IF($I1518=0,$K1518,$I1518*$K1518),"Amber","Red"))),"")</f>
        <v/>
      </c>
      <c r="T1518" s="10" t="inlineStr"/>
    </row>
    <row r="1519">
      <c r="A1519" s="3" t="n">
        <v>46205</v>
      </c>
      <c r="B1519" s="4">
        <f>IF($A1519="","",TEXT($A1519,"mmm-yyyy"))</f>
        <v/>
      </c>
      <c r="C1519" s="4">
        <f>IF($A1519="","","W"&amp;WEEKNUM($A1519,2))</f>
        <v/>
      </c>
      <c r="D1519" s="4">
        <f>IF($A1519="","",TEXT($A1519,"ddd"))</f>
        <v/>
      </c>
      <c r="E1519" s="4" t="inlineStr">
        <is>
          <t>Cost</t>
        </is>
      </c>
      <c r="F1519" s="4">
        <f>IFERROR(INDEX(Tbl_KPIMaster[Category],MATCH($G1519,Tbl_KPIMaster[KPI],0)),"")</f>
        <v/>
      </c>
      <c r="G1519" s="4" t="inlineStr">
        <is>
          <t>Cost per Unit</t>
        </is>
      </c>
      <c r="H1519" s="4">
        <f>IFERROR(INDEX(Tbl_KPIMaster[Unit],MATCH($G1519,Tbl_KPIMaster[KPI],0)),"")</f>
        <v/>
      </c>
      <c r="I1519" s="5">
        <f>IFERROR(INDEX(Tbl_KPIMaster[Maximum Target],MATCH($G1519,Tbl_KPIMaster[KPI],0)),"")</f>
        <v/>
      </c>
      <c r="J1519" s="5" t="n">
        <v>45.95</v>
      </c>
      <c r="K1519" s="4">
        <f>IFERROR(INDEX(Tbl_KPIMaster[Tolerance],MATCH($G1519,Tbl_KPIMaster[KPI],0)),"")</f>
        <v/>
      </c>
      <c r="L1519" s="4">
        <f>IFERROR(INDEX(Tbl_KPIMaster[Owner],MATCH($G1519,Tbl_KPIMaster[KPI],0)),"")</f>
        <v/>
      </c>
      <c r="M1519" s="6" t="inlineStr">
        <is>
          <t>Equipment breakdown</t>
        </is>
      </c>
      <c r="N1519" s="4" t="inlineStr"/>
      <c r="O1519" s="4" t="inlineStr">
        <is>
          <t>Low</t>
        </is>
      </c>
      <c r="P1519" s="4" t="inlineStr">
        <is>
          <t>Closed</t>
        </is>
      </c>
      <c r="Q1519" s="5">
        <f>IFERROR(IF(INDEX(Tbl_KPIMaster[Direction],MATCH($G1519,Tbl_KPIMaster[KPI],0))="Lower is Better",IF($J1519=0,1,IF($I1519=0,0,$I1519/$J1519)),IF($I1519=0,1,$J1519/$I1519)),0)</f>
        <v/>
      </c>
      <c r="R1519" s="4">
        <f>IF(OR($I1519="",$J1519=""),"",$J1519-$I1519)</f>
        <v/>
      </c>
      <c r="S1519" s="4">
        <f>IFERROR(IF(INDEX(Tbl_KPIMaster[Direction],MATCH($G1519,Tbl_KPIMaster[KPI],0))="Lower is Better",IF($J1519&lt;=$I1519,"Green",IF($J1519&lt;=$I1519+IF($I1519=0,$K1519,$I1519*$K1519),"Amber","Red")),IF($J1519&gt;=$I1519,"Green",IF($J1519&gt;=$I1519-IF($I1519=0,$K1519,$I1519*$K1519),"Amber","Red"))),"")</f>
        <v/>
      </c>
      <c r="T1519" s="6" t="inlineStr"/>
    </row>
    <row r="1520">
      <c r="A1520" s="7" t="n">
        <v>46205</v>
      </c>
      <c r="B1520" s="8">
        <f>IF($A1520="","",TEXT($A1520,"mmm-yyyy"))</f>
        <v/>
      </c>
      <c r="C1520" s="8">
        <f>IF($A1520="","","W"&amp;WEEKNUM($A1520,2))</f>
        <v/>
      </c>
      <c r="D1520" s="8">
        <f>IF($A1520="","",TEXT($A1520,"ddd"))</f>
        <v/>
      </c>
      <c r="E1520" s="8" t="inlineStr">
        <is>
          <t>Cost</t>
        </is>
      </c>
      <c r="F1520" s="8">
        <f>IFERROR(INDEX(Tbl_KPIMaster[Category],MATCH($G1520,Tbl_KPIMaster[KPI],0)),"")</f>
        <v/>
      </c>
      <c r="G1520" s="8" t="inlineStr">
        <is>
          <t>Budget Variance %</t>
        </is>
      </c>
      <c r="H1520" s="8">
        <f>IFERROR(INDEX(Tbl_KPIMaster[Unit],MATCH($G1520,Tbl_KPIMaster[KPI],0)),"")</f>
        <v/>
      </c>
      <c r="I1520" s="9">
        <f>IFERROR(INDEX(Tbl_KPIMaster[Maximum Target],MATCH($G1520,Tbl_KPIMaster[KPI],0)),"")</f>
        <v/>
      </c>
      <c r="J1520" s="9" t="n">
        <v>0.1998</v>
      </c>
      <c r="K1520" s="8">
        <f>IFERROR(INDEX(Tbl_KPIMaster[Tolerance],MATCH($G1520,Tbl_KPIMaster[KPI],0)),"")</f>
        <v/>
      </c>
      <c r="L1520" s="8">
        <f>IFERROR(INDEX(Tbl_KPIMaster[Owner],MATCH($G1520,Tbl_KPIMaster[KPI],0)),"")</f>
        <v/>
      </c>
      <c r="M1520" s="10" t="inlineStr">
        <is>
          <t>Within normal range</t>
        </is>
      </c>
      <c r="N1520" s="8" t="inlineStr"/>
      <c r="O1520" s="8" t="inlineStr">
        <is>
          <t>Low</t>
        </is>
      </c>
      <c r="P1520" s="8" t="inlineStr">
        <is>
          <t>In Progress</t>
        </is>
      </c>
      <c r="Q1520" s="9">
        <f>IFERROR(IF(INDEX(Tbl_KPIMaster[Direction],MATCH($G1520,Tbl_KPIMaster[KPI],0))="Lower is Better",IF($J1520=0,1,IF($I1520=0,0,$I1520/$J1520)),IF($I1520=0,1,$J1520/$I1520)),0)</f>
        <v/>
      </c>
      <c r="R1520" s="8">
        <f>IF(OR($I1520="",$J1520=""),"",$J1520-$I1520)</f>
        <v/>
      </c>
      <c r="S1520" s="8">
        <f>IFERROR(IF(INDEX(Tbl_KPIMaster[Direction],MATCH($G1520,Tbl_KPIMaster[KPI],0))="Lower is Better",IF($J1520&lt;=$I1520,"Green",IF($J1520&lt;=$I1520+IF($I1520=0,$K1520,$I1520*$K1520),"Amber","Red")),IF($J1520&gt;=$I1520,"Green",IF($J1520&gt;=$I1520-IF($I1520=0,$K1520,$I1520*$K1520),"Amber","Red"))),"")</f>
        <v/>
      </c>
      <c r="T1520" s="10" t="inlineStr"/>
    </row>
    <row r="1521">
      <c r="A1521" s="3" t="n">
        <v>46205</v>
      </c>
      <c r="B1521" s="4">
        <f>IF($A1521="","",TEXT($A1521,"mmm-yyyy"))</f>
        <v/>
      </c>
      <c r="C1521" s="4">
        <f>IF($A1521="","","W"&amp;WEEKNUM($A1521,2))</f>
        <v/>
      </c>
      <c r="D1521" s="4">
        <f>IF($A1521="","",TEXT($A1521,"ddd"))</f>
        <v/>
      </c>
      <c r="E1521" s="4" t="inlineStr">
        <is>
          <t>Energy</t>
        </is>
      </c>
      <c r="F1521" s="4">
        <f>IFERROR(INDEX(Tbl_KPIMaster[Category],MATCH($G1521,Tbl_KPIMaster[KPI],0)),"")</f>
        <v/>
      </c>
      <c r="G1521" s="4" t="inlineStr">
        <is>
          <t>Energy Intensity (kWh/unit)</t>
        </is>
      </c>
      <c r="H1521" s="4">
        <f>IFERROR(INDEX(Tbl_KPIMaster[Unit],MATCH($G1521,Tbl_KPIMaster[KPI],0)),"")</f>
        <v/>
      </c>
      <c r="I1521" s="5">
        <f>IFERROR(INDEX(Tbl_KPIMaster[Maximum Target],MATCH($G1521,Tbl_KPIMaster[KPI],0)),"")</f>
        <v/>
      </c>
      <c r="J1521" s="5" t="n">
        <v>3.67</v>
      </c>
      <c r="K1521" s="4">
        <f>IFERROR(INDEX(Tbl_KPIMaster[Tolerance],MATCH($G1521,Tbl_KPIMaster[KPI],0)),"")</f>
        <v/>
      </c>
      <c r="L1521" s="4">
        <f>IFERROR(INDEX(Tbl_KPIMaster[Owner],MATCH($G1521,Tbl_KPIMaster[KPI],0)),"")</f>
        <v/>
      </c>
      <c r="M1521" s="6" t="inlineStr">
        <is>
          <t>Vendor delay</t>
        </is>
      </c>
      <c r="N1521" s="4" t="inlineStr"/>
      <c r="O1521" s="4" t="inlineStr">
        <is>
          <t>High</t>
        </is>
      </c>
      <c r="P1521" s="4" t="inlineStr">
        <is>
          <t>Closed</t>
        </is>
      </c>
      <c r="Q1521" s="5">
        <f>IFERROR(IF(INDEX(Tbl_KPIMaster[Direction],MATCH($G1521,Tbl_KPIMaster[KPI],0))="Lower is Better",IF($J1521=0,1,IF($I1521=0,0,$I1521/$J1521)),IF($I1521=0,1,$J1521/$I1521)),0)</f>
        <v/>
      </c>
      <c r="R1521" s="4">
        <f>IF(OR($I1521="",$J1521=""),"",$J1521-$I1521)</f>
        <v/>
      </c>
      <c r="S1521" s="4">
        <f>IFERROR(IF(INDEX(Tbl_KPIMaster[Direction],MATCH($G1521,Tbl_KPIMaster[KPI],0))="Lower is Better",IF($J1521&lt;=$I1521,"Green",IF($J1521&lt;=$I1521+IF($I1521=0,$K1521,$I1521*$K1521),"Amber","Red")),IF($J1521&gt;=$I1521,"Green",IF($J1521&gt;=$I1521-IF($I1521=0,$K1521,$I1521*$K1521),"Amber","Red"))),"")</f>
        <v/>
      </c>
      <c r="T1521" s="6" t="inlineStr"/>
    </row>
    <row r="1522">
      <c r="A1522" s="7" t="n">
        <v>46205</v>
      </c>
      <c r="B1522" s="8">
        <f>IF($A1522="","",TEXT($A1522,"mmm-yyyy"))</f>
        <v/>
      </c>
      <c r="C1522" s="8">
        <f>IF($A1522="","","W"&amp;WEEKNUM($A1522,2))</f>
        <v/>
      </c>
      <c r="D1522" s="8">
        <f>IF($A1522="","",TEXT($A1522,"ddd"))</f>
        <v/>
      </c>
      <c r="E1522" s="8" t="inlineStr">
        <is>
          <t>Energy</t>
        </is>
      </c>
      <c r="F1522" s="8">
        <f>IFERROR(INDEX(Tbl_KPIMaster[Category],MATCH($G1522,Tbl_KPIMaster[KPI],0)),"")</f>
        <v/>
      </c>
      <c r="G1522" s="8" t="inlineStr">
        <is>
          <t>Renewable Energy Share %</t>
        </is>
      </c>
      <c r="H1522" s="8">
        <f>IFERROR(INDEX(Tbl_KPIMaster[Unit],MATCH($G1522,Tbl_KPIMaster[KPI],0)),"")</f>
        <v/>
      </c>
      <c r="I1522" s="9">
        <f>IFERROR(INDEX(Tbl_KPIMaster[Maximum Target],MATCH($G1522,Tbl_KPIMaster[KPI],0)),"")</f>
        <v/>
      </c>
      <c r="J1522" s="9" t="n">
        <v>0.2743</v>
      </c>
      <c r="K1522" s="8">
        <f>IFERROR(INDEX(Tbl_KPIMaster[Tolerance],MATCH($G1522,Tbl_KPIMaster[KPI],0)),"")</f>
        <v/>
      </c>
      <c r="L1522" s="8">
        <f>IFERROR(INDEX(Tbl_KPIMaster[Owner],MATCH($G1522,Tbl_KPIMaster[KPI],0)),"")</f>
        <v/>
      </c>
      <c r="M1522" s="10" t="inlineStr">
        <is>
          <t>Equipment breakdown</t>
        </is>
      </c>
      <c r="N1522" s="8" t="inlineStr"/>
      <c r="O1522" s="8" t="inlineStr">
        <is>
          <t>Medium</t>
        </is>
      </c>
      <c r="P1522" s="8" t="inlineStr">
        <is>
          <t>Open</t>
        </is>
      </c>
      <c r="Q1522" s="9">
        <f>IFERROR(IF(INDEX(Tbl_KPIMaster[Direction],MATCH($G1522,Tbl_KPIMaster[KPI],0))="Lower is Better",IF($J1522=0,1,IF($I1522=0,0,$I1522/$J1522)),IF($I1522=0,1,$J1522/$I1522)),0)</f>
        <v/>
      </c>
      <c r="R1522" s="8">
        <f>IF(OR($I1522="",$J1522=""),"",$J1522-$I1522)</f>
        <v/>
      </c>
      <c r="S1522" s="8">
        <f>IFERROR(IF(INDEX(Tbl_KPIMaster[Direction],MATCH($G1522,Tbl_KPIMaster[KPI],0))="Lower is Better",IF($J1522&lt;=$I1522,"Green",IF($J1522&lt;=$I1522+IF($I1522=0,$K1522,$I1522*$K1522),"Amber","Red")),IF($J1522&gt;=$I1522,"Green",IF($J1522&gt;=$I1522-IF($I1522=0,$K1522,$I1522*$K1522),"Amber","Red"))),"")</f>
        <v/>
      </c>
      <c r="T1522" s="10" t="inlineStr"/>
    </row>
    <row r="1523">
      <c r="A1523" s="3" t="n">
        <v>46206</v>
      </c>
      <c r="B1523" s="4">
        <f>IF($A1523="","",TEXT($A1523,"mmm-yyyy"))</f>
        <v/>
      </c>
      <c r="C1523" s="4">
        <f>IF($A1523="","","W"&amp;WEEKNUM($A1523,2))</f>
        <v/>
      </c>
      <c r="D1523" s="4">
        <f>IF($A1523="","",TEXT($A1523,"ddd"))</f>
        <v/>
      </c>
      <c r="E1523" s="4" t="inlineStr">
        <is>
          <t>Safety</t>
        </is>
      </c>
      <c r="F1523" s="4">
        <f>IFERROR(INDEX(Tbl_KPIMaster[Category],MATCH($G1523,Tbl_KPIMaster[KPI],0)),"")</f>
        <v/>
      </c>
      <c r="G1523" s="4" t="inlineStr">
        <is>
          <t>Safety Incidents (LTI)</t>
        </is>
      </c>
      <c r="H1523" s="4">
        <f>IFERROR(INDEX(Tbl_KPIMaster[Unit],MATCH($G1523,Tbl_KPIMaster[KPI],0)),"")</f>
        <v/>
      </c>
      <c r="I1523" s="5">
        <f>IFERROR(INDEX(Tbl_KPIMaster[Maximum Target],MATCH($G1523,Tbl_KPIMaster[KPI],0)),"")</f>
        <v/>
      </c>
      <c r="J1523" s="5" t="n">
        <v>0</v>
      </c>
      <c r="K1523" s="4">
        <f>IFERROR(INDEX(Tbl_KPIMaster[Tolerance],MATCH($G1523,Tbl_KPIMaster[KPI],0)),"")</f>
        <v/>
      </c>
      <c r="L1523" s="4">
        <f>IFERROR(INDEX(Tbl_KPIMaster[Owner],MATCH($G1523,Tbl_KPIMaster[KPI],0)),"")</f>
        <v/>
      </c>
      <c r="M1523" s="6" t="inlineStr"/>
      <c r="N1523" s="4" t="inlineStr"/>
      <c r="O1523" s="4" t="inlineStr">
        <is>
          <t>High</t>
        </is>
      </c>
      <c r="P1523" s="4" t="inlineStr">
        <is>
          <t>Open</t>
        </is>
      </c>
      <c r="Q1523" s="5">
        <f>IFERROR(IF(INDEX(Tbl_KPIMaster[Direction],MATCH($G1523,Tbl_KPIMaster[KPI],0))="Lower is Better",IF($J1523=0,1,IF($I1523=0,0,$I1523/$J1523)),IF($I1523=0,1,$J1523/$I1523)),0)</f>
        <v/>
      </c>
      <c r="R1523" s="4">
        <f>IF(OR($I1523="",$J1523=""),"",$J1523-$I1523)</f>
        <v/>
      </c>
      <c r="S1523" s="4">
        <f>IFERROR(IF(INDEX(Tbl_KPIMaster[Direction],MATCH($G1523,Tbl_KPIMaster[KPI],0))="Lower is Better",IF($J1523&lt;=$I1523,"Green",IF($J1523&lt;=$I1523+IF($I1523=0,$K1523,$I1523*$K1523),"Amber","Red")),IF($J1523&gt;=$I1523,"Green",IF($J1523&gt;=$I1523-IF($I1523=0,$K1523,$I1523*$K1523),"Amber","Red"))),"")</f>
        <v/>
      </c>
      <c r="T1523" s="6" t="inlineStr"/>
    </row>
    <row r="1524">
      <c r="A1524" s="7" t="n">
        <v>46206</v>
      </c>
      <c r="B1524" s="8">
        <f>IF($A1524="","",TEXT($A1524,"mmm-yyyy"))</f>
        <v/>
      </c>
      <c r="C1524" s="8">
        <f>IF($A1524="","","W"&amp;WEEKNUM($A1524,2))</f>
        <v/>
      </c>
      <c r="D1524" s="8">
        <f>IF($A1524="","",TEXT($A1524,"ddd"))</f>
        <v/>
      </c>
      <c r="E1524" s="8" t="inlineStr">
        <is>
          <t>Safety</t>
        </is>
      </c>
      <c r="F1524" s="8">
        <f>IFERROR(INDEX(Tbl_KPIMaster[Category],MATCH($G1524,Tbl_KPIMaster[KPI],0)),"")</f>
        <v/>
      </c>
      <c r="G1524" s="8" t="inlineStr">
        <is>
          <t>Near Miss Reports</t>
        </is>
      </c>
      <c r="H1524" s="8">
        <f>IFERROR(INDEX(Tbl_KPIMaster[Unit],MATCH($G1524,Tbl_KPIMaster[KPI],0)),"")</f>
        <v/>
      </c>
      <c r="I1524" s="9">
        <f>IFERROR(INDEX(Tbl_KPIMaster[Maximum Target],MATCH($G1524,Tbl_KPIMaster[KPI],0)),"")</f>
        <v/>
      </c>
      <c r="J1524" s="9" t="n">
        <v>2</v>
      </c>
      <c r="K1524" s="8">
        <f>IFERROR(INDEX(Tbl_KPIMaster[Tolerance],MATCH($G1524,Tbl_KPIMaster[KPI],0)),"")</f>
        <v/>
      </c>
      <c r="L1524" s="8">
        <f>IFERROR(INDEX(Tbl_KPIMaster[Owner],MATCH($G1524,Tbl_KPIMaster[KPI],0)),"")</f>
        <v/>
      </c>
      <c r="M1524" s="10" t="inlineStr">
        <is>
          <t>Weather impact</t>
        </is>
      </c>
      <c r="N1524" s="8" t="inlineStr"/>
      <c r="O1524" s="8" t="inlineStr">
        <is>
          <t>High</t>
        </is>
      </c>
      <c r="P1524" s="8" t="inlineStr">
        <is>
          <t>Closed</t>
        </is>
      </c>
      <c r="Q1524" s="9">
        <f>IFERROR(IF(INDEX(Tbl_KPIMaster[Direction],MATCH($G1524,Tbl_KPIMaster[KPI],0))="Lower is Better",IF($J1524=0,1,IF($I1524=0,0,$I1524/$J1524)),IF($I1524=0,1,$J1524/$I1524)),0)</f>
        <v/>
      </c>
      <c r="R1524" s="8">
        <f>IF(OR($I1524="",$J1524=""),"",$J1524-$I1524)</f>
        <v/>
      </c>
      <c r="S1524" s="8">
        <f>IFERROR(IF(INDEX(Tbl_KPIMaster[Direction],MATCH($G1524,Tbl_KPIMaster[KPI],0))="Lower is Better",IF($J1524&lt;=$I1524,"Green",IF($J1524&lt;=$I1524+IF($I1524=0,$K1524,$I1524*$K1524),"Amber","Red")),IF($J1524&gt;=$I1524,"Green",IF($J1524&gt;=$I1524-IF($I1524=0,$K1524,$I1524*$K1524),"Amber","Red"))),"")</f>
        <v/>
      </c>
      <c r="T1524" s="10" t="inlineStr"/>
    </row>
    <row r="1525">
      <c r="A1525" s="3" t="n">
        <v>46206</v>
      </c>
      <c r="B1525" s="4">
        <f>IF($A1525="","",TEXT($A1525,"mmm-yyyy"))</f>
        <v/>
      </c>
      <c r="C1525" s="4">
        <f>IF($A1525="","","W"&amp;WEEKNUM($A1525,2))</f>
        <v/>
      </c>
      <c r="D1525" s="4">
        <f>IF($A1525="","",TEXT($A1525,"ddd"))</f>
        <v/>
      </c>
      <c r="E1525" s="4" t="inlineStr">
        <is>
          <t>Production</t>
        </is>
      </c>
      <c r="F1525" s="4">
        <f>IFERROR(INDEX(Tbl_KPIMaster[Category],MATCH($G1525,Tbl_KPIMaster[KPI],0)),"")</f>
        <v/>
      </c>
      <c r="G1525" s="4" t="inlineStr">
        <is>
          <t>Production Output</t>
        </is>
      </c>
      <c r="H1525" s="4">
        <f>IFERROR(INDEX(Tbl_KPIMaster[Unit],MATCH($G1525,Tbl_KPIMaster[KPI],0)),"")</f>
        <v/>
      </c>
      <c r="I1525" s="5">
        <f>IFERROR(INDEX(Tbl_KPIMaster[Maximum Target],MATCH($G1525,Tbl_KPIMaster[KPI],0)),"")</f>
        <v/>
      </c>
      <c r="J1525" s="5" t="n">
        <v>987.11</v>
      </c>
      <c r="K1525" s="4">
        <f>IFERROR(INDEX(Tbl_KPIMaster[Tolerance],MATCH($G1525,Tbl_KPIMaster[KPI],0)),"")</f>
        <v/>
      </c>
      <c r="L1525" s="4">
        <f>IFERROR(INDEX(Tbl_KPIMaster[Owner],MATCH($G1525,Tbl_KPIMaster[KPI],0)),"")</f>
        <v/>
      </c>
      <c r="M1525" s="6" t="inlineStr">
        <is>
          <t>Preventive check done</t>
        </is>
      </c>
      <c r="N1525" s="4" t="inlineStr"/>
      <c r="O1525" s="4" t="inlineStr">
        <is>
          <t>Medium</t>
        </is>
      </c>
      <c r="P1525" s="4" t="inlineStr">
        <is>
          <t>In Progress</t>
        </is>
      </c>
      <c r="Q1525" s="5">
        <f>IFERROR(IF(INDEX(Tbl_KPIMaster[Direction],MATCH($G1525,Tbl_KPIMaster[KPI],0))="Lower is Better",IF($J1525=0,1,IF($I1525=0,0,$I1525/$J1525)),IF($I1525=0,1,$J1525/$I1525)),0)</f>
        <v/>
      </c>
      <c r="R1525" s="4">
        <f>IF(OR($I1525="",$J1525=""),"",$J1525-$I1525)</f>
        <v/>
      </c>
      <c r="S1525" s="4">
        <f>IFERROR(IF(INDEX(Tbl_KPIMaster[Direction],MATCH($G1525,Tbl_KPIMaster[KPI],0))="Lower is Better",IF($J1525&lt;=$I1525,"Green",IF($J1525&lt;=$I1525+IF($I1525=0,$K1525,$I1525*$K1525),"Amber","Red")),IF($J1525&gt;=$I1525,"Green",IF($J1525&gt;=$I1525-IF($I1525=0,$K1525,$I1525*$K1525),"Amber","Red"))),"")</f>
        <v/>
      </c>
      <c r="T1525" s="6" t="inlineStr"/>
    </row>
    <row r="1526">
      <c r="A1526" s="7" t="n">
        <v>46206</v>
      </c>
      <c r="B1526" s="8">
        <f>IF($A1526="","",TEXT($A1526,"mmm-yyyy"))</f>
        <v/>
      </c>
      <c r="C1526" s="8">
        <f>IF($A1526="","","W"&amp;WEEKNUM($A1526,2))</f>
        <v/>
      </c>
      <c r="D1526" s="8">
        <f>IF($A1526="","",TEXT($A1526,"ddd"))</f>
        <v/>
      </c>
      <c r="E1526" s="8" t="inlineStr">
        <is>
          <t>Production</t>
        </is>
      </c>
      <c r="F1526" s="8">
        <f>IFERROR(INDEX(Tbl_KPIMaster[Category],MATCH($G1526,Tbl_KPIMaster[KPI],0)),"")</f>
        <v/>
      </c>
      <c r="G1526" s="8" t="inlineStr">
        <is>
          <t>OEE %</t>
        </is>
      </c>
      <c r="H1526" s="8">
        <f>IFERROR(INDEX(Tbl_KPIMaster[Unit],MATCH($G1526,Tbl_KPIMaster[KPI],0)),"")</f>
        <v/>
      </c>
      <c r="I1526" s="9">
        <f>IFERROR(INDEX(Tbl_KPIMaster[Maximum Target],MATCH($G1526,Tbl_KPIMaster[KPI],0)),"")</f>
        <v/>
      </c>
      <c r="J1526" s="9" t="n">
        <v>0.8907</v>
      </c>
      <c r="K1526" s="8">
        <f>IFERROR(INDEX(Tbl_KPIMaster[Tolerance],MATCH($G1526,Tbl_KPIMaster[KPI],0)),"")</f>
        <v/>
      </c>
      <c r="L1526" s="8">
        <f>IFERROR(INDEX(Tbl_KPIMaster[Owner],MATCH($G1526,Tbl_KPIMaster[KPI],0)),"")</f>
        <v/>
      </c>
      <c r="M1526" s="10" t="inlineStr">
        <is>
          <t>Process improvement in progress</t>
        </is>
      </c>
      <c r="N1526" s="8" t="inlineStr"/>
      <c r="O1526" s="8" t="inlineStr">
        <is>
          <t>Low</t>
        </is>
      </c>
      <c r="P1526" s="8" t="inlineStr">
        <is>
          <t>Open</t>
        </is>
      </c>
      <c r="Q1526" s="9">
        <f>IFERROR(IF(INDEX(Tbl_KPIMaster[Direction],MATCH($G1526,Tbl_KPIMaster[KPI],0))="Lower is Better",IF($J1526=0,1,IF($I1526=0,0,$I1526/$J1526)),IF($I1526=0,1,$J1526/$I1526)),0)</f>
        <v/>
      </c>
      <c r="R1526" s="8">
        <f>IF(OR($I1526="",$J1526=""),"",$J1526-$I1526)</f>
        <v/>
      </c>
      <c r="S1526" s="8">
        <f>IFERROR(IF(INDEX(Tbl_KPIMaster[Direction],MATCH($G1526,Tbl_KPIMaster[KPI],0))="Lower is Better",IF($J1526&lt;=$I1526,"Green",IF($J1526&lt;=$I1526+IF($I1526=0,$K1526,$I1526*$K1526),"Amber","Red")),IF($J1526&gt;=$I1526,"Green",IF($J1526&gt;=$I1526-IF($I1526=0,$K1526,$I1526*$K1526),"Amber","Red"))),"")</f>
        <v/>
      </c>
      <c r="T1526" s="10" t="inlineStr"/>
    </row>
    <row r="1527">
      <c r="A1527" s="3" t="n">
        <v>46206</v>
      </c>
      <c r="B1527" s="4">
        <f>IF($A1527="","",TEXT($A1527,"mmm-yyyy"))</f>
        <v/>
      </c>
      <c r="C1527" s="4">
        <f>IF($A1527="","","W"&amp;WEEKNUM($A1527,2))</f>
        <v/>
      </c>
      <c r="D1527" s="4">
        <f>IF($A1527="","",TEXT($A1527,"ddd"))</f>
        <v/>
      </c>
      <c r="E1527" s="4" t="inlineStr">
        <is>
          <t>Quality</t>
        </is>
      </c>
      <c r="F1527" s="4">
        <f>IFERROR(INDEX(Tbl_KPIMaster[Category],MATCH($G1527,Tbl_KPIMaster[KPI],0)),"")</f>
        <v/>
      </c>
      <c r="G1527" s="4" t="inlineStr">
        <is>
          <t>Defect Rate %</t>
        </is>
      </c>
      <c r="H1527" s="4">
        <f>IFERROR(INDEX(Tbl_KPIMaster[Unit],MATCH($G1527,Tbl_KPIMaster[KPI],0)),"")</f>
        <v/>
      </c>
      <c r="I1527" s="5">
        <f>IFERROR(INDEX(Tbl_KPIMaster[Maximum Target],MATCH($G1527,Tbl_KPIMaster[KPI],0)),"")</f>
        <v/>
      </c>
      <c r="J1527" s="5" t="n">
        <v>0</v>
      </c>
      <c r="K1527" s="4">
        <f>IFERROR(INDEX(Tbl_KPIMaster[Tolerance],MATCH($G1527,Tbl_KPIMaster[KPI],0)),"")</f>
        <v/>
      </c>
      <c r="L1527" s="4">
        <f>IFERROR(INDEX(Tbl_KPIMaster[Owner],MATCH($G1527,Tbl_KPIMaster[KPI],0)),"")</f>
        <v/>
      </c>
      <c r="M1527" s="6" t="inlineStr">
        <is>
          <t>Process improvement in progress</t>
        </is>
      </c>
      <c r="N1527" s="4" t="inlineStr"/>
      <c r="O1527" s="4" t="inlineStr">
        <is>
          <t>Low</t>
        </is>
      </c>
      <c r="P1527" s="4" t="inlineStr">
        <is>
          <t>Closed</t>
        </is>
      </c>
      <c r="Q1527" s="5">
        <f>IFERROR(IF(INDEX(Tbl_KPIMaster[Direction],MATCH($G1527,Tbl_KPIMaster[KPI],0))="Lower is Better",IF($J1527=0,1,IF($I1527=0,0,$I1527/$J1527)),IF($I1527=0,1,$J1527/$I1527)),0)</f>
        <v/>
      </c>
      <c r="R1527" s="4">
        <f>IF(OR($I1527="",$J1527=""),"",$J1527-$I1527)</f>
        <v/>
      </c>
      <c r="S1527" s="4">
        <f>IFERROR(IF(INDEX(Tbl_KPIMaster[Direction],MATCH($G1527,Tbl_KPIMaster[KPI],0))="Lower is Better",IF($J1527&lt;=$I1527,"Green",IF($J1527&lt;=$I1527+IF($I1527=0,$K1527,$I1527*$K1527),"Amber","Red")),IF($J1527&gt;=$I1527,"Green",IF($J1527&gt;=$I1527-IF($I1527=0,$K1527,$I1527*$K1527),"Amber","Red"))),"")</f>
        <v/>
      </c>
      <c r="T1527" s="6" t="inlineStr"/>
    </row>
    <row r="1528">
      <c r="A1528" s="7" t="n">
        <v>46206</v>
      </c>
      <c r="B1528" s="8">
        <f>IF($A1528="","",TEXT($A1528,"mmm-yyyy"))</f>
        <v/>
      </c>
      <c r="C1528" s="8">
        <f>IF($A1528="","","W"&amp;WEEKNUM($A1528,2))</f>
        <v/>
      </c>
      <c r="D1528" s="8">
        <f>IF($A1528="","",TEXT($A1528,"ddd"))</f>
        <v/>
      </c>
      <c r="E1528" s="8" t="inlineStr">
        <is>
          <t>Quality</t>
        </is>
      </c>
      <c r="F1528" s="8">
        <f>IFERROR(INDEX(Tbl_KPIMaster[Category],MATCH($G1528,Tbl_KPIMaster[KPI],0)),"")</f>
        <v/>
      </c>
      <c r="G1528" s="8" t="inlineStr">
        <is>
          <t>Customer Complaints</t>
        </is>
      </c>
      <c r="H1528" s="8">
        <f>IFERROR(INDEX(Tbl_KPIMaster[Unit],MATCH($G1528,Tbl_KPIMaster[KPI],0)),"")</f>
        <v/>
      </c>
      <c r="I1528" s="9">
        <f>IFERROR(INDEX(Tbl_KPIMaster[Maximum Target],MATCH($G1528,Tbl_KPIMaster[KPI],0)),"")</f>
        <v/>
      </c>
      <c r="J1528" s="9" t="n">
        <v>1</v>
      </c>
      <c r="K1528" s="8">
        <f>IFERROR(INDEX(Tbl_KPIMaster[Tolerance],MATCH($G1528,Tbl_KPIMaster[KPI],0)),"")</f>
        <v/>
      </c>
      <c r="L1528" s="8">
        <f>IFERROR(INDEX(Tbl_KPIMaster[Owner],MATCH($G1528,Tbl_KPIMaster[KPI],0)),"")</f>
        <v/>
      </c>
      <c r="M1528" s="10" t="inlineStr">
        <is>
          <t>New operator training effect</t>
        </is>
      </c>
      <c r="N1528" s="8" t="inlineStr"/>
      <c r="O1528" s="8" t="inlineStr">
        <is>
          <t>Low</t>
        </is>
      </c>
      <c r="P1528" s="8" t="inlineStr">
        <is>
          <t>In Progress</t>
        </is>
      </c>
      <c r="Q1528" s="9">
        <f>IFERROR(IF(INDEX(Tbl_KPIMaster[Direction],MATCH($G1528,Tbl_KPIMaster[KPI],0))="Lower is Better",IF($J1528=0,1,IF($I1528=0,0,$I1528/$J1528)),IF($I1528=0,1,$J1528/$I1528)),0)</f>
        <v/>
      </c>
      <c r="R1528" s="8">
        <f>IF(OR($I1528="",$J1528=""),"",$J1528-$I1528)</f>
        <v/>
      </c>
      <c r="S1528" s="8">
        <f>IFERROR(IF(INDEX(Tbl_KPIMaster[Direction],MATCH($G1528,Tbl_KPIMaster[KPI],0))="Lower is Better",IF($J1528&lt;=$I1528,"Green",IF($J1528&lt;=$I1528+IF($I1528=0,$K1528,$I1528*$K1528),"Amber","Red")),IF($J1528&gt;=$I1528,"Green",IF($J1528&gt;=$I1528-IF($I1528=0,$K1528,$I1528*$K1528),"Amber","Red"))),"")</f>
        <v/>
      </c>
      <c r="T1528" s="10" t="inlineStr"/>
    </row>
    <row r="1529">
      <c r="A1529" s="3" t="n">
        <v>46206</v>
      </c>
      <c r="B1529" s="4">
        <f>IF($A1529="","",TEXT($A1529,"mmm-yyyy"))</f>
        <v/>
      </c>
      <c r="C1529" s="4">
        <f>IF($A1529="","","W"&amp;WEEKNUM($A1529,2))</f>
        <v/>
      </c>
      <c r="D1529" s="4">
        <f>IF($A1529="","",TEXT($A1529,"ddd"))</f>
        <v/>
      </c>
      <c r="E1529" s="4" t="inlineStr">
        <is>
          <t>Maintenance</t>
        </is>
      </c>
      <c r="F1529" s="4">
        <f>IFERROR(INDEX(Tbl_KPIMaster[Category],MATCH($G1529,Tbl_KPIMaster[KPI],0)),"")</f>
        <v/>
      </c>
      <c r="G1529" s="4" t="inlineStr">
        <is>
          <t>Unplanned Downtime</t>
        </is>
      </c>
      <c r="H1529" s="4">
        <f>IFERROR(INDEX(Tbl_KPIMaster[Unit],MATCH($G1529,Tbl_KPIMaster[KPI],0)),"")</f>
        <v/>
      </c>
      <c r="I1529" s="5">
        <f>IFERROR(INDEX(Tbl_KPIMaster[Maximum Target],MATCH($G1529,Tbl_KPIMaster[KPI],0)),"")</f>
        <v/>
      </c>
      <c r="J1529" s="5" t="n">
        <v>0.77</v>
      </c>
      <c r="K1529" s="4">
        <f>IFERROR(INDEX(Tbl_KPIMaster[Tolerance],MATCH($G1529,Tbl_KPIMaster[KPI],0)),"")</f>
        <v/>
      </c>
      <c r="L1529" s="4">
        <f>IFERROR(INDEX(Tbl_KPIMaster[Owner],MATCH($G1529,Tbl_KPIMaster[KPI],0)),"")</f>
        <v/>
      </c>
      <c r="M1529" s="6" t="inlineStr">
        <is>
          <t>Vendor delay</t>
        </is>
      </c>
      <c r="N1529" s="4" t="inlineStr"/>
      <c r="O1529" s="4" t="inlineStr">
        <is>
          <t>Medium</t>
        </is>
      </c>
      <c r="P1529" s="4" t="inlineStr">
        <is>
          <t>In Progress</t>
        </is>
      </c>
      <c r="Q1529" s="5">
        <f>IFERROR(IF(INDEX(Tbl_KPIMaster[Direction],MATCH($G1529,Tbl_KPIMaster[KPI],0))="Lower is Better",IF($J1529=0,1,IF($I1529=0,0,$I1529/$J1529)),IF($I1529=0,1,$J1529/$I1529)),0)</f>
        <v/>
      </c>
      <c r="R1529" s="4">
        <f>IF(OR($I1529="",$J1529=""),"",$J1529-$I1529)</f>
        <v/>
      </c>
      <c r="S1529" s="4">
        <f>IFERROR(IF(INDEX(Tbl_KPIMaster[Direction],MATCH($G1529,Tbl_KPIMaster[KPI],0))="Lower is Better",IF($J1529&lt;=$I1529,"Green",IF($J1529&lt;=$I1529+IF($I1529=0,$K1529,$I1529*$K1529),"Amber","Red")),IF($J1529&gt;=$I1529,"Green",IF($J1529&gt;=$I1529-IF($I1529=0,$K1529,$I1529*$K1529),"Amber","Red"))),"")</f>
        <v/>
      </c>
      <c r="T1529" s="6" t="inlineStr"/>
    </row>
    <row r="1530">
      <c r="A1530" s="7" t="n">
        <v>46206</v>
      </c>
      <c r="B1530" s="8">
        <f>IF($A1530="","",TEXT($A1530,"mmm-yyyy"))</f>
        <v/>
      </c>
      <c r="C1530" s="8">
        <f>IF($A1530="","","W"&amp;WEEKNUM($A1530,2))</f>
        <v/>
      </c>
      <c r="D1530" s="8">
        <f>IF($A1530="","",TEXT($A1530,"ddd"))</f>
        <v/>
      </c>
      <c r="E1530" s="8" t="inlineStr">
        <is>
          <t>Maintenance</t>
        </is>
      </c>
      <c r="F1530" s="8">
        <f>IFERROR(INDEX(Tbl_KPIMaster[Category],MATCH($G1530,Tbl_KPIMaster[KPI],0)),"")</f>
        <v/>
      </c>
      <c r="G1530" s="8" t="inlineStr">
        <is>
          <t>PM Compliance %</t>
        </is>
      </c>
      <c r="H1530" s="8">
        <f>IFERROR(INDEX(Tbl_KPIMaster[Unit],MATCH($G1530,Tbl_KPIMaster[KPI],0)),"")</f>
        <v/>
      </c>
      <c r="I1530" s="9">
        <f>IFERROR(INDEX(Tbl_KPIMaster[Maximum Target],MATCH($G1530,Tbl_KPIMaster[KPI],0)),"")</f>
        <v/>
      </c>
      <c r="J1530" s="9" t="n">
        <v>0.979</v>
      </c>
      <c r="K1530" s="8">
        <f>IFERROR(INDEX(Tbl_KPIMaster[Tolerance],MATCH($G1530,Tbl_KPIMaster[KPI],0)),"")</f>
        <v/>
      </c>
      <c r="L1530" s="8">
        <f>IFERROR(INDEX(Tbl_KPIMaster[Owner],MATCH($G1530,Tbl_KPIMaster[KPI],0)),"")</f>
        <v/>
      </c>
      <c r="M1530" s="10" t="inlineStr">
        <is>
          <t>Vendor delay</t>
        </is>
      </c>
      <c r="N1530" s="8" t="inlineStr">
        <is>
          <t>Management approval pending</t>
        </is>
      </c>
      <c r="O1530" s="8" t="inlineStr">
        <is>
          <t>Low</t>
        </is>
      </c>
      <c r="P1530" s="8" t="inlineStr">
        <is>
          <t>Closed</t>
        </is>
      </c>
      <c r="Q1530" s="9">
        <f>IFERROR(IF(INDEX(Tbl_KPIMaster[Direction],MATCH($G1530,Tbl_KPIMaster[KPI],0))="Lower is Better",IF($J1530=0,1,IF($I1530=0,0,$I1530/$J1530)),IF($I1530=0,1,$J1530/$I1530)),0)</f>
        <v/>
      </c>
      <c r="R1530" s="8">
        <f>IF(OR($I1530="",$J1530=""),"",$J1530-$I1530)</f>
        <v/>
      </c>
      <c r="S1530" s="8">
        <f>IFERROR(IF(INDEX(Tbl_KPIMaster[Direction],MATCH($G1530,Tbl_KPIMaster[KPI],0))="Lower is Better",IF($J1530&lt;=$I1530,"Green",IF($J1530&lt;=$I1530+IF($I1530=0,$K1530,$I1530*$K1530),"Amber","Red")),IF($J1530&gt;=$I1530,"Green",IF($J1530&gt;=$I1530-IF($I1530=0,$K1530,$I1530*$K1530),"Amber","Red"))),"")</f>
        <v/>
      </c>
      <c r="T1530" s="10" t="inlineStr"/>
    </row>
    <row r="1531">
      <c r="A1531" s="3" t="n">
        <v>46206</v>
      </c>
      <c r="B1531" s="4">
        <f>IF($A1531="","",TEXT($A1531,"mmm-yyyy"))</f>
        <v/>
      </c>
      <c r="C1531" s="4">
        <f>IF($A1531="","","W"&amp;WEEKNUM($A1531,2))</f>
        <v/>
      </c>
      <c r="D1531" s="4">
        <f>IF($A1531="","",TEXT($A1531,"ddd"))</f>
        <v/>
      </c>
      <c r="E1531" s="4" t="inlineStr">
        <is>
          <t>Utilities</t>
        </is>
      </c>
      <c r="F1531" s="4">
        <f>IFERROR(INDEX(Tbl_KPIMaster[Category],MATCH($G1531,Tbl_KPIMaster[KPI],0)),"")</f>
        <v/>
      </c>
      <c r="G1531" s="4" t="inlineStr">
        <is>
          <t>Power Consumption</t>
        </is>
      </c>
      <c r="H1531" s="4">
        <f>IFERROR(INDEX(Tbl_KPIMaster[Unit],MATCH($G1531,Tbl_KPIMaster[KPI],0)),"")</f>
        <v/>
      </c>
      <c r="I1531" s="5">
        <f>IFERROR(INDEX(Tbl_KPIMaster[Maximum Target],MATCH($G1531,Tbl_KPIMaster[KPI],0)),"")</f>
        <v/>
      </c>
      <c r="J1531" s="5" t="n">
        <v>3646.33</v>
      </c>
      <c r="K1531" s="4">
        <f>IFERROR(INDEX(Tbl_KPIMaster[Tolerance],MATCH($G1531,Tbl_KPIMaster[KPI],0)),"")</f>
        <v/>
      </c>
      <c r="L1531" s="4">
        <f>IFERROR(INDEX(Tbl_KPIMaster[Owner],MATCH($G1531,Tbl_KPIMaster[KPI],0)),"")</f>
        <v/>
      </c>
      <c r="M1531" s="6" t="inlineStr">
        <is>
          <t>Vendor delay</t>
        </is>
      </c>
      <c r="N1531" s="4" t="inlineStr">
        <is>
          <t>Engineering support needed</t>
        </is>
      </c>
      <c r="O1531" s="4" t="inlineStr">
        <is>
          <t>Medium</t>
        </is>
      </c>
      <c r="P1531" s="4" t="inlineStr">
        <is>
          <t>Closed</t>
        </is>
      </c>
      <c r="Q1531" s="5">
        <f>IFERROR(IF(INDEX(Tbl_KPIMaster[Direction],MATCH($G1531,Tbl_KPIMaster[KPI],0))="Lower is Better",IF($J1531=0,1,IF($I1531=0,0,$I1531/$J1531)),IF($I1531=0,1,$J1531/$I1531)),0)</f>
        <v/>
      </c>
      <c r="R1531" s="4">
        <f>IF(OR($I1531="",$J1531=""),"",$J1531-$I1531)</f>
        <v/>
      </c>
      <c r="S1531" s="4">
        <f>IFERROR(IF(INDEX(Tbl_KPIMaster[Direction],MATCH($G1531,Tbl_KPIMaster[KPI],0))="Lower is Better",IF($J1531&lt;=$I1531,"Green",IF($J1531&lt;=$I1531+IF($I1531=0,$K1531,$I1531*$K1531),"Amber","Red")),IF($J1531&gt;=$I1531,"Green",IF($J1531&gt;=$I1531-IF($I1531=0,$K1531,$I1531*$K1531),"Amber","Red"))),"")</f>
        <v/>
      </c>
      <c r="T1531" s="6" t="inlineStr"/>
    </row>
    <row r="1532">
      <c r="A1532" s="7" t="n">
        <v>46206</v>
      </c>
      <c r="B1532" s="8">
        <f>IF($A1532="","",TEXT($A1532,"mmm-yyyy"))</f>
        <v/>
      </c>
      <c r="C1532" s="8">
        <f>IF($A1532="","","W"&amp;WEEKNUM($A1532,2))</f>
        <v/>
      </c>
      <c r="D1532" s="8">
        <f>IF($A1532="","",TEXT($A1532,"ddd"))</f>
        <v/>
      </c>
      <c r="E1532" s="8" t="inlineStr">
        <is>
          <t>Utilities</t>
        </is>
      </c>
      <c r="F1532" s="8">
        <f>IFERROR(INDEX(Tbl_KPIMaster[Category],MATCH($G1532,Tbl_KPIMaster[KPI],0)),"")</f>
        <v/>
      </c>
      <c r="G1532" s="8" t="inlineStr">
        <is>
          <t>Water Consumption</t>
        </is>
      </c>
      <c r="H1532" s="8">
        <f>IFERROR(INDEX(Tbl_KPIMaster[Unit],MATCH($G1532,Tbl_KPIMaster[KPI],0)),"")</f>
        <v/>
      </c>
      <c r="I1532" s="9">
        <f>IFERROR(INDEX(Tbl_KPIMaster[Maximum Target],MATCH($G1532,Tbl_KPIMaster[KPI],0)),"")</f>
        <v/>
      </c>
      <c r="J1532" s="9" t="n">
        <v>51.57</v>
      </c>
      <c r="K1532" s="8">
        <f>IFERROR(INDEX(Tbl_KPIMaster[Tolerance],MATCH($G1532,Tbl_KPIMaster[KPI],0)),"")</f>
        <v/>
      </c>
      <c r="L1532" s="8">
        <f>IFERROR(INDEX(Tbl_KPIMaster[Owner],MATCH($G1532,Tbl_KPIMaster[KPI],0)),"")</f>
        <v/>
      </c>
      <c r="M1532" s="10" t="inlineStr">
        <is>
          <t>Vendor delay</t>
        </is>
      </c>
      <c r="N1532" s="8" t="inlineStr"/>
      <c r="O1532" s="8" t="inlineStr">
        <is>
          <t>Low</t>
        </is>
      </c>
      <c r="P1532" s="8" t="inlineStr">
        <is>
          <t>Closed</t>
        </is>
      </c>
      <c r="Q1532" s="9">
        <f>IFERROR(IF(INDEX(Tbl_KPIMaster[Direction],MATCH($G1532,Tbl_KPIMaster[KPI],0))="Lower is Better",IF($J1532=0,1,IF($I1532=0,0,$I1532/$J1532)),IF($I1532=0,1,$J1532/$I1532)),0)</f>
        <v/>
      </c>
      <c r="R1532" s="8">
        <f>IF(OR($I1532="",$J1532=""),"",$J1532-$I1532)</f>
        <v/>
      </c>
      <c r="S1532" s="8">
        <f>IFERROR(IF(INDEX(Tbl_KPIMaster[Direction],MATCH($G1532,Tbl_KPIMaster[KPI],0))="Lower is Better",IF($J1532&lt;=$I1532,"Green",IF($J1532&lt;=$I1532+IF($I1532=0,$K1532,$I1532*$K1532),"Amber","Red")),IF($J1532&gt;=$I1532,"Green",IF($J1532&gt;=$I1532-IF($I1532=0,$K1532,$I1532*$K1532),"Amber","Red"))),"")</f>
        <v/>
      </c>
      <c r="T1532" s="10" t="inlineStr"/>
    </row>
    <row r="1533">
      <c r="A1533" s="3" t="n">
        <v>46206</v>
      </c>
      <c r="B1533" s="4">
        <f>IF($A1533="","",TEXT($A1533,"mmm-yyyy"))</f>
        <v/>
      </c>
      <c r="C1533" s="4">
        <f>IF($A1533="","","W"&amp;WEEKNUM($A1533,2))</f>
        <v/>
      </c>
      <c r="D1533" s="4">
        <f>IF($A1533="","",TEXT($A1533,"ddd"))</f>
        <v/>
      </c>
      <c r="E1533" s="4" t="inlineStr">
        <is>
          <t>Warehouse</t>
        </is>
      </c>
      <c r="F1533" s="4">
        <f>IFERROR(INDEX(Tbl_KPIMaster[Category],MATCH($G1533,Tbl_KPIMaster[KPI],0)),"")</f>
        <v/>
      </c>
      <c r="G1533" s="4" t="inlineStr">
        <is>
          <t>On-Time Dispatch %</t>
        </is>
      </c>
      <c r="H1533" s="4">
        <f>IFERROR(INDEX(Tbl_KPIMaster[Unit],MATCH($G1533,Tbl_KPIMaster[KPI],0)),"")</f>
        <v/>
      </c>
      <c r="I1533" s="5">
        <f>IFERROR(INDEX(Tbl_KPIMaster[Maximum Target],MATCH($G1533,Tbl_KPIMaster[KPI],0)),"")</f>
        <v/>
      </c>
      <c r="J1533" s="5" t="n">
        <v>0.9751</v>
      </c>
      <c r="K1533" s="4">
        <f>IFERROR(INDEX(Tbl_KPIMaster[Tolerance],MATCH($G1533,Tbl_KPIMaster[KPI],0)),"")</f>
        <v/>
      </c>
      <c r="L1533" s="4">
        <f>IFERROR(INDEX(Tbl_KPIMaster[Owner],MATCH($G1533,Tbl_KPIMaster[KPI],0)),"")</f>
        <v/>
      </c>
      <c r="M1533" s="6" t="inlineStr"/>
      <c r="N1533" s="4" t="inlineStr">
        <is>
          <t>Engineering support needed</t>
        </is>
      </c>
      <c r="O1533" s="4" t="inlineStr">
        <is>
          <t>Low</t>
        </is>
      </c>
      <c r="P1533" s="4" t="inlineStr">
        <is>
          <t>Closed</t>
        </is>
      </c>
      <c r="Q1533" s="5">
        <f>IFERROR(IF(INDEX(Tbl_KPIMaster[Direction],MATCH($G1533,Tbl_KPIMaster[KPI],0))="Lower is Better",IF($J1533=0,1,IF($I1533=0,0,$I1533/$J1533)),IF($I1533=0,1,$J1533/$I1533)),0)</f>
        <v/>
      </c>
      <c r="R1533" s="4">
        <f>IF(OR($I1533="",$J1533=""),"",$J1533-$I1533)</f>
        <v/>
      </c>
      <c r="S1533" s="4">
        <f>IFERROR(IF(INDEX(Tbl_KPIMaster[Direction],MATCH($G1533,Tbl_KPIMaster[KPI],0))="Lower is Better",IF($J1533&lt;=$I1533,"Green",IF($J1533&lt;=$I1533+IF($I1533=0,$K1533,$I1533*$K1533),"Amber","Red")),IF($J1533&gt;=$I1533,"Green",IF($J1533&gt;=$I1533-IF($I1533=0,$K1533,$I1533*$K1533),"Amber","Red"))),"")</f>
        <v/>
      </c>
      <c r="T1533" s="6" t="inlineStr"/>
    </row>
    <row r="1534">
      <c r="A1534" s="7" t="n">
        <v>46206</v>
      </c>
      <c r="B1534" s="8">
        <f>IF($A1534="","",TEXT($A1534,"mmm-yyyy"))</f>
        <v/>
      </c>
      <c r="C1534" s="8">
        <f>IF($A1534="","","W"&amp;WEEKNUM($A1534,2))</f>
        <v/>
      </c>
      <c r="D1534" s="8">
        <f>IF($A1534="","",TEXT($A1534,"ddd"))</f>
        <v/>
      </c>
      <c r="E1534" s="8" t="inlineStr">
        <is>
          <t>Warehouse</t>
        </is>
      </c>
      <c r="F1534" s="8">
        <f>IFERROR(INDEX(Tbl_KPIMaster[Category],MATCH($G1534,Tbl_KPIMaster[KPI],0)),"")</f>
        <v/>
      </c>
      <c r="G1534" s="8" t="inlineStr">
        <is>
          <t>Inventory Accuracy %</t>
        </is>
      </c>
      <c r="H1534" s="8">
        <f>IFERROR(INDEX(Tbl_KPIMaster[Unit],MATCH($G1534,Tbl_KPIMaster[KPI],0)),"")</f>
        <v/>
      </c>
      <c r="I1534" s="9">
        <f>IFERROR(INDEX(Tbl_KPIMaster[Maximum Target],MATCH($G1534,Tbl_KPIMaster[KPI],0)),"")</f>
        <v/>
      </c>
      <c r="J1534" s="9" t="n">
        <v>1.0217</v>
      </c>
      <c r="K1534" s="8">
        <f>IFERROR(INDEX(Tbl_KPIMaster[Tolerance],MATCH($G1534,Tbl_KPIMaster[KPI],0)),"")</f>
        <v/>
      </c>
      <c r="L1534" s="8">
        <f>IFERROR(INDEX(Tbl_KPIMaster[Owner],MATCH($G1534,Tbl_KPIMaster[KPI],0)),"")</f>
        <v/>
      </c>
      <c r="M1534" s="10" t="inlineStr">
        <is>
          <t>Within normal range</t>
        </is>
      </c>
      <c r="N1534" s="8" t="inlineStr">
        <is>
          <t>Procurement follow-up</t>
        </is>
      </c>
      <c r="O1534" s="8" t="inlineStr">
        <is>
          <t>Low</t>
        </is>
      </c>
      <c r="P1534" s="8" t="inlineStr">
        <is>
          <t>Closed</t>
        </is>
      </c>
      <c r="Q1534" s="9">
        <f>IFERROR(IF(INDEX(Tbl_KPIMaster[Direction],MATCH($G1534,Tbl_KPIMaster[KPI],0))="Lower is Better",IF($J1534=0,1,IF($I1534=0,0,$I1534/$J1534)),IF($I1534=0,1,$J1534/$I1534)),0)</f>
        <v/>
      </c>
      <c r="R1534" s="8">
        <f>IF(OR($I1534="",$J1534=""),"",$J1534-$I1534)</f>
        <v/>
      </c>
      <c r="S1534" s="8">
        <f>IFERROR(IF(INDEX(Tbl_KPIMaster[Direction],MATCH($G1534,Tbl_KPIMaster[KPI],0))="Lower is Better",IF($J1534&lt;=$I1534,"Green",IF($J1534&lt;=$I1534+IF($I1534=0,$K1534,$I1534*$K1534),"Amber","Red")),IF($J1534&gt;=$I1534,"Green",IF($J1534&gt;=$I1534-IF($I1534=0,$K1534,$I1534*$K1534),"Amber","Red"))),"")</f>
        <v/>
      </c>
      <c r="T1534" s="10" t="inlineStr"/>
    </row>
    <row r="1535">
      <c r="A1535" s="3" t="n">
        <v>46206</v>
      </c>
      <c r="B1535" s="4">
        <f>IF($A1535="","",TEXT($A1535,"mmm-yyyy"))</f>
        <v/>
      </c>
      <c r="C1535" s="4">
        <f>IF($A1535="","","W"&amp;WEEKNUM($A1535,2))</f>
        <v/>
      </c>
      <c r="D1535" s="4">
        <f>IF($A1535="","",TEXT($A1535,"ddd"))</f>
        <v/>
      </c>
      <c r="E1535" s="4" t="inlineStr">
        <is>
          <t>HR</t>
        </is>
      </c>
      <c r="F1535" s="4">
        <f>IFERROR(INDEX(Tbl_KPIMaster[Category],MATCH($G1535,Tbl_KPIMaster[KPI],0)),"")</f>
        <v/>
      </c>
      <c r="G1535" s="4" t="inlineStr">
        <is>
          <t>Absenteeism %</t>
        </is>
      </c>
      <c r="H1535" s="4">
        <f>IFERROR(INDEX(Tbl_KPIMaster[Unit],MATCH($G1535,Tbl_KPIMaster[KPI],0)),"")</f>
        <v/>
      </c>
      <c r="I1535" s="5">
        <f>IFERROR(INDEX(Tbl_KPIMaster[Maximum Target],MATCH($G1535,Tbl_KPIMaster[KPI],0)),"")</f>
        <v/>
      </c>
      <c r="J1535" s="5" t="n">
        <v>0.394</v>
      </c>
      <c r="K1535" s="4">
        <f>IFERROR(INDEX(Tbl_KPIMaster[Tolerance],MATCH($G1535,Tbl_KPIMaster[KPI],0)),"")</f>
        <v/>
      </c>
      <c r="L1535" s="4">
        <f>IFERROR(INDEX(Tbl_KPIMaster[Owner],MATCH($G1535,Tbl_KPIMaster[KPI],0)),"")</f>
        <v/>
      </c>
      <c r="M1535" s="6" t="inlineStr">
        <is>
          <t>Line changeover impact</t>
        </is>
      </c>
      <c r="N1535" s="4" t="inlineStr"/>
      <c r="O1535" s="4" t="inlineStr">
        <is>
          <t>Medium</t>
        </is>
      </c>
      <c r="P1535" s="4" t="inlineStr">
        <is>
          <t>Open</t>
        </is>
      </c>
      <c r="Q1535" s="5">
        <f>IFERROR(IF(INDEX(Tbl_KPIMaster[Direction],MATCH($G1535,Tbl_KPIMaster[KPI],0))="Lower is Better",IF($J1535=0,1,IF($I1535=0,0,$I1535/$J1535)),IF($I1535=0,1,$J1535/$I1535)),0)</f>
        <v/>
      </c>
      <c r="R1535" s="4">
        <f>IF(OR($I1535="",$J1535=""),"",$J1535-$I1535)</f>
        <v/>
      </c>
      <c r="S1535" s="4">
        <f>IFERROR(IF(INDEX(Tbl_KPIMaster[Direction],MATCH($G1535,Tbl_KPIMaster[KPI],0))="Lower is Better",IF($J1535&lt;=$I1535,"Green",IF($J1535&lt;=$I1535+IF($I1535=0,$K1535,$I1535*$K1535),"Amber","Red")),IF($J1535&gt;=$I1535,"Green",IF($J1535&gt;=$I1535-IF($I1535=0,$K1535,$I1535*$K1535),"Amber","Red"))),"")</f>
        <v/>
      </c>
      <c r="T1535" s="6" t="inlineStr"/>
    </row>
    <row r="1536">
      <c r="A1536" s="7" t="n">
        <v>46206</v>
      </c>
      <c r="B1536" s="8">
        <f>IF($A1536="","",TEXT($A1536,"mmm-yyyy"))</f>
        <v/>
      </c>
      <c r="C1536" s="8">
        <f>IF($A1536="","","W"&amp;WEEKNUM($A1536,2))</f>
        <v/>
      </c>
      <c r="D1536" s="8">
        <f>IF($A1536="","",TEXT($A1536,"ddd"))</f>
        <v/>
      </c>
      <c r="E1536" s="8" t="inlineStr">
        <is>
          <t>HR</t>
        </is>
      </c>
      <c r="F1536" s="8">
        <f>IFERROR(INDEX(Tbl_KPIMaster[Category],MATCH($G1536,Tbl_KPIMaster[KPI],0)),"")</f>
        <v/>
      </c>
      <c r="G1536" s="8" t="inlineStr">
        <is>
          <t>Training Hours</t>
        </is>
      </c>
      <c r="H1536" s="8">
        <f>IFERROR(INDEX(Tbl_KPIMaster[Unit],MATCH($G1536,Tbl_KPIMaster[KPI],0)),"")</f>
        <v/>
      </c>
      <c r="I1536" s="9">
        <f>IFERROR(INDEX(Tbl_KPIMaster[Maximum Target],MATCH($G1536,Tbl_KPIMaster[KPI],0)),"")</f>
        <v/>
      </c>
      <c r="J1536" s="9" t="n">
        <v>2.11</v>
      </c>
      <c r="K1536" s="8">
        <f>IFERROR(INDEX(Tbl_KPIMaster[Tolerance],MATCH($G1536,Tbl_KPIMaster[KPI],0)),"")</f>
        <v/>
      </c>
      <c r="L1536" s="8">
        <f>IFERROR(INDEX(Tbl_KPIMaster[Owner],MATCH($G1536,Tbl_KPIMaster[KPI],0)),"")</f>
        <v/>
      </c>
      <c r="M1536" s="10" t="inlineStr">
        <is>
          <t>Within normal range</t>
        </is>
      </c>
      <c r="N1536" s="8" t="inlineStr"/>
      <c r="O1536" s="8" t="inlineStr">
        <is>
          <t>Low</t>
        </is>
      </c>
      <c r="P1536" s="8" t="inlineStr">
        <is>
          <t>Closed</t>
        </is>
      </c>
      <c r="Q1536" s="9">
        <f>IFERROR(IF(INDEX(Tbl_KPIMaster[Direction],MATCH($G1536,Tbl_KPIMaster[KPI],0))="Lower is Better",IF($J1536=0,1,IF($I1536=0,0,$I1536/$J1536)),IF($I1536=0,1,$J1536/$I1536)),0)</f>
        <v/>
      </c>
      <c r="R1536" s="8">
        <f>IF(OR($I1536="",$J1536=""),"",$J1536-$I1536)</f>
        <v/>
      </c>
      <c r="S1536" s="8">
        <f>IFERROR(IF(INDEX(Tbl_KPIMaster[Direction],MATCH($G1536,Tbl_KPIMaster[KPI],0))="Lower is Better",IF($J1536&lt;=$I1536,"Green",IF($J1536&lt;=$I1536+IF($I1536=0,$K1536,$I1536*$K1536),"Amber","Red")),IF($J1536&gt;=$I1536,"Green",IF($J1536&gt;=$I1536-IF($I1536=0,$K1536,$I1536*$K1536),"Amber","Red"))),"")</f>
        <v/>
      </c>
      <c r="T1536" s="10" t="inlineStr"/>
    </row>
    <row r="1537">
      <c r="A1537" s="3" t="n">
        <v>46206</v>
      </c>
      <c r="B1537" s="4">
        <f>IF($A1537="","",TEXT($A1537,"mmm-yyyy"))</f>
        <v/>
      </c>
      <c r="C1537" s="4">
        <f>IF($A1537="","","W"&amp;WEEKNUM($A1537,2))</f>
        <v/>
      </c>
      <c r="D1537" s="4">
        <f>IF($A1537="","",TEXT($A1537,"ddd"))</f>
        <v/>
      </c>
      <c r="E1537" s="4" t="inlineStr">
        <is>
          <t>Engineering</t>
        </is>
      </c>
      <c r="F1537" s="4">
        <f>IFERROR(INDEX(Tbl_KPIMaster[Category],MATCH($G1537,Tbl_KPIMaster[KPI],0)),"")</f>
        <v/>
      </c>
      <c r="G1537" s="4" t="inlineStr">
        <is>
          <t>Project Milestone Adherence %</t>
        </is>
      </c>
      <c r="H1537" s="4">
        <f>IFERROR(INDEX(Tbl_KPIMaster[Unit],MATCH($G1537,Tbl_KPIMaster[KPI],0)),"")</f>
        <v/>
      </c>
      <c r="I1537" s="5">
        <f>IFERROR(INDEX(Tbl_KPIMaster[Maximum Target],MATCH($G1537,Tbl_KPIMaster[KPI],0)),"")</f>
        <v/>
      </c>
      <c r="J1537" s="5" t="n">
        <v>0.8276</v>
      </c>
      <c r="K1537" s="4">
        <f>IFERROR(INDEX(Tbl_KPIMaster[Tolerance],MATCH($G1537,Tbl_KPIMaster[KPI],0)),"")</f>
        <v/>
      </c>
      <c r="L1537" s="4">
        <f>IFERROR(INDEX(Tbl_KPIMaster[Owner],MATCH($G1537,Tbl_KPIMaster[KPI],0)),"")</f>
        <v/>
      </c>
      <c r="M1537" s="6" t="inlineStr">
        <is>
          <t>Vendor delay</t>
        </is>
      </c>
      <c r="N1537" s="4" t="inlineStr">
        <is>
          <t>Management approval pending</t>
        </is>
      </c>
      <c r="O1537" s="4" t="inlineStr">
        <is>
          <t>Medium</t>
        </is>
      </c>
      <c r="P1537" s="4" t="inlineStr">
        <is>
          <t>Open</t>
        </is>
      </c>
      <c r="Q1537" s="5">
        <f>IFERROR(IF(INDEX(Tbl_KPIMaster[Direction],MATCH($G1537,Tbl_KPIMaster[KPI],0))="Lower is Better",IF($J1537=0,1,IF($I1537=0,0,$I1537/$J1537)),IF($I1537=0,1,$J1537/$I1537)),0)</f>
        <v/>
      </c>
      <c r="R1537" s="4">
        <f>IF(OR($I1537="",$J1537=""),"",$J1537-$I1537)</f>
        <v/>
      </c>
      <c r="S1537" s="4">
        <f>IFERROR(IF(INDEX(Tbl_KPIMaster[Direction],MATCH($G1537,Tbl_KPIMaster[KPI],0))="Lower is Better",IF($J1537&lt;=$I1537,"Green",IF($J1537&lt;=$I1537+IF($I1537=0,$K1537,$I1537*$K1537),"Amber","Red")),IF($J1537&gt;=$I1537,"Green",IF($J1537&gt;=$I1537-IF($I1537=0,$K1537,$I1537*$K1537),"Amber","Red"))),"")</f>
        <v/>
      </c>
      <c r="T1537" s="6" t="inlineStr"/>
    </row>
    <row r="1538">
      <c r="A1538" s="7" t="n">
        <v>46206</v>
      </c>
      <c r="B1538" s="8">
        <f>IF($A1538="","",TEXT($A1538,"mmm-yyyy"))</f>
        <v/>
      </c>
      <c r="C1538" s="8">
        <f>IF($A1538="","","W"&amp;WEEKNUM($A1538,2))</f>
        <v/>
      </c>
      <c r="D1538" s="8">
        <f>IF($A1538="","",TEXT($A1538,"ddd"))</f>
        <v/>
      </c>
      <c r="E1538" s="8" t="inlineStr">
        <is>
          <t>Engineering</t>
        </is>
      </c>
      <c r="F1538" s="8">
        <f>IFERROR(INDEX(Tbl_KPIMaster[Category],MATCH($G1538,Tbl_KPIMaster[KPI],0)),"")</f>
        <v/>
      </c>
      <c r="G1538" s="8" t="inlineStr">
        <is>
          <t>Breakdown Resolution Time</t>
        </is>
      </c>
      <c r="H1538" s="8">
        <f>IFERROR(INDEX(Tbl_KPIMaster[Unit],MATCH($G1538,Tbl_KPIMaster[KPI],0)),"")</f>
        <v/>
      </c>
      <c r="I1538" s="9">
        <f>IFERROR(INDEX(Tbl_KPIMaster[Maximum Target],MATCH($G1538,Tbl_KPIMaster[KPI],0)),"")</f>
        <v/>
      </c>
      <c r="J1538" s="9" t="n">
        <v>0</v>
      </c>
      <c r="K1538" s="8">
        <f>IFERROR(INDEX(Tbl_KPIMaster[Tolerance],MATCH($G1538,Tbl_KPIMaster[KPI],0)),"")</f>
        <v/>
      </c>
      <c r="L1538" s="8">
        <f>IFERROR(INDEX(Tbl_KPIMaster[Owner],MATCH($G1538,Tbl_KPIMaster[KPI],0)),"")</f>
        <v/>
      </c>
      <c r="M1538" s="10" t="inlineStr">
        <is>
          <t>Within normal range</t>
        </is>
      </c>
      <c r="N1538" s="8" t="inlineStr"/>
      <c r="O1538" s="8" t="inlineStr">
        <is>
          <t>Medium</t>
        </is>
      </c>
      <c r="P1538" s="8" t="inlineStr">
        <is>
          <t>In Progress</t>
        </is>
      </c>
      <c r="Q1538" s="9">
        <f>IFERROR(IF(INDEX(Tbl_KPIMaster[Direction],MATCH($G1538,Tbl_KPIMaster[KPI],0))="Lower is Better",IF($J1538=0,1,IF($I1538=0,0,$I1538/$J1538)),IF($I1538=0,1,$J1538/$I1538)),0)</f>
        <v/>
      </c>
      <c r="R1538" s="8">
        <f>IF(OR($I1538="",$J1538=""),"",$J1538-$I1538)</f>
        <v/>
      </c>
      <c r="S1538" s="8">
        <f>IFERROR(IF(INDEX(Tbl_KPIMaster[Direction],MATCH($G1538,Tbl_KPIMaster[KPI],0))="Lower is Better",IF($J1538&lt;=$I1538,"Green",IF($J1538&lt;=$I1538+IF($I1538=0,$K1538,$I1538*$K1538),"Amber","Red")),IF($J1538&gt;=$I1538,"Green",IF($J1538&gt;=$I1538-IF($I1538=0,$K1538,$I1538*$K1538),"Amber","Red"))),"")</f>
        <v/>
      </c>
      <c r="T1538" s="10" t="inlineStr"/>
    </row>
    <row r="1539">
      <c r="A1539" s="3" t="n">
        <v>46206</v>
      </c>
      <c r="B1539" s="4">
        <f>IF($A1539="","",TEXT($A1539,"mmm-yyyy"))</f>
        <v/>
      </c>
      <c r="C1539" s="4">
        <f>IF($A1539="","","W"&amp;WEEKNUM($A1539,2))</f>
        <v/>
      </c>
      <c r="D1539" s="4">
        <f>IF($A1539="","",TEXT($A1539,"ddd"))</f>
        <v/>
      </c>
      <c r="E1539" s="4" t="inlineStr">
        <is>
          <t>Cost</t>
        </is>
      </c>
      <c r="F1539" s="4">
        <f>IFERROR(INDEX(Tbl_KPIMaster[Category],MATCH($G1539,Tbl_KPIMaster[KPI],0)),"")</f>
        <v/>
      </c>
      <c r="G1539" s="4" t="inlineStr">
        <is>
          <t>Cost per Unit</t>
        </is>
      </c>
      <c r="H1539" s="4">
        <f>IFERROR(INDEX(Tbl_KPIMaster[Unit],MATCH($G1539,Tbl_KPIMaster[KPI],0)),"")</f>
        <v/>
      </c>
      <c r="I1539" s="5">
        <f>IFERROR(INDEX(Tbl_KPIMaster[Maximum Target],MATCH($G1539,Tbl_KPIMaster[KPI],0)),"")</f>
        <v/>
      </c>
      <c r="J1539" s="5" t="n">
        <v>34.82</v>
      </c>
      <c r="K1539" s="4">
        <f>IFERROR(INDEX(Tbl_KPIMaster[Tolerance],MATCH($G1539,Tbl_KPIMaster[KPI],0)),"")</f>
        <v/>
      </c>
      <c r="L1539" s="4">
        <f>IFERROR(INDEX(Tbl_KPIMaster[Owner],MATCH($G1539,Tbl_KPIMaster[KPI],0)),"")</f>
        <v/>
      </c>
      <c r="M1539" s="6" t="inlineStr">
        <is>
          <t>Line changeover impact</t>
        </is>
      </c>
      <c r="N1539" s="4" t="inlineStr"/>
      <c r="O1539" s="4" t="inlineStr">
        <is>
          <t>Low</t>
        </is>
      </c>
      <c r="P1539" s="4" t="inlineStr">
        <is>
          <t>Open</t>
        </is>
      </c>
      <c r="Q1539" s="5">
        <f>IFERROR(IF(INDEX(Tbl_KPIMaster[Direction],MATCH($G1539,Tbl_KPIMaster[KPI],0))="Lower is Better",IF($J1539=0,1,IF($I1539=0,0,$I1539/$J1539)),IF($I1539=0,1,$J1539/$I1539)),0)</f>
        <v/>
      </c>
      <c r="R1539" s="4">
        <f>IF(OR($I1539="",$J1539=""),"",$J1539-$I1539)</f>
        <v/>
      </c>
      <c r="S1539" s="4">
        <f>IFERROR(IF(INDEX(Tbl_KPIMaster[Direction],MATCH($G1539,Tbl_KPIMaster[KPI],0))="Lower is Better",IF($J1539&lt;=$I1539,"Green",IF($J1539&lt;=$I1539+IF($I1539=0,$K1539,$I1539*$K1539),"Amber","Red")),IF($J1539&gt;=$I1539,"Green",IF($J1539&gt;=$I1539-IF($I1539=0,$K1539,$I1539*$K1539),"Amber","Red"))),"")</f>
        <v/>
      </c>
      <c r="T1539" s="6" t="inlineStr"/>
    </row>
    <row r="1540">
      <c r="A1540" s="7" t="n">
        <v>46206</v>
      </c>
      <c r="B1540" s="8">
        <f>IF($A1540="","",TEXT($A1540,"mmm-yyyy"))</f>
        <v/>
      </c>
      <c r="C1540" s="8">
        <f>IF($A1540="","","W"&amp;WEEKNUM($A1540,2))</f>
        <v/>
      </c>
      <c r="D1540" s="8">
        <f>IF($A1540="","",TEXT($A1540,"ddd"))</f>
        <v/>
      </c>
      <c r="E1540" s="8" t="inlineStr">
        <is>
          <t>Cost</t>
        </is>
      </c>
      <c r="F1540" s="8">
        <f>IFERROR(INDEX(Tbl_KPIMaster[Category],MATCH($G1540,Tbl_KPIMaster[KPI],0)),"")</f>
        <v/>
      </c>
      <c r="G1540" s="8" t="inlineStr">
        <is>
          <t>Budget Variance %</t>
        </is>
      </c>
      <c r="H1540" s="8">
        <f>IFERROR(INDEX(Tbl_KPIMaster[Unit],MATCH($G1540,Tbl_KPIMaster[KPI],0)),"")</f>
        <v/>
      </c>
      <c r="I1540" s="9">
        <f>IFERROR(INDEX(Tbl_KPIMaster[Maximum Target],MATCH($G1540,Tbl_KPIMaster[KPI],0)),"")</f>
        <v/>
      </c>
      <c r="J1540" s="9" t="n">
        <v>0.303</v>
      </c>
      <c r="K1540" s="8">
        <f>IFERROR(INDEX(Tbl_KPIMaster[Tolerance],MATCH($G1540,Tbl_KPIMaster[KPI],0)),"")</f>
        <v/>
      </c>
      <c r="L1540" s="8">
        <f>IFERROR(INDEX(Tbl_KPIMaster[Owner],MATCH($G1540,Tbl_KPIMaster[KPI],0)),"")</f>
        <v/>
      </c>
      <c r="M1540" s="10" t="inlineStr">
        <is>
          <t>New operator training effect</t>
        </is>
      </c>
      <c r="N1540" s="8" t="inlineStr"/>
      <c r="O1540" s="8" t="inlineStr">
        <is>
          <t>Low</t>
        </is>
      </c>
      <c r="P1540" s="8" t="inlineStr">
        <is>
          <t>Closed</t>
        </is>
      </c>
      <c r="Q1540" s="9">
        <f>IFERROR(IF(INDEX(Tbl_KPIMaster[Direction],MATCH($G1540,Tbl_KPIMaster[KPI],0))="Lower is Better",IF($J1540=0,1,IF($I1540=0,0,$I1540/$J1540)),IF($I1540=0,1,$J1540/$I1540)),0)</f>
        <v/>
      </c>
      <c r="R1540" s="8">
        <f>IF(OR($I1540="",$J1540=""),"",$J1540-$I1540)</f>
        <v/>
      </c>
      <c r="S1540" s="8">
        <f>IFERROR(IF(INDEX(Tbl_KPIMaster[Direction],MATCH($G1540,Tbl_KPIMaster[KPI],0))="Lower is Better",IF($J1540&lt;=$I1540,"Green",IF($J1540&lt;=$I1540+IF($I1540=0,$K1540,$I1540*$K1540),"Amber","Red")),IF($J1540&gt;=$I1540,"Green",IF($J1540&gt;=$I1540-IF($I1540=0,$K1540,$I1540*$K1540),"Amber","Red"))),"")</f>
        <v/>
      </c>
      <c r="T1540" s="10" t="inlineStr"/>
    </row>
    <row r="1541">
      <c r="A1541" s="3" t="n">
        <v>46206</v>
      </c>
      <c r="B1541" s="4">
        <f>IF($A1541="","",TEXT($A1541,"mmm-yyyy"))</f>
        <v/>
      </c>
      <c r="C1541" s="4">
        <f>IF($A1541="","","W"&amp;WEEKNUM($A1541,2))</f>
        <v/>
      </c>
      <c r="D1541" s="4">
        <f>IF($A1541="","",TEXT($A1541,"ddd"))</f>
        <v/>
      </c>
      <c r="E1541" s="4" t="inlineStr">
        <is>
          <t>Energy</t>
        </is>
      </c>
      <c r="F1541" s="4">
        <f>IFERROR(INDEX(Tbl_KPIMaster[Category],MATCH($G1541,Tbl_KPIMaster[KPI],0)),"")</f>
        <v/>
      </c>
      <c r="G1541" s="4" t="inlineStr">
        <is>
          <t>Energy Intensity (kWh/unit)</t>
        </is>
      </c>
      <c r="H1541" s="4">
        <f>IFERROR(INDEX(Tbl_KPIMaster[Unit],MATCH($G1541,Tbl_KPIMaster[KPI],0)),"")</f>
        <v/>
      </c>
      <c r="I1541" s="5">
        <f>IFERROR(INDEX(Tbl_KPIMaster[Maximum Target],MATCH($G1541,Tbl_KPIMaster[KPI],0)),"")</f>
        <v/>
      </c>
      <c r="J1541" s="5" t="n">
        <v>4.4</v>
      </c>
      <c r="K1541" s="4">
        <f>IFERROR(INDEX(Tbl_KPIMaster[Tolerance],MATCH($G1541,Tbl_KPIMaster[KPI],0)),"")</f>
        <v/>
      </c>
      <c r="L1541" s="4">
        <f>IFERROR(INDEX(Tbl_KPIMaster[Owner],MATCH($G1541,Tbl_KPIMaster[KPI],0)),"")</f>
        <v/>
      </c>
      <c r="M1541" s="6" t="inlineStr">
        <is>
          <t>Manpower shortage</t>
        </is>
      </c>
      <c r="N1541" s="4" t="inlineStr"/>
      <c r="O1541" s="4" t="inlineStr">
        <is>
          <t>Medium</t>
        </is>
      </c>
      <c r="P1541" s="4" t="inlineStr">
        <is>
          <t>Closed</t>
        </is>
      </c>
      <c r="Q1541" s="5">
        <f>IFERROR(IF(INDEX(Tbl_KPIMaster[Direction],MATCH($G1541,Tbl_KPIMaster[KPI],0))="Lower is Better",IF($J1541=0,1,IF($I1541=0,0,$I1541/$J1541)),IF($I1541=0,1,$J1541/$I1541)),0)</f>
        <v/>
      </c>
      <c r="R1541" s="4">
        <f>IF(OR($I1541="",$J1541=""),"",$J1541-$I1541)</f>
        <v/>
      </c>
      <c r="S1541" s="4">
        <f>IFERROR(IF(INDEX(Tbl_KPIMaster[Direction],MATCH($G1541,Tbl_KPIMaster[KPI],0))="Lower is Better",IF($J1541&lt;=$I1541,"Green",IF($J1541&lt;=$I1541+IF($I1541=0,$K1541,$I1541*$K1541),"Amber","Red")),IF($J1541&gt;=$I1541,"Green",IF($J1541&gt;=$I1541-IF($I1541=0,$K1541,$I1541*$K1541),"Amber","Red"))),"")</f>
        <v/>
      </c>
      <c r="T1541" s="6" t="inlineStr"/>
    </row>
    <row r="1542">
      <c r="A1542" s="7" t="n">
        <v>46206</v>
      </c>
      <c r="B1542" s="8">
        <f>IF($A1542="","",TEXT($A1542,"mmm-yyyy"))</f>
        <v/>
      </c>
      <c r="C1542" s="8">
        <f>IF($A1542="","","W"&amp;WEEKNUM($A1542,2))</f>
        <v/>
      </c>
      <c r="D1542" s="8">
        <f>IF($A1542="","",TEXT($A1542,"ddd"))</f>
        <v/>
      </c>
      <c r="E1542" s="8" t="inlineStr">
        <is>
          <t>Energy</t>
        </is>
      </c>
      <c r="F1542" s="8">
        <f>IFERROR(INDEX(Tbl_KPIMaster[Category],MATCH($G1542,Tbl_KPIMaster[KPI],0)),"")</f>
        <v/>
      </c>
      <c r="G1542" s="8" t="inlineStr">
        <is>
          <t>Renewable Energy Share %</t>
        </is>
      </c>
      <c r="H1542" s="8">
        <f>IFERROR(INDEX(Tbl_KPIMaster[Unit],MATCH($G1542,Tbl_KPIMaster[KPI],0)),"")</f>
        <v/>
      </c>
      <c r="I1542" s="9">
        <f>IFERROR(INDEX(Tbl_KPIMaster[Maximum Target],MATCH($G1542,Tbl_KPIMaster[KPI],0)),"")</f>
        <v/>
      </c>
      <c r="J1542" s="9" t="n">
        <v>0.2269</v>
      </c>
      <c r="K1542" s="8">
        <f>IFERROR(INDEX(Tbl_KPIMaster[Tolerance],MATCH($G1542,Tbl_KPIMaster[KPI],0)),"")</f>
        <v/>
      </c>
      <c r="L1542" s="8">
        <f>IFERROR(INDEX(Tbl_KPIMaster[Owner],MATCH($G1542,Tbl_KPIMaster[KPI],0)),"")</f>
        <v/>
      </c>
      <c r="M1542" s="10" t="inlineStr">
        <is>
          <t>Weather impact</t>
        </is>
      </c>
      <c r="N1542" s="8" t="inlineStr"/>
      <c r="O1542" s="8" t="inlineStr">
        <is>
          <t>Low</t>
        </is>
      </c>
      <c r="P1542" s="8" t="inlineStr">
        <is>
          <t>Closed</t>
        </is>
      </c>
      <c r="Q1542" s="9">
        <f>IFERROR(IF(INDEX(Tbl_KPIMaster[Direction],MATCH($G1542,Tbl_KPIMaster[KPI],0))="Lower is Better",IF($J1542=0,1,IF($I1542=0,0,$I1542/$J1542)),IF($I1542=0,1,$J1542/$I1542)),0)</f>
        <v/>
      </c>
      <c r="R1542" s="8">
        <f>IF(OR($I1542="",$J1542=""),"",$J1542-$I1542)</f>
        <v/>
      </c>
      <c r="S1542" s="8">
        <f>IFERROR(IF(INDEX(Tbl_KPIMaster[Direction],MATCH($G1542,Tbl_KPIMaster[KPI],0))="Lower is Better",IF($J1542&lt;=$I1542,"Green",IF($J1542&lt;=$I1542+IF($I1542=0,$K1542,$I1542*$K1542),"Amber","Red")),IF($J1542&gt;=$I1542,"Green",IF($J1542&gt;=$I1542-IF($I1542=0,$K1542,$I1542*$K1542),"Amber","Red"))),"")</f>
        <v/>
      </c>
      <c r="T1542" s="10" t="inlineStr"/>
    </row>
    <row r="1543">
      <c r="A1543" s="3" t="n">
        <v>46207</v>
      </c>
      <c r="B1543" s="4">
        <f>IF($A1543="","",TEXT($A1543,"mmm-yyyy"))</f>
        <v/>
      </c>
      <c r="C1543" s="4">
        <f>IF($A1543="","","W"&amp;WEEKNUM($A1543,2))</f>
        <v/>
      </c>
      <c r="D1543" s="4">
        <f>IF($A1543="","",TEXT($A1543,"ddd"))</f>
        <v/>
      </c>
      <c r="E1543" s="4" t="inlineStr">
        <is>
          <t>Safety</t>
        </is>
      </c>
      <c r="F1543" s="4">
        <f>IFERROR(INDEX(Tbl_KPIMaster[Category],MATCH($G1543,Tbl_KPIMaster[KPI],0)),"")</f>
        <v/>
      </c>
      <c r="G1543" s="4" t="inlineStr">
        <is>
          <t>Safety Incidents (LTI)</t>
        </is>
      </c>
      <c r="H1543" s="4">
        <f>IFERROR(INDEX(Tbl_KPIMaster[Unit],MATCH($G1543,Tbl_KPIMaster[KPI],0)),"")</f>
        <v/>
      </c>
      <c r="I1543" s="5">
        <f>IFERROR(INDEX(Tbl_KPIMaster[Maximum Target],MATCH($G1543,Tbl_KPIMaster[KPI],0)),"")</f>
        <v/>
      </c>
      <c r="J1543" s="5" t="n">
        <v>0</v>
      </c>
      <c r="K1543" s="4">
        <f>IFERROR(INDEX(Tbl_KPIMaster[Tolerance],MATCH($G1543,Tbl_KPIMaster[KPI],0)),"")</f>
        <v/>
      </c>
      <c r="L1543" s="4">
        <f>IFERROR(INDEX(Tbl_KPIMaster[Owner],MATCH($G1543,Tbl_KPIMaster[KPI],0)),"")</f>
        <v/>
      </c>
      <c r="M1543" s="6" t="inlineStr">
        <is>
          <t>Weather impact</t>
        </is>
      </c>
      <c r="N1543" s="4" t="inlineStr"/>
      <c r="O1543" s="4" t="inlineStr">
        <is>
          <t>Low</t>
        </is>
      </c>
      <c r="P1543" s="4" t="inlineStr">
        <is>
          <t>In Progress</t>
        </is>
      </c>
      <c r="Q1543" s="5">
        <f>IFERROR(IF(INDEX(Tbl_KPIMaster[Direction],MATCH($G1543,Tbl_KPIMaster[KPI],0))="Lower is Better",IF($J1543=0,1,IF($I1543=0,0,$I1543/$J1543)),IF($I1543=0,1,$J1543/$I1543)),0)</f>
        <v/>
      </c>
      <c r="R1543" s="4">
        <f>IF(OR($I1543="",$J1543=""),"",$J1543-$I1543)</f>
        <v/>
      </c>
      <c r="S1543" s="4">
        <f>IFERROR(IF(INDEX(Tbl_KPIMaster[Direction],MATCH($G1543,Tbl_KPIMaster[KPI],0))="Lower is Better",IF($J1543&lt;=$I1543,"Green",IF($J1543&lt;=$I1543+IF($I1543=0,$K1543,$I1543*$K1543),"Amber","Red")),IF($J1543&gt;=$I1543,"Green",IF($J1543&gt;=$I1543-IF($I1543=0,$K1543,$I1543*$K1543),"Amber","Red"))),"")</f>
        <v/>
      </c>
      <c r="T1543" s="6" t="inlineStr"/>
    </row>
    <row r="1544">
      <c r="A1544" s="7" t="n">
        <v>46207</v>
      </c>
      <c r="B1544" s="8">
        <f>IF($A1544="","",TEXT($A1544,"mmm-yyyy"))</f>
        <v/>
      </c>
      <c r="C1544" s="8">
        <f>IF($A1544="","","W"&amp;WEEKNUM($A1544,2))</f>
        <v/>
      </c>
      <c r="D1544" s="8">
        <f>IF($A1544="","",TEXT($A1544,"ddd"))</f>
        <v/>
      </c>
      <c r="E1544" s="8" t="inlineStr">
        <is>
          <t>Safety</t>
        </is>
      </c>
      <c r="F1544" s="8">
        <f>IFERROR(INDEX(Tbl_KPIMaster[Category],MATCH($G1544,Tbl_KPIMaster[KPI],0)),"")</f>
        <v/>
      </c>
      <c r="G1544" s="8" t="inlineStr">
        <is>
          <t>Near Miss Reports</t>
        </is>
      </c>
      <c r="H1544" s="8">
        <f>IFERROR(INDEX(Tbl_KPIMaster[Unit],MATCH($G1544,Tbl_KPIMaster[KPI],0)),"")</f>
        <v/>
      </c>
      <c r="I1544" s="9">
        <f>IFERROR(INDEX(Tbl_KPIMaster[Maximum Target],MATCH($G1544,Tbl_KPIMaster[KPI],0)),"")</f>
        <v/>
      </c>
      <c r="J1544" s="9" t="n">
        <v>2</v>
      </c>
      <c r="K1544" s="8">
        <f>IFERROR(INDEX(Tbl_KPIMaster[Tolerance],MATCH($G1544,Tbl_KPIMaster[KPI],0)),"")</f>
        <v/>
      </c>
      <c r="L1544" s="8">
        <f>IFERROR(INDEX(Tbl_KPIMaster[Owner],MATCH($G1544,Tbl_KPIMaster[KPI],0)),"")</f>
        <v/>
      </c>
      <c r="M1544" s="10" t="inlineStr">
        <is>
          <t>Process improvement in progress</t>
        </is>
      </c>
      <c r="N1544" s="8" t="inlineStr"/>
      <c r="O1544" s="8" t="inlineStr">
        <is>
          <t>Low</t>
        </is>
      </c>
      <c r="P1544" s="8" t="inlineStr">
        <is>
          <t>Closed</t>
        </is>
      </c>
      <c r="Q1544" s="9">
        <f>IFERROR(IF(INDEX(Tbl_KPIMaster[Direction],MATCH($G1544,Tbl_KPIMaster[KPI],0))="Lower is Better",IF($J1544=0,1,IF($I1544=0,0,$I1544/$J1544)),IF($I1544=0,1,$J1544/$I1544)),0)</f>
        <v/>
      </c>
      <c r="R1544" s="8">
        <f>IF(OR($I1544="",$J1544=""),"",$J1544-$I1544)</f>
        <v/>
      </c>
      <c r="S1544" s="8">
        <f>IFERROR(IF(INDEX(Tbl_KPIMaster[Direction],MATCH($G1544,Tbl_KPIMaster[KPI],0))="Lower is Better",IF($J1544&lt;=$I1544,"Green",IF($J1544&lt;=$I1544+IF($I1544=0,$K1544,$I1544*$K1544),"Amber","Red")),IF($J1544&gt;=$I1544,"Green",IF($J1544&gt;=$I1544-IF($I1544=0,$K1544,$I1544*$K1544),"Amber","Red"))),"")</f>
        <v/>
      </c>
      <c r="T1544" s="10" t="inlineStr"/>
    </row>
    <row r="1545">
      <c r="A1545" s="3" t="n">
        <v>46207</v>
      </c>
      <c r="B1545" s="4">
        <f>IF($A1545="","",TEXT($A1545,"mmm-yyyy"))</f>
        <v/>
      </c>
      <c r="C1545" s="4">
        <f>IF($A1545="","","W"&amp;WEEKNUM($A1545,2))</f>
        <v/>
      </c>
      <c r="D1545" s="4">
        <f>IF($A1545="","",TEXT($A1545,"ddd"))</f>
        <v/>
      </c>
      <c r="E1545" s="4" t="inlineStr">
        <is>
          <t>Production</t>
        </is>
      </c>
      <c r="F1545" s="4">
        <f>IFERROR(INDEX(Tbl_KPIMaster[Category],MATCH($G1545,Tbl_KPIMaster[KPI],0)),"")</f>
        <v/>
      </c>
      <c r="G1545" s="4" t="inlineStr">
        <is>
          <t>Production Output</t>
        </is>
      </c>
      <c r="H1545" s="4">
        <f>IFERROR(INDEX(Tbl_KPIMaster[Unit],MATCH($G1545,Tbl_KPIMaster[KPI],0)),"")</f>
        <v/>
      </c>
      <c r="I1545" s="5">
        <f>IFERROR(INDEX(Tbl_KPIMaster[Maximum Target],MATCH($G1545,Tbl_KPIMaster[KPI],0)),"")</f>
        <v/>
      </c>
      <c r="J1545" s="5" t="n">
        <v>926.5700000000001</v>
      </c>
      <c r="K1545" s="4">
        <f>IFERROR(INDEX(Tbl_KPIMaster[Tolerance],MATCH($G1545,Tbl_KPIMaster[KPI],0)),"")</f>
        <v/>
      </c>
      <c r="L1545" s="4">
        <f>IFERROR(INDEX(Tbl_KPIMaster[Owner],MATCH($G1545,Tbl_KPIMaster[KPI],0)),"")</f>
        <v/>
      </c>
      <c r="M1545" s="6" t="inlineStr">
        <is>
          <t>Manpower shortage</t>
        </is>
      </c>
      <c r="N1545" s="4" t="inlineStr">
        <is>
          <t>Engineering support needed</t>
        </is>
      </c>
      <c r="O1545" s="4" t="inlineStr">
        <is>
          <t>Low</t>
        </is>
      </c>
      <c r="P1545" s="4" t="inlineStr">
        <is>
          <t>Closed</t>
        </is>
      </c>
      <c r="Q1545" s="5">
        <f>IFERROR(IF(INDEX(Tbl_KPIMaster[Direction],MATCH($G1545,Tbl_KPIMaster[KPI],0))="Lower is Better",IF($J1545=0,1,IF($I1545=0,0,$I1545/$J1545)),IF($I1545=0,1,$J1545/$I1545)),0)</f>
        <v/>
      </c>
      <c r="R1545" s="4">
        <f>IF(OR($I1545="",$J1545=""),"",$J1545-$I1545)</f>
        <v/>
      </c>
      <c r="S1545" s="4">
        <f>IFERROR(IF(INDEX(Tbl_KPIMaster[Direction],MATCH($G1545,Tbl_KPIMaster[KPI],0))="Lower is Better",IF($J1545&lt;=$I1545,"Green",IF($J1545&lt;=$I1545+IF($I1545=0,$K1545,$I1545*$K1545),"Amber","Red")),IF($J1545&gt;=$I1545,"Green",IF($J1545&gt;=$I1545-IF($I1545=0,$K1545,$I1545*$K1545),"Amber","Red"))),"")</f>
        <v/>
      </c>
      <c r="T1545" s="6" t="inlineStr"/>
    </row>
    <row r="1546">
      <c r="A1546" s="7" t="n">
        <v>46207</v>
      </c>
      <c r="B1546" s="8">
        <f>IF($A1546="","",TEXT($A1546,"mmm-yyyy"))</f>
        <v/>
      </c>
      <c r="C1546" s="8">
        <f>IF($A1546="","","W"&amp;WEEKNUM($A1546,2))</f>
        <v/>
      </c>
      <c r="D1546" s="8">
        <f>IF($A1546="","",TEXT($A1546,"ddd"))</f>
        <v/>
      </c>
      <c r="E1546" s="8" t="inlineStr">
        <is>
          <t>Production</t>
        </is>
      </c>
      <c r="F1546" s="8">
        <f>IFERROR(INDEX(Tbl_KPIMaster[Category],MATCH($G1546,Tbl_KPIMaster[KPI],0)),"")</f>
        <v/>
      </c>
      <c r="G1546" s="8" t="inlineStr">
        <is>
          <t>OEE %</t>
        </is>
      </c>
      <c r="H1546" s="8">
        <f>IFERROR(INDEX(Tbl_KPIMaster[Unit],MATCH($G1546,Tbl_KPIMaster[KPI],0)),"")</f>
        <v/>
      </c>
      <c r="I1546" s="9">
        <f>IFERROR(INDEX(Tbl_KPIMaster[Maximum Target],MATCH($G1546,Tbl_KPIMaster[KPI],0)),"")</f>
        <v/>
      </c>
      <c r="J1546" s="9" t="n">
        <v>0.7225</v>
      </c>
      <c r="K1546" s="8">
        <f>IFERROR(INDEX(Tbl_KPIMaster[Tolerance],MATCH($G1546,Tbl_KPIMaster[KPI],0)),"")</f>
        <v/>
      </c>
      <c r="L1546" s="8">
        <f>IFERROR(INDEX(Tbl_KPIMaster[Owner],MATCH($G1546,Tbl_KPIMaster[KPI],0)),"")</f>
        <v/>
      </c>
      <c r="M1546" s="10" t="inlineStr">
        <is>
          <t>Preventive check done</t>
        </is>
      </c>
      <c r="N1546" s="8" t="inlineStr"/>
      <c r="O1546" s="8" t="inlineStr">
        <is>
          <t>High</t>
        </is>
      </c>
      <c r="P1546" s="8" t="inlineStr">
        <is>
          <t>Open</t>
        </is>
      </c>
      <c r="Q1546" s="9">
        <f>IFERROR(IF(INDEX(Tbl_KPIMaster[Direction],MATCH($G1546,Tbl_KPIMaster[KPI],0))="Lower is Better",IF($J1546=0,1,IF($I1546=0,0,$I1546/$J1546)),IF($I1546=0,1,$J1546/$I1546)),0)</f>
        <v/>
      </c>
      <c r="R1546" s="8">
        <f>IF(OR($I1546="",$J1546=""),"",$J1546-$I1546)</f>
        <v/>
      </c>
      <c r="S1546" s="8">
        <f>IFERROR(IF(INDEX(Tbl_KPIMaster[Direction],MATCH($G1546,Tbl_KPIMaster[KPI],0))="Lower is Better",IF($J1546&lt;=$I1546,"Green",IF($J1546&lt;=$I1546+IF($I1546=0,$K1546,$I1546*$K1546),"Amber","Red")),IF($J1546&gt;=$I1546,"Green",IF($J1546&gt;=$I1546-IF($I1546=0,$K1546,$I1546*$K1546),"Amber","Red"))),"")</f>
        <v/>
      </c>
      <c r="T1546" s="10" t="inlineStr"/>
    </row>
    <row r="1547">
      <c r="A1547" s="3" t="n">
        <v>46207</v>
      </c>
      <c r="B1547" s="4">
        <f>IF($A1547="","",TEXT($A1547,"mmm-yyyy"))</f>
        <v/>
      </c>
      <c r="C1547" s="4">
        <f>IF($A1547="","","W"&amp;WEEKNUM($A1547,2))</f>
        <v/>
      </c>
      <c r="D1547" s="4">
        <f>IF($A1547="","",TEXT($A1547,"ddd"))</f>
        <v/>
      </c>
      <c r="E1547" s="4" t="inlineStr">
        <is>
          <t>Quality</t>
        </is>
      </c>
      <c r="F1547" s="4">
        <f>IFERROR(INDEX(Tbl_KPIMaster[Category],MATCH($G1547,Tbl_KPIMaster[KPI],0)),"")</f>
        <v/>
      </c>
      <c r="G1547" s="4" t="inlineStr">
        <is>
          <t>Defect Rate %</t>
        </is>
      </c>
      <c r="H1547" s="4">
        <f>IFERROR(INDEX(Tbl_KPIMaster[Unit],MATCH($G1547,Tbl_KPIMaster[KPI],0)),"")</f>
        <v/>
      </c>
      <c r="I1547" s="5">
        <f>IFERROR(INDEX(Tbl_KPIMaster[Maximum Target],MATCH($G1547,Tbl_KPIMaster[KPI],0)),"")</f>
        <v/>
      </c>
      <c r="J1547" s="5" t="n">
        <v>0.6717</v>
      </c>
      <c r="K1547" s="4">
        <f>IFERROR(INDEX(Tbl_KPIMaster[Tolerance],MATCH($G1547,Tbl_KPIMaster[KPI],0)),"")</f>
        <v/>
      </c>
      <c r="L1547" s="4">
        <f>IFERROR(INDEX(Tbl_KPIMaster[Owner],MATCH($G1547,Tbl_KPIMaster[KPI],0)),"")</f>
        <v/>
      </c>
      <c r="M1547" s="6" t="inlineStr"/>
      <c r="N1547" s="4" t="inlineStr">
        <is>
          <t>Management approval pending</t>
        </is>
      </c>
      <c r="O1547" s="4" t="inlineStr">
        <is>
          <t>High</t>
        </is>
      </c>
      <c r="P1547" s="4" t="inlineStr">
        <is>
          <t>Closed</t>
        </is>
      </c>
      <c r="Q1547" s="5">
        <f>IFERROR(IF(INDEX(Tbl_KPIMaster[Direction],MATCH($G1547,Tbl_KPIMaster[KPI],0))="Lower is Better",IF($J1547=0,1,IF($I1547=0,0,$I1547/$J1547)),IF($I1547=0,1,$J1547/$I1547)),0)</f>
        <v/>
      </c>
      <c r="R1547" s="4">
        <f>IF(OR($I1547="",$J1547=""),"",$J1547-$I1547)</f>
        <v/>
      </c>
      <c r="S1547" s="4">
        <f>IFERROR(IF(INDEX(Tbl_KPIMaster[Direction],MATCH($G1547,Tbl_KPIMaster[KPI],0))="Lower is Better",IF($J1547&lt;=$I1547,"Green",IF($J1547&lt;=$I1547+IF($I1547=0,$K1547,$I1547*$K1547),"Amber","Red")),IF($J1547&gt;=$I1547,"Green",IF($J1547&gt;=$I1547-IF($I1547=0,$K1547,$I1547*$K1547),"Amber","Red"))),"")</f>
        <v/>
      </c>
      <c r="T1547" s="6" t="inlineStr"/>
    </row>
    <row r="1548">
      <c r="A1548" s="7" t="n">
        <v>46207</v>
      </c>
      <c r="B1548" s="8">
        <f>IF($A1548="","",TEXT($A1548,"mmm-yyyy"))</f>
        <v/>
      </c>
      <c r="C1548" s="8">
        <f>IF($A1548="","","W"&amp;WEEKNUM($A1548,2))</f>
        <v/>
      </c>
      <c r="D1548" s="8">
        <f>IF($A1548="","",TEXT($A1548,"ddd"))</f>
        <v/>
      </c>
      <c r="E1548" s="8" t="inlineStr">
        <is>
          <t>Quality</t>
        </is>
      </c>
      <c r="F1548" s="8">
        <f>IFERROR(INDEX(Tbl_KPIMaster[Category],MATCH($G1548,Tbl_KPIMaster[KPI],0)),"")</f>
        <v/>
      </c>
      <c r="G1548" s="8" t="inlineStr">
        <is>
          <t>Customer Complaints</t>
        </is>
      </c>
      <c r="H1548" s="8">
        <f>IFERROR(INDEX(Tbl_KPIMaster[Unit],MATCH($G1548,Tbl_KPIMaster[KPI],0)),"")</f>
        <v/>
      </c>
      <c r="I1548" s="9">
        <f>IFERROR(INDEX(Tbl_KPIMaster[Maximum Target],MATCH($G1548,Tbl_KPIMaster[KPI],0)),"")</f>
        <v/>
      </c>
      <c r="J1548" s="9" t="n">
        <v>3</v>
      </c>
      <c r="K1548" s="8">
        <f>IFERROR(INDEX(Tbl_KPIMaster[Tolerance],MATCH($G1548,Tbl_KPIMaster[KPI],0)),"")</f>
        <v/>
      </c>
      <c r="L1548" s="8">
        <f>IFERROR(INDEX(Tbl_KPIMaster[Owner],MATCH($G1548,Tbl_KPIMaster[KPI],0)),"")</f>
        <v/>
      </c>
      <c r="M1548" s="10" t="inlineStr">
        <is>
          <t>Vendor delay</t>
        </is>
      </c>
      <c r="N1548" s="8" t="inlineStr"/>
      <c r="O1548" s="8" t="inlineStr">
        <is>
          <t>Low</t>
        </is>
      </c>
      <c r="P1548" s="8" t="inlineStr">
        <is>
          <t>In Progress</t>
        </is>
      </c>
      <c r="Q1548" s="9">
        <f>IFERROR(IF(INDEX(Tbl_KPIMaster[Direction],MATCH($G1548,Tbl_KPIMaster[KPI],0))="Lower is Better",IF($J1548=0,1,IF($I1548=0,0,$I1548/$J1548)),IF($I1548=0,1,$J1548/$I1548)),0)</f>
        <v/>
      </c>
      <c r="R1548" s="8">
        <f>IF(OR($I1548="",$J1548=""),"",$J1548-$I1548)</f>
        <v/>
      </c>
      <c r="S1548" s="8">
        <f>IFERROR(IF(INDEX(Tbl_KPIMaster[Direction],MATCH($G1548,Tbl_KPIMaster[KPI],0))="Lower is Better",IF($J1548&lt;=$I1548,"Green",IF($J1548&lt;=$I1548+IF($I1548=0,$K1548,$I1548*$K1548),"Amber","Red")),IF($J1548&gt;=$I1548,"Green",IF($J1548&gt;=$I1548-IF($I1548=0,$K1548,$I1548*$K1548),"Amber","Red"))),"")</f>
        <v/>
      </c>
      <c r="T1548" s="10" t="inlineStr"/>
    </row>
    <row r="1549">
      <c r="A1549" s="3" t="n">
        <v>46207</v>
      </c>
      <c r="B1549" s="4">
        <f>IF($A1549="","",TEXT($A1549,"mmm-yyyy"))</f>
        <v/>
      </c>
      <c r="C1549" s="4">
        <f>IF($A1549="","","W"&amp;WEEKNUM($A1549,2))</f>
        <v/>
      </c>
      <c r="D1549" s="4">
        <f>IF($A1549="","",TEXT($A1549,"ddd"))</f>
        <v/>
      </c>
      <c r="E1549" s="4" t="inlineStr">
        <is>
          <t>Maintenance</t>
        </is>
      </c>
      <c r="F1549" s="4">
        <f>IFERROR(INDEX(Tbl_KPIMaster[Category],MATCH($G1549,Tbl_KPIMaster[KPI],0)),"")</f>
        <v/>
      </c>
      <c r="G1549" s="4" t="inlineStr">
        <is>
          <t>Unplanned Downtime</t>
        </is>
      </c>
      <c r="H1549" s="4">
        <f>IFERROR(INDEX(Tbl_KPIMaster[Unit],MATCH($G1549,Tbl_KPIMaster[KPI],0)),"")</f>
        <v/>
      </c>
      <c r="I1549" s="5">
        <f>IFERROR(INDEX(Tbl_KPIMaster[Maximum Target],MATCH($G1549,Tbl_KPIMaster[KPI],0)),"")</f>
        <v/>
      </c>
      <c r="J1549" s="5" t="n">
        <v>0.37</v>
      </c>
      <c r="K1549" s="4">
        <f>IFERROR(INDEX(Tbl_KPIMaster[Tolerance],MATCH($G1549,Tbl_KPIMaster[KPI],0)),"")</f>
        <v/>
      </c>
      <c r="L1549" s="4">
        <f>IFERROR(INDEX(Tbl_KPIMaster[Owner],MATCH($G1549,Tbl_KPIMaster[KPI],0)),"")</f>
        <v/>
      </c>
      <c r="M1549" s="6" t="inlineStr">
        <is>
          <t>Preventive check done</t>
        </is>
      </c>
      <c r="N1549" s="4" t="inlineStr"/>
      <c r="O1549" s="4" t="inlineStr">
        <is>
          <t>Low</t>
        </is>
      </c>
      <c r="P1549" s="4" t="inlineStr">
        <is>
          <t>Closed</t>
        </is>
      </c>
      <c r="Q1549" s="5">
        <f>IFERROR(IF(INDEX(Tbl_KPIMaster[Direction],MATCH($G1549,Tbl_KPIMaster[KPI],0))="Lower is Better",IF($J1549=0,1,IF($I1549=0,0,$I1549/$J1549)),IF($I1549=0,1,$J1549/$I1549)),0)</f>
        <v/>
      </c>
      <c r="R1549" s="4">
        <f>IF(OR($I1549="",$J1549=""),"",$J1549-$I1549)</f>
        <v/>
      </c>
      <c r="S1549" s="4">
        <f>IFERROR(IF(INDEX(Tbl_KPIMaster[Direction],MATCH($G1549,Tbl_KPIMaster[KPI],0))="Lower is Better",IF($J1549&lt;=$I1549,"Green",IF($J1549&lt;=$I1549+IF($I1549=0,$K1549,$I1549*$K1549),"Amber","Red")),IF($J1549&gt;=$I1549,"Green",IF($J1549&gt;=$I1549-IF($I1549=0,$K1549,$I1549*$K1549),"Amber","Red"))),"")</f>
        <v/>
      </c>
      <c r="T1549" s="6" t="inlineStr"/>
    </row>
    <row r="1550">
      <c r="A1550" s="7" t="n">
        <v>46207</v>
      </c>
      <c r="B1550" s="8">
        <f>IF($A1550="","",TEXT($A1550,"mmm-yyyy"))</f>
        <v/>
      </c>
      <c r="C1550" s="8">
        <f>IF($A1550="","","W"&amp;WEEKNUM($A1550,2))</f>
        <v/>
      </c>
      <c r="D1550" s="8">
        <f>IF($A1550="","",TEXT($A1550,"ddd"))</f>
        <v/>
      </c>
      <c r="E1550" s="8" t="inlineStr">
        <is>
          <t>Maintenance</t>
        </is>
      </c>
      <c r="F1550" s="8">
        <f>IFERROR(INDEX(Tbl_KPIMaster[Category],MATCH($G1550,Tbl_KPIMaster[KPI],0)),"")</f>
        <v/>
      </c>
      <c r="G1550" s="8" t="inlineStr">
        <is>
          <t>PM Compliance %</t>
        </is>
      </c>
      <c r="H1550" s="8">
        <f>IFERROR(INDEX(Tbl_KPIMaster[Unit],MATCH($G1550,Tbl_KPIMaster[KPI],0)),"")</f>
        <v/>
      </c>
      <c r="I1550" s="9">
        <f>IFERROR(INDEX(Tbl_KPIMaster[Maximum Target],MATCH($G1550,Tbl_KPIMaster[KPI],0)),"")</f>
        <v/>
      </c>
      <c r="J1550" s="9" t="n">
        <v>1.0897</v>
      </c>
      <c r="K1550" s="8">
        <f>IFERROR(INDEX(Tbl_KPIMaster[Tolerance],MATCH($G1550,Tbl_KPIMaster[KPI],0)),"")</f>
        <v/>
      </c>
      <c r="L1550" s="8">
        <f>IFERROR(INDEX(Tbl_KPIMaster[Owner],MATCH($G1550,Tbl_KPIMaster[KPI],0)),"")</f>
        <v/>
      </c>
      <c r="M1550" s="10" t="inlineStr">
        <is>
          <t>Awaiting spares</t>
        </is>
      </c>
      <c r="N1550" s="8" t="inlineStr"/>
      <c r="O1550" s="8" t="inlineStr">
        <is>
          <t>High</t>
        </is>
      </c>
      <c r="P1550" s="8" t="inlineStr">
        <is>
          <t>Open</t>
        </is>
      </c>
      <c r="Q1550" s="9">
        <f>IFERROR(IF(INDEX(Tbl_KPIMaster[Direction],MATCH($G1550,Tbl_KPIMaster[KPI],0))="Lower is Better",IF($J1550=0,1,IF($I1550=0,0,$I1550/$J1550)),IF($I1550=0,1,$J1550/$I1550)),0)</f>
        <v/>
      </c>
      <c r="R1550" s="8">
        <f>IF(OR($I1550="",$J1550=""),"",$J1550-$I1550)</f>
        <v/>
      </c>
      <c r="S1550" s="8">
        <f>IFERROR(IF(INDEX(Tbl_KPIMaster[Direction],MATCH($G1550,Tbl_KPIMaster[KPI],0))="Lower is Better",IF($J1550&lt;=$I1550,"Green",IF($J1550&lt;=$I1550+IF($I1550=0,$K1550,$I1550*$K1550),"Amber","Red")),IF($J1550&gt;=$I1550,"Green",IF($J1550&gt;=$I1550-IF($I1550=0,$K1550,$I1550*$K1550),"Amber","Red"))),"")</f>
        <v/>
      </c>
      <c r="T1550" s="10" t="inlineStr"/>
    </row>
    <row r="1551">
      <c r="A1551" s="3" t="n">
        <v>46207</v>
      </c>
      <c r="B1551" s="4">
        <f>IF($A1551="","",TEXT($A1551,"mmm-yyyy"))</f>
        <v/>
      </c>
      <c r="C1551" s="4">
        <f>IF($A1551="","","W"&amp;WEEKNUM($A1551,2))</f>
        <v/>
      </c>
      <c r="D1551" s="4">
        <f>IF($A1551="","",TEXT($A1551,"ddd"))</f>
        <v/>
      </c>
      <c r="E1551" s="4" t="inlineStr">
        <is>
          <t>Utilities</t>
        </is>
      </c>
      <c r="F1551" s="4">
        <f>IFERROR(INDEX(Tbl_KPIMaster[Category],MATCH($G1551,Tbl_KPIMaster[KPI],0)),"")</f>
        <v/>
      </c>
      <c r="G1551" s="4" t="inlineStr">
        <is>
          <t>Power Consumption</t>
        </is>
      </c>
      <c r="H1551" s="4">
        <f>IFERROR(INDEX(Tbl_KPIMaster[Unit],MATCH($G1551,Tbl_KPIMaster[KPI],0)),"")</f>
        <v/>
      </c>
      <c r="I1551" s="5">
        <f>IFERROR(INDEX(Tbl_KPIMaster[Maximum Target],MATCH($G1551,Tbl_KPIMaster[KPI],0)),"")</f>
        <v/>
      </c>
      <c r="J1551" s="5" t="n">
        <v>4674.22</v>
      </c>
      <c r="K1551" s="4">
        <f>IFERROR(INDEX(Tbl_KPIMaster[Tolerance],MATCH($G1551,Tbl_KPIMaster[KPI],0)),"")</f>
        <v/>
      </c>
      <c r="L1551" s="4">
        <f>IFERROR(INDEX(Tbl_KPIMaster[Owner],MATCH($G1551,Tbl_KPIMaster[KPI],0)),"")</f>
        <v/>
      </c>
      <c r="M1551" s="6" t="inlineStr">
        <is>
          <t>Vendor delay</t>
        </is>
      </c>
      <c r="N1551" s="4" t="inlineStr">
        <is>
          <t>Engineering support needed</t>
        </is>
      </c>
      <c r="O1551" s="4" t="inlineStr">
        <is>
          <t>Medium</t>
        </is>
      </c>
      <c r="P1551" s="4" t="inlineStr">
        <is>
          <t>Closed</t>
        </is>
      </c>
      <c r="Q1551" s="5">
        <f>IFERROR(IF(INDEX(Tbl_KPIMaster[Direction],MATCH($G1551,Tbl_KPIMaster[KPI],0))="Lower is Better",IF($J1551=0,1,IF($I1551=0,0,$I1551/$J1551)),IF($I1551=0,1,$J1551/$I1551)),0)</f>
        <v/>
      </c>
      <c r="R1551" s="4">
        <f>IF(OR($I1551="",$J1551=""),"",$J1551-$I1551)</f>
        <v/>
      </c>
      <c r="S1551" s="4">
        <f>IFERROR(IF(INDEX(Tbl_KPIMaster[Direction],MATCH($G1551,Tbl_KPIMaster[KPI],0))="Lower is Better",IF($J1551&lt;=$I1551,"Green",IF($J1551&lt;=$I1551+IF($I1551=0,$K1551,$I1551*$K1551),"Amber","Red")),IF($J1551&gt;=$I1551,"Green",IF($J1551&gt;=$I1551-IF($I1551=0,$K1551,$I1551*$K1551),"Amber","Red"))),"")</f>
        <v/>
      </c>
      <c r="T1551" s="6" t="inlineStr"/>
    </row>
    <row r="1552">
      <c r="A1552" s="7" t="n">
        <v>46207</v>
      </c>
      <c r="B1552" s="8">
        <f>IF($A1552="","",TEXT($A1552,"mmm-yyyy"))</f>
        <v/>
      </c>
      <c r="C1552" s="8">
        <f>IF($A1552="","","W"&amp;WEEKNUM($A1552,2))</f>
        <v/>
      </c>
      <c r="D1552" s="8">
        <f>IF($A1552="","",TEXT($A1552,"ddd"))</f>
        <v/>
      </c>
      <c r="E1552" s="8" t="inlineStr">
        <is>
          <t>Utilities</t>
        </is>
      </c>
      <c r="F1552" s="8">
        <f>IFERROR(INDEX(Tbl_KPIMaster[Category],MATCH($G1552,Tbl_KPIMaster[KPI],0)),"")</f>
        <v/>
      </c>
      <c r="G1552" s="8" t="inlineStr">
        <is>
          <t>Water Consumption</t>
        </is>
      </c>
      <c r="H1552" s="8">
        <f>IFERROR(INDEX(Tbl_KPIMaster[Unit],MATCH($G1552,Tbl_KPIMaster[KPI],0)),"")</f>
        <v/>
      </c>
      <c r="I1552" s="9">
        <f>IFERROR(INDEX(Tbl_KPIMaster[Maximum Target],MATCH($G1552,Tbl_KPIMaster[KPI],0)),"")</f>
        <v/>
      </c>
      <c r="J1552" s="9" t="n">
        <v>49.86</v>
      </c>
      <c r="K1552" s="8">
        <f>IFERROR(INDEX(Tbl_KPIMaster[Tolerance],MATCH($G1552,Tbl_KPIMaster[KPI],0)),"")</f>
        <v/>
      </c>
      <c r="L1552" s="8">
        <f>IFERROR(INDEX(Tbl_KPIMaster[Owner],MATCH($G1552,Tbl_KPIMaster[KPI],0)),"")</f>
        <v/>
      </c>
      <c r="M1552" s="10" t="inlineStr"/>
      <c r="N1552" s="8" t="inlineStr">
        <is>
          <t>Engineering support needed</t>
        </is>
      </c>
      <c r="O1552" s="8" t="inlineStr">
        <is>
          <t>Low</t>
        </is>
      </c>
      <c r="P1552" s="8" t="inlineStr">
        <is>
          <t>Open</t>
        </is>
      </c>
      <c r="Q1552" s="9">
        <f>IFERROR(IF(INDEX(Tbl_KPIMaster[Direction],MATCH($G1552,Tbl_KPIMaster[KPI],0))="Lower is Better",IF($J1552=0,1,IF($I1552=0,0,$I1552/$J1552)),IF($I1552=0,1,$J1552/$I1552)),0)</f>
        <v/>
      </c>
      <c r="R1552" s="8">
        <f>IF(OR($I1552="",$J1552=""),"",$J1552-$I1552)</f>
        <v/>
      </c>
      <c r="S1552" s="8">
        <f>IFERROR(IF(INDEX(Tbl_KPIMaster[Direction],MATCH($G1552,Tbl_KPIMaster[KPI],0))="Lower is Better",IF($J1552&lt;=$I1552,"Green",IF($J1552&lt;=$I1552+IF($I1552=0,$K1552,$I1552*$K1552),"Amber","Red")),IF($J1552&gt;=$I1552,"Green",IF($J1552&gt;=$I1552-IF($I1552=0,$K1552,$I1552*$K1552),"Amber","Red"))),"")</f>
        <v/>
      </c>
      <c r="T1552" s="10" t="inlineStr"/>
    </row>
    <row r="1553">
      <c r="A1553" s="3" t="n">
        <v>46207</v>
      </c>
      <c r="B1553" s="4">
        <f>IF($A1553="","",TEXT($A1553,"mmm-yyyy"))</f>
        <v/>
      </c>
      <c r="C1553" s="4">
        <f>IF($A1553="","","W"&amp;WEEKNUM($A1553,2))</f>
        <v/>
      </c>
      <c r="D1553" s="4">
        <f>IF($A1553="","",TEXT($A1553,"ddd"))</f>
        <v/>
      </c>
      <c r="E1553" s="4" t="inlineStr">
        <is>
          <t>Warehouse</t>
        </is>
      </c>
      <c r="F1553" s="4">
        <f>IFERROR(INDEX(Tbl_KPIMaster[Category],MATCH($G1553,Tbl_KPIMaster[KPI],0)),"")</f>
        <v/>
      </c>
      <c r="G1553" s="4" t="inlineStr">
        <is>
          <t>On-Time Dispatch %</t>
        </is>
      </c>
      <c r="H1553" s="4">
        <f>IFERROR(INDEX(Tbl_KPIMaster[Unit],MATCH($G1553,Tbl_KPIMaster[KPI],0)),"")</f>
        <v/>
      </c>
      <c r="I1553" s="5">
        <f>IFERROR(INDEX(Tbl_KPIMaster[Maximum Target],MATCH($G1553,Tbl_KPIMaster[KPI],0)),"")</f>
        <v/>
      </c>
      <c r="J1553" s="5" t="n">
        <v>1.2007</v>
      </c>
      <c r="K1553" s="4">
        <f>IFERROR(INDEX(Tbl_KPIMaster[Tolerance],MATCH($G1553,Tbl_KPIMaster[KPI],0)),"")</f>
        <v/>
      </c>
      <c r="L1553" s="4">
        <f>IFERROR(INDEX(Tbl_KPIMaster[Owner],MATCH($G1553,Tbl_KPIMaster[KPI],0)),"")</f>
        <v/>
      </c>
      <c r="M1553" s="6" t="inlineStr">
        <is>
          <t>Preventive check done</t>
        </is>
      </c>
      <c r="N1553" s="4" t="inlineStr">
        <is>
          <t>Procurement follow-up</t>
        </is>
      </c>
      <c r="O1553" s="4" t="inlineStr">
        <is>
          <t>High</t>
        </is>
      </c>
      <c r="P1553" s="4" t="inlineStr">
        <is>
          <t>Closed</t>
        </is>
      </c>
      <c r="Q1553" s="5">
        <f>IFERROR(IF(INDEX(Tbl_KPIMaster[Direction],MATCH($G1553,Tbl_KPIMaster[KPI],0))="Lower is Better",IF($J1553=0,1,IF($I1553=0,0,$I1553/$J1553)),IF($I1553=0,1,$J1553/$I1553)),0)</f>
        <v/>
      </c>
      <c r="R1553" s="4">
        <f>IF(OR($I1553="",$J1553=""),"",$J1553-$I1553)</f>
        <v/>
      </c>
      <c r="S1553" s="4">
        <f>IFERROR(IF(INDEX(Tbl_KPIMaster[Direction],MATCH($G1553,Tbl_KPIMaster[KPI],0))="Lower is Better",IF($J1553&lt;=$I1553,"Green",IF($J1553&lt;=$I1553+IF($I1553=0,$K1553,$I1553*$K1553),"Amber","Red")),IF($J1553&gt;=$I1553,"Green",IF($J1553&gt;=$I1553-IF($I1553=0,$K1553,$I1553*$K1553),"Amber","Red"))),"")</f>
        <v/>
      </c>
      <c r="T1553" s="6" t="inlineStr"/>
    </row>
    <row r="1554">
      <c r="A1554" s="7" t="n">
        <v>46207</v>
      </c>
      <c r="B1554" s="8">
        <f>IF($A1554="","",TEXT($A1554,"mmm-yyyy"))</f>
        <v/>
      </c>
      <c r="C1554" s="8">
        <f>IF($A1554="","","W"&amp;WEEKNUM($A1554,2))</f>
        <v/>
      </c>
      <c r="D1554" s="8">
        <f>IF($A1554="","",TEXT($A1554,"ddd"))</f>
        <v/>
      </c>
      <c r="E1554" s="8" t="inlineStr">
        <is>
          <t>Warehouse</t>
        </is>
      </c>
      <c r="F1554" s="8">
        <f>IFERROR(INDEX(Tbl_KPIMaster[Category],MATCH($G1554,Tbl_KPIMaster[KPI],0)),"")</f>
        <v/>
      </c>
      <c r="G1554" s="8" t="inlineStr">
        <is>
          <t>Inventory Accuracy %</t>
        </is>
      </c>
      <c r="H1554" s="8">
        <f>IFERROR(INDEX(Tbl_KPIMaster[Unit],MATCH($G1554,Tbl_KPIMaster[KPI],0)),"")</f>
        <v/>
      </c>
      <c r="I1554" s="9">
        <f>IFERROR(INDEX(Tbl_KPIMaster[Maximum Target],MATCH($G1554,Tbl_KPIMaster[KPI],0)),"")</f>
        <v/>
      </c>
      <c r="J1554" s="9" t="n">
        <v>0.8415</v>
      </c>
      <c r="K1554" s="8">
        <f>IFERROR(INDEX(Tbl_KPIMaster[Tolerance],MATCH($G1554,Tbl_KPIMaster[KPI],0)),"")</f>
        <v/>
      </c>
      <c r="L1554" s="8">
        <f>IFERROR(INDEX(Tbl_KPIMaster[Owner],MATCH($G1554,Tbl_KPIMaster[KPI],0)),"")</f>
        <v/>
      </c>
      <c r="M1554" s="10" t="inlineStr">
        <is>
          <t>Line changeover impact</t>
        </is>
      </c>
      <c r="N1554" s="8" t="inlineStr"/>
      <c r="O1554" s="8" t="inlineStr">
        <is>
          <t>High</t>
        </is>
      </c>
      <c r="P1554" s="8" t="inlineStr">
        <is>
          <t>Open</t>
        </is>
      </c>
      <c r="Q1554" s="9">
        <f>IFERROR(IF(INDEX(Tbl_KPIMaster[Direction],MATCH($G1554,Tbl_KPIMaster[KPI],0))="Lower is Better",IF($J1554=0,1,IF($I1554=0,0,$I1554/$J1554)),IF($I1554=0,1,$J1554/$I1554)),0)</f>
        <v/>
      </c>
      <c r="R1554" s="8">
        <f>IF(OR($I1554="",$J1554=""),"",$J1554-$I1554)</f>
        <v/>
      </c>
      <c r="S1554" s="8">
        <f>IFERROR(IF(INDEX(Tbl_KPIMaster[Direction],MATCH($G1554,Tbl_KPIMaster[KPI],0))="Lower is Better",IF($J1554&lt;=$I1554,"Green",IF($J1554&lt;=$I1554+IF($I1554=0,$K1554,$I1554*$K1554),"Amber","Red")),IF($J1554&gt;=$I1554,"Green",IF($J1554&gt;=$I1554-IF($I1554=0,$K1554,$I1554*$K1554),"Amber","Red"))),"")</f>
        <v/>
      </c>
      <c r="T1554" s="10" t="inlineStr"/>
    </row>
    <row r="1555">
      <c r="A1555" s="3" t="n">
        <v>46207</v>
      </c>
      <c r="B1555" s="4">
        <f>IF($A1555="","",TEXT($A1555,"mmm-yyyy"))</f>
        <v/>
      </c>
      <c r="C1555" s="4">
        <f>IF($A1555="","","W"&amp;WEEKNUM($A1555,2))</f>
        <v/>
      </c>
      <c r="D1555" s="4">
        <f>IF($A1555="","",TEXT($A1555,"ddd"))</f>
        <v/>
      </c>
      <c r="E1555" s="4" t="inlineStr">
        <is>
          <t>HR</t>
        </is>
      </c>
      <c r="F1555" s="4">
        <f>IFERROR(INDEX(Tbl_KPIMaster[Category],MATCH($G1555,Tbl_KPIMaster[KPI],0)),"")</f>
        <v/>
      </c>
      <c r="G1555" s="4" t="inlineStr">
        <is>
          <t>Absenteeism %</t>
        </is>
      </c>
      <c r="H1555" s="4">
        <f>IFERROR(INDEX(Tbl_KPIMaster[Unit],MATCH($G1555,Tbl_KPIMaster[KPI],0)),"")</f>
        <v/>
      </c>
      <c r="I1555" s="5">
        <f>IFERROR(INDEX(Tbl_KPIMaster[Maximum Target],MATCH($G1555,Tbl_KPIMaster[KPI],0)),"")</f>
        <v/>
      </c>
      <c r="J1555" s="5" t="n">
        <v>0</v>
      </c>
      <c r="K1555" s="4">
        <f>IFERROR(INDEX(Tbl_KPIMaster[Tolerance],MATCH($G1555,Tbl_KPIMaster[KPI],0)),"")</f>
        <v/>
      </c>
      <c r="L1555" s="4">
        <f>IFERROR(INDEX(Tbl_KPIMaster[Owner],MATCH($G1555,Tbl_KPIMaster[KPI],0)),"")</f>
        <v/>
      </c>
      <c r="M1555" s="6" t="inlineStr">
        <is>
          <t>Preventive check done</t>
        </is>
      </c>
      <c r="N1555" s="4" t="inlineStr">
        <is>
          <t>Management approval pending</t>
        </is>
      </c>
      <c r="O1555" s="4" t="inlineStr">
        <is>
          <t>Medium</t>
        </is>
      </c>
      <c r="P1555" s="4" t="inlineStr">
        <is>
          <t>Open</t>
        </is>
      </c>
      <c r="Q1555" s="5">
        <f>IFERROR(IF(INDEX(Tbl_KPIMaster[Direction],MATCH($G1555,Tbl_KPIMaster[KPI],0))="Lower is Better",IF($J1555=0,1,IF($I1555=0,0,$I1555/$J1555)),IF($I1555=0,1,$J1555/$I1555)),0)</f>
        <v/>
      </c>
      <c r="R1555" s="4">
        <f>IF(OR($I1555="",$J1555=""),"",$J1555-$I1555)</f>
        <v/>
      </c>
      <c r="S1555" s="4">
        <f>IFERROR(IF(INDEX(Tbl_KPIMaster[Direction],MATCH($G1555,Tbl_KPIMaster[KPI],0))="Lower is Better",IF($J1555&lt;=$I1555,"Green",IF($J1555&lt;=$I1555+IF($I1555=0,$K1555,$I1555*$K1555),"Amber","Red")),IF($J1555&gt;=$I1555,"Green",IF($J1555&gt;=$I1555-IF($I1555=0,$K1555,$I1555*$K1555),"Amber","Red"))),"")</f>
        <v/>
      </c>
      <c r="T1555" s="6" t="inlineStr"/>
    </row>
    <row r="1556">
      <c r="A1556" s="7" t="n">
        <v>46207</v>
      </c>
      <c r="B1556" s="8">
        <f>IF($A1556="","",TEXT($A1556,"mmm-yyyy"))</f>
        <v/>
      </c>
      <c r="C1556" s="8">
        <f>IF($A1556="","","W"&amp;WEEKNUM($A1556,2))</f>
        <v/>
      </c>
      <c r="D1556" s="8">
        <f>IF($A1556="","",TEXT($A1556,"ddd"))</f>
        <v/>
      </c>
      <c r="E1556" s="8" t="inlineStr">
        <is>
          <t>HR</t>
        </is>
      </c>
      <c r="F1556" s="8">
        <f>IFERROR(INDEX(Tbl_KPIMaster[Category],MATCH($G1556,Tbl_KPIMaster[KPI],0)),"")</f>
        <v/>
      </c>
      <c r="G1556" s="8" t="inlineStr">
        <is>
          <t>Training Hours</t>
        </is>
      </c>
      <c r="H1556" s="8">
        <f>IFERROR(INDEX(Tbl_KPIMaster[Unit],MATCH($G1556,Tbl_KPIMaster[KPI],0)),"")</f>
        <v/>
      </c>
      <c r="I1556" s="9">
        <f>IFERROR(INDEX(Tbl_KPIMaster[Maximum Target],MATCH($G1556,Tbl_KPIMaster[KPI],0)),"")</f>
        <v/>
      </c>
      <c r="J1556" s="9" t="n">
        <v>2.13</v>
      </c>
      <c r="K1556" s="8">
        <f>IFERROR(INDEX(Tbl_KPIMaster[Tolerance],MATCH($G1556,Tbl_KPIMaster[KPI],0)),"")</f>
        <v/>
      </c>
      <c r="L1556" s="8">
        <f>IFERROR(INDEX(Tbl_KPIMaster[Owner],MATCH($G1556,Tbl_KPIMaster[KPI],0)),"")</f>
        <v/>
      </c>
      <c r="M1556" s="10" t="inlineStr">
        <is>
          <t>Vendor delay</t>
        </is>
      </c>
      <c r="N1556" s="8" t="inlineStr">
        <is>
          <t>Management approval pending</t>
        </is>
      </c>
      <c r="O1556" s="8" t="inlineStr">
        <is>
          <t>Low</t>
        </is>
      </c>
      <c r="P1556" s="8" t="inlineStr">
        <is>
          <t>Closed</t>
        </is>
      </c>
      <c r="Q1556" s="9">
        <f>IFERROR(IF(INDEX(Tbl_KPIMaster[Direction],MATCH($G1556,Tbl_KPIMaster[KPI],0))="Lower is Better",IF($J1556=0,1,IF($I1556=0,0,$I1556/$J1556)),IF($I1556=0,1,$J1556/$I1556)),0)</f>
        <v/>
      </c>
      <c r="R1556" s="8">
        <f>IF(OR($I1556="",$J1556=""),"",$J1556-$I1556)</f>
        <v/>
      </c>
      <c r="S1556" s="8">
        <f>IFERROR(IF(INDEX(Tbl_KPIMaster[Direction],MATCH($G1556,Tbl_KPIMaster[KPI],0))="Lower is Better",IF($J1556&lt;=$I1556,"Green",IF($J1556&lt;=$I1556+IF($I1556=0,$K1556,$I1556*$K1556),"Amber","Red")),IF($J1556&gt;=$I1556,"Green",IF($J1556&gt;=$I1556-IF($I1556=0,$K1556,$I1556*$K1556),"Amber","Red"))),"")</f>
        <v/>
      </c>
      <c r="T1556" s="10" t="inlineStr"/>
    </row>
    <row r="1557">
      <c r="A1557" s="3" t="n">
        <v>46207</v>
      </c>
      <c r="B1557" s="4">
        <f>IF($A1557="","",TEXT($A1557,"mmm-yyyy"))</f>
        <v/>
      </c>
      <c r="C1557" s="4">
        <f>IF($A1557="","","W"&amp;WEEKNUM($A1557,2))</f>
        <v/>
      </c>
      <c r="D1557" s="4">
        <f>IF($A1557="","",TEXT($A1557,"ddd"))</f>
        <v/>
      </c>
      <c r="E1557" s="4" t="inlineStr">
        <is>
          <t>Engineering</t>
        </is>
      </c>
      <c r="F1557" s="4">
        <f>IFERROR(INDEX(Tbl_KPIMaster[Category],MATCH($G1557,Tbl_KPIMaster[KPI],0)),"")</f>
        <v/>
      </c>
      <c r="G1557" s="4" t="inlineStr">
        <is>
          <t>Project Milestone Adherence %</t>
        </is>
      </c>
      <c r="H1557" s="4">
        <f>IFERROR(INDEX(Tbl_KPIMaster[Unit],MATCH($G1557,Tbl_KPIMaster[KPI],0)),"")</f>
        <v/>
      </c>
      <c r="I1557" s="5">
        <f>IFERROR(INDEX(Tbl_KPIMaster[Maximum Target],MATCH($G1557,Tbl_KPIMaster[KPI],0)),"")</f>
        <v/>
      </c>
      <c r="J1557" s="5" t="n">
        <v>1.0903</v>
      </c>
      <c r="K1557" s="4">
        <f>IFERROR(INDEX(Tbl_KPIMaster[Tolerance],MATCH($G1557,Tbl_KPIMaster[KPI],0)),"")</f>
        <v/>
      </c>
      <c r="L1557" s="4">
        <f>IFERROR(INDEX(Tbl_KPIMaster[Owner],MATCH($G1557,Tbl_KPIMaster[KPI],0)),"")</f>
        <v/>
      </c>
      <c r="M1557" s="6" t="inlineStr">
        <is>
          <t>New operator training effect</t>
        </is>
      </c>
      <c r="N1557" s="4" t="inlineStr">
        <is>
          <t>Management approval pending</t>
        </is>
      </c>
      <c r="O1557" s="4" t="inlineStr">
        <is>
          <t>Medium</t>
        </is>
      </c>
      <c r="P1557" s="4" t="inlineStr">
        <is>
          <t>In Progress</t>
        </is>
      </c>
      <c r="Q1557" s="5">
        <f>IFERROR(IF(INDEX(Tbl_KPIMaster[Direction],MATCH($G1557,Tbl_KPIMaster[KPI],0))="Lower is Better",IF($J1557=0,1,IF($I1557=0,0,$I1557/$J1557)),IF($I1557=0,1,$J1557/$I1557)),0)</f>
        <v/>
      </c>
      <c r="R1557" s="4">
        <f>IF(OR($I1557="",$J1557=""),"",$J1557-$I1557)</f>
        <v/>
      </c>
      <c r="S1557" s="4">
        <f>IFERROR(IF(INDEX(Tbl_KPIMaster[Direction],MATCH($G1557,Tbl_KPIMaster[KPI],0))="Lower is Better",IF($J1557&lt;=$I1557,"Green",IF($J1557&lt;=$I1557+IF($I1557=0,$K1557,$I1557*$K1557),"Amber","Red")),IF($J1557&gt;=$I1557,"Green",IF($J1557&gt;=$I1557-IF($I1557=0,$K1557,$I1557*$K1557),"Amber","Red"))),"")</f>
        <v/>
      </c>
      <c r="T1557" s="6" t="inlineStr"/>
    </row>
    <row r="1558">
      <c r="A1558" s="7" t="n">
        <v>46207</v>
      </c>
      <c r="B1558" s="8">
        <f>IF($A1558="","",TEXT($A1558,"mmm-yyyy"))</f>
        <v/>
      </c>
      <c r="C1558" s="8">
        <f>IF($A1558="","","W"&amp;WEEKNUM($A1558,2))</f>
        <v/>
      </c>
      <c r="D1558" s="8">
        <f>IF($A1558="","",TEXT($A1558,"ddd"))</f>
        <v/>
      </c>
      <c r="E1558" s="8" t="inlineStr">
        <is>
          <t>Engineering</t>
        </is>
      </c>
      <c r="F1558" s="8">
        <f>IFERROR(INDEX(Tbl_KPIMaster[Category],MATCH($G1558,Tbl_KPIMaster[KPI],0)),"")</f>
        <v/>
      </c>
      <c r="G1558" s="8" t="inlineStr">
        <is>
          <t>Breakdown Resolution Time</t>
        </is>
      </c>
      <c r="H1558" s="8">
        <f>IFERROR(INDEX(Tbl_KPIMaster[Unit],MATCH($G1558,Tbl_KPIMaster[KPI],0)),"")</f>
        <v/>
      </c>
      <c r="I1558" s="9">
        <f>IFERROR(INDEX(Tbl_KPIMaster[Maximum Target],MATCH($G1558,Tbl_KPIMaster[KPI],0)),"")</f>
        <v/>
      </c>
      <c r="J1558" s="9" t="n">
        <v>0</v>
      </c>
      <c r="K1558" s="8">
        <f>IFERROR(INDEX(Tbl_KPIMaster[Tolerance],MATCH($G1558,Tbl_KPIMaster[KPI],0)),"")</f>
        <v/>
      </c>
      <c r="L1558" s="8">
        <f>IFERROR(INDEX(Tbl_KPIMaster[Owner],MATCH($G1558,Tbl_KPIMaster[KPI],0)),"")</f>
        <v/>
      </c>
      <c r="M1558" s="10" t="inlineStr">
        <is>
          <t>Line changeover impact</t>
        </is>
      </c>
      <c r="N1558" s="8" t="inlineStr"/>
      <c r="O1558" s="8" t="inlineStr">
        <is>
          <t>Medium</t>
        </is>
      </c>
      <c r="P1558" s="8" t="inlineStr">
        <is>
          <t>In Progress</t>
        </is>
      </c>
      <c r="Q1558" s="9">
        <f>IFERROR(IF(INDEX(Tbl_KPIMaster[Direction],MATCH($G1558,Tbl_KPIMaster[KPI],0))="Lower is Better",IF($J1558=0,1,IF($I1558=0,0,$I1558/$J1558)),IF($I1558=0,1,$J1558/$I1558)),0)</f>
        <v/>
      </c>
      <c r="R1558" s="8">
        <f>IF(OR($I1558="",$J1558=""),"",$J1558-$I1558)</f>
        <v/>
      </c>
      <c r="S1558" s="8">
        <f>IFERROR(IF(INDEX(Tbl_KPIMaster[Direction],MATCH($G1558,Tbl_KPIMaster[KPI],0))="Lower is Better",IF($J1558&lt;=$I1558,"Green",IF($J1558&lt;=$I1558+IF($I1558=0,$K1558,$I1558*$K1558),"Amber","Red")),IF($J1558&gt;=$I1558,"Green",IF($J1558&gt;=$I1558-IF($I1558=0,$K1558,$I1558*$K1558),"Amber","Red"))),"")</f>
        <v/>
      </c>
      <c r="T1558" s="10" t="inlineStr"/>
    </row>
    <row r="1559">
      <c r="A1559" s="3" t="n">
        <v>46207</v>
      </c>
      <c r="B1559" s="4">
        <f>IF($A1559="","",TEXT($A1559,"mmm-yyyy"))</f>
        <v/>
      </c>
      <c r="C1559" s="4">
        <f>IF($A1559="","","W"&amp;WEEKNUM($A1559,2))</f>
        <v/>
      </c>
      <c r="D1559" s="4">
        <f>IF($A1559="","",TEXT($A1559,"ddd"))</f>
        <v/>
      </c>
      <c r="E1559" s="4" t="inlineStr">
        <is>
          <t>Cost</t>
        </is>
      </c>
      <c r="F1559" s="4">
        <f>IFERROR(INDEX(Tbl_KPIMaster[Category],MATCH($G1559,Tbl_KPIMaster[KPI],0)),"")</f>
        <v/>
      </c>
      <c r="G1559" s="4" t="inlineStr">
        <is>
          <t>Cost per Unit</t>
        </is>
      </c>
      <c r="H1559" s="4">
        <f>IFERROR(INDEX(Tbl_KPIMaster[Unit],MATCH($G1559,Tbl_KPIMaster[KPI],0)),"")</f>
        <v/>
      </c>
      <c r="I1559" s="5">
        <f>IFERROR(INDEX(Tbl_KPIMaster[Maximum Target],MATCH($G1559,Tbl_KPIMaster[KPI],0)),"")</f>
        <v/>
      </c>
      <c r="J1559" s="5" t="n">
        <v>35.65</v>
      </c>
      <c r="K1559" s="4">
        <f>IFERROR(INDEX(Tbl_KPIMaster[Tolerance],MATCH($G1559,Tbl_KPIMaster[KPI],0)),"")</f>
        <v/>
      </c>
      <c r="L1559" s="4">
        <f>IFERROR(INDEX(Tbl_KPIMaster[Owner],MATCH($G1559,Tbl_KPIMaster[KPI],0)),"")</f>
        <v/>
      </c>
      <c r="M1559" s="6" t="inlineStr">
        <is>
          <t>Preventive check done</t>
        </is>
      </c>
      <c r="N1559" s="4" t="inlineStr"/>
      <c r="O1559" s="4" t="inlineStr">
        <is>
          <t>Low</t>
        </is>
      </c>
      <c r="P1559" s="4" t="inlineStr">
        <is>
          <t>In Progress</t>
        </is>
      </c>
      <c r="Q1559" s="5">
        <f>IFERROR(IF(INDEX(Tbl_KPIMaster[Direction],MATCH($G1559,Tbl_KPIMaster[KPI],0))="Lower is Better",IF($J1559=0,1,IF($I1559=0,0,$I1559/$J1559)),IF($I1559=0,1,$J1559/$I1559)),0)</f>
        <v/>
      </c>
      <c r="R1559" s="4">
        <f>IF(OR($I1559="",$J1559=""),"",$J1559-$I1559)</f>
        <v/>
      </c>
      <c r="S1559" s="4">
        <f>IFERROR(IF(INDEX(Tbl_KPIMaster[Direction],MATCH($G1559,Tbl_KPIMaster[KPI],0))="Lower is Better",IF($J1559&lt;=$I1559,"Green",IF($J1559&lt;=$I1559+IF($I1559=0,$K1559,$I1559*$K1559),"Amber","Red")),IF($J1559&gt;=$I1559,"Green",IF($J1559&gt;=$I1559-IF($I1559=0,$K1559,$I1559*$K1559),"Amber","Red"))),"")</f>
        <v/>
      </c>
      <c r="T1559" s="6" t="inlineStr"/>
    </row>
    <row r="1560">
      <c r="A1560" s="7" t="n">
        <v>46207</v>
      </c>
      <c r="B1560" s="8">
        <f>IF($A1560="","",TEXT($A1560,"mmm-yyyy"))</f>
        <v/>
      </c>
      <c r="C1560" s="8">
        <f>IF($A1560="","","W"&amp;WEEKNUM($A1560,2))</f>
        <v/>
      </c>
      <c r="D1560" s="8">
        <f>IF($A1560="","",TEXT($A1560,"ddd"))</f>
        <v/>
      </c>
      <c r="E1560" s="8" t="inlineStr">
        <is>
          <t>Cost</t>
        </is>
      </c>
      <c r="F1560" s="8">
        <f>IFERROR(INDEX(Tbl_KPIMaster[Category],MATCH($G1560,Tbl_KPIMaster[KPI],0)),"")</f>
        <v/>
      </c>
      <c r="G1560" s="8" t="inlineStr">
        <is>
          <t>Budget Variance %</t>
        </is>
      </c>
      <c r="H1560" s="8">
        <f>IFERROR(INDEX(Tbl_KPIMaster[Unit],MATCH($G1560,Tbl_KPIMaster[KPI],0)),"")</f>
        <v/>
      </c>
      <c r="I1560" s="9">
        <f>IFERROR(INDEX(Tbl_KPIMaster[Maximum Target],MATCH($G1560,Tbl_KPIMaster[KPI],0)),"")</f>
        <v/>
      </c>
      <c r="J1560" s="9" t="n">
        <v>0.2504</v>
      </c>
      <c r="K1560" s="8">
        <f>IFERROR(INDEX(Tbl_KPIMaster[Tolerance],MATCH($G1560,Tbl_KPIMaster[KPI],0)),"")</f>
        <v/>
      </c>
      <c r="L1560" s="8">
        <f>IFERROR(INDEX(Tbl_KPIMaster[Owner],MATCH($G1560,Tbl_KPIMaster[KPI],0)),"")</f>
        <v/>
      </c>
      <c r="M1560" s="10" t="inlineStr">
        <is>
          <t>Vendor delay</t>
        </is>
      </c>
      <c r="N1560" s="8" t="inlineStr">
        <is>
          <t>Engineering support needed</t>
        </is>
      </c>
      <c r="O1560" s="8" t="inlineStr">
        <is>
          <t>Low</t>
        </is>
      </c>
      <c r="P1560" s="8" t="inlineStr">
        <is>
          <t>Closed</t>
        </is>
      </c>
      <c r="Q1560" s="9">
        <f>IFERROR(IF(INDEX(Tbl_KPIMaster[Direction],MATCH($G1560,Tbl_KPIMaster[KPI],0))="Lower is Better",IF($J1560=0,1,IF($I1560=0,0,$I1560/$J1560)),IF($I1560=0,1,$J1560/$I1560)),0)</f>
        <v/>
      </c>
      <c r="R1560" s="8">
        <f>IF(OR($I1560="",$J1560=""),"",$J1560-$I1560)</f>
        <v/>
      </c>
      <c r="S1560" s="8">
        <f>IFERROR(IF(INDEX(Tbl_KPIMaster[Direction],MATCH($G1560,Tbl_KPIMaster[KPI],0))="Lower is Better",IF($J1560&lt;=$I1560,"Green",IF($J1560&lt;=$I1560+IF($I1560=0,$K1560,$I1560*$K1560),"Amber","Red")),IF($J1560&gt;=$I1560,"Green",IF($J1560&gt;=$I1560-IF($I1560=0,$K1560,$I1560*$K1560),"Amber","Red"))),"")</f>
        <v/>
      </c>
      <c r="T1560" s="10" t="inlineStr"/>
    </row>
    <row r="1561">
      <c r="A1561" s="3" t="n">
        <v>46207</v>
      </c>
      <c r="B1561" s="4">
        <f>IF($A1561="","",TEXT($A1561,"mmm-yyyy"))</f>
        <v/>
      </c>
      <c r="C1561" s="4">
        <f>IF($A1561="","","W"&amp;WEEKNUM($A1561,2))</f>
        <v/>
      </c>
      <c r="D1561" s="4">
        <f>IF($A1561="","",TEXT($A1561,"ddd"))</f>
        <v/>
      </c>
      <c r="E1561" s="4" t="inlineStr">
        <is>
          <t>Energy</t>
        </is>
      </c>
      <c r="F1561" s="4">
        <f>IFERROR(INDEX(Tbl_KPIMaster[Category],MATCH($G1561,Tbl_KPIMaster[KPI],0)),"")</f>
        <v/>
      </c>
      <c r="G1561" s="4" t="inlineStr">
        <is>
          <t>Energy Intensity (kWh/unit)</t>
        </is>
      </c>
      <c r="H1561" s="4">
        <f>IFERROR(INDEX(Tbl_KPIMaster[Unit],MATCH($G1561,Tbl_KPIMaster[KPI],0)),"")</f>
        <v/>
      </c>
      <c r="I1561" s="5">
        <f>IFERROR(INDEX(Tbl_KPIMaster[Maximum Target],MATCH($G1561,Tbl_KPIMaster[KPI],0)),"")</f>
        <v/>
      </c>
      <c r="J1561" s="5" t="n">
        <v>4.06</v>
      </c>
      <c r="K1561" s="4">
        <f>IFERROR(INDEX(Tbl_KPIMaster[Tolerance],MATCH($G1561,Tbl_KPIMaster[KPI],0)),"")</f>
        <v/>
      </c>
      <c r="L1561" s="4">
        <f>IFERROR(INDEX(Tbl_KPIMaster[Owner],MATCH($G1561,Tbl_KPIMaster[KPI],0)),"")</f>
        <v/>
      </c>
      <c r="M1561" s="6" t="inlineStr">
        <is>
          <t>New operator training effect</t>
        </is>
      </c>
      <c r="N1561" s="4" t="inlineStr">
        <is>
          <t>Management approval pending</t>
        </is>
      </c>
      <c r="O1561" s="4" t="inlineStr">
        <is>
          <t>High</t>
        </is>
      </c>
      <c r="P1561" s="4" t="inlineStr">
        <is>
          <t>Open</t>
        </is>
      </c>
      <c r="Q1561" s="5">
        <f>IFERROR(IF(INDEX(Tbl_KPIMaster[Direction],MATCH($G1561,Tbl_KPIMaster[KPI],0))="Lower is Better",IF($J1561=0,1,IF($I1561=0,0,$I1561/$J1561)),IF($I1561=0,1,$J1561/$I1561)),0)</f>
        <v/>
      </c>
      <c r="R1561" s="4">
        <f>IF(OR($I1561="",$J1561=""),"",$J1561-$I1561)</f>
        <v/>
      </c>
      <c r="S1561" s="4">
        <f>IFERROR(IF(INDEX(Tbl_KPIMaster[Direction],MATCH($G1561,Tbl_KPIMaster[KPI],0))="Lower is Better",IF($J1561&lt;=$I1561,"Green",IF($J1561&lt;=$I1561+IF($I1561=0,$K1561,$I1561*$K1561),"Amber","Red")),IF($J1561&gt;=$I1561,"Green",IF($J1561&gt;=$I1561-IF($I1561=0,$K1561,$I1561*$K1561),"Amber","Red"))),"")</f>
        <v/>
      </c>
      <c r="T1561" s="6" t="inlineStr"/>
    </row>
    <row r="1562">
      <c r="A1562" s="7" t="n">
        <v>46207</v>
      </c>
      <c r="B1562" s="8">
        <f>IF($A1562="","",TEXT($A1562,"mmm-yyyy"))</f>
        <v/>
      </c>
      <c r="C1562" s="8">
        <f>IF($A1562="","","W"&amp;WEEKNUM($A1562,2))</f>
        <v/>
      </c>
      <c r="D1562" s="8">
        <f>IF($A1562="","",TEXT($A1562,"ddd"))</f>
        <v/>
      </c>
      <c r="E1562" s="8" t="inlineStr">
        <is>
          <t>Energy</t>
        </is>
      </c>
      <c r="F1562" s="8">
        <f>IFERROR(INDEX(Tbl_KPIMaster[Category],MATCH($G1562,Tbl_KPIMaster[KPI],0)),"")</f>
        <v/>
      </c>
      <c r="G1562" s="8" t="inlineStr">
        <is>
          <t>Renewable Energy Share %</t>
        </is>
      </c>
      <c r="H1562" s="8">
        <f>IFERROR(INDEX(Tbl_KPIMaster[Unit],MATCH($G1562,Tbl_KPIMaster[KPI],0)),"")</f>
        <v/>
      </c>
      <c r="I1562" s="9">
        <f>IFERROR(INDEX(Tbl_KPIMaster[Maximum Target],MATCH($G1562,Tbl_KPIMaster[KPI],0)),"")</f>
        <v/>
      </c>
      <c r="J1562" s="9" t="n">
        <v>0.179</v>
      </c>
      <c r="K1562" s="8">
        <f>IFERROR(INDEX(Tbl_KPIMaster[Tolerance],MATCH($G1562,Tbl_KPIMaster[KPI],0)),"")</f>
        <v/>
      </c>
      <c r="L1562" s="8">
        <f>IFERROR(INDEX(Tbl_KPIMaster[Owner],MATCH($G1562,Tbl_KPIMaster[KPI],0)),"")</f>
        <v/>
      </c>
      <c r="M1562" s="10" t="inlineStr"/>
      <c r="N1562" s="8" t="inlineStr"/>
      <c r="O1562" s="8" t="inlineStr">
        <is>
          <t>Low</t>
        </is>
      </c>
      <c r="P1562" s="8" t="inlineStr">
        <is>
          <t>In Progress</t>
        </is>
      </c>
      <c r="Q1562" s="9">
        <f>IFERROR(IF(INDEX(Tbl_KPIMaster[Direction],MATCH($G1562,Tbl_KPIMaster[KPI],0))="Lower is Better",IF($J1562=0,1,IF($I1562=0,0,$I1562/$J1562)),IF($I1562=0,1,$J1562/$I1562)),0)</f>
        <v/>
      </c>
      <c r="R1562" s="8">
        <f>IF(OR($I1562="",$J1562=""),"",$J1562-$I1562)</f>
        <v/>
      </c>
      <c r="S1562" s="8">
        <f>IFERROR(IF(INDEX(Tbl_KPIMaster[Direction],MATCH($G1562,Tbl_KPIMaster[KPI],0))="Lower is Better",IF($J1562&lt;=$I1562,"Green",IF($J1562&lt;=$I1562+IF($I1562=0,$K1562,$I1562*$K1562),"Amber","Red")),IF($J1562&gt;=$I1562,"Green",IF($J1562&gt;=$I1562-IF($I1562=0,$K1562,$I1562*$K1562),"Amber","Red"))),"")</f>
        <v/>
      </c>
      <c r="T1562" s="10" t="inlineStr"/>
    </row>
    <row r="1563">
      <c r="A1563" s="3" t="n">
        <v>46208</v>
      </c>
      <c r="B1563" s="4">
        <f>IF($A1563="","",TEXT($A1563,"mmm-yyyy"))</f>
        <v/>
      </c>
      <c r="C1563" s="4">
        <f>IF($A1563="","","W"&amp;WEEKNUM($A1563,2))</f>
        <v/>
      </c>
      <c r="D1563" s="4">
        <f>IF($A1563="","",TEXT($A1563,"ddd"))</f>
        <v/>
      </c>
      <c r="E1563" s="4" t="inlineStr">
        <is>
          <t>Safety</t>
        </is>
      </c>
      <c r="F1563" s="4">
        <f>IFERROR(INDEX(Tbl_KPIMaster[Category],MATCH($G1563,Tbl_KPIMaster[KPI],0)),"")</f>
        <v/>
      </c>
      <c r="G1563" s="4" t="inlineStr">
        <is>
          <t>Safety Incidents (LTI)</t>
        </is>
      </c>
      <c r="H1563" s="4">
        <f>IFERROR(INDEX(Tbl_KPIMaster[Unit],MATCH($G1563,Tbl_KPIMaster[KPI],0)),"")</f>
        <v/>
      </c>
      <c r="I1563" s="5">
        <f>IFERROR(INDEX(Tbl_KPIMaster[Maximum Target],MATCH($G1563,Tbl_KPIMaster[KPI],0)),"")</f>
        <v/>
      </c>
      <c r="J1563" s="5" t="n">
        <v>1</v>
      </c>
      <c r="K1563" s="4">
        <f>IFERROR(INDEX(Tbl_KPIMaster[Tolerance],MATCH($G1563,Tbl_KPIMaster[KPI],0)),"")</f>
        <v/>
      </c>
      <c r="L1563" s="4">
        <f>IFERROR(INDEX(Tbl_KPIMaster[Owner],MATCH($G1563,Tbl_KPIMaster[KPI],0)),"")</f>
        <v/>
      </c>
      <c r="M1563" s="6" t="inlineStr">
        <is>
          <t>Manpower shortage</t>
        </is>
      </c>
      <c r="N1563" s="4" t="inlineStr">
        <is>
          <t>Engineering support needed</t>
        </is>
      </c>
      <c r="O1563" s="4" t="inlineStr">
        <is>
          <t>Low</t>
        </is>
      </c>
      <c r="P1563" s="4" t="inlineStr">
        <is>
          <t>Closed</t>
        </is>
      </c>
      <c r="Q1563" s="5">
        <f>IFERROR(IF(INDEX(Tbl_KPIMaster[Direction],MATCH($G1563,Tbl_KPIMaster[KPI],0))="Lower is Better",IF($J1563=0,1,IF($I1563=0,0,$I1563/$J1563)),IF($I1563=0,1,$J1563/$I1563)),0)</f>
        <v/>
      </c>
      <c r="R1563" s="4">
        <f>IF(OR($I1563="",$J1563=""),"",$J1563-$I1563)</f>
        <v/>
      </c>
      <c r="S1563" s="4">
        <f>IFERROR(IF(INDEX(Tbl_KPIMaster[Direction],MATCH($G1563,Tbl_KPIMaster[KPI],0))="Lower is Better",IF($J1563&lt;=$I1563,"Green",IF($J1563&lt;=$I1563+IF($I1563=0,$K1563,$I1563*$K1563),"Amber","Red")),IF($J1563&gt;=$I1563,"Green",IF($J1563&gt;=$I1563-IF($I1563=0,$K1563,$I1563*$K1563),"Amber","Red"))),"")</f>
        <v/>
      </c>
      <c r="T1563" s="6" t="inlineStr"/>
    </row>
    <row r="1564">
      <c r="A1564" s="7" t="n">
        <v>46208</v>
      </c>
      <c r="B1564" s="8">
        <f>IF($A1564="","",TEXT($A1564,"mmm-yyyy"))</f>
        <v/>
      </c>
      <c r="C1564" s="8">
        <f>IF($A1564="","","W"&amp;WEEKNUM($A1564,2))</f>
        <v/>
      </c>
      <c r="D1564" s="8">
        <f>IF($A1564="","",TEXT($A1564,"ddd"))</f>
        <v/>
      </c>
      <c r="E1564" s="8" t="inlineStr">
        <is>
          <t>Safety</t>
        </is>
      </c>
      <c r="F1564" s="8">
        <f>IFERROR(INDEX(Tbl_KPIMaster[Category],MATCH($G1564,Tbl_KPIMaster[KPI],0)),"")</f>
        <v/>
      </c>
      <c r="G1564" s="8" t="inlineStr">
        <is>
          <t>Near Miss Reports</t>
        </is>
      </c>
      <c r="H1564" s="8">
        <f>IFERROR(INDEX(Tbl_KPIMaster[Unit],MATCH($G1564,Tbl_KPIMaster[KPI],0)),"")</f>
        <v/>
      </c>
      <c r="I1564" s="9">
        <f>IFERROR(INDEX(Tbl_KPIMaster[Maximum Target],MATCH($G1564,Tbl_KPIMaster[KPI],0)),"")</f>
        <v/>
      </c>
      <c r="J1564" s="9" t="n">
        <v>2</v>
      </c>
      <c r="K1564" s="8">
        <f>IFERROR(INDEX(Tbl_KPIMaster[Tolerance],MATCH($G1564,Tbl_KPIMaster[KPI],0)),"")</f>
        <v/>
      </c>
      <c r="L1564" s="8">
        <f>IFERROR(INDEX(Tbl_KPIMaster[Owner],MATCH($G1564,Tbl_KPIMaster[KPI],0)),"")</f>
        <v/>
      </c>
      <c r="M1564" s="10" t="inlineStr">
        <is>
          <t>Weather impact</t>
        </is>
      </c>
      <c r="N1564" s="8" t="inlineStr">
        <is>
          <t>Engineering support needed</t>
        </is>
      </c>
      <c r="O1564" s="8" t="inlineStr">
        <is>
          <t>Medium</t>
        </is>
      </c>
      <c r="P1564" s="8" t="inlineStr">
        <is>
          <t>In Progress</t>
        </is>
      </c>
      <c r="Q1564" s="9">
        <f>IFERROR(IF(INDEX(Tbl_KPIMaster[Direction],MATCH($G1564,Tbl_KPIMaster[KPI],0))="Lower is Better",IF($J1564=0,1,IF($I1564=0,0,$I1564/$J1564)),IF($I1564=0,1,$J1564/$I1564)),0)</f>
        <v/>
      </c>
      <c r="R1564" s="8">
        <f>IF(OR($I1564="",$J1564=""),"",$J1564-$I1564)</f>
        <v/>
      </c>
      <c r="S1564" s="8">
        <f>IFERROR(IF(INDEX(Tbl_KPIMaster[Direction],MATCH($G1564,Tbl_KPIMaster[KPI],0))="Lower is Better",IF($J1564&lt;=$I1564,"Green",IF($J1564&lt;=$I1564+IF($I1564=0,$K1564,$I1564*$K1564),"Amber","Red")),IF($J1564&gt;=$I1564,"Green",IF($J1564&gt;=$I1564-IF($I1564=0,$K1564,$I1564*$K1564),"Amber","Red"))),"")</f>
        <v/>
      </c>
      <c r="T1564" s="10" t="inlineStr"/>
    </row>
    <row r="1565">
      <c r="A1565" s="3" t="n">
        <v>46208</v>
      </c>
      <c r="B1565" s="4">
        <f>IF($A1565="","",TEXT($A1565,"mmm-yyyy"))</f>
        <v/>
      </c>
      <c r="C1565" s="4">
        <f>IF($A1565="","","W"&amp;WEEKNUM($A1565,2))</f>
        <v/>
      </c>
      <c r="D1565" s="4">
        <f>IF($A1565="","",TEXT($A1565,"ddd"))</f>
        <v/>
      </c>
      <c r="E1565" s="4" t="inlineStr">
        <is>
          <t>Production</t>
        </is>
      </c>
      <c r="F1565" s="4">
        <f>IFERROR(INDEX(Tbl_KPIMaster[Category],MATCH($G1565,Tbl_KPIMaster[KPI],0)),"")</f>
        <v/>
      </c>
      <c r="G1565" s="4" t="inlineStr">
        <is>
          <t>Production Output</t>
        </is>
      </c>
      <c r="H1565" s="4">
        <f>IFERROR(INDEX(Tbl_KPIMaster[Unit],MATCH($G1565,Tbl_KPIMaster[KPI],0)),"")</f>
        <v/>
      </c>
      <c r="I1565" s="5">
        <f>IFERROR(INDEX(Tbl_KPIMaster[Maximum Target],MATCH($G1565,Tbl_KPIMaster[KPI],0)),"")</f>
        <v/>
      </c>
      <c r="J1565" s="5" t="n">
        <v>900.0700000000001</v>
      </c>
      <c r="K1565" s="4">
        <f>IFERROR(INDEX(Tbl_KPIMaster[Tolerance],MATCH($G1565,Tbl_KPIMaster[KPI],0)),"")</f>
        <v/>
      </c>
      <c r="L1565" s="4">
        <f>IFERROR(INDEX(Tbl_KPIMaster[Owner],MATCH($G1565,Tbl_KPIMaster[KPI],0)),"")</f>
        <v/>
      </c>
      <c r="M1565" s="6" t="inlineStr">
        <is>
          <t>Process improvement in progress</t>
        </is>
      </c>
      <c r="N1565" s="4" t="inlineStr"/>
      <c r="O1565" s="4" t="inlineStr">
        <is>
          <t>Medium</t>
        </is>
      </c>
      <c r="P1565" s="4" t="inlineStr">
        <is>
          <t>Closed</t>
        </is>
      </c>
      <c r="Q1565" s="5">
        <f>IFERROR(IF(INDEX(Tbl_KPIMaster[Direction],MATCH($G1565,Tbl_KPIMaster[KPI],0))="Lower is Better",IF($J1565=0,1,IF($I1565=0,0,$I1565/$J1565)),IF($I1565=0,1,$J1565/$I1565)),0)</f>
        <v/>
      </c>
      <c r="R1565" s="4">
        <f>IF(OR($I1565="",$J1565=""),"",$J1565-$I1565)</f>
        <v/>
      </c>
      <c r="S1565" s="4">
        <f>IFERROR(IF(INDEX(Tbl_KPIMaster[Direction],MATCH($G1565,Tbl_KPIMaster[KPI],0))="Lower is Better",IF($J1565&lt;=$I1565,"Green",IF($J1565&lt;=$I1565+IF($I1565=0,$K1565,$I1565*$K1565),"Amber","Red")),IF($J1565&gt;=$I1565,"Green",IF($J1565&gt;=$I1565-IF($I1565=0,$K1565,$I1565*$K1565),"Amber","Red"))),"")</f>
        <v/>
      </c>
      <c r="T1565" s="6" t="inlineStr"/>
    </row>
    <row r="1566">
      <c r="A1566" s="7" t="n">
        <v>46208</v>
      </c>
      <c r="B1566" s="8">
        <f>IF($A1566="","",TEXT($A1566,"mmm-yyyy"))</f>
        <v/>
      </c>
      <c r="C1566" s="8">
        <f>IF($A1566="","","W"&amp;WEEKNUM($A1566,2))</f>
        <v/>
      </c>
      <c r="D1566" s="8">
        <f>IF($A1566="","",TEXT($A1566,"ddd"))</f>
        <v/>
      </c>
      <c r="E1566" s="8" t="inlineStr">
        <is>
          <t>Production</t>
        </is>
      </c>
      <c r="F1566" s="8">
        <f>IFERROR(INDEX(Tbl_KPIMaster[Category],MATCH($G1566,Tbl_KPIMaster[KPI],0)),"")</f>
        <v/>
      </c>
      <c r="G1566" s="8" t="inlineStr">
        <is>
          <t>OEE %</t>
        </is>
      </c>
      <c r="H1566" s="8">
        <f>IFERROR(INDEX(Tbl_KPIMaster[Unit],MATCH($G1566,Tbl_KPIMaster[KPI],0)),"")</f>
        <v/>
      </c>
      <c r="I1566" s="9">
        <f>IFERROR(INDEX(Tbl_KPIMaster[Maximum Target],MATCH($G1566,Tbl_KPIMaster[KPI],0)),"")</f>
        <v/>
      </c>
      <c r="J1566" s="9" t="n">
        <v>0.9032</v>
      </c>
      <c r="K1566" s="8">
        <f>IFERROR(INDEX(Tbl_KPIMaster[Tolerance],MATCH($G1566,Tbl_KPIMaster[KPI],0)),"")</f>
        <v/>
      </c>
      <c r="L1566" s="8">
        <f>IFERROR(INDEX(Tbl_KPIMaster[Owner],MATCH($G1566,Tbl_KPIMaster[KPI],0)),"")</f>
        <v/>
      </c>
      <c r="M1566" s="10" t="inlineStr">
        <is>
          <t>Equipment breakdown</t>
        </is>
      </c>
      <c r="N1566" s="8" t="inlineStr">
        <is>
          <t>Management approval pending</t>
        </is>
      </c>
      <c r="O1566" s="8" t="inlineStr">
        <is>
          <t>High</t>
        </is>
      </c>
      <c r="P1566" s="8" t="inlineStr">
        <is>
          <t>Closed</t>
        </is>
      </c>
      <c r="Q1566" s="9">
        <f>IFERROR(IF(INDEX(Tbl_KPIMaster[Direction],MATCH($G1566,Tbl_KPIMaster[KPI],0))="Lower is Better",IF($J1566=0,1,IF($I1566=0,0,$I1566/$J1566)),IF($I1566=0,1,$J1566/$I1566)),0)</f>
        <v/>
      </c>
      <c r="R1566" s="8">
        <f>IF(OR($I1566="",$J1566=""),"",$J1566-$I1566)</f>
        <v/>
      </c>
      <c r="S1566" s="8">
        <f>IFERROR(IF(INDEX(Tbl_KPIMaster[Direction],MATCH($G1566,Tbl_KPIMaster[KPI],0))="Lower is Better",IF($J1566&lt;=$I1566,"Green",IF($J1566&lt;=$I1566+IF($I1566=0,$K1566,$I1566*$K1566),"Amber","Red")),IF($J1566&gt;=$I1566,"Green",IF($J1566&gt;=$I1566-IF($I1566=0,$K1566,$I1566*$K1566),"Amber","Red"))),"")</f>
        <v/>
      </c>
      <c r="T1566" s="10" t="inlineStr"/>
    </row>
    <row r="1567">
      <c r="A1567" s="3" t="n">
        <v>46208</v>
      </c>
      <c r="B1567" s="4">
        <f>IF($A1567="","",TEXT($A1567,"mmm-yyyy"))</f>
        <v/>
      </c>
      <c r="C1567" s="4">
        <f>IF($A1567="","","W"&amp;WEEKNUM($A1567,2))</f>
        <v/>
      </c>
      <c r="D1567" s="4">
        <f>IF($A1567="","",TEXT($A1567,"ddd"))</f>
        <v/>
      </c>
      <c r="E1567" s="4" t="inlineStr">
        <is>
          <t>Quality</t>
        </is>
      </c>
      <c r="F1567" s="4">
        <f>IFERROR(INDEX(Tbl_KPIMaster[Category],MATCH($G1567,Tbl_KPIMaster[KPI],0)),"")</f>
        <v/>
      </c>
      <c r="G1567" s="4" t="inlineStr">
        <is>
          <t>Defect Rate %</t>
        </is>
      </c>
      <c r="H1567" s="4">
        <f>IFERROR(INDEX(Tbl_KPIMaster[Unit],MATCH($G1567,Tbl_KPIMaster[KPI],0)),"")</f>
        <v/>
      </c>
      <c r="I1567" s="5">
        <f>IFERROR(INDEX(Tbl_KPIMaster[Maximum Target],MATCH($G1567,Tbl_KPIMaster[KPI],0)),"")</f>
        <v/>
      </c>
      <c r="J1567" s="5" t="n">
        <v>0.3903</v>
      </c>
      <c r="K1567" s="4">
        <f>IFERROR(INDEX(Tbl_KPIMaster[Tolerance],MATCH($G1567,Tbl_KPIMaster[KPI],0)),"")</f>
        <v/>
      </c>
      <c r="L1567" s="4">
        <f>IFERROR(INDEX(Tbl_KPIMaster[Owner],MATCH($G1567,Tbl_KPIMaster[KPI],0)),"")</f>
        <v/>
      </c>
      <c r="M1567" s="6" t="inlineStr">
        <is>
          <t>Line changeover impact</t>
        </is>
      </c>
      <c r="N1567" s="4" t="inlineStr"/>
      <c r="O1567" s="4" t="inlineStr">
        <is>
          <t>Low</t>
        </is>
      </c>
      <c r="P1567" s="4" t="inlineStr">
        <is>
          <t>Closed</t>
        </is>
      </c>
      <c r="Q1567" s="5">
        <f>IFERROR(IF(INDEX(Tbl_KPIMaster[Direction],MATCH($G1567,Tbl_KPIMaster[KPI],0))="Lower is Better",IF($J1567=0,1,IF($I1567=0,0,$I1567/$J1567)),IF($I1567=0,1,$J1567/$I1567)),0)</f>
        <v/>
      </c>
      <c r="R1567" s="4">
        <f>IF(OR($I1567="",$J1567=""),"",$J1567-$I1567)</f>
        <v/>
      </c>
      <c r="S1567" s="4">
        <f>IFERROR(IF(INDEX(Tbl_KPIMaster[Direction],MATCH($G1567,Tbl_KPIMaster[KPI],0))="Lower is Better",IF($J1567&lt;=$I1567,"Green",IF($J1567&lt;=$I1567+IF($I1567=0,$K1567,$I1567*$K1567),"Amber","Red")),IF($J1567&gt;=$I1567,"Green",IF($J1567&gt;=$I1567-IF($I1567=0,$K1567,$I1567*$K1567),"Amber","Red"))),"")</f>
        <v/>
      </c>
      <c r="T1567" s="6" t="inlineStr"/>
    </row>
    <row r="1568">
      <c r="A1568" s="7" t="n">
        <v>46208</v>
      </c>
      <c r="B1568" s="8">
        <f>IF($A1568="","",TEXT($A1568,"mmm-yyyy"))</f>
        <v/>
      </c>
      <c r="C1568" s="8">
        <f>IF($A1568="","","W"&amp;WEEKNUM($A1568,2))</f>
        <v/>
      </c>
      <c r="D1568" s="8">
        <f>IF($A1568="","",TEXT($A1568,"ddd"))</f>
        <v/>
      </c>
      <c r="E1568" s="8" t="inlineStr">
        <is>
          <t>Quality</t>
        </is>
      </c>
      <c r="F1568" s="8">
        <f>IFERROR(INDEX(Tbl_KPIMaster[Category],MATCH($G1568,Tbl_KPIMaster[KPI],0)),"")</f>
        <v/>
      </c>
      <c r="G1568" s="8" t="inlineStr">
        <is>
          <t>Customer Complaints</t>
        </is>
      </c>
      <c r="H1568" s="8">
        <f>IFERROR(INDEX(Tbl_KPIMaster[Unit],MATCH($G1568,Tbl_KPIMaster[KPI],0)),"")</f>
        <v/>
      </c>
      <c r="I1568" s="9">
        <f>IFERROR(INDEX(Tbl_KPIMaster[Maximum Target],MATCH($G1568,Tbl_KPIMaster[KPI],0)),"")</f>
        <v/>
      </c>
      <c r="J1568" s="9" t="n">
        <v>0</v>
      </c>
      <c r="K1568" s="8">
        <f>IFERROR(INDEX(Tbl_KPIMaster[Tolerance],MATCH($G1568,Tbl_KPIMaster[KPI],0)),"")</f>
        <v/>
      </c>
      <c r="L1568" s="8">
        <f>IFERROR(INDEX(Tbl_KPIMaster[Owner],MATCH($G1568,Tbl_KPIMaster[KPI],0)),"")</f>
        <v/>
      </c>
      <c r="M1568" s="10" t="inlineStr">
        <is>
          <t>Within normal range</t>
        </is>
      </c>
      <c r="N1568" s="8" t="inlineStr"/>
      <c r="O1568" s="8" t="inlineStr">
        <is>
          <t>Medium</t>
        </is>
      </c>
      <c r="P1568" s="8" t="inlineStr">
        <is>
          <t>In Progress</t>
        </is>
      </c>
      <c r="Q1568" s="9">
        <f>IFERROR(IF(INDEX(Tbl_KPIMaster[Direction],MATCH($G1568,Tbl_KPIMaster[KPI],0))="Lower is Better",IF($J1568=0,1,IF($I1568=0,0,$I1568/$J1568)),IF($I1568=0,1,$J1568/$I1568)),0)</f>
        <v/>
      </c>
      <c r="R1568" s="8">
        <f>IF(OR($I1568="",$J1568=""),"",$J1568-$I1568)</f>
        <v/>
      </c>
      <c r="S1568" s="8">
        <f>IFERROR(IF(INDEX(Tbl_KPIMaster[Direction],MATCH($G1568,Tbl_KPIMaster[KPI],0))="Lower is Better",IF($J1568&lt;=$I1568,"Green",IF($J1568&lt;=$I1568+IF($I1568=0,$K1568,$I1568*$K1568),"Amber","Red")),IF($J1568&gt;=$I1568,"Green",IF($J1568&gt;=$I1568-IF($I1568=0,$K1568,$I1568*$K1568),"Amber","Red"))),"")</f>
        <v/>
      </c>
      <c r="T1568" s="10" t="inlineStr"/>
    </row>
    <row r="1569">
      <c r="A1569" s="3" t="n">
        <v>46208</v>
      </c>
      <c r="B1569" s="4">
        <f>IF($A1569="","",TEXT($A1569,"mmm-yyyy"))</f>
        <v/>
      </c>
      <c r="C1569" s="4">
        <f>IF($A1569="","","W"&amp;WEEKNUM($A1569,2))</f>
        <v/>
      </c>
      <c r="D1569" s="4">
        <f>IF($A1569="","",TEXT($A1569,"ddd"))</f>
        <v/>
      </c>
      <c r="E1569" s="4" t="inlineStr">
        <is>
          <t>Maintenance</t>
        </is>
      </c>
      <c r="F1569" s="4">
        <f>IFERROR(INDEX(Tbl_KPIMaster[Category],MATCH($G1569,Tbl_KPIMaster[KPI],0)),"")</f>
        <v/>
      </c>
      <c r="G1569" s="4" t="inlineStr">
        <is>
          <t>Unplanned Downtime</t>
        </is>
      </c>
      <c r="H1569" s="4">
        <f>IFERROR(INDEX(Tbl_KPIMaster[Unit],MATCH($G1569,Tbl_KPIMaster[KPI],0)),"")</f>
        <v/>
      </c>
      <c r="I1569" s="5">
        <f>IFERROR(INDEX(Tbl_KPIMaster[Maximum Target],MATCH($G1569,Tbl_KPIMaster[KPI],0)),"")</f>
        <v/>
      </c>
      <c r="J1569" s="5" t="n">
        <v>0</v>
      </c>
      <c r="K1569" s="4">
        <f>IFERROR(INDEX(Tbl_KPIMaster[Tolerance],MATCH($G1569,Tbl_KPIMaster[KPI],0)),"")</f>
        <v/>
      </c>
      <c r="L1569" s="4">
        <f>IFERROR(INDEX(Tbl_KPIMaster[Owner],MATCH($G1569,Tbl_KPIMaster[KPI],0)),"")</f>
        <v/>
      </c>
      <c r="M1569" s="6" t="inlineStr">
        <is>
          <t>Line changeover impact</t>
        </is>
      </c>
      <c r="N1569" s="4" t="inlineStr"/>
      <c r="O1569" s="4" t="inlineStr">
        <is>
          <t>High</t>
        </is>
      </c>
      <c r="P1569" s="4" t="inlineStr">
        <is>
          <t>Closed</t>
        </is>
      </c>
      <c r="Q1569" s="5">
        <f>IFERROR(IF(INDEX(Tbl_KPIMaster[Direction],MATCH($G1569,Tbl_KPIMaster[KPI],0))="Lower is Better",IF($J1569=0,1,IF($I1569=0,0,$I1569/$J1569)),IF($I1569=0,1,$J1569/$I1569)),0)</f>
        <v/>
      </c>
      <c r="R1569" s="4">
        <f>IF(OR($I1569="",$J1569=""),"",$J1569-$I1569)</f>
        <v/>
      </c>
      <c r="S1569" s="4">
        <f>IFERROR(IF(INDEX(Tbl_KPIMaster[Direction],MATCH($G1569,Tbl_KPIMaster[KPI],0))="Lower is Better",IF($J1569&lt;=$I1569,"Green",IF($J1569&lt;=$I1569+IF($I1569=0,$K1569,$I1569*$K1569),"Amber","Red")),IF($J1569&gt;=$I1569,"Green",IF($J1569&gt;=$I1569-IF($I1569=0,$K1569,$I1569*$K1569),"Amber","Red"))),"")</f>
        <v/>
      </c>
      <c r="T1569" s="6" t="inlineStr"/>
    </row>
    <row r="1570">
      <c r="A1570" s="7" t="n">
        <v>46208</v>
      </c>
      <c r="B1570" s="8">
        <f>IF($A1570="","",TEXT($A1570,"mmm-yyyy"))</f>
        <v/>
      </c>
      <c r="C1570" s="8">
        <f>IF($A1570="","","W"&amp;WEEKNUM($A1570,2))</f>
        <v/>
      </c>
      <c r="D1570" s="8">
        <f>IF($A1570="","",TEXT($A1570,"ddd"))</f>
        <v/>
      </c>
      <c r="E1570" s="8" t="inlineStr">
        <is>
          <t>Maintenance</t>
        </is>
      </c>
      <c r="F1570" s="8">
        <f>IFERROR(INDEX(Tbl_KPIMaster[Category],MATCH($G1570,Tbl_KPIMaster[KPI],0)),"")</f>
        <v/>
      </c>
      <c r="G1570" s="8" t="inlineStr">
        <is>
          <t>PM Compliance %</t>
        </is>
      </c>
      <c r="H1570" s="8">
        <f>IFERROR(INDEX(Tbl_KPIMaster[Unit],MATCH($G1570,Tbl_KPIMaster[KPI],0)),"")</f>
        <v/>
      </c>
      <c r="I1570" s="9">
        <f>IFERROR(INDEX(Tbl_KPIMaster[Maximum Target],MATCH($G1570,Tbl_KPIMaster[KPI],0)),"")</f>
        <v/>
      </c>
      <c r="J1570" s="9" t="n">
        <v>0.9683</v>
      </c>
      <c r="K1570" s="8">
        <f>IFERROR(INDEX(Tbl_KPIMaster[Tolerance],MATCH($G1570,Tbl_KPIMaster[KPI],0)),"")</f>
        <v/>
      </c>
      <c r="L1570" s="8">
        <f>IFERROR(INDEX(Tbl_KPIMaster[Owner],MATCH($G1570,Tbl_KPIMaster[KPI],0)),"")</f>
        <v/>
      </c>
      <c r="M1570" s="10" t="inlineStr">
        <is>
          <t>Vendor delay</t>
        </is>
      </c>
      <c r="N1570" s="8" t="inlineStr"/>
      <c r="O1570" s="8" t="inlineStr">
        <is>
          <t>Low</t>
        </is>
      </c>
      <c r="P1570" s="8" t="inlineStr">
        <is>
          <t>In Progress</t>
        </is>
      </c>
      <c r="Q1570" s="9">
        <f>IFERROR(IF(INDEX(Tbl_KPIMaster[Direction],MATCH($G1570,Tbl_KPIMaster[KPI],0))="Lower is Better",IF($J1570=0,1,IF($I1570=0,0,$I1570/$J1570)),IF($I1570=0,1,$J1570/$I1570)),0)</f>
        <v/>
      </c>
      <c r="R1570" s="8">
        <f>IF(OR($I1570="",$J1570=""),"",$J1570-$I1570)</f>
        <v/>
      </c>
      <c r="S1570" s="8">
        <f>IFERROR(IF(INDEX(Tbl_KPIMaster[Direction],MATCH($G1570,Tbl_KPIMaster[KPI],0))="Lower is Better",IF($J1570&lt;=$I1570,"Green",IF($J1570&lt;=$I1570+IF($I1570=0,$K1570,$I1570*$K1570),"Amber","Red")),IF($J1570&gt;=$I1570,"Green",IF($J1570&gt;=$I1570-IF($I1570=0,$K1570,$I1570*$K1570),"Amber","Red"))),"")</f>
        <v/>
      </c>
      <c r="T1570" s="10" t="inlineStr"/>
    </row>
    <row r="1571">
      <c r="A1571" s="3" t="n">
        <v>46208</v>
      </c>
      <c r="B1571" s="4">
        <f>IF($A1571="","",TEXT($A1571,"mmm-yyyy"))</f>
        <v/>
      </c>
      <c r="C1571" s="4">
        <f>IF($A1571="","","W"&amp;WEEKNUM($A1571,2))</f>
        <v/>
      </c>
      <c r="D1571" s="4">
        <f>IF($A1571="","",TEXT($A1571,"ddd"))</f>
        <v/>
      </c>
      <c r="E1571" s="4" t="inlineStr">
        <is>
          <t>Utilities</t>
        </is>
      </c>
      <c r="F1571" s="4">
        <f>IFERROR(INDEX(Tbl_KPIMaster[Category],MATCH($G1571,Tbl_KPIMaster[KPI],0)),"")</f>
        <v/>
      </c>
      <c r="G1571" s="4" t="inlineStr">
        <is>
          <t>Power Consumption</t>
        </is>
      </c>
      <c r="H1571" s="4">
        <f>IFERROR(INDEX(Tbl_KPIMaster[Unit],MATCH($G1571,Tbl_KPIMaster[KPI],0)),"")</f>
        <v/>
      </c>
      <c r="I1571" s="5">
        <f>IFERROR(INDEX(Tbl_KPIMaster[Maximum Target],MATCH($G1571,Tbl_KPIMaster[KPI],0)),"")</f>
        <v/>
      </c>
      <c r="J1571" s="5" t="n">
        <v>4061.93</v>
      </c>
      <c r="K1571" s="4">
        <f>IFERROR(INDEX(Tbl_KPIMaster[Tolerance],MATCH($G1571,Tbl_KPIMaster[KPI],0)),"")</f>
        <v/>
      </c>
      <c r="L1571" s="4">
        <f>IFERROR(INDEX(Tbl_KPIMaster[Owner],MATCH($G1571,Tbl_KPIMaster[KPI],0)),"")</f>
        <v/>
      </c>
      <c r="M1571" s="6" t="inlineStr">
        <is>
          <t>Weather impact</t>
        </is>
      </c>
      <c r="N1571" s="4" t="inlineStr">
        <is>
          <t>Engineering support needed</t>
        </is>
      </c>
      <c r="O1571" s="4" t="inlineStr">
        <is>
          <t>Low</t>
        </is>
      </c>
      <c r="P1571" s="4" t="inlineStr">
        <is>
          <t>In Progress</t>
        </is>
      </c>
      <c r="Q1571" s="5">
        <f>IFERROR(IF(INDEX(Tbl_KPIMaster[Direction],MATCH($G1571,Tbl_KPIMaster[KPI],0))="Lower is Better",IF($J1571=0,1,IF($I1571=0,0,$I1571/$J1571)),IF($I1571=0,1,$J1571/$I1571)),0)</f>
        <v/>
      </c>
      <c r="R1571" s="4">
        <f>IF(OR($I1571="",$J1571=""),"",$J1571-$I1571)</f>
        <v/>
      </c>
      <c r="S1571" s="4">
        <f>IFERROR(IF(INDEX(Tbl_KPIMaster[Direction],MATCH($G1571,Tbl_KPIMaster[KPI],0))="Lower is Better",IF($J1571&lt;=$I1571,"Green",IF($J1571&lt;=$I1571+IF($I1571=0,$K1571,$I1571*$K1571),"Amber","Red")),IF($J1571&gt;=$I1571,"Green",IF($J1571&gt;=$I1571-IF($I1571=0,$K1571,$I1571*$K1571),"Amber","Red"))),"")</f>
        <v/>
      </c>
      <c r="T1571" s="6" t="inlineStr"/>
    </row>
    <row r="1572">
      <c r="A1572" s="7" t="n">
        <v>46208</v>
      </c>
      <c r="B1572" s="8">
        <f>IF($A1572="","",TEXT($A1572,"mmm-yyyy"))</f>
        <v/>
      </c>
      <c r="C1572" s="8">
        <f>IF($A1572="","","W"&amp;WEEKNUM($A1572,2))</f>
        <v/>
      </c>
      <c r="D1572" s="8">
        <f>IF($A1572="","",TEXT($A1572,"ddd"))</f>
        <v/>
      </c>
      <c r="E1572" s="8" t="inlineStr">
        <is>
          <t>Utilities</t>
        </is>
      </c>
      <c r="F1572" s="8">
        <f>IFERROR(INDEX(Tbl_KPIMaster[Category],MATCH($G1572,Tbl_KPIMaster[KPI],0)),"")</f>
        <v/>
      </c>
      <c r="G1572" s="8" t="inlineStr">
        <is>
          <t>Water Consumption</t>
        </is>
      </c>
      <c r="H1572" s="8">
        <f>IFERROR(INDEX(Tbl_KPIMaster[Unit],MATCH($G1572,Tbl_KPIMaster[KPI],0)),"")</f>
        <v/>
      </c>
      <c r="I1572" s="9">
        <f>IFERROR(INDEX(Tbl_KPIMaster[Maximum Target],MATCH($G1572,Tbl_KPIMaster[KPI],0)),"")</f>
        <v/>
      </c>
      <c r="J1572" s="9" t="n">
        <v>59.9</v>
      </c>
      <c r="K1572" s="8">
        <f>IFERROR(INDEX(Tbl_KPIMaster[Tolerance],MATCH($G1572,Tbl_KPIMaster[KPI],0)),"")</f>
        <v/>
      </c>
      <c r="L1572" s="8">
        <f>IFERROR(INDEX(Tbl_KPIMaster[Owner],MATCH($G1572,Tbl_KPIMaster[KPI],0)),"")</f>
        <v/>
      </c>
      <c r="M1572" s="10" t="inlineStr">
        <is>
          <t>Within normal range</t>
        </is>
      </c>
      <c r="N1572" s="8" t="inlineStr">
        <is>
          <t>Management approval pending</t>
        </is>
      </c>
      <c r="O1572" s="8" t="inlineStr">
        <is>
          <t>Low</t>
        </is>
      </c>
      <c r="P1572" s="8" t="inlineStr">
        <is>
          <t>In Progress</t>
        </is>
      </c>
      <c r="Q1572" s="9">
        <f>IFERROR(IF(INDEX(Tbl_KPIMaster[Direction],MATCH($G1572,Tbl_KPIMaster[KPI],0))="Lower is Better",IF($J1572=0,1,IF($I1572=0,0,$I1572/$J1572)),IF($I1572=0,1,$J1572/$I1572)),0)</f>
        <v/>
      </c>
      <c r="R1572" s="8">
        <f>IF(OR($I1572="",$J1572=""),"",$J1572-$I1572)</f>
        <v/>
      </c>
      <c r="S1572" s="8">
        <f>IFERROR(IF(INDEX(Tbl_KPIMaster[Direction],MATCH($G1572,Tbl_KPIMaster[KPI],0))="Lower is Better",IF($J1572&lt;=$I1572,"Green",IF($J1572&lt;=$I1572+IF($I1572=0,$K1572,$I1572*$K1572),"Amber","Red")),IF($J1572&gt;=$I1572,"Green",IF($J1572&gt;=$I1572-IF($I1572=0,$K1572,$I1572*$K1572),"Amber","Red"))),"")</f>
        <v/>
      </c>
      <c r="T1572" s="10" t="inlineStr"/>
    </row>
    <row r="1573">
      <c r="A1573" s="3" t="n">
        <v>46208</v>
      </c>
      <c r="B1573" s="4">
        <f>IF($A1573="","",TEXT($A1573,"mmm-yyyy"))</f>
        <v/>
      </c>
      <c r="C1573" s="4">
        <f>IF($A1573="","","W"&amp;WEEKNUM($A1573,2))</f>
        <v/>
      </c>
      <c r="D1573" s="4">
        <f>IF($A1573="","",TEXT($A1573,"ddd"))</f>
        <v/>
      </c>
      <c r="E1573" s="4" t="inlineStr">
        <is>
          <t>Warehouse</t>
        </is>
      </c>
      <c r="F1573" s="4">
        <f>IFERROR(INDEX(Tbl_KPIMaster[Category],MATCH($G1573,Tbl_KPIMaster[KPI],0)),"")</f>
        <v/>
      </c>
      <c r="G1573" s="4" t="inlineStr">
        <is>
          <t>On-Time Dispatch %</t>
        </is>
      </c>
      <c r="H1573" s="4">
        <f>IFERROR(INDEX(Tbl_KPIMaster[Unit],MATCH($G1573,Tbl_KPIMaster[KPI],0)),"")</f>
        <v/>
      </c>
      <c r="I1573" s="5">
        <f>IFERROR(INDEX(Tbl_KPIMaster[Maximum Target],MATCH($G1573,Tbl_KPIMaster[KPI],0)),"")</f>
        <v/>
      </c>
      <c r="J1573" s="5" t="n">
        <v>1.1951</v>
      </c>
      <c r="K1573" s="4">
        <f>IFERROR(INDEX(Tbl_KPIMaster[Tolerance],MATCH($G1573,Tbl_KPIMaster[KPI],0)),"")</f>
        <v/>
      </c>
      <c r="L1573" s="4">
        <f>IFERROR(INDEX(Tbl_KPIMaster[Owner],MATCH($G1573,Tbl_KPIMaster[KPI],0)),"")</f>
        <v/>
      </c>
      <c r="M1573" s="6" t="inlineStr">
        <is>
          <t>Vendor delay</t>
        </is>
      </c>
      <c r="N1573" s="4" t="inlineStr">
        <is>
          <t>Engineering support needed</t>
        </is>
      </c>
      <c r="O1573" s="4" t="inlineStr">
        <is>
          <t>Medium</t>
        </is>
      </c>
      <c r="P1573" s="4" t="inlineStr">
        <is>
          <t>Open</t>
        </is>
      </c>
      <c r="Q1573" s="5">
        <f>IFERROR(IF(INDEX(Tbl_KPIMaster[Direction],MATCH($G1573,Tbl_KPIMaster[KPI],0))="Lower is Better",IF($J1573=0,1,IF($I1573=0,0,$I1573/$J1573)),IF($I1573=0,1,$J1573/$I1573)),0)</f>
        <v/>
      </c>
      <c r="R1573" s="4">
        <f>IF(OR($I1573="",$J1573=""),"",$J1573-$I1573)</f>
        <v/>
      </c>
      <c r="S1573" s="4">
        <f>IFERROR(IF(INDEX(Tbl_KPIMaster[Direction],MATCH($G1573,Tbl_KPIMaster[KPI],0))="Lower is Better",IF($J1573&lt;=$I1573,"Green",IF($J1573&lt;=$I1573+IF($I1573=0,$K1573,$I1573*$K1573),"Amber","Red")),IF($J1573&gt;=$I1573,"Green",IF($J1573&gt;=$I1573-IF($I1573=0,$K1573,$I1573*$K1573),"Amber","Red"))),"")</f>
        <v/>
      </c>
      <c r="T1573" s="6" t="inlineStr"/>
    </row>
    <row r="1574">
      <c r="A1574" s="7" t="n">
        <v>46208</v>
      </c>
      <c r="B1574" s="8">
        <f>IF($A1574="","",TEXT($A1574,"mmm-yyyy"))</f>
        <v/>
      </c>
      <c r="C1574" s="8">
        <f>IF($A1574="","","W"&amp;WEEKNUM($A1574,2))</f>
        <v/>
      </c>
      <c r="D1574" s="8">
        <f>IF($A1574="","",TEXT($A1574,"ddd"))</f>
        <v/>
      </c>
      <c r="E1574" s="8" t="inlineStr">
        <is>
          <t>Warehouse</t>
        </is>
      </c>
      <c r="F1574" s="8">
        <f>IFERROR(INDEX(Tbl_KPIMaster[Category],MATCH($G1574,Tbl_KPIMaster[KPI],0)),"")</f>
        <v/>
      </c>
      <c r="G1574" s="8" t="inlineStr">
        <is>
          <t>Inventory Accuracy %</t>
        </is>
      </c>
      <c r="H1574" s="8">
        <f>IFERROR(INDEX(Tbl_KPIMaster[Unit],MATCH($G1574,Tbl_KPIMaster[KPI],0)),"")</f>
        <v/>
      </c>
      <c r="I1574" s="9">
        <f>IFERROR(INDEX(Tbl_KPIMaster[Maximum Target],MATCH($G1574,Tbl_KPIMaster[KPI],0)),"")</f>
        <v/>
      </c>
      <c r="J1574" s="9" t="n">
        <v>1.0075</v>
      </c>
      <c r="K1574" s="8">
        <f>IFERROR(INDEX(Tbl_KPIMaster[Tolerance],MATCH($G1574,Tbl_KPIMaster[KPI],0)),"")</f>
        <v/>
      </c>
      <c r="L1574" s="8">
        <f>IFERROR(INDEX(Tbl_KPIMaster[Owner],MATCH($G1574,Tbl_KPIMaster[KPI],0)),"")</f>
        <v/>
      </c>
      <c r="M1574" s="10" t="inlineStr">
        <is>
          <t>Process improvement in progress</t>
        </is>
      </c>
      <c r="N1574" s="8" t="inlineStr"/>
      <c r="O1574" s="8" t="inlineStr">
        <is>
          <t>Low</t>
        </is>
      </c>
      <c r="P1574" s="8" t="inlineStr">
        <is>
          <t>Closed</t>
        </is>
      </c>
      <c r="Q1574" s="9">
        <f>IFERROR(IF(INDEX(Tbl_KPIMaster[Direction],MATCH($G1574,Tbl_KPIMaster[KPI],0))="Lower is Better",IF($J1574=0,1,IF($I1574=0,0,$I1574/$J1574)),IF($I1574=0,1,$J1574/$I1574)),0)</f>
        <v/>
      </c>
      <c r="R1574" s="8">
        <f>IF(OR($I1574="",$J1574=""),"",$J1574-$I1574)</f>
        <v/>
      </c>
      <c r="S1574" s="8">
        <f>IFERROR(IF(INDEX(Tbl_KPIMaster[Direction],MATCH($G1574,Tbl_KPIMaster[KPI],0))="Lower is Better",IF($J1574&lt;=$I1574,"Green",IF($J1574&lt;=$I1574+IF($I1574=0,$K1574,$I1574*$K1574),"Amber","Red")),IF($J1574&gt;=$I1574,"Green",IF($J1574&gt;=$I1574-IF($I1574=0,$K1574,$I1574*$K1574),"Amber","Red"))),"")</f>
        <v/>
      </c>
      <c r="T1574" s="10" t="inlineStr"/>
    </row>
    <row r="1575">
      <c r="A1575" s="3" t="n">
        <v>46208</v>
      </c>
      <c r="B1575" s="4">
        <f>IF($A1575="","",TEXT($A1575,"mmm-yyyy"))</f>
        <v/>
      </c>
      <c r="C1575" s="4">
        <f>IF($A1575="","","W"&amp;WEEKNUM($A1575,2))</f>
        <v/>
      </c>
      <c r="D1575" s="4">
        <f>IF($A1575="","",TEXT($A1575,"ddd"))</f>
        <v/>
      </c>
      <c r="E1575" s="4" t="inlineStr">
        <is>
          <t>HR</t>
        </is>
      </c>
      <c r="F1575" s="4">
        <f>IFERROR(INDEX(Tbl_KPIMaster[Category],MATCH($G1575,Tbl_KPIMaster[KPI],0)),"")</f>
        <v/>
      </c>
      <c r="G1575" s="4" t="inlineStr">
        <is>
          <t>Absenteeism %</t>
        </is>
      </c>
      <c r="H1575" s="4">
        <f>IFERROR(INDEX(Tbl_KPIMaster[Unit],MATCH($G1575,Tbl_KPIMaster[KPI],0)),"")</f>
        <v/>
      </c>
      <c r="I1575" s="5">
        <f>IFERROR(INDEX(Tbl_KPIMaster[Maximum Target],MATCH($G1575,Tbl_KPIMaster[KPI],0)),"")</f>
        <v/>
      </c>
      <c r="J1575" s="5" t="n">
        <v>0</v>
      </c>
      <c r="K1575" s="4">
        <f>IFERROR(INDEX(Tbl_KPIMaster[Tolerance],MATCH($G1575,Tbl_KPIMaster[KPI],0)),"")</f>
        <v/>
      </c>
      <c r="L1575" s="4">
        <f>IFERROR(INDEX(Tbl_KPIMaster[Owner],MATCH($G1575,Tbl_KPIMaster[KPI],0)),"")</f>
        <v/>
      </c>
      <c r="M1575" s="6" t="inlineStr">
        <is>
          <t>Equipment breakdown</t>
        </is>
      </c>
      <c r="N1575" s="4" t="inlineStr"/>
      <c r="O1575" s="4" t="inlineStr">
        <is>
          <t>Low</t>
        </is>
      </c>
      <c r="P1575" s="4" t="inlineStr">
        <is>
          <t>Closed</t>
        </is>
      </c>
      <c r="Q1575" s="5">
        <f>IFERROR(IF(INDEX(Tbl_KPIMaster[Direction],MATCH($G1575,Tbl_KPIMaster[KPI],0))="Lower is Better",IF($J1575=0,1,IF($I1575=0,0,$I1575/$J1575)),IF($I1575=0,1,$J1575/$I1575)),0)</f>
        <v/>
      </c>
      <c r="R1575" s="4">
        <f>IF(OR($I1575="",$J1575=""),"",$J1575-$I1575)</f>
        <v/>
      </c>
      <c r="S1575" s="4">
        <f>IFERROR(IF(INDEX(Tbl_KPIMaster[Direction],MATCH($G1575,Tbl_KPIMaster[KPI],0))="Lower is Better",IF($J1575&lt;=$I1575,"Green",IF($J1575&lt;=$I1575+IF($I1575=0,$K1575,$I1575*$K1575),"Amber","Red")),IF($J1575&gt;=$I1575,"Green",IF($J1575&gt;=$I1575-IF($I1575=0,$K1575,$I1575*$K1575),"Amber","Red"))),"")</f>
        <v/>
      </c>
      <c r="T1575" s="6" t="inlineStr"/>
    </row>
    <row r="1576">
      <c r="A1576" s="7" t="n">
        <v>46208</v>
      </c>
      <c r="B1576" s="8">
        <f>IF($A1576="","",TEXT($A1576,"mmm-yyyy"))</f>
        <v/>
      </c>
      <c r="C1576" s="8">
        <f>IF($A1576="","","W"&amp;WEEKNUM($A1576,2))</f>
        <v/>
      </c>
      <c r="D1576" s="8">
        <f>IF($A1576="","",TEXT($A1576,"ddd"))</f>
        <v/>
      </c>
      <c r="E1576" s="8" t="inlineStr">
        <is>
          <t>HR</t>
        </is>
      </c>
      <c r="F1576" s="8">
        <f>IFERROR(INDEX(Tbl_KPIMaster[Category],MATCH($G1576,Tbl_KPIMaster[KPI],0)),"")</f>
        <v/>
      </c>
      <c r="G1576" s="8" t="inlineStr">
        <is>
          <t>Training Hours</t>
        </is>
      </c>
      <c r="H1576" s="8">
        <f>IFERROR(INDEX(Tbl_KPIMaster[Unit],MATCH($G1576,Tbl_KPIMaster[KPI],0)),"")</f>
        <v/>
      </c>
      <c r="I1576" s="9">
        <f>IFERROR(INDEX(Tbl_KPIMaster[Maximum Target],MATCH($G1576,Tbl_KPIMaster[KPI],0)),"")</f>
        <v/>
      </c>
      <c r="J1576" s="9" t="n">
        <v>1.98</v>
      </c>
      <c r="K1576" s="8">
        <f>IFERROR(INDEX(Tbl_KPIMaster[Tolerance],MATCH($G1576,Tbl_KPIMaster[KPI],0)),"")</f>
        <v/>
      </c>
      <c r="L1576" s="8">
        <f>IFERROR(INDEX(Tbl_KPIMaster[Owner],MATCH($G1576,Tbl_KPIMaster[KPI],0)),"")</f>
        <v/>
      </c>
      <c r="M1576" s="10" t="inlineStr">
        <is>
          <t>Vendor delay</t>
        </is>
      </c>
      <c r="N1576" s="8" t="inlineStr"/>
      <c r="O1576" s="8" t="inlineStr">
        <is>
          <t>Low</t>
        </is>
      </c>
      <c r="P1576" s="8" t="inlineStr">
        <is>
          <t>Closed</t>
        </is>
      </c>
      <c r="Q1576" s="9">
        <f>IFERROR(IF(INDEX(Tbl_KPIMaster[Direction],MATCH($G1576,Tbl_KPIMaster[KPI],0))="Lower is Better",IF($J1576=0,1,IF($I1576=0,0,$I1576/$J1576)),IF($I1576=0,1,$J1576/$I1576)),0)</f>
        <v/>
      </c>
      <c r="R1576" s="8">
        <f>IF(OR($I1576="",$J1576=""),"",$J1576-$I1576)</f>
        <v/>
      </c>
      <c r="S1576" s="8">
        <f>IFERROR(IF(INDEX(Tbl_KPIMaster[Direction],MATCH($G1576,Tbl_KPIMaster[KPI],0))="Lower is Better",IF($J1576&lt;=$I1576,"Green",IF($J1576&lt;=$I1576+IF($I1576=0,$K1576,$I1576*$K1576),"Amber","Red")),IF($J1576&gt;=$I1576,"Green",IF($J1576&gt;=$I1576-IF($I1576=0,$K1576,$I1576*$K1576),"Amber","Red"))),"")</f>
        <v/>
      </c>
      <c r="T1576" s="10" t="inlineStr"/>
    </row>
    <row r="1577">
      <c r="A1577" s="3" t="n">
        <v>46208</v>
      </c>
      <c r="B1577" s="4">
        <f>IF($A1577="","",TEXT($A1577,"mmm-yyyy"))</f>
        <v/>
      </c>
      <c r="C1577" s="4">
        <f>IF($A1577="","","W"&amp;WEEKNUM($A1577,2))</f>
        <v/>
      </c>
      <c r="D1577" s="4">
        <f>IF($A1577="","",TEXT($A1577,"ddd"))</f>
        <v/>
      </c>
      <c r="E1577" s="4" t="inlineStr">
        <is>
          <t>Engineering</t>
        </is>
      </c>
      <c r="F1577" s="4">
        <f>IFERROR(INDEX(Tbl_KPIMaster[Category],MATCH($G1577,Tbl_KPIMaster[KPI],0)),"")</f>
        <v/>
      </c>
      <c r="G1577" s="4" t="inlineStr">
        <is>
          <t>Project Milestone Adherence %</t>
        </is>
      </c>
      <c r="H1577" s="4">
        <f>IFERROR(INDEX(Tbl_KPIMaster[Unit],MATCH($G1577,Tbl_KPIMaster[KPI],0)),"")</f>
        <v/>
      </c>
      <c r="I1577" s="5">
        <f>IFERROR(INDEX(Tbl_KPIMaster[Maximum Target],MATCH($G1577,Tbl_KPIMaster[KPI],0)),"")</f>
        <v/>
      </c>
      <c r="J1577" s="5" t="n">
        <v>1.1548</v>
      </c>
      <c r="K1577" s="4">
        <f>IFERROR(INDEX(Tbl_KPIMaster[Tolerance],MATCH($G1577,Tbl_KPIMaster[KPI],0)),"")</f>
        <v/>
      </c>
      <c r="L1577" s="4">
        <f>IFERROR(INDEX(Tbl_KPIMaster[Owner],MATCH($G1577,Tbl_KPIMaster[KPI],0)),"")</f>
        <v/>
      </c>
      <c r="M1577" s="6" t="inlineStr">
        <is>
          <t>Manpower shortage</t>
        </is>
      </c>
      <c r="N1577" s="4" t="inlineStr"/>
      <c r="O1577" s="4" t="inlineStr">
        <is>
          <t>Low</t>
        </is>
      </c>
      <c r="P1577" s="4" t="inlineStr">
        <is>
          <t>In Progress</t>
        </is>
      </c>
      <c r="Q1577" s="5">
        <f>IFERROR(IF(INDEX(Tbl_KPIMaster[Direction],MATCH($G1577,Tbl_KPIMaster[KPI],0))="Lower is Better",IF($J1577=0,1,IF($I1577=0,0,$I1577/$J1577)),IF($I1577=0,1,$J1577/$I1577)),0)</f>
        <v/>
      </c>
      <c r="R1577" s="4">
        <f>IF(OR($I1577="",$J1577=""),"",$J1577-$I1577)</f>
        <v/>
      </c>
      <c r="S1577" s="4">
        <f>IFERROR(IF(INDEX(Tbl_KPIMaster[Direction],MATCH($G1577,Tbl_KPIMaster[KPI],0))="Lower is Better",IF($J1577&lt;=$I1577,"Green",IF($J1577&lt;=$I1577+IF($I1577=0,$K1577,$I1577*$K1577),"Amber","Red")),IF($J1577&gt;=$I1577,"Green",IF($J1577&gt;=$I1577-IF($I1577=0,$K1577,$I1577*$K1577),"Amber","Red"))),"")</f>
        <v/>
      </c>
      <c r="T1577" s="6" t="inlineStr"/>
    </row>
    <row r="1578">
      <c r="A1578" s="7" t="n">
        <v>46208</v>
      </c>
      <c r="B1578" s="8">
        <f>IF($A1578="","",TEXT($A1578,"mmm-yyyy"))</f>
        <v/>
      </c>
      <c r="C1578" s="8">
        <f>IF($A1578="","","W"&amp;WEEKNUM($A1578,2))</f>
        <v/>
      </c>
      <c r="D1578" s="8">
        <f>IF($A1578="","",TEXT($A1578,"ddd"))</f>
        <v/>
      </c>
      <c r="E1578" s="8" t="inlineStr">
        <is>
          <t>Engineering</t>
        </is>
      </c>
      <c r="F1578" s="8">
        <f>IFERROR(INDEX(Tbl_KPIMaster[Category],MATCH($G1578,Tbl_KPIMaster[KPI],0)),"")</f>
        <v/>
      </c>
      <c r="G1578" s="8" t="inlineStr">
        <is>
          <t>Breakdown Resolution Time</t>
        </is>
      </c>
      <c r="H1578" s="8">
        <f>IFERROR(INDEX(Tbl_KPIMaster[Unit],MATCH($G1578,Tbl_KPIMaster[KPI],0)),"")</f>
        <v/>
      </c>
      <c r="I1578" s="9">
        <f>IFERROR(INDEX(Tbl_KPIMaster[Maximum Target],MATCH($G1578,Tbl_KPIMaster[KPI],0)),"")</f>
        <v/>
      </c>
      <c r="J1578" s="9" t="n">
        <v>1.01</v>
      </c>
      <c r="K1578" s="8">
        <f>IFERROR(INDEX(Tbl_KPIMaster[Tolerance],MATCH($G1578,Tbl_KPIMaster[KPI],0)),"")</f>
        <v/>
      </c>
      <c r="L1578" s="8">
        <f>IFERROR(INDEX(Tbl_KPIMaster[Owner],MATCH($G1578,Tbl_KPIMaster[KPI],0)),"")</f>
        <v/>
      </c>
      <c r="M1578" s="10" t="inlineStr">
        <is>
          <t>Process improvement in progress</t>
        </is>
      </c>
      <c r="N1578" s="8" t="inlineStr"/>
      <c r="O1578" s="8" t="inlineStr">
        <is>
          <t>Medium</t>
        </is>
      </c>
      <c r="P1578" s="8" t="inlineStr">
        <is>
          <t>Closed</t>
        </is>
      </c>
      <c r="Q1578" s="9">
        <f>IFERROR(IF(INDEX(Tbl_KPIMaster[Direction],MATCH($G1578,Tbl_KPIMaster[KPI],0))="Lower is Better",IF($J1578=0,1,IF($I1578=0,0,$I1578/$J1578)),IF($I1578=0,1,$J1578/$I1578)),0)</f>
        <v/>
      </c>
      <c r="R1578" s="8">
        <f>IF(OR($I1578="",$J1578=""),"",$J1578-$I1578)</f>
        <v/>
      </c>
      <c r="S1578" s="8">
        <f>IFERROR(IF(INDEX(Tbl_KPIMaster[Direction],MATCH($G1578,Tbl_KPIMaster[KPI],0))="Lower is Better",IF($J1578&lt;=$I1578,"Green",IF($J1578&lt;=$I1578+IF($I1578=0,$K1578,$I1578*$K1578),"Amber","Red")),IF($J1578&gt;=$I1578,"Green",IF($J1578&gt;=$I1578-IF($I1578=0,$K1578,$I1578*$K1578),"Amber","Red"))),"")</f>
        <v/>
      </c>
      <c r="T1578" s="10" t="inlineStr"/>
    </row>
    <row r="1579">
      <c r="A1579" s="3" t="n">
        <v>46208</v>
      </c>
      <c r="B1579" s="4">
        <f>IF($A1579="","",TEXT($A1579,"mmm-yyyy"))</f>
        <v/>
      </c>
      <c r="C1579" s="4">
        <f>IF($A1579="","","W"&amp;WEEKNUM($A1579,2))</f>
        <v/>
      </c>
      <c r="D1579" s="4">
        <f>IF($A1579="","",TEXT($A1579,"ddd"))</f>
        <v/>
      </c>
      <c r="E1579" s="4" t="inlineStr">
        <is>
          <t>Cost</t>
        </is>
      </c>
      <c r="F1579" s="4">
        <f>IFERROR(INDEX(Tbl_KPIMaster[Category],MATCH($G1579,Tbl_KPIMaster[KPI],0)),"")</f>
        <v/>
      </c>
      <c r="G1579" s="4" t="inlineStr">
        <is>
          <t>Cost per Unit</t>
        </is>
      </c>
      <c r="H1579" s="4">
        <f>IFERROR(INDEX(Tbl_KPIMaster[Unit],MATCH($G1579,Tbl_KPIMaster[KPI],0)),"")</f>
        <v/>
      </c>
      <c r="I1579" s="5">
        <f>IFERROR(INDEX(Tbl_KPIMaster[Maximum Target],MATCH($G1579,Tbl_KPIMaster[KPI],0)),"")</f>
        <v/>
      </c>
      <c r="J1579" s="5" t="n">
        <v>39.39</v>
      </c>
      <c r="K1579" s="4">
        <f>IFERROR(INDEX(Tbl_KPIMaster[Tolerance],MATCH($G1579,Tbl_KPIMaster[KPI],0)),"")</f>
        <v/>
      </c>
      <c r="L1579" s="4">
        <f>IFERROR(INDEX(Tbl_KPIMaster[Owner],MATCH($G1579,Tbl_KPIMaster[KPI],0)),"")</f>
        <v/>
      </c>
      <c r="M1579" s="6" t="inlineStr">
        <is>
          <t>Vendor delay</t>
        </is>
      </c>
      <c r="N1579" s="4" t="inlineStr">
        <is>
          <t>Management approval pending</t>
        </is>
      </c>
      <c r="O1579" s="4" t="inlineStr">
        <is>
          <t>Medium</t>
        </is>
      </c>
      <c r="P1579" s="4" t="inlineStr">
        <is>
          <t>In Progress</t>
        </is>
      </c>
      <c r="Q1579" s="5">
        <f>IFERROR(IF(INDEX(Tbl_KPIMaster[Direction],MATCH($G1579,Tbl_KPIMaster[KPI],0))="Lower is Better",IF($J1579=0,1,IF($I1579=0,0,$I1579/$J1579)),IF($I1579=0,1,$J1579/$I1579)),0)</f>
        <v/>
      </c>
      <c r="R1579" s="4">
        <f>IF(OR($I1579="",$J1579=""),"",$J1579-$I1579)</f>
        <v/>
      </c>
      <c r="S1579" s="4">
        <f>IFERROR(IF(INDEX(Tbl_KPIMaster[Direction],MATCH($G1579,Tbl_KPIMaster[KPI],0))="Lower is Better",IF($J1579&lt;=$I1579,"Green",IF($J1579&lt;=$I1579+IF($I1579=0,$K1579,$I1579*$K1579),"Amber","Red")),IF($J1579&gt;=$I1579,"Green",IF($J1579&gt;=$I1579-IF($I1579=0,$K1579,$I1579*$K1579),"Amber","Red"))),"")</f>
        <v/>
      </c>
      <c r="T1579" s="6" t="inlineStr"/>
    </row>
    <row r="1580">
      <c r="A1580" s="7" t="n">
        <v>46208</v>
      </c>
      <c r="B1580" s="8">
        <f>IF($A1580="","",TEXT($A1580,"mmm-yyyy"))</f>
        <v/>
      </c>
      <c r="C1580" s="8">
        <f>IF($A1580="","","W"&amp;WEEKNUM($A1580,2))</f>
        <v/>
      </c>
      <c r="D1580" s="8">
        <f>IF($A1580="","",TEXT($A1580,"ddd"))</f>
        <v/>
      </c>
      <c r="E1580" s="8" t="inlineStr">
        <is>
          <t>Cost</t>
        </is>
      </c>
      <c r="F1580" s="8">
        <f>IFERROR(INDEX(Tbl_KPIMaster[Category],MATCH($G1580,Tbl_KPIMaster[KPI],0)),"")</f>
        <v/>
      </c>
      <c r="G1580" s="8" t="inlineStr">
        <is>
          <t>Budget Variance %</t>
        </is>
      </c>
      <c r="H1580" s="8">
        <f>IFERROR(INDEX(Tbl_KPIMaster[Unit],MATCH($G1580,Tbl_KPIMaster[KPI],0)),"")</f>
        <v/>
      </c>
      <c r="I1580" s="9">
        <f>IFERROR(INDEX(Tbl_KPIMaster[Maximum Target],MATCH($G1580,Tbl_KPIMaster[KPI],0)),"")</f>
        <v/>
      </c>
      <c r="J1580" s="9" t="n">
        <v>0.5154</v>
      </c>
      <c r="K1580" s="8">
        <f>IFERROR(INDEX(Tbl_KPIMaster[Tolerance],MATCH($G1580,Tbl_KPIMaster[KPI],0)),"")</f>
        <v/>
      </c>
      <c r="L1580" s="8">
        <f>IFERROR(INDEX(Tbl_KPIMaster[Owner],MATCH($G1580,Tbl_KPIMaster[KPI],0)),"")</f>
        <v/>
      </c>
      <c r="M1580" s="10" t="inlineStr">
        <is>
          <t>New operator training effect</t>
        </is>
      </c>
      <c r="N1580" s="8" t="inlineStr">
        <is>
          <t>Engineering support needed</t>
        </is>
      </c>
      <c r="O1580" s="8" t="inlineStr">
        <is>
          <t>Medium</t>
        </is>
      </c>
      <c r="P1580" s="8" t="inlineStr">
        <is>
          <t>Closed</t>
        </is>
      </c>
      <c r="Q1580" s="9">
        <f>IFERROR(IF(INDEX(Tbl_KPIMaster[Direction],MATCH($G1580,Tbl_KPIMaster[KPI],0))="Lower is Better",IF($J1580=0,1,IF($I1580=0,0,$I1580/$J1580)),IF($I1580=0,1,$J1580/$I1580)),0)</f>
        <v/>
      </c>
      <c r="R1580" s="8">
        <f>IF(OR($I1580="",$J1580=""),"",$J1580-$I1580)</f>
        <v/>
      </c>
      <c r="S1580" s="8">
        <f>IFERROR(IF(INDEX(Tbl_KPIMaster[Direction],MATCH($G1580,Tbl_KPIMaster[KPI],0))="Lower is Better",IF($J1580&lt;=$I1580,"Green",IF($J1580&lt;=$I1580+IF($I1580=0,$K1580,$I1580*$K1580),"Amber","Red")),IF($J1580&gt;=$I1580,"Green",IF($J1580&gt;=$I1580-IF($I1580=0,$K1580,$I1580*$K1580),"Amber","Red"))),"")</f>
        <v/>
      </c>
      <c r="T1580" s="10" t="inlineStr"/>
    </row>
    <row r="1581">
      <c r="A1581" s="3" t="n">
        <v>46208</v>
      </c>
      <c r="B1581" s="4">
        <f>IF($A1581="","",TEXT($A1581,"mmm-yyyy"))</f>
        <v/>
      </c>
      <c r="C1581" s="4">
        <f>IF($A1581="","","W"&amp;WEEKNUM($A1581,2))</f>
        <v/>
      </c>
      <c r="D1581" s="4">
        <f>IF($A1581="","",TEXT($A1581,"ddd"))</f>
        <v/>
      </c>
      <c r="E1581" s="4" t="inlineStr">
        <is>
          <t>Energy</t>
        </is>
      </c>
      <c r="F1581" s="4">
        <f>IFERROR(INDEX(Tbl_KPIMaster[Category],MATCH($G1581,Tbl_KPIMaster[KPI],0)),"")</f>
        <v/>
      </c>
      <c r="G1581" s="4" t="inlineStr">
        <is>
          <t>Energy Intensity (kWh/unit)</t>
        </is>
      </c>
      <c r="H1581" s="4">
        <f>IFERROR(INDEX(Tbl_KPIMaster[Unit],MATCH($G1581,Tbl_KPIMaster[KPI],0)),"")</f>
        <v/>
      </c>
      <c r="I1581" s="5">
        <f>IFERROR(INDEX(Tbl_KPIMaster[Maximum Target],MATCH($G1581,Tbl_KPIMaster[KPI],0)),"")</f>
        <v/>
      </c>
      <c r="J1581" s="5" t="n">
        <v>4.21</v>
      </c>
      <c r="K1581" s="4">
        <f>IFERROR(INDEX(Tbl_KPIMaster[Tolerance],MATCH($G1581,Tbl_KPIMaster[KPI],0)),"")</f>
        <v/>
      </c>
      <c r="L1581" s="4">
        <f>IFERROR(INDEX(Tbl_KPIMaster[Owner],MATCH($G1581,Tbl_KPIMaster[KPI],0)),"")</f>
        <v/>
      </c>
      <c r="M1581" s="6" t="inlineStr"/>
      <c r="N1581" s="4" t="inlineStr">
        <is>
          <t>Management approval pending</t>
        </is>
      </c>
      <c r="O1581" s="4" t="inlineStr">
        <is>
          <t>Low</t>
        </is>
      </c>
      <c r="P1581" s="4" t="inlineStr">
        <is>
          <t>Closed</t>
        </is>
      </c>
      <c r="Q1581" s="5">
        <f>IFERROR(IF(INDEX(Tbl_KPIMaster[Direction],MATCH($G1581,Tbl_KPIMaster[KPI],0))="Lower is Better",IF($J1581=0,1,IF($I1581=0,0,$I1581/$J1581)),IF($I1581=0,1,$J1581/$I1581)),0)</f>
        <v/>
      </c>
      <c r="R1581" s="4">
        <f>IF(OR($I1581="",$J1581=""),"",$J1581-$I1581)</f>
        <v/>
      </c>
      <c r="S1581" s="4">
        <f>IFERROR(IF(INDEX(Tbl_KPIMaster[Direction],MATCH($G1581,Tbl_KPIMaster[KPI],0))="Lower is Better",IF($J1581&lt;=$I1581,"Green",IF($J1581&lt;=$I1581+IF($I1581=0,$K1581,$I1581*$K1581),"Amber","Red")),IF($J1581&gt;=$I1581,"Green",IF($J1581&gt;=$I1581-IF($I1581=0,$K1581,$I1581*$K1581),"Amber","Red"))),"")</f>
        <v/>
      </c>
      <c r="T1581" s="6" t="inlineStr"/>
    </row>
    <row r="1582">
      <c r="A1582" s="7" t="n">
        <v>46208</v>
      </c>
      <c r="B1582" s="8">
        <f>IF($A1582="","",TEXT($A1582,"mmm-yyyy"))</f>
        <v/>
      </c>
      <c r="C1582" s="8">
        <f>IF($A1582="","","W"&amp;WEEKNUM($A1582,2))</f>
        <v/>
      </c>
      <c r="D1582" s="8">
        <f>IF($A1582="","",TEXT($A1582,"ddd"))</f>
        <v/>
      </c>
      <c r="E1582" s="8" t="inlineStr">
        <is>
          <t>Energy</t>
        </is>
      </c>
      <c r="F1582" s="8">
        <f>IFERROR(INDEX(Tbl_KPIMaster[Category],MATCH($G1582,Tbl_KPIMaster[KPI],0)),"")</f>
        <v/>
      </c>
      <c r="G1582" s="8" t="inlineStr">
        <is>
          <t>Renewable Energy Share %</t>
        </is>
      </c>
      <c r="H1582" s="8">
        <f>IFERROR(INDEX(Tbl_KPIMaster[Unit],MATCH($G1582,Tbl_KPIMaster[KPI],0)),"")</f>
        <v/>
      </c>
      <c r="I1582" s="9">
        <f>IFERROR(INDEX(Tbl_KPIMaster[Maximum Target],MATCH($G1582,Tbl_KPIMaster[KPI],0)),"")</f>
        <v/>
      </c>
      <c r="J1582" s="9" t="n">
        <v>0.3043</v>
      </c>
      <c r="K1582" s="8">
        <f>IFERROR(INDEX(Tbl_KPIMaster[Tolerance],MATCH($G1582,Tbl_KPIMaster[KPI],0)),"")</f>
        <v/>
      </c>
      <c r="L1582" s="8">
        <f>IFERROR(INDEX(Tbl_KPIMaster[Owner],MATCH($G1582,Tbl_KPIMaster[KPI],0)),"")</f>
        <v/>
      </c>
      <c r="M1582" s="10" t="inlineStr">
        <is>
          <t>Within normal range</t>
        </is>
      </c>
      <c r="N1582" s="8" t="inlineStr">
        <is>
          <t>Management approval pending</t>
        </is>
      </c>
      <c r="O1582" s="8" t="inlineStr">
        <is>
          <t>Low</t>
        </is>
      </c>
      <c r="P1582" s="8" t="inlineStr">
        <is>
          <t>Open</t>
        </is>
      </c>
      <c r="Q1582" s="9">
        <f>IFERROR(IF(INDEX(Tbl_KPIMaster[Direction],MATCH($G1582,Tbl_KPIMaster[KPI],0))="Lower is Better",IF($J1582=0,1,IF($I1582=0,0,$I1582/$J1582)),IF($I1582=0,1,$J1582/$I1582)),0)</f>
        <v/>
      </c>
      <c r="R1582" s="8">
        <f>IF(OR($I1582="",$J1582=""),"",$J1582-$I1582)</f>
        <v/>
      </c>
      <c r="S1582" s="8">
        <f>IFERROR(IF(INDEX(Tbl_KPIMaster[Direction],MATCH($G1582,Tbl_KPIMaster[KPI],0))="Lower is Better",IF($J1582&lt;=$I1582,"Green",IF($J1582&lt;=$I1582+IF($I1582=0,$K1582,$I1582*$K1582),"Amber","Red")),IF($J1582&gt;=$I1582,"Green",IF($J1582&gt;=$I1582-IF($I1582=0,$K1582,$I1582*$K1582),"Amber","Red"))),"")</f>
        <v/>
      </c>
      <c r="T1582" s="10" t="inlineStr"/>
    </row>
    <row r="1583">
      <c r="A1583" s="3" t="n">
        <v>46209</v>
      </c>
      <c r="B1583" s="4">
        <f>IF($A1583="","",TEXT($A1583,"mmm-yyyy"))</f>
        <v/>
      </c>
      <c r="C1583" s="4">
        <f>IF($A1583="","","W"&amp;WEEKNUM($A1583,2))</f>
        <v/>
      </c>
      <c r="D1583" s="4">
        <f>IF($A1583="","",TEXT($A1583,"ddd"))</f>
        <v/>
      </c>
      <c r="E1583" s="4" t="inlineStr">
        <is>
          <t>Safety</t>
        </is>
      </c>
      <c r="F1583" s="4">
        <f>IFERROR(INDEX(Tbl_KPIMaster[Category],MATCH($G1583,Tbl_KPIMaster[KPI],0)),"")</f>
        <v/>
      </c>
      <c r="G1583" s="4" t="inlineStr">
        <is>
          <t>Safety Incidents (LTI)</t>
        </is>
      </c>
      <c r="H1583" s="4">
        <f>IFERROR(INDEX(Tbl_KPIMaster[Unit],MATCH($G1583,Tbl_KPIMaster[KPI],0)),"")</f>
        <v/>
      </c>
      <c r="I1583" s="5">
        <f>IFERROR(INDEX(Tbl_KPIMaster[Maximum Target],MATCH($G1583,Tbl_KPIMaster[KPI],0)),"")</f>
        <v/>
      </c>
      <c r="J1583" s="5" t="n">
        <v>1</v>
      </c>
      <c r="K1583" s="4">
        <f>IFERROR(INDEX(Tbl_KPIMaster[Tolerance],MATCH($G1583,Tbl_KPIMaster[KPI],0)),"")</f>
        <v/>
      </c>
      <c r="L1583" s="4">
        <f>IFERROR(INDEX(Tbl_KPIMaster[Owner],MATCH($G1583,Tbl_KPIMaster[KPI],0)),"")</f>
        <v/>
      </c>
      <c r="M1583" s="6" t="inlineStr">
        <is>
          <t>Weather impact</t>
        </is>
      </c>
      <c r="N1583" s="4" t="inlineStr"/>
      <c r="O1583" s="4" t="inlineStr">
        <is>
          <t>Low</t>
        </is>
      </c>
      <c r="P1583" s="4" t="inlineStr">
        <is>
          <t>In Progress</t>
        </is>
      </c>
      <c r="Q1583" s="5">
        <f>IFERROR(IF(INDEX(Tbl_KPIMaster[Direction],MATCH($G1583,Tbl_KPIMaster[KPI],0))="Lower is Better",IF($J1583=0,1,IF($I1583=0,0,$I1583/$J1583)),IF($I1583=0,1,$J1583/$I1583)),0)</f>
        <v/>
      </c>
      <c r="R1583" s="4">
        <f>IF(OR($I1583="",$J1583=""),"",$J1583-$I1583)</f>
        <v/>
      </c>
      <c r="S1583" s="4">
        <f>IFERROR(IF(INDEX(Tbl_KPIMaster[Direction],MATCH($G1583,Tbl_KPIMaster[KPI],0))="Lower is Better",IF($J1583&lt;=$I1583,"Green",IF($J1583&lt;=$I1583+IF($I1583=0,$K1583,$I1583*$K1583),"Amber","Red")),IF($J1583&gt;=$I1583,"Green",IF($J1583&gt;=$I1583-IF($I1583=0,$K1583,$I1583*$K1583),"Amber","Red"))),"")</f>
        <v/>
      </c>
      <c r="T1583" s="6" t="inlineStr"/>
    </row>
    <row r="1584">
      <c r="A1584" s="7" t="n">
        <v>46209</v>
      </c>
      <c r="B1584" s="8">
        <f>IF($A1584="","",TEXT($A1584,"mmm-yyyy"))</f>
        <v/>
      </c>
      <c r="C1584" s="8">
        <f>IF($A1584="","","W"&amp;WEEKNUM($A1584,2))</f>
        <v/>
      </c>
      <c r="D1584" s="8">
        <f>IF($A1584="","",TEXT($A1584,"ddd"))</f>
        <v/>
      </c>
      <c r="E1584" s="8" t="inlineStr">
        <is>
          <t>Safety</t>
        </is>
      </c>
      <c r="F1584" s="8">
        <f>IFERROR(INDEX(Tbl_KPIMaster[Category],MATCH($G1584,Tbl_KPIMaster[KPI],0)),"")</f>
        <v/>
      </c>
      <c r="G1584" s="8" t="inlineStr">
        <is>
          <t>Near Miss Reports</t>
        </is>
      </c>
      <c r="H1584" s="8">
        <f>IFERROR(INDEX(Tbl_KPIMaster[Unit],MATCH($G1584,Tbl_KPIMaster[KPI],0)),"")</f>
        <v/>
      </c>
      <c r="I1584" s="9">
        <f>IFERROR(INDEX(Tbl_KPIMaster[Maximum Target],MATCH($G1584,Tbl_KPIMaster[KPI],0)),"")</f>
        <v/>
      </c>
      <c r="J1584" s="9" t="n">
        <v>2</v>
      </c>
      <c r="K1584" s="8">
        <f>IFERROR(INDEX(Tbl_KPIMaster[Tolerance],MATCH($G1584,Tbl_KPIMaster[KPI],0)),"")</f>
        <v/>
      </c>
      <c r="L1584" s="8">
        <f>IFERROR(INDEX(Tbl_KPIMaster[Owner],MATCH($G1584,Tbl_KPIMaster[KPI],0)),"")</f>
        <v/>
      </c>
      <c r="M1584" s="10" t="inlineStr"/>
      <c r="N1584" s="8" t="inlineStr">
        <is>
          <t>Engineering support needed</t>
        </is>
      </c>
      <c r="O1584" s="8" t="inlineStr">
        <is>
          <t>Medium</t>
        </is>
      </c>
      <c r="P1584" s="8" t="inlineStr">
        <is>
          <t>In Progress</t>
        </is>
      </c>
      <c r="Q1584" s="9">
        <f>IFERROR(IF(INDEX(Tbl_KPIMaster[Direction],MATCH($G1584,Tbl_KPIMaster[KPI],0))="Lower is Better",IF($J1584=0,1,IF($I1584=0,0,$I1584/$J1584)),IF($I1584=0,1,$J1584/$I1584)),0)</f>
        <v/>
      </c>
      <c r="R1584" s="8">
        <f>IF(OR($I1584="",$J1584=""),"",$J1584-$I1584)</f>
        <v/>
      </c>
      <c r="S1584" s="8">
        <f>IFERROR(IF(INDEX(Tbl_KPIMaster[Direction],MATCH($G1584,Tbl_KPIMaster[KPI],0))="Lower is Better",IF($J1584&lt;=$I1584,"Green",IF($J1584&lt;=$I1584+IF($I1584=0,$K1584,$I1584*$K1584),"Amber","Red")),IF($J1584&gt;=$I1584,"Green",IF($J1584&gt;=$I1584-IF($I1584=0,$K1584,$I1584*$K1584),"Amber","Red"))),"")</f>
        <v/>
      </c>
      <c r="T1584" s="10" t="inlineStr"/>
    </row>
    <row r="1585">
      <c r="A1585" s="3" t="n">
        <v>46209</v>
      </c>
      <c r="B1585" s="4">
        <f>IF($A1585="","",TEXT($A1585,"mmm-yyyy"))</f>
        <v/>
      </c>
      <c r="C1585" s="4">
        <f>IF($A1585="","","W"&amp;WEEKNUM($A1585,2))</f>
        <v/>
      </c>
      <c r="D1585" s="4">
        <f>IF($A1585="","",TEXT($A1585,"ddd"))</f>
        <v/>
      </c>
      <c r="E1585" s="4" t="inlineStr">
        <is>
          <t>Production</t>
        </is>
      </c>
      <c r="F1585" s="4">
        <f>IFERROR(INDEX(Tbl_KPIMaster[Category],MATCH($G1585,Tbl_KPIMaster[KPI],0)),"")</f>
        <v/>
      </c>
      <c r="G1585" s="4" t="inlineStr">
        <is>
          <t>Production Output</t>
        </is>
      </c>
      <c r="H1585" s="4">
        <f>IFERROR(INDEX(Tbl_KPIMaster[Unit],MATCH($G1585,Tbl_KPIMaster[KPI],0)),"")</f>
        <v/>
      </c>
      <c r="I1585" s="5">
        <f>IFERROR(INDEX(Tbl_KPIMaster[Maximum Target],MATCH($G1585,Tbl_KPIMaster[KPI],0)),"")</f>
        <v/>
      </c>
      <c r="J1585" s="5" t="n">
        <v>946.54</v>
      </c>
      <c r="K1585" s="4">
        <f>IFERROR(INDEX(Tbl_KPIMaster[Tolerance],MATCH($G1585,Tbl_KPIMaster[KPI],0)),"")</f>
        <v/>
      </c>
      <c r="L1585" s="4">
        <f>IFERROR(INDEX(Tbl_KPIMaster[Owner],MATCH($G1585,Tbl_KPIMaster[KPI],0)),"")</f>
        <v/>
      </c>
      <c r="M1585" s="6" t="inlineStr">
        <is>
          <t>Equipment breakdown</t>
        </is>
      </c>
      <c r="N1585" s="4" t="inlineStr">
        <is>
          <t>Procurement follow-up</t>
        </is>
      </c>
      <c r="O1585" s="4" t="inlineStr">
        <is>
          <t>Low</t>
        </is>
      </c>
      <c r="P1585" s="4" t="inlineStr">
        <is>
          <t>Closed</t>
        </is>
      </c>
      <c r="Q1585" s="5">
        <f>IFERROR(IF(INDEX(Tbl_KPIMaster[Direction],MATCH($G1585,Tbl_KPIMaster[KPI],0))="Lower is Better",IF($J1585=0,1,IF($I1585=0,0,$I1585/$J1585)),IF($I1585=0,1,$J1585/$I1585)),0)</f>
        <v/>
      </c>
      <c r="R1585" s="4">
        <f>IF(OR($I1585="",$J1585=""),"",$J1585-$I1585)</f>
        <v/>
      </c>
      <c r="S1585" s="4">
        <f>IFERROR(IF(INDEX(Tbl_KPIMaster[Direction],MATCH($G1585,Tbl_KPIMaster[KPI],0))="Lower is Better",IF($J1585&lt;=$I1585,"Green",IF($J1585&lt;=$I1585+IF($I1585=0,$K1585,$I1585*$K1585),"Amber","Red")),IF($J1585&gt;=$I1585,"Green",IF($J1585&gt;=$I1585-IF($I1585=0,$K1585,$I1585*$K1585),"Amber","Red"))),"")</f>
        <v/>
      </c>
      <c r="T1585" s="6" t="inlineStr"/>
    </row>
    <row r="1586">
      <c r="A1586" s="7" t="n">
        <v>46209</v>
      </c>
      <c r="B1586" s="8">
        <f>IF($A1586="","",TEXT($A1586,"mmm-yyyy"))</f>
        <v/>
      </c>
      <c r="C1586" s="8">
        <f>IF($A1586="","","W"&amp;WEEKNUM($A1586,2))</f>
        <v/>
      </c>
      <c r="D1586" s="8">
        <f>IF($A1586="","",TEXT($A1586,"ddd"))</f>
        <v/>
      </c>
      <c r="E1586" s="8" t="inlineStr">
        <is>
          <t>Production</t>
        </is>
      </c>
      <c r="F1586" s="8">
        <f>IFERROR(INDEX(Tbl_KPIMaster[Category],MATCH($G1586,Tbl_KPIMaster[KPI],0)),"")</f>
        <v/>
      </c>
      <c r="G1586" s="8" t="inlineStr">
        <is>
          <t>OEE %</t>
        </is>
      </c>
      <c r="H1586" s="8">
        <f>IFERROR(INDEX(Tbl_KPIMaster[Unit],MATCH($G1586,Tbl_KPIMaster[KPI],0)),"")</f>
        <v/>
      </c>
      <c r="I1586" s="9">
        <f>IFERROR(INDEX(Tbl_KPIMaster[Maximum Target],MATCH($G1586,Tbl_KPIMaster[KPI],0)),"")</f>
        <v/>
      </c>
      <c r="J1586" s="9" t="n">
        <v>0.9624</v>
      </c>
      <c r="K1586" s="8">
        <f>IFERROR(INDEX(Tbl_KPIMaster[Tolerance],MATCH($G1586,Tbl_KPIMaster[KPI],0)),"")</f>
        <v/>
      </c>
      <c r="L1586" s="8">
        <f>IFERROR(INDEX(Tbl_KPIMaster[Owner],MATCH($G1586,Tbl_KPIMaster[KPI],0)),"")</f>
        <v/>
      </c>
      <c r="M1586" s="10" t="inlineStr">
        <is>
          <t>Vendor delay</t>
        </is>
      </c>
      <c r="N1586" s="8" t="inlineStr"/>
      <c r="O1586" s="8" t="inlineStr">
        <is>
          <t>High</t>
        </is>
      </c>
      <c r="P1586" s="8" t="inlineStr">
        <is>
          <t>Closed</t>
        </is>
      </c>
      <c r="Q1586" s="9">
        <f>IFERROR(IF(INDEX(Tbl_KPIMaster[Direction],MATCH($G1586,Tbl_KPIMaster[KPI],0))="Lower is Better",IF($J1586=0,1,IF($I1586=0,0,$I1586/$J1586)),IF($I1586=0,1,$J1586/$I1586)),0)</f>
        <v/>
      </c>
      <c r="R1586" s="8">
        <f>IF(OR($I1586="",$J1586=""),"",$J1586-$I1586)</f>
        <v/>
      </c>
      <c r="S1586" s="8">
        <f>IFERROR(IF(INDEX(Tbl_KPIMaster[Direction],MATCH($G1586,Tbl_KPIMaster[KPI],0))="Lower is Better",IF($J1586&lt;=$I1586,"Green",IF($J1586&lt;=$I1586+IF($I1586=0,$K1586,$I1586*$K1586),"Amber","Red")),IF($J1586&gt;=$I1586,"Green",IF($J1586&gt;=$I1586-IF($I1586=0,$K1586,$I1586*$K1586),"Amber","Red"))),"")</f>
        <v/>
      </c>
      <c r="T1586" s="10" t="inlineStr"/>
    </row>
    <row r="1587">
      <c r="A1587" s="3" t="n">
        <v>46209</v>
      </c>
      <c r="B1587" s="4">
        <f>IF($A1587="","",TEXT($A1587,"mmm-yyyy"))</f>
        <v/>
      </c>
      <c r="C1587" s="4">
        <f>IF($A1587="","","W"&amp;WEEKNUM($A1587,2))</f>
        <v/>
      </c>
      <c r="D1587" s="4">
        <f>IF($A1587="","",TEXT($A1587,"ddd"))</f>
        <v/>
      </c>
      <c r="E1587" s="4" t="inlineStr">
        <is>
          <t>Quality</t>
        </is>
      </c>
      <c r="F1587" s="4">
        <f>IFERROR(INDEX(Tbl_KPIMaster[Category],MATCH($G1587,Tbl_KPIMaster[KPI],0)),"")</f>
        <v/>
      </c>
      <c r="G1587" s="4" t="inlineStr">
        <is>
          <t>Defect Rate %</t>
        </is>
      </c>
      <c r="H1587" s="4">
        <f>IFERROR(INDEX(Tbl_KPIMaster[Unit],MATCH($G1587,Tbl_KPIMaster[KPI],0)),"")</f>
        <v/>
      </c>
      <c r="I1587" s="5">
        <f>IFERROR(INDEX(Tbl_KPIMaster[Maximum Target],MATCH($G1587,Tbl_KPIMaster[KPI],0)),"")</f>
        <v/>
      </c>
      <c r="J1587" s="5" t="n">
        <v>0.08799999999999999</v>
      </c>
      <c r="K1587" s="4">
        <f>IFERROR(INDEX(Tbl_KPIMaster[Tolerance],MATCH($G1587,Tbl_KPIMaster[KPI],0)),"")</f>
        <v/>
      </c>
      <c r="L1587" s="4">
        <f>IFERROR(INDEX(Tbl_KPIMaster[Owner],MATCH($G1587,Tbl_KPIMaster[KPI],0)),"")</f>
        <v/>
      </c>
      <c r="M1587" s="6" t="inlineStr">
        <is>
          <t>Vendor delay</t>
        </is>
      </c>
      <c r="N1587" s="4" t="inlineStr">
        <is>
          <t>Management approval pending</t>
        </is>
      </c>
      <c r="O1587" s="4" t="inlineStr">
        <is>
          <t>Low</t>
        </is>
      </c>
      <c r="P1587" s="4" t="inlineStr">
        <is>
          <t>Open</t>
        </is>
      </c>
      <c r="Q1587" s="5">
        <f>IFERROR(IF(INDEX(Tbl_KPIMaster[Direction],MATCH($G1587,Tbl_KPIMaster[KPI],0))="Lower is Better",IF($J1587=0,1,IF($I1587=0,0,$I1587/$J1587)),IF($I1587=0,1,$J1587/$I1587)),0)</f>
        <v/>
      </c>
      <c r="R1587" s="4">
        <f>IF(OR($I1587="",$J1587=""),"",$J1587-$I1587)</f>
        <v/>
      </c>
      <c r="S1587" s="4">
        <f>IFERROR(IF(INDEX(Tbl_KPIMaster[Direction],MATCH($G1587,Tbl_KPIMaster[KPI],0))="Lower is Better",IF($J1587&lt;=$I1587,"Green",IF($J1587&lt;=$I1587+IF($I1587=0,$K1587,$I1587*$K1587),"Amber","Red")),IF($J1587&gt;=$I1587,"Green",IF($J1587&gt;=$I1587-IF($I1587=0,$K1587,$I1587*$K1587),"Amber","Red"))),"")</f>
        <v/>
      </c>
      <c r="T1587" s="6" t="inlineStr"/>
    </row>
    <row r="1588">
      <c r="A1588" s="7" t="n">
        <v>46209</v>
      </c>
      <c r="B1588" s="8">
        <f>IF($A1588="","",TEXT($A1588,"mmm-yyyy"))</f>
        <v/>
      </c>
      <c r="C1588" s="8">
        <f>IF($A1588="","","W"&amp;WEEKNUM($A1588,2))</f>
        <v/>
      </c>
      <c r="D1588" s="8">
        <f>IF($A1588="","",TEXT($A1588,"ddd"))</f>
        <v/>
      </c>
      <c r="E1588" s="8" t="inlineStr">
        <is>
          <t>Quality</t>
        </is>
      </c>
      <c r="F1588" s="8">
        <f>IFERROR(INDEX(Tbl_KPIMaster[Category],MATCH($G1588,Tbl_KPIMaster[KPI],0)),"")</f>
        <v/>
      </c>
      <c r="G1588" s="8" t="inlineStr">
        <is>
          <t>Customer Complaints</t>
        </is>
      </c>
      <c r="H1588" s="8">
        <f>IFERROR(INDEX(Tbl_KPIMaster[Unit],MATCH($G1588,Tbl_KPIMaster[KPI],0)),"")</f>
        <v/>
      </c>
      <c r="I1588" s="9">
        <f>IFERROR(INDEX(Tbl_KPIMaster[Maximum Target],MATCH($G1588,Tbl_KPIMaster[KPI],0)),"")</f>
        <v/>
      </c>
      <c r="J1588" s="9" t="n">
        <v>0</v>
      </c>
      <c r="K1588" s="8">
        <f>IFERROR(INDEX(Tbl_KPIMaster[Tolerance],MATCH($G1588,Tbl_KPIMaster[KPI],0)),"")</f>
        <v/>
      </c>
      <c r="L1588" s="8">
        <f>IFERROR(INDEX(Tbl_KPIMaster[Owner],MATCH($G1588,Tbl_KPIMaster[KPI],0)),"")</f>
        <v/>
      </c>
      <c r="M1588" s="10" t="inlineStr">
        <is>
          <t>Manpower shortage</t>
        </is>
      </c>
      <c r="N1588" s="8" t="inlineStr">
        <is>
          <t>Engineering support needed</t>
        </is>
      </c>
      <c r="O1588" s="8" t="inlineStr">
        <is>
          <t>Low</t>
        </is>
      </c>
      <c r="P1588" s="8" t="inlineStr">
        <is>
          <t>Open</t>
        </is>
      </c>
      <c r="Q1588" s="9">
        <f>IFERROR(IF(INDEX(Tbl_KPIMaster[Direction],MATCH($G1588,Tbl_KPIMaster[KPI],0))="Lower is Better",IF($J1588=0,1,IF($I1588=0,0,$I1588/$J1588)),IF($I1588=0,1,$J1588/$I1588)),0)</f>
        <v/>
      </c>
      <c r="R1588" s="8">
        <f>IF(OR($I1588="",$J1588=""),"",$J1588-$I1588)</f>
        <v/>
      </c>
      <c r="S1588" s="8">
        <f>IFERROR(IF(INDEX(Tbl_KPIMaster[Direction],MATCH($G1588,Tbl_KPIMaster[KPI],0))="Lower is Better",IF($J1588&lt;=$I1588,"Green",IF($J1588&lt;=$I1588+IF($I1588=0,$K1588,$I1588*$K1588),"Amber","Red")),IF($J1588&gt;=$I1588,"Green",IF($J1588&gt;=$I1588-IF($I1588=0,$K1588,$I1588*$K1588),"Amber","Red"))),"")</f>
        <v/>
      </c>
      <c r="T1588" s="10" t="inlineStr"/>
    </row>
    <row r="1589">
      <c r="A1589" s="3" t="n">
        <v>46209</v>
      </c>
      <c r="B1589" s="4">
        <f>IF($A1589="","",TEXT($A1589,"mmm-yyyy"))</f>
        <v/>
      </c>
      <c r="C1589" s="4">
        <f>IF($A1589="","","W"&amp;WEEKNUM($A1589,2))</f>
        <v/>
      </c>
      <c r="D1589" s="4">
        <f>IF($A1589="","",TEXT($A1589,"ddd"))</f>
        <v/>
      </c>
      <c r="E1589" s="4" t="inlineStr">
        <is>
          <t>Maintenance</t>
        </is>
      </c>
      <c r="F1589" s="4">
        <f>IFERROR(INDEX(Tbl_KPIMaster[Category],MATCH($G1589,Tbl_KPIMaster[KPI],0)),"")</f>
        <v/>
      </c>
      <c r="G1589" s="4" t="inlineStr">
        <is>
          <t>Unplanned Downtime</t>
        </is>
      </c>
      <c r="H1589" s="4">
        <f>IFERROR(INDEX(Tbl_KPIMaster[Unit],MATCH($G1589,Tbl_KPIMaster[KPI],0)),"")</f>
        <v/>
      </c>
      <c r="I1589" s="5">
        <f>IFERROR(INDEX(Tbl_KPIMaster[Maximum Target],MATCH($G1589,Tbl_KPIMaster[KPI],0)),"")</f>
        <v/>
      </c>
      <c r="J1589" s="5" t="n">
        <v>0.2</v>
      </c>
      <c r="K1589" s="4">
        <f>IFERROR(INDEX(Tbl_KPIMaster[Tolerance],MATCH($G1589,Tbl_KPIMaster[KPI],0)),"")</f>
        <v/>
      </c>
      <c r="L1589" s="4">
        <f>IFERROR(INDEX(Tbl_KPIMaster[Owner],MATCH($G1589,Tbl_KPIMaster[KPI],0)),"")</f>
        <v/>
      </c>
      <c r="M1589" s="6" t="inlineStr">
        <is>
          <t>Weather impact</t>
        </is>
      </c>
      <c r="N1589" s="4" t="inlineStr">
        <is>
          <t>Procurement follow-up</t>
        </is>
      </c>
      <c r="O1589" s="4" t="inlineStr">
        <is>
          <t>High</t>
        </is>
      </c>
      <c r="P1589" s="4" t="inlineStr">
        <is>
          <t>In Progress</t>
        </is>
      </c>
      <c r="Q1589" s="5">
        <f>IFERROR(IF(INDEX(Tbl_KPIMaster[Direction],MATCH($G1589,Tbl_KPIMaster[KPI],0))="Lower is Better",IF($J1589=0,1,IF($I1589=0,0,$I1589/$J1589)),IF($I1589=0,1,$J1589/$I1589)),0)</f>
        <v/>
      </c>
      <c r="R1589" s="4">
        <f>IF(OR($I1589="",$J1589=""),"",$J1589-$I1589)</f>
        <v/>
      </c>
      <c r="S1589" s="4">
        <f>IFERROR(IF(INDEX(Tbl_KPIMaster[Direction],MATCH($G1589,Tbl_KPIMaster[KPI],0))="Lower is Better",IF($J1589&lt;=$I1589,"Green",IF($J1589&lt;=$I1589+IF($I1589=0,$K1589,$I1589*$K1589),"Amber","Red")),IF($J1589&gt;=$I1589,"Green",IF($J1589&gt;=$I1589-IF($I1589=0,$K1589,$I1589*$K1589),"Amber","Red"))),"")</f>
        <v/>
      </c>
      <c r="T1589" s="6" t="inlineStr"/>
    </row>
    <row r="1590">
      <c r="A1590" s="7" t="n">
        <v>46209</v>
      </c>
      <c r="B1590" s="8">
        <f>IF($A1590="","",TEXT($A1590,"mmm-yyyy"))</f>
        <v/>
      </c>
      <c r="C1590" s="8">
        <f>IF($A1590="","","W"&amp;WEEKNUM($A1590,2))</f>
        <v/>
      </c>
      <c r="D1590" s="8">
        <f>IF($A1590="","",TEXT($A1590,"ddd"))</f>
        <v/>
      </c>
      <c r="E1590" s="8" t="inlineStr">
        <is>
          <t>Maintenance</t>
        </is>
      </c>
      <c r="F1590" s="8">
        <f>IFERROR(INDEX(Tbl_KPIMaster[Category],MATCH($G1590,Tbl_KPIMaster[KPI],0)),"")</f>
        <v/>
      </c>
      <c r="G1590" s="8" t="inlineStr">
        <is>
          <t>PM Compliance %</t>
        </is>
      </c>
      <c r="H1590" s="8">
        <f>IFERROR(INDEX(Tbl_KPIMaster[Unit],MATCH($G1590,Tbl_KPIMaster[KPI],0)),"")</f>
        <v/>
      </c>
      <c r="I1590" s="9">
        <f>IFERROR(INDEX(Tbl_KPIMaster[Maximum Target],MATCH($G1590,Tbl_KPIMaster[KPI],0)),"")</f>
        <v/>
      </c>
      <c r="J1590" s="9" t="n">
        <v>0.9223</v>
      </c>
      <c r="K1590" s="8">
        <f>IFERROR(INDEX(Tbl_KPIMaster[Tolerance],MATCH($G1590,Tbl_KPIMaster[KPI],0)),"")</f>
        <v/>
      </c>
      <c r="L1590" s="8">
        <f>IFERROR(INDEX(Tbl_KPIMaster[Owner],MATCH($G1590,Tbl_KPIMaster[KPI],0)),"")</f>
        <v/>
      </c>
      <c r="M1590" s="10" t="inlineStr">
        <is>
          <t>New operator training effect</t>
        </is>
      </c>
      <c r="N1590" s="8" t="inlineStr">
        <is>
          <t>Engineering support needed</t>
        </is>
      </c>
      <c r="O1590" s="8" t="inlineStr">
        <is>
          <t>Low</t>
        </is>
      </c>
      <c r="P1590" s="8" t="inlineStr">
        <is>
          <t>Open</t>
        </is>
      </c>
      <c r="Q1590" s="9">
        <f>IFERROR(IF(INDEX(Tbl_KPIMaster[Direction],MATCH($G1590,Tbl_KPIMaster[KPI],0))="Lower is Better",IF($J1590=0,1,IF($I1590=0,0,$I1590/$J1590)),IF($I1590=0,1,$J1590/$I1590)),0)</f>
        <v/>
      </c>
      <c r="R1590" s="8">
        <f>IF(OR($I1590="",$J1590=""),"",$J1590-$I1590)</f>
        <v/>
      </c>
      <c r="S1590" s="8">
        <f>IFERROR(IF(INDEX(Tbl_KPIMaster[Direction],MATCH($G1590,Tbl_KPIMaster[KPI],0))="Lower is Better",IF($J1590&lt;=$I1590,"Green",IF($J1590&lt;=$I1590+IF($I1590=0,$K1590,$I1590*$K1590),"Amber","Red")),IF($J1590&gt;=$I1590,"Green",IF($J1590&gt;=$I1590-IF($I1590=0,$K1590,$I1590*$K1590),"Amber","Red"))),"")</f>
        <v/>
      </c>
      <c r="T1590" s="10" t="inlineStr"/>
    </row>
    <row r="1591">
      <c r="A1591" s="3" t="n">
        <v>46209</v>
      </c>
      <c r="B1591" s="4">
        <f>IF($A1591="","",TEXT($A1591,"mmm-yyyy"))</f>
        <v/>
      </c>
      <c r="C1591" s="4">
        <f>IF($A1591="","","W"&amp;WEEKNUM($A1591,2))</f>
        <v/>
      </c>
      <c r="D1591" s="4">
        <f>IF($A1591="","",TEXT($A1591,"ddd"))</f>
        <v/>
      </c>
      <c r="E1591" s="4" t="inlineStr">
        <is>
          <t>Utilities</t>
        </is>
      </c>
      <c r="F1591" s="4">
        <f>IFERROR(INDEX(Tbl_KPIMaster[Category],MATCH($G1591,Tbl_KPIMaster[KPI],0)),"")</f>
        <v/>
      </c>
      <c r="G1591" s="4" t="inlineStr">
        <is>
          <t>Power Consumption</t>
        </is>
      </c>
      <c r="H1591" s="4">
        <f>IFERROR(INDEX(Tbl_KPIMaster[Unit],MATCH($G1591,Tbl_KPIMaster[KPI],0)),"")</f>
        <v/>
      </c>
      <c r="I1591" s="5">
        <f>IFERROR(INDEX(Tbl_KPIMaster[Maximum Target],MATCH($G1591,Tbl_KPIMaster[KPI],0)),"")</f>
        <v/>
      </c>
      <c r="J1591" s="5" t="n">
        <v>3891.99</v>
      </c>
      <c r="K1591" s="4">
        <f>IFERROR(INDEX(Tbl_KPIMaster[Tolerance],MATCH($G1591,Tbl_KPIMaster[KPI],0)),"")</f>
        <v/>
      </c>
      <c r="L1591" s="4">
        <f>IFERROR(INDEX(Tbl_KPIMaster[Owner],MATCH($G1591,Tbl_KPIMaster[KPI],0)),"")</f>
        <v/>
      </c>
      <c r="M1591" s="6" t="inlineStr">
        <is>
          <t>Process improvement in progress</t>
        </is>
      </c>
      <c r="N1591" s="4" t="inlineStr"/>
      <c r="O1591" s="4" t="inlineStr">
        <is>
          <t>Low</t>
        </is>
      </c>
      <c r="P1591" s="4" t="inlineStr">
        <is>
          <t>Closed</t>
        </is>
      </c>
      <c r="Q1591" s="5">
        <f>IFERROR(IF(INDEX(Tbl_KPIMaster[Direction],MATCH($G1591,Tbl_KPIMaster[KPI],0))="Lower is Better",IF($J1591=0,1,IF($I1591=0,0,$I1591/$J1591)),IF($I1591=0,1,$J1591/$I1591)),0)</f>
        <v/>
      </c>
      <c r="R1591" s="4">
        <f>IF(OR($I1591="",$J1591=""),"",$J1591-$I1591)</f>
        <v/>
      </c>
      <c r="S1591" s="4">
        <f>IFERROR(IF(INDEX(Tbl_KPIMaster[Direction],MATCH($G1591,Tbl_KPIMaster[KPI],0))="Lower is Better",IF($J1591&lt;=$I1591,"Green",IF($J1591&lt;=$I1591+IF($I1591=0,$K1591,$I1591*$K1591),"Amber","Red")),IF($J1591&gt;=$I1591,"Green",IF($J1591&gt;=$I1591-IF($I1591=0,$K1591,$I1591*$K1591),"Amber","Red"))),"")</f>
        <v/>
      </c>
      <c r="T1591" s="6" t="inlineStr"/>
    </row>
    <row r="1592">
      <c r="A1592" s="7" t="n">
        <v>46209</v>
      </c>
      <c r="B1592" s="8">
        <f>IF($A1592="","",TEXT($A1592,"mmm-yyyy"))</f>
        <v/>
      </c>
      <c r="C1592" s="8">
        <f>IF($A1592="","","W"&amp;WEEKNUM($A1592,2))</f>
        <v/>
      </c>
      <c r="D1592" s="8">
        <f>IF($A1592="","",TEXT($A1592,"ddd"))</f>
        <v/>
      </c>
      <c r="E1592" s="8" t="inlineStr">
        <is>
          <t>Utilities</t>
        </is>
      </c>
      <c r="F1592" s="8">
        <f>IFERROR(INDEX(Tbl_KPIMaster[Category],MATCH($G1592,Tbl_KPIMaster[KPI],0)),"")</f>
        <v/>
      </c>
      <c r="G1592" s="8" t="inlineStr">
        <is>
          <t>Water Consumption</t>
        </is>
      </c>
      <c r="H1592" s="8">
        <f>IFERROR(INDEX(Tbl_KPIMaster[Unit],MATCH($G1592,Tbl_KPIMaster[KPI],0)),"")</f>
        <v/>
      </c>
      <c r="I1592" s="9">
        <f>IFERROR(INDEX(Tbl_KPIMaster[Maximum Target],MATCH($G1592,Tbl_KPIMaster[KPI],0)),"")</f>
        <v/>
      </c>
      <c r="J1592" s="9" t="n">
        <v>45.39</v>
      </c>
      <c r="K1592" s="8">
        <f>IFERROR(INDEX(Tbl_KPIMaster[Tolerance],MATCH($G1592,Tbl_KPIMaster[KPI],0)),"")</f>
        <v/>
      </c>
      <c r="L1592" s="8">
        <f>IFERROR(INDEX(Tbl_KPIMaster[Owner],MATCH($G1592,Tbl_KPIMaster[KPI],0)),"")</f>
        <v/>
      </c>
      <c r="M1592" s="10" t="inlineStr">
        <is>
          <t>Process improvement in progress</t>
        </is>
      </c>
      <c r="N1592" s="8" t="inlineStr"/>
      <c r="O1592" s="8" t="inlineStr">
        <is>
          <t>Low</t>
        </is>
      </c>
      <c r="P1592" s="8" t="inlineStr">
        <is>
          <t>Closed</t>
        </is>
      </c>
      <c r="Q1592" s="9">
        <f>IFERROR(IF(INDEX(Tbl_KPIMaster[Direction],MATCH($G1592,Tbl_KPIMaster[KPI],0))="Lower is Better",IF($J1592=0,1,IF($I1592=0,0,$I1592/$J1592)),IF($I1592=0,1,$J1592/$I1592)),0)</f>
        <v/>
      </c>
      <c r="R1592" s="8">
        <f>IF(OR($I1592="",$J1592=""),"",$J1592-$I1592)</f>
        <v/>
      </c>
      <c r="S1592" s="8">
        <f>IFERROR(IF(INDEX(Tbl_KPIMaster[Direction],MATCH($G1592,Tbl_KPIMaster[KPI],0))="Lower is Better",IF($J1592&lt;=$I1592,"Green",IF($J1592&lt;=$I1592+IF($I1592=0,$K1592,$I1592*$K1592),"Amber","Red")),IF($J1592&gt;=$I1592,"Green",IF($J1592&gt;=$I1592-IF($I1592=0,$K1592,$I1592*$K1592),"Amber","Red"))),"")</f>
        <v/>
      </c>
      <c r="T1592" s="10" t="inlineStr"/>
    </row>
    <row r="1593">
      <c r="A1593" s="3" t="n">
        <v>46209</v>
      </c>
      <c r="B1593" s="4">
        <f>IF($A1593="","",TEXT($A1593,"mmm-yyyy"))</f>
        <v/>
      </c>
      <c r="C1593" s="4">
        <f>IF($A1593="","","W"&amp;WEEKNUM($A1593,2))</f>
        <v/>
      </c>
      <c r="D1593" s="4">
        <f>IF($A1593="","",TEXT($A1593,"ddd"))</f>
        <v/>
      </c>
      <c r="E1593" s="4" t="inlineStr">
        <is>
          <t>Warehouse</t>
        </is>
      </c>
      <c r="F1593" s="4">
        <f>IFERROR(INDEX(Tbl_KPIMaster[Category],MATCH($G1593,Tbl_KPIMaster[KPI],0)),"")</f>
        <v/>
      </c>
      <c r="G1593" s="4" t="inlineStr">
        <is>
          <t>On-Time Dispatch %</t>
        </is>
      </c>
      <c r="H1593" s="4">
        <f>IFERROR(INDEX(Tbl_KPIMaster[Unit],MATCH($G1593,Tbl_KPIMaster[KPI],0)),"")</f>
        <v/>
      </c>
      <c r="I1593" s="5">
        <f>IFERROR(INDEX(Tbl_KPIMaster[Maximum Target],MATCH($G1593,Tbl_KPIMaster[KPI],0)),"")</f>
        <v/>
      </c>
      <c r="J1593" s="5" t="n">
        <v>0.9401</v>
      </c>
      <c r="K1593" s="4">
        <f>IFERROR(INDEX(Tbl_KPIMaster[Tolerance],MATCH($G1593,Tbl_KPIMaster[KPI],0)),"")</f>
        <v/>
      </c>
      <c r="L1593" s="4">
        <f>IFERROR(INDEX(Tbl_KPIMaster[Owner],MATCH($G1593,Tbl_KPIMaster[KPI],0)),"")</f>
        <v/>
      </c>
      <c r="M1593" s="6" t="inlineStr">
        <is>
          <t>Awaiting spares</t>
        </is>
      </c>
      <c r="N1593" s="4" t="inlineStr">
        <is>
          <t>Procurement follow-up</t>
        </is>
      </c>
      <c r="O1593" s="4" t="inlineStr">
        <is>
          <t>Medium</t>
        </is>
      </c>
      <c r="P1593" s="4" t="inlineStr">
        <is>
          <t>Closed</t>
        </is>
      </c>
      <c r="Q1593" s="5">
        <f>IFERROR(IF(INDEX(Tbl_KPIMaster[Direction],MATCH($G1593,Tbl_KPIMaster[KPI],0))="Lower is Better",IF($J1593=0,1,IF($I1593=0,0,$I1593/$J1593)),IF($I1593=0,1,$J1593/$I1593)),0)</f>
        <v/>
      </c>
      <c r="R1593" s="4">
        <f>IF(OR($I1593="",$J1593=""),"",$J1593-$I1593)</f>
        <v/>
      </c>
      <c r="S1593" s="4">
        <f>IFERROR(IF(INDEX(Tbl_KPIMaster[Direction],MATCH($G1593,Tbl_KPIMaster[KPI],0))="Lower is Better",IF($J1593&lt;=$I1593,"Green",IF($J1593&lt;=$I1593+IF($I1593=0,$K1593,$I1593*$K1593),"Amber","Red")),IF($J1593&gt;=$I1593,"Green",IF($J1593&gt;=$I1593-IF($I1593=0,$K1593,$I1593*$K1593),"Amber","Red"))),"")</f>
        <v/>
      </c>
      <c r="T1593" s="6" t="inlineStr"/>
    </row>
    <row r="1594">
      <c r="A1594" s="7" t="n">
        <v>46209</v>
      </c>
      <c r="B1594" s="8">
        <f>IF($A1594="","",TEXT($A1594,"mmm-yyyy"))</f>
        <v/>
      </c>
      <c r="C1594" s="8">
        <f>IF($A1594="","","W"&amp;WEEKNUM($A1594,2))</f>
        <v/>
      </c>
      <c r="D1594" s="8">
        <f>IF($A1594="","",TEXT($A1594,"ddd"))</f>
        <v/>
      </c>
      <c r="E1594" s="8" t="inlineStr">
        <is>
          <t>Warehouse</t>
        </is>
      </c>
      <c r="F1594" s="8">
        <f>IFERROR(INDEX(Tbl_KPIMaster[Category],MATCH($G1594,Tbl_KPIMaster[KPI],0)),"")</f>
        <v/>
      </c>
      <c r="G1594" s="8" t="inlineStr">
        <is>
          <t>Inventory Accuracy %</t>
        </is>
      </c>
      <c r="H1594" s="8">
        <f>IFERROR(INDEX(Tbl_KPIMaster[Unit],MATCH($G1594,Tbl_KPIMaster[KPI],0)),"")</f>
        <v/>
      </c>
      <c r="I1594" s="9">
        <f>IFERROR(INDEX(Tbl_KPIMaster[Maximum Target],MATCH($G1594,Tbl_KPIMaster[KPI],0)),"")</f>
        <v/>
      </c>
      <c r="J1594" s="9" t="n">
        <v>0.9345</v>
      </c>
      <c r="K1594" s="8">
        <f>IFERROR(INDEX(Tbl_KPIMaster[Tolerance],MATCH($G1594,Tbl_KPIMaster[KPI],0)),"")</f>
        <v/>
      </c>
      <c r="L1594" s="8">
        <f>IFERROR(INDEX(Tbl_KPIMaster[Owner],MATCH($G1594,Tbl_KPIMaster[KPI],0)),"")</f>
        <v/>
      </c>
      <c r="M1594" s="10" t="inlineStr">
        <is>
          <t>Manpower shortage</t>
        </is>
      </c>
      <c r="N1594" s="8" t="inlineStr"/>
      <c r="O1594" s="8" t="inlineStr">
        <is>
          <t>Low</t>
        </is>
      </c>
      <c r="P1594" s="8" t="inlineStr">
        <is>
          <t>Closed</t>
        </is>
      </c>
      <c r="Q1594" s="9">
        <f>IFERROR(IF(INDEX(Tbl_KPIMaster[Direction],MATCH($G1594,Tbl_KPIMaster[KPI],0))="Lower is Better",IF($J1594=0,1,IF($I1594=0,0,$I1594/$J1594)),IF($I1594=0,1,$J1594/$I1594)),0)</f>
        <v/>
      </c>
      <c r="R1594" s="8">
        <f>IF(OR($I1594="",$J1594=""),"",$J1594-$I1594)</f>
        <v/>
      </c>
      <c r="S1594" s="8">
        <f>IFERROR(IF(INDEX(Tbl_KPIMaster[Direction],MATCH($G1594,Tbl_KPIMaster[KPI],0))="Lower is Better",IF($J1594&lt;=$I1594,"Green",IF($J1594&lt;=$I1594+IF($I1594=0,$K1594,$I1594*$K1594),"Amber","Red")),IF($J1594&gt;=$I1594,"Green",IF($J1594&gt;=$I1594-IF($I1594=0,$K1594,$I1594*$K1594),"Amber","Red"))),"")</f>
        <v/>
      </c>
      <c r="T1594" s="10" t="inlineStr"/>
    </row>
    <row r="1595">
      <c r="A1595" s="3" t="n">
        <v>46209</v>
      </c>
      <c r="B1595" s="4">
        <f>IF($A1595="","",TEXT($A1595,"mmm-yyyy"))</f>
        <v/>
      </c>
      <c r="C1595" s="4">
        <f>IF($A1595="","","W"&amp;WEEKNUM($A1595,2))</f>
        <v/>
      </c>
      <c r="D1595" s="4">
        <f>IF($A1595="","",TEXT($A1595,"ddd"))</f>
        <v/>
      </c>
      <c r="E1595" s="4" t="inlineStr">
        <is>
          <t>HR</t>
        </is>
      </c>
      <c r="F1595" s="4">
        <f>IFERROR(INDEX(Tbl_KPIMaster[Category],MATCH($G1595,Tbl_KPIMaster[KPI],0)),"")</f>
        <v/>
      </c>
      <c r="G1595" s="4" t="inlineStr">
        <is>
          <t>Absenteeism %</t>
        </is>
      </c>
      <c r="H1595" s="4">
        <f>IFERROR(INDEX(Tbl_KPIMaster[Unit],MATCH($G1595,Tbl_KPIMaster[KPI],0)),"")</f>
        <v/>
      </c>
      <c r="I1595" s="5">
        <f>IFERROR(INDEX(Tbl_KPIMaster[Maximum Target],MATCH($G1595,Tbl_KPIMaster[KPI],0)),"")</f>
        <v/>
      </c>
      <c r="J1595" s="5" t="n">
        <v>0</v>
      </c>
      <c r="K1595" s="4">
        <f>IFERROR(INDEX(Tbl_KPIMaster[Tolerance],MATCH($G1595,Tbl_KPIMaster[KPI],0)),"")</f>
        <v/>
      </c>
      <c r="L1595" s="4">
        <f>IFERROR(INDEX(Tbl_KPIMaster[Owner],MATCH($G1595,Tbl_KPIMaster[KPI],0)),"")</f>
        <v/>
      </c>
      <c r="M1595" s="6" t="inlineStr">
        <is>
          <t>Manpower shortage</t>
        </is>
      </c>
      <c r="N1595" s="4" t="inlineStr">
        <is>
          <t>Procurement follow-up</t>
        </is>
      </c>
      <c r="O1595" s="4" t="inlineStr">
        <is>
          <t>Low</t>
        </is>
      </c>
      <c r="P1595" s="4" t="inlineStr">
        <is>
          <t>In Progress</t>
        </is>
      </c>
      <c r="Q1595" s="5">
        <f>IFERROR(IF(INDEX(Tbl_KPIMaster[Direction],MATCH($G1595,Tbl_KPIMaster[KPI],0))="Lower is Better",IF($J1595=0,1,IF($I1595=0,0,$I1595/$J1595)),IF($I1595=0,1,$J1595/$I1595)),0)</f>
        <v/>
      </c>
      <c r="R1595" s="4">
        <f>IF(OR($I1595="",$J1595=""),"",$J1595-$I1595)</f>
        <v/>
      </c>
      <c r="S1595" s="4">
        <f>IFERROR(IF(INDEX(Tbl_KPIMaster[Direction],MATCH($G1595,Tbl_KPIMaster[KPI],0))="Lower is Better",IF($J1595&lt;=$I1595,"Green",IF($J1595&lt;=$I1595+IF($I1595=0,$K1595,$I1595*$K1595),"Amber","Red")),IF($J1595&gt;=$I1595,"Green",IF($J1595&gt;=$I1595-IF($I1595=0,$K1595,$I1595*$K1595),"Amber","Red"))),"")</f>
        <v/>
      </c>
      <c r="T1595" s="6" t="inlineStr"/>
    </row>
    <row r="1596">
      <c r="A1596" s="7" t="n">
        <v>46209</v>
      </c>
      <c r="B1596" s="8">
        <f>IF($A1596="","",TEXT($A1596,"mmm-yyyy"))</f>
        <v/>
      </c>
      <c r="C1596" s="8">
        <f>IF($A1596="","","W"&amp;WEEKNUM($A1596,2))</f>
        <v/>
      </c>
      <c r="D1596" s="8">
        <f>IF($A1596="","",TEXT($A1596,"ddd"))</f>
        <v/>
      </c>
      <c r="E1596" s="8" t="inlineStr">
        <is>
          <t>HR</t>
        </is>
      </c>
      <c r="F1596" s="8">
        <f>IFERROR(INDEX(Tbl_KPIMaster[Category],MATCH($G1596,Tbl_KPIMaster[KPI],0)),"")</f>
        <v/>
      </c>
      <c r="G1596" s="8" t="inlineStr">
        <is>
          <t>Training Hours</t>
        </is>
      </c>
      <c r="H1596" s="8">
        <f>IFERROR(INDEX(Tbl_KPIMaster[Unit],MATCH($G1596,Tbl_KPIMaster[KPI],0)),"")</f>
        <v/>
      </c>
      <c r="I1596" s="9">
        <f>IFERROR(INDEX(Tbl_KPIMaster[Maximum Target],MATCH($G1596,Tbl_KPIMaster[KPI],0)),"")</f>
        <v/>
      </c>
      <c r="J1596" s="9" t="n">
        <v>1.92</v>
      </c>
      <c r="K1596" s="8">
        <f>IFERROR(INDEX(Tbl_KPIMaster[Tolerance],MATCH($G1596,Tbl_KPIMaster[KPI],0)),"")</f>
        <v/>
      </c>
      <c r="L1596" s="8">
        <f>IFERROR(INDEX(Tbl_KPIMaster[Owner],MATCH($G1596,Tbl_KPIMaster[KPI],0)),"")</f>
        <v/>
      </c>
      <c r="M1596" s="10" t="inlineStr">
        <is>
          <t>Manpower shortage</t>
        </is>
      </c>
      <c r="N1596" s="8" t="inlineStr">
        <is>
          <t>Procurement follow-up</t>
        </is>
      </c>
      <c r="O1596" s="8" t="inlineStr">
        <is>
          <t>Low</t>
        </is>
      </c>
      <c r="P1596" s="8" t="inlineStr">
        <is>
          <t>In Progress</t>
        </is>
      </c>
      <c r="Q1596" s="9">
        <f>IFERROR(IF(INDEX(Tbl_KPIMaster[Direction],MATCH($G1596,Tbl_KPIMaster[KPI],0))="Lower is Better",IF($J1596=0,1,IF($I1596=0,0,$I1596/$J1596)),IF($I1596=0,1,$J1596/$I1596)),0)</f>
        <v/>
      </c>
      <c r="R1596" s="8">
        <f>IF(OR($I1596="",$J1596=""),"",$J1596-$I1596)</f>
        <v/>
      </c>
      <c r="S1596" s="8">
        <f>IFERROR(IF(INDEX(Tbl_KPIMaster[Direction],MATCH($G1596,Tbl_KPIMaster[KPI],0))="Lower is Better",IF($J1596&lt;=$I1596,"Green",IF($J1596&lt;=$I1596+IF($I1596=0,$K1596,$I1596*$K1596),"Amber","Red")),IF($J1596&gt;=$I1596,"Green",IF($J1596&gt;=$I1596-IF($I1596=0,$K1596,$I1596*$K1596),"Amber","Red"))),"")</f>
        <v/>
      </c>
      <c r="T1596" s="10" t="inlineStr"/>
    </row>
    <row r="1597">
      <c r="A1597" s="3" t="n">
        <v>46209</v>
      </c>
      <c r="B1597" s="4">
        <f>IF($A1597="","",TEXT($A1597,"mmm-yyyy"))</f>
        <v/>
      </c>
      <c r="C1597" s="4">
        <f>IF($A1597="","","W"&amp;WEEKNUM($A1597,2))</f>
        <v/>
      </c>
      <c r="D1597" s="4">
        <f>IF($A1597="","",TEXT($A1597,"ddd"))</f>
        <v/>
      </c>
      <c r="E1597" s="4" t="inlineStr">
        <is>
          <t>Engineering</t>
        </is>
      </c>
      <c r="F1597" s="4">
        <f>IFERROR(INDEX(Tbl_KPIMaster[Category],MATCH($G1597,Tbl_KPIMaster[KPI],0)),"")</f>
        <v/>
      </c>
      <c r="G1597" s="4" t="inlineStr">
        <is>
          <t>Project Milestone Adherence %</t>
        </is>
      </c>
      <c r="H1597" s="4">
        <f>IFERROR(INDEX(Tbl_KPIMaster[Unit],MATCH($G1597,Tbl_KPIMaster[KPI],0)),"")</f>
        <v/>
      </c>
      <c r="I1597" s="5">
        <f>IFERROR(INDEX(Tbl_KPIMaster[Maximum Target],MATCH($G1597,Tbl_KPIMaster[KPI],0)),"")</f>
        <v/>
      </c>
      <c r="J1597" s="5" t="n">
        <v>0.91</v>
      </c>
      <c r="K1597" s="4">
        <f>IFERROR(INDEX(Tbl_KPIMaster[Tolerance],MATCH($G1597,Tbl_KPIMaster[KPI],0)),"")</f>
        <v/>
      </c>
      <c r="L1597" s="4">
        <f>IFERROR(INDEX(Tbl_KPIMaster[Owner],MATCH($G1597,Tbl_KPIMaster[KPI],0)),"")</f>
        <v/>
      </c>
      <c r="M1597" s="6" t="inlineStr">
        <is>
          <t>Manpower shortage</t>
        </is>
      </c>
      <c r="N1597" s="4" t="inlineStr"/>
      <c r="O1597" s="4" t="inlineStr">
        <is>
          <t>Low</t>
        </is>
      </c>
      <c r="P1597" s="4" t="inlineStr">
        <is>
          <t>Closed</t>
        </is>
      </c>
      <c r="Q1597" s="5">
        <f>IFERROR(IF(INDEX(Tbl_KPIMaster[Direction],MATCH($G1597,Tbl_KPIMaster[KPI],0))="Lower is Better",IF($J1597=0,1,IF($I1597=0,0,$I1597/$J1597)),IF($I1597=0,1,$J1597/$I1597)),0)</f>
        <v/>
      </c>
      <c r="R1597" s="4">
        <f>IF(OR($I1597="",$J1597=""),"",$J1597-$I1597)</f>
        <v/>
      </c>
      <c r="S1597" s="4">
        <f>IFERROR(IF(INDEX(Tbl_KPIMaster[Direction],MATCH($G1597,Tbl_KPIMaster[KPI],0))="Lower is Better",IF($J1597&lt;=$I1597,"Green",IF($J1597&lt;=$I1597+IF($I1597=0,$K1597,$I1597*$K1597),"Amber","Red")),IF($J1597&gt;=$I1597,"Green",IF($J1597&gt;=$I1597-IF($I1597=0,$K1597,$I1597*$K1597),"Amber","Red"))),"")</f>
        <v/>
      </c>
      <c r="T1597" s="6" t="inlineStr"/>
    </row>
    <row r="1598">
      <c r="A1598" s="7" t="n">
        <v>46209</v>
      </c>
      <c r="B1598" s="8">
        <f>IF($A1598="","",TEXT($A1598,"mmm-yyyy"))</f>
        <v/>
      </c>
      <c r="C1598" s="8">
        <f>IF($A1598="","","W"&amp;WEEKNUM($A1598,2))</f>
        <v/>
      </c>
      <c r="D1598" s="8">
        <f>IF($A1598="","",TEXT($A1598,"ddd"))</f>
        <v/>
      </c>
      <c r="E1598" s="8" t="inlineStr">
        <is>
          <t>Engineering</t>
        </is>
      </c>
      <c r="F1598" s="8">
        <f>IFERROR(INDEX(Tbl_KPIMaster[Category],MATCH($G1598,Tbl_KPIMaster[KPI],0)),"")</f>
        <v/>
      </c>
      <c r="G1598" s="8" t="inlineStr">
        <is>
          <t>Breakdown Resolution Time</t>
        </is>
      </c>
      <c r="H1598" s="8">
        <f>IFERROR(INDEX(Tbl_KPIMaster[Unit],MATCH($G1598,Tbl_KPIMaster[KPI],0)),"")</f>
        <v/>
      </c>
      <c r="I1598" s="9">
        <f>IFERROR(INDEX(Tbl_KPIMaster[Maximum Target],MATCH($G1598,Tbl_KPIMaster[KPI],0)),"")</f>
        <v/>
      </c>
      <c r="J1598" s="9" t="n">
        <v>0.24</v>
      </c>
      <c r="K1598" s="8">
        <f>IFERROR(INDEX(Tbl_KPIMaster[Tolerance],MATCH($G1598,Tbl_KPIMaster[KPI],0)),"")</f>
        <v/>
      </c>
      <c r="L1598" s="8">
        <f>IFERROR(INDEX(Tbl_KPIMaster[Owner],MATCH($G1598,Tbl_KPIMaster[KPI],0)),"")</f>
        <v/>
      </c>
      <c r="M1598" s="10" t="inlineStr">
        <is>
          <t>Within normal range</t>
        </is>
      </c>
      <c r="N1598" s="8" t="inlineStr">
        <is>
          <t>Procurement follow-up</t>
        </is>
      </c>
      <c r="O1598" s="8" t="inlineStr">
        <is>
          <t>High</t>
        </is>
      </c>
      <c r="P1598" s="8" t="inlineStr">
        <is>
          <t>Closed</t>
        </is>
      </c>
      <c r="Q1598" s="9">
        <f>IFERROR(IF(INDEX(Tbl_KPIMaster[Direction],MATCH($G1598,Tbl_KPIMaster[KPI],0))="Lower is Better",IF($J1598=0,1,IF($I1598=0,0,$I1598/$J1598)),IF($I1598=0,1,$J1598/$I1598)),0)</f>
        <v/>
      </c>
      <c r="R1598" s="8">
        <f>IF(OR($I1598="",$J1598=""),"",$J1598-$I1598)</f>
        <v/>
      </c>
      <c r="S1598" s="8">
        <f>IFERROR(IF(INDEX(Tbl_KPIMaster[Direction],MATCH($G1598,Tbl_KPIMaster[KPI],0))="Lower is Better",IF($J1598&lt;=$I1598,"Green",IF($J1598&lt;=$I1598+IF($I1598=0,$K1598,$I1598*$K1598),"Amber","Red")),IF($J1598&gt;=$I1598,"Green",IF($J1598&gt;=$I1598-IF($I1598=0,$K1598,$I1598*$K1598),"Amber","Red"))),"")</f>
        <v/>
      </c>
      <c r="T1598" s="10" t="inlineStr"/>
    </row>
    <row r="1599">
      <c r="A1599" s="3" t="n">
        <v>46209</v>
      </c>
      <c r="B1599" s="4">
        <f>IF($A1599="","",TEXT($A1599,"mmm-yyyy"))</f>
        <v/>
      </c>
      <c r="C1599" s="4">
        <f>IF($A1599="","","W"&amp;WEEKNUM($A1599,2))</f>
        <v/>
      </c>
      <c r="D1599" s="4">
        <f>IF($A1599="","",TEXT($A1599,"ddd"))</f>
        <v/>
      </c>
      <c r="E1599" s="4" t="inlineStr">
        <is>
          <t>Cost</t>
        </is>
      </c>
      <c r="F1599" s="4">
        <f>IFERROR(INDEX(Tbl_KPIMaster[Category],MATCH($G1599,Tbl_KPIMaster[KPI],0)),"")</f>
        <v/>
      </c>
      <c r="G1599" s="4" t="inlineStr">
        <is>
          <t>Cost per Unit</t>
        </is>
      </c>
      <c r="H1599" s="4">
        <f>IFERROR(INDEX(Tbl_KPIMaster[Unit],MATCH($G1599,Tbl_KPIMaster[KPI],0)),"")</f>
        <v/>
      </c>
      <c r="I1599" s="5">
        <f>IFERROR(INDEX(Tbl_KPIMaster[Maximum Target],MATCH($G1599,Tbl_KPIMaster[KPI],0)),"")</f>
        <v/>
      </c>
      <c r="J1599" s="5" t="n">
        <v>38.53</v>
      </c>
      <c r="K1599" s="4">
        <f>IFERROR(INDEX(Tbl_KPIMaster[Tolerance],MATCH($G1599,Tbl_KPIMaster[KPI],0)),"")</f>
        <v/>
      </c>
      <c r="L1599" s="4">
        <f>IFERROR(INDEX(Tbl_KPIMaster[Owner],MATCH($G1599,Tbl_KPIMaster[KPI],0)),"")</f>
        <v/>
      </c>
      <c r="M1599" s="6" t="inlineStr">
        <is>
          <t>Within normal range</t>
        </is>
      </c>
      <c r="N1599" s="4" t="inlineStr"/>
      <c r="O1599" s="4" t="inlineStr">
        <is>
          <t>Low</t>
        </is>
      </c>
      <c r="P1599" s="4" t="inlineStr">
        <is>
          <t>Closed</t>
        </is>
      </c>
      <c r="Q1599" s="5">
        <f>IFERROR(IF(INDEX(Tbl_KPIMaster[Direction],MATCH($G1599,Tbl_KPIMaster[KPI],0))="Lower is Better",IF($J1599=0,1,IF($I1599=0,0,$I1599/$J1599)),IF($I1599=0,1,$J1599/$I1599)),0)</f>
        <v/>
      </c>
      <c r="R1599" s="4">
        <f>IF(OR($I1599="",$J1599=""),"",$J1599-$I1599)</f>
        <v/>
      </c>
      <c r="S1599" s="4">
        <f>IFERROR(IF(INDEX(Tbl_KPIMaster[Direction],MATCH($G1599,Tbl_KPIMaster[KPI],0))="Lower is Better",IF($J1599&lt;=$I1599,"Green",IF($J1599&lt;=$I1599+IF($I1599=0,$K1599,$I1599*$K1599),"Amber","Red")),IF($J1599&gt;=$I1599,"Green",IF($J1599&gt;=$I1599-IF($I1599=0,$K1599,$I1599*$K1599),"Amber","Red"))),"")</f>
        <v/>
      </c>
      <c r="T1599" s="6" t="inlineStr"/>
    </row>
    <row r="1600">
      <c r="A1600" s="7" t="n">
        <v>46209</v>
      </c>
      <c r="B1600" s="8">
        <f>IF($A1600="","",TEXT($A1600,"mmm-yyyy"))</f>
        <v/>
      </c>
      <c r="C1600" s="8">
        <f>IF($A1600="","","W"&amp;WEEKNUM($A1600,2))</f>
        <v/>
      </c>
      <c r="D1600" s="8">
        <f>IF($A1600="","",TEXT($A1600,"ddd"))</f>
        <v/>
      </c>
      <c r="E1600" s="8" t="inlineStr">
        <is>
          <t>Cost</t>
        </is>
      </c>
      <c r="F1600" s="8">
        <f>IFERROR(INDEX(Tbl_KPIMaster[Category],MATCH($G1600,Tbl_KPIMaster[KPI],0)),"")</f>
        <v/>
      </c>
      <c r="G1600" s="8" t="inlineStr">
        <is>
          <t>Budget Variance %</t>
        </is>
      </c>
      <c r="H1600" s="8">
        <f>IFERROR(INDEX(Tbl_KPIMaster[Unit],MATCH($G1600,Tbl_KPIMaster[KPI],0)),"")</f>
        <v/>
      </c>
      <c r="I1600" s="9">
        <f>IFERROR(INDEX(Tbl_KPIMaster[Maximum Target],MATCH($G1600,Tbl_KPIMaster[KPI],0)),"")</f>
        <v/>
      </c>
      <c r="J1600" s="9" t="n">
        <v>0</v>
      </c>
      <c r="K1600" s="8">
        <f>IFERROR(INDEX(Tbl_KPIMaster[Tolerance],MATCH($G1600,Tbl_KPIMaster[KPI],0)),"")</f>
        <v/>
      </c>
      <c r="L1600" s="8">
        <f>IFERROR(INDEX(Tbl_KPIMaster[Owner],MATCH($G1600,Tbl_KPIMaster[KPI],0)),"")</f>
        <v/>
      </c>
      <c r="M1600" s="10" t="inlineStr">
        <is>
          <t>Awaiting spares</t>
        </is>
      </c>
      <c r="N1600" s="8" t="inlineStr"/>
      <c r="O1600" s="8" t="inlineStr">
        <is>
          <t>High</t>
        </is>
      </c>
      <c r="P1600" s="8" t="inlineStr">
        <is>
          <t>Closed</t>
        </is>
      </c>
      <c r="Q1600" s="9">
        <f>IFERROR(IF(INDEX(Tbl_KPIMaster[Direction],MATCH($G1600,Tbl_KPIMaster[KPI],0))="Lower is Better",IF($J1600=0,1,IF($I1600=0,0,$I1600/$J1600)),IF($I1600=0,1,$J1600/$I1600)),0)</f>
        <v/>
      </c>
      <c r="R1600" s="8">
        <f>IF(OR($I1600="",$J1600=""),"",$J1600-$I1600)</f>
        <v/>
      </c>
      <c r="S1600" s="8">
        <f>IFERROR(IF(INDEX(Tbl_KPIMaster[Direction],MATCH($G1600,Tbl_KPIMaster[KPI],0))="Lower is Better",IF($J1600&lt;=$I1600,"Green",IF($J1600&lt;=$I1600+IF($I1600=0,$K1600,$I1600*$K1600),"Amber","Red")),IF($J1600&gt;=$I1600,"Green",IF($J1600&gt;=$I1600-IF($I1600=0,$K1600,$I1600*$K1600),"Amber","Red"))),"")</f>
        <v/>
      </c>
      <c r="T1600" s="10" t="inlineStr"/>
    </row>
    <row r="1601">
      <c r="A1601" s="3" t="n">
        <v>46209</v>
      </c>
      <c r="B1601" s="4">
        <f>IF($A1601="","",TEXT($A1601,"mmm-yyyy"))</f>
        <v/>
      </c>
      <c r="C1601" s="4">
        <f>IF($A1601="","","W"&amp;WEEKNUM($A1601,2))</f>
        <v/>
      </c>
      <c r="D1601" s="4">
        <f>IF($A1601="","",TEXT($A1601,"ddd"))</f>
        <v/>
      </c>
      <c r="E1601" s="4" t="inlineStr">
        <is>
          <t>Energy</t>
        </is>
      </c>
      <c r="F1601" s="4">
        <f>IFERROR(INDEX(Tbl_KPIMaster[Category],MATCH($G1601,Tbl_KPIMaster[KPI],0)),"")</f>
        <v/>
      </c>
      <c r="G1601" s="4" t="inlineStr">
        <is>
          <t>Energy Intensity (kWh/unit)</t>
        </is>
      </c>
      <c r="H1601" s="4">
        <f>IFERROR(INDEX(Tbl_KPIMaster[Unit],MATCH($G1601,Tbl_KPIMaster[KPI],0)),"")</f>
        <v/>
      </c>
      <c r="I1601" s="5">
        <f>IFERROR(INDEX(Tbl_KPIMaster[Maximum Target],MATCH($G1601,Tbl_KPIMaster[KPI],0)),"")</f>
        <v/>
      </c>
      <c r="J1601" s="5" t="n">
        <v>2.88</v>
      </c>
      <c r="K1601" s="4">
        <f>IFERROR(INDEX(Tbl_KPIMaster[Tolerance],MATCH($G1601,Tbl_KPIMaster[KPI],0)),"")</f>
        <v/>
      </c>
      <c r="L1601" s="4">
        <f>IFERROR(INDEX(Tbl_KPIMaster[Owner],MATCH($G1601,Tbl_KPIMaster[KPI],0)),"")</f>
        <v/>
      </c>
      <c r="M1601" s="6" t="inlineStr">
        <is>
          <t>Awaiting spares</t>
        </is>
      </c>
      <c r="N1601" s="4" t="inlineStr">
        <is>
          <t>Engineering support needed</t>
        </is>
      </c>
      <c r="O1601" s="4" t="inlineStr">
        <is>
          <t>Medium</t>
        </is>
      </c>
      <c r="P1601" s="4" t="inlineStr">
        <is>
          <t>In Progress</t>
        </is>
      </c>
      <c r="Q1601" s="5">
        <f>IFERROR(IF(INDEX(Tbl_KPIMaster[Direction],MATCH($G1601,Tbl_KPIMaster[KPI],0))="Lower is Better",IF($J1601=0,1,IF($I1601=0,0,$I1601/$J1601)),IF($I1601=0,1,$J1601/$I1601)),0)</f>
        <v/>
      </c>
      <c r="R1601" s="4">
        <f>IF(OR($I1601="",$J1601=""),"",$J1601-$I1601)</f>
        <v/>
      </c>
      <c r="S1601" s="4">
        <f>IFERROR(IF(INDEX(Tbl_KPIMaster[Direction],MATCH($G1601,Tbl_KPIMaster[KPI],0))="Lower is Better",IF($J1601&lt;=$I1601,"Green",IF($J1601&lt;=$I1601+IF($I1601=0,$K1601,$I1601*$K1601),"Amber","Red")),IF($J1601&gt;=$I1601,"Green",IF($J1601&gt;=$I1601-IF($I1601=0,$K1601,$I1601*$K1601),"Amber","Red"))),"")</f>
        <v/>
      </c>
      <c r="T1601" s="6" t="inlineStr"/>
    </row>
    <row r="1602">
      <c r="A1602" s="7" t="n">
        <v>46209</v>
      </c>
      <c r="B1602" s="8">
        <f>IF($A1602="","",TEXT($A1602,"mmm-yyyy"))</f>
        <v/>
      </c>
      <c r="C1602" s="8">
        <f>IF($A1602="","","W"&amp;WEEKNUM($A1602,2))</f>
        <v/>
      </c>
      <c r="D1602" s="8">
        <f>IF($A1602="","",TEXT($A1602,"ddd"))</f>
        <v/>
      </c>
      <c r="E1602" s="8" t="inlineStr">
        <is>
          <t>Energy</t>
        </is>
      </c>
      <c r="F1602" s="8">
        <f>IFERROR(INDEX(Tbl_KPIMaster[Category],MATCH($G1602,Tbl_KPIMaster[KPI],0)),"")</f>
        <v/>
      </c>
      <c r="G1602" s="8" t="inlineStr">
        <is>
          <t>Renewable Energy Share %</t>
        </is>
      </c>
      <c r="H1602" s="8">
        <f>IFERROR(INDEX(Tbl_KPIMaster[Unit],MATCH($G1602,Tbl_KPIMaster[KPI],0)),"")</f>
        <v/>
      </c>
      <c r="I1602" s="9">
        <f>IFERROR(INDEX(Tbl_KPIMaster[Maximum Target],MATCH($G1602,Tbl_KPIMaster[KPI],0)),"")</f>
        <v/>
      </c>
      <c r="J1602" s="9" t="n">
        <v>0.2159</v>
      </c>
      <c r="K1602" s="8">
        <f>IFERROR(INDEX(Tbl_KPIMaster[Tolerance],MATCH($G1602,Tbl_KPIMaster[KPI],0)),"")</f>
        <v/>
      </c>
      <c r="L1602" s="8">
        <f>IFERROR(INDEX(Tbl_KPIMaster[Owner],MATCH($G1602,Tbl_KPIMaster[KPI],0)),"")</f>
        <v/>
      </c>
      <c r="M1602" s="10" t="inlineStr"/>
      <c r="N1602" s="8" t="inlineStr"/>
      <c r="O1602" s="8" t="inlineStr">
        <is>
          <t>Low</t>
        </is>
      </c>
      <c r="P1602" s="8" t="inlineStr">
        <is>
          <t>In Progress</t>
        </is>
      </c>
      <c r="Q1602" s="9">
        <f>IFERROR(IF(INDEX(Tbl_KPIMaster[Direction],MATCH($G1602,Tbl_KPIMaster[KPI],0))="Lower is Better",IF($J1602=0,1,IF($I1602=0,0,$I1602/$J1602)),IF($I1602=0,1,$J1602/$I1602)),0)</f>
        <v/>
      </c>
      <c r="R1602" s="8">
        <f>IF(OR($I1602="",$J1602=""),"",$J1602-$I1602)</f>
        <v/>
      </c>
      <c r="S1602" s="8">
        <f>IFERROR(IF(INDEX(Tbl_KPIMaster[Direction],MATCH($G1602,Tbl_KPIMaster[KPI],0))="Lower is Better",IF($J1602&lt;=$I1602,"Green",IF($J1602&lt;=$I1602+IF($I1602=0,$K1602,$I1602*$K1602),"Amber","Red")),IF($J1602&gt;=$I1602,"Green",IF($J1602&gt;=$I1602-IF($I1602=0,$K1602,$I1602*$K1602),"Amber","Red"))),"")</f>
        <v/>
      </c>
      <c r="T1602" s="10" t="inlineStr"/>
    </row>
    <row r="1603">
      <c r="A1603" s="3" t="n">
        <v>46210</v>
      </c>
      <c r="B1603" s="4">
        <f>IF($A1603="","",TEXT($A1603,"mmm-yyyy"))</f>
        <v/>
      </c>
      <c r="C1603" s="4">
        <f>IF($A1603="","","W"&amp;WEEKNUM($A1603,2))</f>
        <v/>
      </c>
      <c r="D1603" s="4">
        <f>IF($A1603="","",TEXT($A1603,"ddd"))</f>
        <v/>
      </c>
      <c r="E1603" s="4" t="inlineStr">
        <is>
          <t>Safety</t>
        </is>
      </c>
      <c r="F1603" s="4">
        <f>IFERROR(INDEX(Tbl_KPIMaster[Category],MATCH($G1603,Tbl_KPIMaster[KPI],0)),"")</f>
        <v/>
      </c>
      <c r="G1603" s="4" t="inlineStr">
        <is>
          <t>Safety Incidents (LTI)</t>
        </is>
      </c>
      <c r="H1603" s="4">
        <f>IFERROR(INDEX(Tbl_KPIMaster[Unit],MATCH($G1603,Tbl_KPIMaster[KPI],0)),"")</f>
        <v/>
      </c>
      <c r="I1603" s="5">
        <f>IFERROR(INDEX(Tbl_KPIMaster[Maximum Target],MATCH($G1603,Tbl_KPIMaster[KPI],0)),"")</f>
        <v/>
      </c>
      <c r="J1603" s="5" t="n">
        <v>0</v>
      </c>
      <c r="K1603" s="4">
        <f>IFERROR(INDEX(Tbl_KPIMaster[Tolerance],MATCH($G1603,Tbl_KPIMaster[KPI],0)),"")</f>
        <v/>
      </c>
      <c r="L1603" s="4">
        <f>IFERROR(INDEX(Tbl_KPIMaster[Owner],MATCH($G1603,Tbl_KPIMaster[KPI],0)),"")</f>
        <v/>
      </c>
      <c r="M1603" s="6" t="inlineStr">
        <is>
          <t>Weather impact</t>
        </is>
      </c>
      <c r="N1603" s="4" t="inlineStr"/>
      <c r="O1603" s="4" t="inlineStr">
        <is>
          <t>Medium</t>
        </is>
      </c>
      <c r="P1603" s="4" t="inlineStr">
        <is>
          <t>Open</t>
        </is>
      </c>
      <c r="Q1603" s="5">
        <f>IFERROR(IF(INDEX(Tbl_KPIMaster[Direction],MATCH($G1603,Tbl_KPIMaster[KPI],0))="Lower is Better",IF($J1603=0,1,IF($I1603=0,0,$I1603/$J1603)),IF($I1603=0,1,$J1603/$I1603)),0)</f>
        <v/>
      </c>
      <c r="R1603" s="4">
        <f>IF(OR($I1603="",$J1603=""),"",$J1603-$I1603)</f>
        <v/>
      </c>
      <c r="S1603" s="4">
        <f>IFERROR(IF(INDEX(Tbl_KPIMaster[Direction],MATCH($G1603,Tbl_KPIMaster[KPI],0))="Lower is Better",IF($J1603&lt;=$I1603,"Green",IF($J1603&lt;=$I1603+IF($I1603=0,$K1603,$I1603*$K1603),"Amber","Red")),IF($J1603&gt;=$I1603,"Green",IF($J1603&gt;=$I1603-IF($I1603=0,$K1603,$I1603*$K1603),"Amber","Red"))),"")</f>
        <v/>
      </c>
      <c r="T1603" s="6" t="inlineStr"/>
    </row>
    <row r="1604">
      <c r="A1604" s="7" t="n">
        <v>46210</v>
      </c>
      <c r="B1604" s="8">
        <f>IF($A1604="","",TEXT($A1604,"mmm-yyyy"))</f>
        <v/>
      </c>
      <c r="C1604" s="8">
        <f>IF($A1604="","","W"&amp;WEEKNUM($A1604,2))</f>
        <v/>
      </c>
      <c r="D1604" s="8">
        <f>IF($A1604="","",TEXT($A1604,"ddd"))</f>
        <v/>
      </c>
      <c r="E1604" s="8" t="inlineStr">
        <is>
          <t>Safety</t>
        </is>
      </c>
      <c r="F1604" s="8">
        <f>IFERROR(INDEX(Tbl_KPIMaster[Category],MATCH($G1604,Tbl_KPIMaster[KPI],0)),"")</f>
        <v/>
      </c>
      <c r="G1604" s="8" t="inlineStr">
        <is>
          <t>Near Miss Reports</t>
        </is>
      </c>
      <c r="H1604" s="8">
        <f>IFERROR(INDEX(Tbl_KPIMaster[Unit],MATCH($G1604,Tbl_KPIMaster[KPI],0)),"")</f>
        <v/>
      </c>
      <c r="I1604" s="9">
        <f>IFERROR(INDEX(Tbl_KPIMaster[Maximum Target],MATCH($G1604,Tbl_KPIMaster[KPI],0)),"")</f>
        <v/>
      </c>
      <c r="J1604" s="9" t="n">
        <v>2</v>
      </c>
      <c r="K1604" s="8">
        <f>IFERROR(INDEX(Tbl_KPIMaster[Tolerance],MATCH($G1604,Tbl_KPIMaster[KPI],0)),"")</f>
        <v/>
      </c>
      <c r="L1604" s="8">
        <f>IFERROR(INDEX(Tbl_KPIMaster[Owner],MATCH($G1604,Tbl_KPIMaster[KPI],0)),"")</f>
        <v/>
      </c>
      <c r="M1604" s="10" t="inlineStr">
        <is>
          <t>Within normal range</t>
        </is>
      </c>
      <c r="N1604" s="8" t="inlineStr">
        <is>
          <t>Procurement follow-up</t>
        </is>
      </c>
      <c r="O1604" s="8" t="inlineStr">
        <is>
          <t>Medium</t>
        </is>
      </c>
      <c r="P1604" s="8" t="inlineStr">
        <is>
          <t>Closed</t>
        </is>
      </c>
      <c r="Q1604" s="9">
        <f>IFERROR(IF(INDEX(Tbl_KPIMaster[Direction],MATCH($G1604,Tbl_KPIMaster[KPI],0))="Lower is Better",IF($J1604=0,1,IF($I1604=0,0,$I1604/$J1604)),IF($I1604=0,1,$J1604/$I1604)),0)</f>
        <v/>
      </c>
      <c r="R1604" s="8">
        <f>IF(OR($I1604="",$J1604=""),"",$J1604-$I1604)</f>
        <v/>
      </c>
      <c r="S1604" s="8">
        <f>IFERROR(IF(INDEX(Tbl_KPIMaster[Direction],MATCH($G1604,Tbl_KPIMaster[KPI],0))="Lower is Better",IF($J1604&lt;=$I1604,"Green",IF($J1604&lt;=$I1604+IF($I1604=0,$K1604,$I1604*$K1604),"Amber","Red")),IF($J1604&gt;=$I1604,"Green",IF($J1604&gt;=$I1604-IF($I1604=0,$K1604,$I1604*$K1604),"Amber","Red"))),"")</f>
        <v/>
      </c>
      <c r="T1604" s="10" t="inlineStr"/>
    </row>
    <row r="1605">
      <c r="A1605" s="3" t="n">
        <v>46210</v>
      </c>
      <c r="B1605" s="4">
        <f>IF($A1605="","",TEXT($A1605,"mmm-yyyy"))</f>
        <v/>
      </c>
      <c r="C1605" s="4">
        <f>IF($A1605="","","W"&amp;WEEKNUM($A1605,2))</f>
        <v/>
      </c>
      <c r="D1605" s="4">
        <f>IF($A1605="","",TEXT($A1605,"ddd"))</f>
        <v/>
      </c>
      <c r="E1605" s="4" t="inlineStr">
        <is>
          <t>Production</t>
        </is>
      </c>
      <c r="F1605" s="4">
        <f>IFERROR(INDEX(Tbl_KPIMaster[Category],MATCH($G1605,Tbl_KPIMaster[KPI],0)),"")</f>
        <v/>
      </c>
      <c r="G1605" s="4" t="inlineStr">
        <is>
          <t>Production Output</t>
        </is>
      </c>
      <c r="H1605" s="4">
        <f>IFERROR(INDEX(Tbl_KPIMaster[Unit],MATCH($G1605,Tbl_KPIMaster[KPI],0)),"")</f>
        <v/>
      </c>
      <c r="I1605" s="5">
        <f>IFERROR(INDEX(Tbl_KPIMaster[Maximum Target],MATCH($G1605,Tbl_KPIMaster[KPI],0)),"")</f>
        <v/>
      </c>
      <c r="J1605" s="5" t="n">
        <v>961.2</v>
      </c>
      <c r="K1605" s="4">
        <f>IFERROR(INDEX(Tbl_KPIMaster[Tolerance],MATCH($G1605,Tbl_KPIMaster[KPI],0)),"")</f>
        <v/>
      </c>
      <c r="L1605" s="4">
        <f>IFERROR(INDEX(Tbl_KPIMaster[Owner],MATCH($G1605,Tbl_KPIMaster[KPI],0)),"")</f>
        <v/>
      </c>
      <c r="M1605" s="6" t="inlineStr">
        <is>
          <t>Within normal range</t>
        </is>
      </c>
      <c r="N1605" s="4" t="inlineStr"/>
      <c r="O1605" s="4" t="inlineStr">
        <is>
          <t>Low</t>
        </is>
      </c>
      <c r="P1605" s="4" t="inlineStr">
        <is>
          <t>Open</t>
        </is>
      </c>
      <c r="Q1605" s="5">
        <f>IFERROR(IF(INDEX(Tbl_KPIMaster[Direction],MATCH($G1605,Tbl_KPIMaster[KPI],0))="Lower is Better",IF($J1605=0,1,IF($I1605=0,0,$I1605/$J1605)),IF($I1605=0,1,$J1605/$I1605)),0)</f>
        <v/>
      </c>
      <c r="R1605" s="4">
        <f>IF(OR($I1605="",$J1605=""),"",$J1605-$I1605)</f>
        <v/>
      </c>
      <c r="S1605" s="4">
        <f>IFERROR(IF(INDEX(Tbl_KPIMaster[Direction],MATCH($G1605,Tbl_KPIMaster[KPI],0))="Lower is Better",IF($J1605&lt;=$I1605,"Green",IF($J1605&lt;=$I1605+IF($I1605=0,$K1605,$I1605*$K1605),"Amber","Red")),IF($J1605&gt;=$I1605,"Green",IF($J1605&gt;=$I1605-IF($I1605=0,$K1605,$I1605*$K1605),"Amber","Red"))),"")</f>
        <v/>
      </c>
      <c r="T1605" s="6" t="inlineStr"/>
    </row>
    <row r="1606">
      <c r="A1606" s="7" t="n">
        <v>46210</v>
      </c>
      <c r="B1606" s="8">
        <f>IF($A1606="","",TEXT($A1606,"mmm-yyyy"))</f>
        <v/>
      </c>
      <c r="C1606" s="8">
        <f>IF($A1606="","","W"&amp;WEEKNUM($A1606,2))</f>
        <v/>
      </c>
      <c r="D1606" s="8">
        <f>IF($A1606="","",TEXT($A1606,"ddd"))</f>
        <v/>
      </c>
      <c r="E1606" s="8" t="inlineStr">
        <is>
          <t>Production</t>
        </is>
      </c>
      <c r="F1606" s="8">
        <f>IFERROR(INDEX(Tbl_KPIMaster[Category],MATCH($G1606,Tbl_KPIMaster[KPI],0)),"")</f>
        <v/>
      </c>
      <c r="G1606" s="8" t="inlineStr">
        <is>
          <t>OEE %</t>
        </is>
      </c>
      <c r="H1606" s="8">
        <f>IFERROR(INDEX(Tbl_KPIMaster[Unit],MATCH($G1606,Tbl_KPIMaster[KPI],0)),"")</f>
        <v/>
      </c>
      <c r="I1606" s="9">
        <f>IFERROR(INDEX(Tbl_KPIMaster[Maximum Target],MATCH($G1606,Tbl_KPIMaster[KPI],0)),"")</f>
        <v/>
      </c>
      <c r="J1606" s="9" t="n">
        <v>0.6788999999999999</v>
      </c>
      <c r="K1606" s="8">
        <f>IFERROR(INDEX(Tbl_KPIMaster[Tolerance],MATCH($G1606,Tbl_KPIMaster[KPI],0)),"")</f>
        <v/>
      </c>
      <c r="L1606" s="8">
        <f>IFERROR(INDEX(Tbl_KPIMaster[Owner],MATCH($G1606,Tbl_KPIMaster[KPI],0)),"")</f>
        <v/>
      </c>
      <c r="M1606" s="10" t="inlineStr">
        <is>
          <t>Line changeover impact</t>
        </is>
      </c>
      <c r="N1606" s="8" t="inlineStr">
        <is>
          <t>Management approval pending</t>
        </is>
      </c>
      <c r="O1606" s="8" t="inlineStr">
        <is>
          <t>Low</t>
        </is>
      </c>
      <c r="P1606" s="8" t="inlineStr">
        <is>
          <t>Open</t>
        </is>
      </c>
      <c r="Q1606" s="9">
        <f>IFERROR(IF(INDEX(Tbl_KPIMaster[Direction],MATCH($G1606,Tbl_KPIMaster[KPI],0))="Lower is Better",IF($J1606=0,1,IF($I1606=0,0,$I1606/$J1606)),IF($I1606=0,1,$J1606/$I1606)),0)</f>
        <v/>
      </c>
      <c r="R1606" s="8">
        <f>IF(OR($I1606="",$J1606=""),"",$J1606-$I1606)</f>
        <v/>
      </c>
      <c r="S1606" s="8">
        <f>IFERROR(IF(INDEX(Tbl_KPIMaster[Direction],MATCH($G1606,Tbl_KPIMaster[KPI],0))="Lower is Better",IF($J1606&lt;=$I1606,"Green",IF($J1606&lt;=$I1606+IF($I1606=0,$K1606,$I1606*$K1606),"Amber","Red")),IF($J1606&gt;=$I1606,"Green",IF($J1606&gt;=$I1606-IF($I1606=0,$K1606,$I1606*$K1606),"Amber","Red"))),"")</f>
        <v/>
      </c>
      <c r="T1606" s="10" t="inlineStr"/>
    </row>
    <row r="1607">
      <c r="A1607" s="3" t="n">
        <v>46210</v>
      </c>
      <c r="B1607" s="4">
        <f>IF($A1607="","",TEXT($A1607,"mmm-yyyy"))</f>
        <v/>
      </c>
      <c r="C1607" s="4">
        <f>IF($A1607="","","W"&amp;WEEKNUM($A1607,2))</f>
        <v/>
      </c>
      <c r="D1607" s="4">
        <f>IF($A1607="","",TEXT($A1607,"ddd"))</f>
        <v/>
      </c>
      <c r="E1607" s="4" t="inlineStr">
        <is>
          <t>Quality</t>
        </is>
      </c>
      <c r="F1607" s="4">
        <f>IFERROR(INDEX(Tbl_KPIMaster[Category],MATCH($G1607,Tbl_KPIMaster[KPI],0)),"")</f>
        <v/>
      </c>
      <c r="G1607" s="4" t="inlineStr">
        <is>
          <t>Defect Rate %</t>
        </is>
      </c>
      <c r="H1607" s="4">
        <f>IFERROR(INDEX(Tbl_KPIMaster[Unit],MATCH($G1607,Tbl_KPIMaster[KPI],0)),"")</f>
        <v/>
      </c>
      <c r="I1607" s="5">
        <f>IFERROR(INDEX(Tbl_KPIMaster[Maximum Target],MATCH($G1607,Tbl_KPIMaster[KPI],0)),"")</f>
        <v/>
      </c>
      <c r="J1607" s="5" t="n">
        <v>0</v>
      </c>
      <c r="K1607" s="4">
        <f>IFERROR(INDEX(Tbl_KPIMaster[Tolerance],MATCH($G1607,Tbl_KPIMaster[KPI],0)),"")</f>
        <v/>
      </c>
      <c r="L1607" s="4">
        <f>IFERROR(INDEX(Tbl_KPIMaster[Owner],MATCH($G1607,Tbl_KPIMaster[KPI],0)),"")</f>
        <v/>
      </c>
      <c r="M1607" s="6" t="inlineStr">
        <is>
          <t>Manpower shortage</t>
        </is>
      </c>
      <c r="N1607" s="4" t="inlineStr">
        <is>
          <t>Management approval pending</t>
        </is>
      </c>
      <c r="O1607" s="4" t="inlineStr">
        <is>
          <t>Medium</t>
        </is>
      </c>
      <c r="P1607" s="4" t="inlineStr">
        <is>
          <t>Open</t>
        </is>
      </c>
      <c r="Q1607" s="5">
        <f>IFERROR(IF(INDEX(Tbl_KPIMaster[Direction],MATCH($G1607,Tbl_KPIMaster[KPI],0))="Lower is Better",IF($J1607=0,1,IF($I1607=0,0,$I1607/$J1607)),IF($I1607=0,1,$J1607/$I1607)),0)</f>
        <v/>
      </c>
      <c r="R1607" s="4">
        <f>IF(OR($I1607="",$J1607=""),"",$J1607-$I1607)</f>
        <v/>
      </c>
      <c r="S1607" s="4">
        <f>IFERROR(IF(INDEX(Tbl_KPIMaster[Direction],MATCH($G1607,Tbl_KPIMaster[KPI],0))="Lower is Better",IF($J1607&lt;=$I1607,"Green",IF($J1607&lt;=$I1607+IF($I1607=0,$K1607,$I1607*$K1607),"Amber","Red")),IF($J1607&gt;=$I1607,"Green",IF($J1607&gt;=$I1607-IF($I1607=0,$K1607,$I1607*$K1607),"Amber","Red"))),"")</f>
        <v/>
      </c>
      <c r="T1607" s="6" t="inlineStr"/>
    </row>
    <row r="1608">
      <c r="A1608" s="7" t="n">
        <v>46210</v>
      </c>
      <c r="B1608" s="8">
        <f>IF($A1608="","",TEXT($A1608,"mmm-yyyy"))</f>
        <v/>
      </c>
      <c r="C1608" s="8">
        <f>IF($A1608="","","W"&amp;WEEKNUM($A1608,2))</f>
        <v/>
      </c>
      <c r="D1608" s="8">
        <f>IF($A1608="","",TEXT($A1608,"ddd"))</f>
        <v/>
      </c>
      <c r="E1608" s="8" t="inlineStr">
        <is>
          <t>Quality</t>
        </is>
      </c>
      <c r="F1608" s="8">
        <f>IFERROR(INDEX(Tbl_KPIMaster[Category],MATCH($G1608,Tbl_KPIMaster[KPI],0)),"")</f>
        <v/>
      </c>
      <c r="G1608" s="8" t="inlineStr">
        <is>
          <t>Customer Complaints</t>
        </is>
      </c>
      <c r="H1608" s="8">
        <f>IFERROR(INDEX(Tbl_KPIMaster[Unit],MATCH($G1608,Tbl_KPIMaster[KPI],0)),"")</f>
        <v/>
      </c>
      <c r="I1608" s="9">
        <f>IFERROR(INDEX(Tbl_KPIMaster[Maximum Target],MATCH($G1608,Tbl_KPIMaster[KPI],0)),"")</f>
        <v/>
      </c>
      <c r="J1608" s="9" t="n">
        <v>3</v>
      </c>
      <c r="K1608" s="8">
        <f>IFERROR(INDEX(Tbl_KPIMaster[Tolerance],MATCH($G1608,Tbl_KPIMaster[KPI],0)),"")</f>
        <v/>
      </c>
      <c r="L1608" s="8">
        <f>IFERROR(INDEX(Tbl_KPIMaster[Owner],MATCH($G1608,Tbl_KPIMaster[KPI],0)),"")</f>
        <v/>
      </c>
      <c r="M1608" s="10" t="inlineStr">
        <is>
          <t>Vendor delay</t>
        </is>
      </c>
      <c r="N1608" s="8" t="inlineStr">
        <is>
          <t>Procurement follow-up</t>
        </is>
      </c>
      <c r="O1608" s="8" t="inlineStr">
        <is>
          <t>Medium</t>
        </is>
      </c>
      <c r="P1608" s="8" t="inlineStr">
        <is>
          <t>Open</t>
        </is>
      </c>
      <c r="Q1608" s="9">
        <f>IFERROR(IF(INDEX(Tbl_KPIMaster[Direction],MATCH($G1608,Tbl_KPIMaster[KPI],0))="Lower is Better",IF($J1608=0,1,IF($I1608=0,0,$I1608/$J1608)),IF($I1608=0,1,$J1608/$I1608)),0)</f>
        <v/>
      </c>
      <c r="R1608" s="8">
        <f>IF(OR($I1608="",$J1608=""),"",$J1608-$I1608)</f>
        <v/>
      </c>
      <c r="S1608" s="8">
        <f>IFERROR(IF(INDEX(Tbl_KPIMaster[Direction],MATCH($G1608,Tbl_KPIMaster[KPI],0))="Lower is Better",IF($J1608&lt;=$I1608,"Green",IF($J1608&lt;=$I1608+IF($I1608=0,$K1608,$I1608*$K1608),"Amber","Red")),IF($J1608&gt;=$I1608,"Green",IF($J1608&gt;=$I1608-IF($I1608=0,$K1608,$I1608*$K1608),"Amber","Red"))),"")</f>
        <v/>
      </c>
      <c r="T1608" s="10" t="inlineStr"/>
    </row>
    <row r="1609">
      <c r="A1609" s="3" t="n">
        <v>46210</v>
      </c>
      <c r="B1609" s="4">
        <f>IF($A1609="","",TEXT($A1609,"mmm-yyyy"))</f>
        <v/>
      </c>
      <c r="C1609" s="4">
        <f>IF($A1609="","","W"&amp;WEEKNUM($A1609,2))</f>
        <v/>
      </c>
      <c r="D1609" s="4">
        <f>IF($A1609="","",TEXT($A1609,"ddd"))</f>
        <v/>
      </c>
      <c r="E1609" s="4" t="inlineStr">
        <is>
          <t>Maintenance</t>
        </is>
      </c>
      <c r="F1609" s="4">
        <f>IFERROR(INDEX(Tbl_KPIMaster[Category],MATCH($G1609,Tbl_KPIMaster[KPI],0)),"")</f>
        <v/>
      </c>
      <c r="G1609" s="4" t="inlineStr">
        <is>
          <t>Unplanned Downtime</t>
        </is>
      </c>
      <c r="H1609" s="4">
        <f>IFERROR(INDEX(Tbl_KPIMaster[Unit],MATCH($G1609,Tbl_KPIMaster[KPI],0)),"")</f>
        <v/>
      </c>
      <c r="I1609" s="5">
        <f>IFERROR(INDEX(Tbl_KPIMaster[Maximum Target],MATCH($G1609,Tbl_KPIMaster[KPI],0)),"")</f>
        <v/>
      </c>
      <c r="J1609" s="5" t="n">
        <v>0.14</v>
      </c>
      <c r="K1609" s="4">
        <f>IFERROR(INDEX(Tbl_KPIMaster[Tolerance],MATCH($G1609,Tbl_KPIMaster[KPI],0)),"")</f>
        <v/>
      </c>
      <c r="L1609" s="4">
        <f>IFERROR(INDEX(Tbl_KPIMaster[Owner],MATCH($G1609,Tbl_KPIMaster[KPI],0)),"")</f>
        <v/>
      </c>
      <c r="M1609" s="6" t="inlineStr"/>
      <c r="N1609" s="4" t="inlineStr">
        <is>
          <t>Procurement follow-up</t>
        </is>
      </c>
      <c r="O1609" s="4" t="inlineStr">
        <is>
          <t>High</t>
        </is>
      </c>
      <c r="P1609" s="4" t="inlineStr">
        <is>
          <t>Closed</t>
        </is>
      </c>
      <c r="Q1609" s="5">
        <f>IFERROR(IF(INDEX(Tbl_KPIMaster[Direction],MATCH($G1609,Tbl_KPIMaster[KPI],0))="Lower is Better",IF($J1609=0,1,IF($I1609=0,0,$I1609/$J1609)),IF($I1609=0,1,$J1609/$I1609)),0)</f>
        <v/>
      </c>
      <c r="R1609" s="4">
        <f>IF(OR($I1609="",$J1609=""),"",$J1609-$I1609)</f>
        <v/>
      </c>
      <c r="S1609" s="4">
        <f>IFERROR(IF(INDEX(Tbl_KPIMaster[Direction],MATCH($G1609,Tbl_KPIMaster[KPI],0))="Lower is Better",IF($J1609&lt;=$I1609,"Green",IF($J1609&lt;=$I1609+IF($I1609=0,$K1609,$I1609*$K1609),"Amber","Red")),IF($J1609&gt;=$I1609,"Green",IF($J1609&gt;=$I1609-IF($I1609=0,$K1609,$I1609*$K1609),"Amber","Red"))),"")</f>
        <v/>
      </c>
      <c r="T1609" s="6" t="inlineStr"/>
    </row>
    <row r="1610">
      <c r="A1610" s="7" t="n">
        <v>46210</v>
      </c>
      <c r="B1610" s="8">
        <f>IF($A1610="","",TEXT($A1610,"mmm-yyyy"))</f>
        <v/>
      </c>
      <c r="C1610" s="8">
        <f>IF($A1610="","","W"&amp;WEEKNUM($A1610,2))</f>
        <v/>
      </c>
      <c r="D1610" s="8">
        <f>IF($A1610="","",TEXT($A1610,"ddd"))</f>
        <v/>
      </c>
      <c r="E1610" s="8" t="inlineStr">
        <is>
          <t>Maintenance</t>
        </is>
      </c>
      <c r="F1610" s="8">
        <f>IFERROR(INDEX(Tbl_KPIMaster[Category],MATCH($G1610,Tbl_KPIMaster[KPI],0)),"")</f>
        <v/>
      </c>
      <c r="G1610" s="8" t="inlineStr">
        <is>
          <t>PM Compliance %</t>
        </is>
      </c>
      <c r="H1610" s="8">
        <f>IFERROR(INDEX(Tbl_KPIMaster[Unit],MATCH($G1610,Tbl_KPIMaster[KPI],0)),"")</f>
        <v/>
      </c>
      <c r="I1610" s="9">
        <f>IFERROR(INDEX(Tbl_KPIMaster[Maximum Target],MATCH($G1610,Tbl_KPIMaster[KPI],0)),"")</f>
        <v/>
      </c>
      <c r="J1610" s="9" t="n">
        <v>0.9036</v>
      </c>
      <c r="K1610" s="8">
        <f>IFERROR(INDEX(Tbl_KPIMaster[Tolerance],MATCH($G1610,Tbl_KPIMaster[KPI],0)),"")</f>
        <v/>
      </c>
      <c r="L1610" s="8">
        <f>IFERROR(INDEX(Tbl_KPIMaster[Owner],MATCH($G1610,Tbl_KPIMaster[KPI],0)),"")</f>
        <v/>
      </c>
      <c r="M1610" s="10" t="inlineStr">
        <is>
          <t>Vendor delay</t>
        </is>
      </c>
      <c r="N1610" s="8" t="inlineStr"/>
      <c r="O1610" s="8" t="inlineStr">
        <is>
          <t>Low</t>
        </is>
      </c>
      <c r="P1610" s="8" t="inlineStr">
        <is>
          <t>Open</t>
        </is>
      </c>
      <c r="Q1610" s="9">
        <f>IFERROR(IF(INDEX(Tbl_KPIMaster[Direction],MATCH($G1610,Tbl_KPIMaster[KPI],0))="Lower is Better",IF($J1610=0,1,IF($I1610=0,0,$I1610/$J1610)),IF($I1610=0,1,$J1610/$I1610)),0)</f>
        <v/>
      </c>
      <c r="R1610" s="8">
        <f>IF(OR($I1610="",$J1610=""),"",$J1610-$I1610)</f>
        <v/>
      </c>
      <c r="S1610" s="8">
        <f>IFERROR(IF(INDEX(Tbl_KPIMaster[Direction],MATCH($G1610,Tbl_KPIMaster[KPI],0))="Lower is Better",IF($J1610&lt;=$I1610,"Green",IF($J1610&lt;=$I1610+IF($I1610=0,$K1610,$I1610*$K1610),"Amber","Red")),IF($J1610&gt;=$I1610,"Green",IF($J1610&gt;=$I1610-IF($I1610=0,$K1610,$I1610*$K1610),"Amber","Red"))),"")</f>
        <v/>
      </c>
      <c r="T1610" s="10" t="inlineStr"/>
    </row>
    <row r="1611">
      <c r="A1611" s="3" t="n">
        <v>46210</v>
      </c>
      <c r="B1611" s="4">
        <f>IF($A1611="","",TEXT($A1611,"mmm-yyyy"))</f>
        <v/>
      </c>
      <c r="C1611" s="4">
        <f>IF($A1611="","","W"&amp;WEEKNUM($A1611,2))</f>
        <v/>
      </c>
      <c r="D1611" s="4">
        <f>IF($A1611="","",TEXT($A1611,"ddd"))</f>
        <v/>
      </c>
      <c r="E1611" s="4" t="inlineStr">
        <is>
          <t>Utilities</t>
        </is>
      </c>
      <c r="F1611" s="4">
        <f>IFERROR(INDEX(Tbl_KPIMaster[Category],MATCH($G1611,Tbl_KPIMaster[KPI],0)),"")</f>
        <v/>
      </c>
      <c r="G1611" s="4" t="inlineStr">
        <is>
          <t>Power Consumption</t>
        </is>
      </c>
      <c r="H1611" s="4">
        <f>IFERROR(INDEX(Tbl_KPIMaster[Unit],MATCH($G1611,Tbl_KPIMaster[KPI],0)),"")</f>
        <v/>
      </c>
      <c r="I1611" s="5">
        <f>IFERROR(INDEX(Tbl_KPIMaster[Maximum Target],MATCH($G1611,Tbl_KPIMaster[KPI],0)),"")</f>
        <v/>
      </c>
      <c r="J1611" s="5" t="n">
        <v>3585.9</v>
      </c>
      <c r="K1611" s="4">
        <f>IFERROR(INDEX(Tbl_KPIMaster[Tolerance],MATCH($G1611,Tbl_KPIMaster[KPI],0)),"")</f>
        <v/>
      </c>
      <c r="L1611" s="4">
        <f>IFERROR(INDEX(Tbl_KPIMaster[Owner],MATCH($G1611,Tbl_KPIMaster[KPI],0)),"")</f>
        <v/>
      </c>
      <c r="M1611" s="6" t="inlineStr">
        <is>
          <t>Process improvement in progress</t>
        </is>
      </c>
      <c r="N1611" s="4" t="inlineStr"/>
      <c r="O1611" s="4" t="inlineStr">
        <is>
          <t>High</t>
        </is>
      </c>
      <c r="P1611" s="4" t="inlineStr">
        <is>
          <t>Open</t>
        </is>
      </c>
      <c r="Q1611" s="5">
        <f>IFERROR(IF(INDEX(Tbl_KPIMaster[Direction],MATCH($G1611,Tbl_KPIMaster[KPI],0))="Lower is Better",IF($J1611=0,1,IF($I1611=0,0,$I1611/$J1611)),IF($I1611=0,1,$J1611/$I1611)),0)</f>
        <v/>
      </c>
      <c r="R1611" s="4">
        <f>IF(OR($I1611="",$J1611=""),"",$J1611-$I1611)</f>
        <v/>
      </c>
      <c r="S1611" s="4">
        <f>IFERROR(IF(INDEX(Tbl_KPIMaster[Direction],MATCH($G1611,Tbl_KPIMaster[KPI],0))="Lower is Better",IF($J1611&lt;=$I1611,"Green",IF($J1611&lt;=$I1611+IF($I1611=0,$K1611,$I1611*$K1611),"Amber","Red")),IF($J1611&gt;=$I1611,"Green",IF($J1611&gt;=$I1611-IF($I1611=0,$K1611,$I1611*$K1611),"Amber","Red"))),"")</f>
        <v/>
      </c>
      <c r="T1611" s="6" t="inlineStr"/>
    </row>
    <row r="1612">
      <c r="A1612" s="7" t="n">
        <v>46210</v>
      </c>
      <c r="B1612" s="8">
        <f>IF($A1612="","",TEXT($A1612,"mmm-yyyy"))</f>
        <v/>
      </c>
      <c r="C1612" s="8">
        <f>IF($A1612="","","W"&amp;WEEKNUM($A1612,2))</f>
        <v/>
      </c>
      <c r="D1612" s="8">
        <f>IF($A1612="","",TEXT($A1612,"ddd"))</f>
        <v/>
      </c>
      <c r="E1612" s="8" t="inlineStr">
        <is>
          <t>Utilities</t>
        </is>
      </c>
      <c r="F1612" s="8">
        <f>IFERROR(INDEX(Tbl_KPIMaster[Category],MATCH($G1612,Tbl_KPIMaster[KPI],0)),"")</f>
        <v/>
      </c>
      <c r="G1612" s="8" t="inlineStr">
        <is>
          <t>Water Consumption</t>
        </is>
      </c>
      <c r="H1612" s="8">
        <f>IFERROR(INDEX(Tbl_KPIMaster[Unit],MATCH($G1612,Tbl_KPIMaster[KPI],0)),"")</f>
        <v/>
      </c>
      <c r="I1612" s="9">
        <f>IFERROR(INDEX(Tbl_KPIMaster[Maximum Target],MATCH($G1612,Tbl_KPIMaster[KPI],0)),"")</f>
        <v/>
      </c>
      <c r="J1612" s="9" t="n">
        <v>52.69</v>
      </c>
      <c r="K1612" s="8">
        <f>IFERROR(INDEX(Tbl_KPIMaster[Tolerance],MATCH($G1612,Tbl_KPIMaster[KPI],0)),"")</f>
        <v/>
      </c>
      <c r="L1612" s="8">
        <f>IFERROR(INDEX(Tbl_KPIMaster[Owner],MATCH($G1612,Tbl_KPIMaster[KPI],0)),"")</f>
        <v/>
      </c>
      <c r="M1612" s="10" t="inlineStr">
        <is>
          <t>Process improvement in progress</t>
        </is>
      </c>
      <c r="N1612" s="8" t="inlineStr"/>
      <c r="O1612" s="8" t="inlineStr">
        <is>
          <t>Low</t>
        </is>
      </c>
      <c r="P1612" s="8" t="inlineStr">
        <is>
          <t>Open</t>
        </is>
      </c>
      <c r="Q1612" s="9">
        <f>IFERROR(IF(INDEX(Tbl_KPIMaster[Direction],MATCH($G1612,Tbl_KPIMaster[KPI],0))="Lower is Better",IF($J1612=0,1,IF($I1612=0,0,$I1612/$J1612)),IF($I1612=0,1,$J1612/$I1612)),0)</f>
        <v/>
      </c>
      <c r="R1612" s="8">
        <f>IF(OR($I1612="",$J1612=""),"",$J1612-$I1612)</f>
        <v/>
      </c>
      <c r="S1612" s="8">
        <f>IFERROR(IF(INDEX(Tbl_KPIMaster[Direction],MATCH($G1612,Tbl_KPIMaster[KPI],0))="Lower is Better",IF($J1612&lt;=$I1612,"Green",IF($J1612&lt;=$I1612+IF($I1612=0,$K1612,$I1612*$K1612),"Amber","Red")),IF($J1612&gt;=$I1612,"Green",IF($J1612&gt;=$I1612-IF($I1612=0,$K1612,$I1612*$K1612),"Amber","Red"))),"")</f>
        <v/>
      </c>
      <c r="T1612" s="10" t="inlineStr"/>
    </row>
    <row r="1613">
      <c r="A1613" s="3" t="n">
        <v>46210</v>
      </c>
      <c r="B1613" s="4">
        <f>IF($A1613="","",TEXT($A1613,"mmm-yyyy"))</f>
        <v/>
      </c>
      <c r="C1613" s="4">
        <f>IF($A1613="","","W"&amp;WEEKNUM($A1613,2))</f>
        <v/>
      </c>
      <c r="D1613" s="4">
        <f>IF($A1613="","",TEXT($A1613,"ddd"))</f>
        <v/>
      </c>
      <c r="E1613" s="4" t="inlineStr">
        <is>
          <t>Warehouse</t>
        </is>
      </c>
      <c r="F1613" s="4">
        <f>IFERROR(INDEX(Tbl_KPIMaster[Category],MATCH($G1613,Tbl_KPIMaster[KPI],0)),"")</f>
        <v/>
      </c>
      <c r="G1613" s="4" t="inlineStr">
        <is>
          <t>On-Time Dispatch %</t>
        </is>
      </c>
      <c r="H1613" s="4">
        <f>IFERROR(INDEX(Tbl_KPIMaster[Unit],MATCH($G1613,Tbl_KPIMaster[KPI],0)),"")</f>
        <v/>
      </c>
      <c r="I1613" s="5">
        <f>IFERROR(INDEX(Tbl_KPIMaster[Maximum Target],MATCH($G1613,Tbl_KPIMaster[KPI],0)),"")</f>
        <v/>
      </c>
      <c r="J1613" s="5" t="n">
        <v>0.8070000000000001</v>
      </c>
      <c r="K1613" s="4">
        <f>IFERROR(INDEX(Tbl_KPIMaster[Tolerance],MATCH($G1613,Tbl_KPIMaster[KPI],0)),"")</f>
        <v/>
      </c>
      <c r="L1613" s="4">
        <f>IFERROR(INDEX(Tbl_KPIMaster[Owner],MATCH($G1613,Tbl_KPIMaster[KPI],0)),"")</f>
        <v/>
      </c>
      <c r="M1613" s="6" t="inlineStr">
        <is>
          <t>Line changeover impact</t>
        </is>
      </c>
      <c r="N1613" s="4" t="inlineStr"/>
      <c r="O1613" s="4" t="inlineStr">
        <is>
          <t>Medium</t>
        </is>
      </c>
      <c r="P1613" s="4" t="inlineStr">
        <is>
          <t>In Progress</t>
        </is>
      </c>
      <c r="Q1613" s="5">
        <f>IFERROR(IF(INDEX(Tbl_KPIMaster[Direction],MATCH($G1613,Tbl_KPIMaster[KPI],0))="Lower is Better",IF($J1613=0,1,IF($I1613=0,0,$I1613/$J1613)),IF($I1613=0,1,$J1613/$I1613)),0)</f>
        <v/>
      </c>
      <c r="R1613" s="4">
        <f>IF(OR($I1613="",$J1613=""),"",$J1613-$I1613)</f>
        <v/>
      </c>
      <c r="S1613" s="4">
        <f>IFERROR(IF(INDEX(Tbl_KPIMaster[Direction],MATCH($G1613,Tbl_KPIMaster[KPI],0))="Lower is Better",IF($J1613&lt;=$I1613,"Green",IF($J1613&lt;=$I1613+IF($I1613=0,$K1613,$I1613*$K1613),"Amber","Red")),IF($J1613&gt;=$I1613,"Green",IF($J1613&gt;=$I1613-IF($I1613=0,$K1613,$I1613*$K1613),"Amber","Red"))),"")</f>
        <v/>
      </c>
      <c r="T1613" s="6" t="inlineStr"/>
    </row>
    <row r="1614">
      <c r="A1614" s="7" t="n">
        <v>46210</v>
      </c>
      <c r="B1614" s="8">
        <f>IF($A1614="","",TEXT($A1614,"mmm-yyyy"))</f>
        <v/>
      </c>
      <c r="C1614" s="8">
        <f>IF($A1614="","","W"&amp;WEEKNUM($A1614,2))</f>
        <v/>
      </c>
      <c r="D1614" s="8">
        <f>IF($A1614="","",TEXT($A1614,"ddd"))</f>
        <v/>
      </c>
      <c r="E1614" s="8" t="inlineStr">
        <is>
          <t>Warehouse</t>
        </is>
      </c>
      <c r="F1614" s="8">
        <f>IFERROR(INDEX(Tbl_KPIMaster[Category],MATCH($G1614,Tbl_KPIMaster[KPI],0)),"")</f>
        <v/>
      </c>
      <c r="G1614" s="8" t="inlineStr">
        <is>
          <t>Inventory Accuracy %</t>
        </is>
      </c>
      <c r="H1614" s="8">
        <f>IFERROR(INDEX(Tbl_KPIMaster[Unit],MATCH($G1614,Tbl_KPIMaster[KPI],0)),"")</f>
        <v/>
      </c>
      <c r="I1614" s="9">
        <f>IFERROR(INDEX(Tbl_KPIMaster[Maximum Target],MATCH($G1614,Tbl_KPIMaster[KPI],0)),"")</f>
        <v/>
      </c>
      <c r="J1614" s="9" t="n">
        <v>1.0167</v>
      </c>
      <c r="K1614" s="8">
        <f>IFERROR(INDEX(Tbl_KPIMaster[Tolerance],MATCH($G1614,Tbl_KPIMaster[KPI],0)),"")</f>
        <v/>
      </c>
      <c r="L1614" s="8">
        <f>IFERROR(INDEX(Tbl_KPIMaster[Owner],MATCH($G1614,Tbl_KPIMaster[KPI],0)),"")</f>
        <v/>
      </c>
      <c r="M1614" s="10" t="inlineStr">
        <is>
          <t>Line changeover impact</t>
        </is>
      </c>
      <c r="N1614" s="8" t="inlineStr"/>
      <c r="O1614" s="8" t="inlineStr">
        <is>
          <t>Low</t>
        </is>
      </c>
      <c r="P1614" s="8" t="inlineStr">
        <is>
          <t>In Progress</t>
        </is>
      </c>
      <c r="Q1614" s="9">
        <f>IFERROR(IF(INDEX(Tbl_KPIMaster[Direction],MATCH($G1614,Tbl_KPIMaster[KPI],0))="Lower is Better",IF($J1614=0,1,IF($I1614=0,0,$I1614/$J1614)),IF($I1614=0,1,$J1614/$I1614)),0)</f>
        <v/>
      </c>
      <c r="R1614" s="8">
        <f>IF(OR($I1614="",$J1614=""),"",$J1614-$I1614)</f>
        <v/>
      </c>
      <c r="S1614" s="8">
        <f>IFERROR(IF(INDEX(Tbl_KPIMaster[Direction],MATCH($G1614,Tbl_KPIMaster[KPI],0))="Lower is Better",IF($J1614&lt;=$I1614,"Green",IF($J1614&lt;=$I1614+IF($I1614=0,$K1614,$I1614*$K1614),"Amber","Red")),IF($J1614&gt;=$I1614,"Green",IF($J1614&gt;=$I1614-IF($I1614=0,$K1614,$I1614*$K1614),"Amber","Red"))),"")</f>
        <v/>
      </c>
      <c r="T1614" s="10" t="inlineStr"/>
    </row>
    <row r="1615">
      <c r="A1615" s="3" t="n">
        <v>46210</v>
      </c>
      <c r="B1615" s="4">
        <f>IF($A1615="","",TEXT($A1615,"mmm-yyyy"))</f>
        <v/>
      </c>
      <c r="C1615" s="4">
        <f>IF($A1615="","","W"&amp;WEEKNUM($A1615,2))</f>
        <v/>
      </c>
      <c r="D1615" s="4">
        <f>IF($A1615="","",TEXT($A1615,"ddd"))</f>
        <v/>
      </c>
      <c r="E1615" s="4" t="inlineStr">
        <is>
          <t>HR</t>
        </is>
      </c>
      <c r="F1615" s="4">
        <f>IFERROR(INDEX(Tbl_KPIMaster[Category],MATCH($G1615,Tbl_KPIMaster[KPI],0)),"")</f>
        <v/>
      </c>
      <c r="G1615" s="4" t="inlineStr">
        <is>
          <t>Absenteeism %</t>
        </is>
      </c>
      <c r="H1615" s="4">
        <f>IFERROR(INDEX(Tbl_KPIMaster[Unit],MATCH($G1615,Tbl_KPIMaster[KPI],0)),"")</f>
        <v/>
      </c>
      <c r="I1615" s="5">
        <f>IFERROR(INDEX(Tbl_KPIMaster[Maximum Target],MATCH($G1615,Tbl_KPIMaster[KPI],0)),"")</f>
        <v/>
      </c>
      <c r="J1615" s="5" t="n">
        <v>0.479</v>
      </c>
      <c r="K1615" s="4">
        <f>IFERROR(INDEX(Tbl_KPIMaster[Tolerance],MATCH($G1615,Tbl_KPIMaster[KPI],0)),"")</f>
        <v/>
      </c>
      <c r="L1615" s="4">
        <f>IFERROR(INDEX(Tbl_KPIMaster[Owner],MATCH($G1615,Tbl_KPIMaster[KPI],0)),"")</f>
        <v/>
      </c>
      <c r="M1615" s="6" t="inlineStr">
        <is>
          <t>Weather impact</t>
        </is>
      </c>
      <c r="N1615" s="4" t="inlineStr"/>
      <c r="O1615" s="4" t="inlineStr">
        <is>
          <t>Low</t>
        </is>
      </c>
      <c r="P1615" s="4" t="inlineStr">
        <is>
          <t>Closed</t>
        </is>
      </c>
      <c r="Q1615" s="5">
        <f>IFERROR(IF(INDEX(Tbl_KPIMaster[Direction],MATCH($G1615,Tbl_KPIMaster[KPI],0))="Lower is Better",IF($J1615=0,1,IF($I1615=0,0,$I1615/$J1615)),IF($I1615=0,1,$J1615/$I1615)),0)</f>
        <v/>
      </c>
      <c r="R1615" s="4">
        <f>IF(OR($I1615="",$J1615=""),"",$J1615-$I1615)</f>
        <v/>
      </c>
      <c r="S1615" s="4">
        <f>IFERROR(IF(INDEX(Tbl_KPIMaster[Direction],MATCH($G1615,Tbl_KPIMaster[KPI],0))="Lower is Better",IF($J1615&lt;=$I1615,"Green",IF($J1615&lt;=$I1615+IF($I1615=0,$K1615,$I1615*$K1615),"Amber","Red")),IF($J1615&gt;=$I1615,"Green",IF($J1615&gt;=$I1615-IF($I1615=0,$K1615,$I1615*$K1615),"Amber","Red"))),"")</f>
        <v/>
      </c>
      <c r="T1615" s="6" t="inlineStr"/>
    </row>
    <row r="1616">
      <c r="A1616" s="7" t="n">
        <v>46210</v>
      </c>
      <c r="B1616" s="8">
        <f>IF($A1616="","",TEXT($A1616,"mmm-yyyy"))</f>
        <v/>
      </c>
      <c r="C1616" s="8">
        <f>IF($A1616="","","W"&amp;WEEKNUM($A1616,2))</f>
        <v/>
      </c>
      <c r="D1616" s="8">
        <f>IF($A1616="","",TEXT($A1616,"ddd"))</f>
        <v/>
      </c>
      <c r="E1616" s="8" t="inlineStr">
        <is>
          <t>HR</t>
        </is>
      </c>
      <c r="F1616" s="8">
        <f>IFERROR(INDEX(Tbl_KPIMaster[Category],MATCH($G1616,Tbl_KPIMaster[KPI],0)),"")</f>
        <v/>
      </c>
      <c r="G1616" s="8" t="inlineStr">
        <is>
          <t>Training Hours</t>
        </is>
      </c>
      <c r="H1616" s="8">
        <f>IFERROR(INDEX(Tbl_KPIMaster[Unit],MATCH($G1616,Tbl_KPIMaster[KPI],0)),"")</f>
        <v/>
      </c>
      <c r="I1616" s="9">
        <f>IFERROR(INDEX(Tbl_KPIMaster[Maximum Target],MATCH($G1616,Tbl_KPIMaster[KPI],0)),"")</f>
        <v/>
      </c>
      <c r="J1616" s="9" t="n">
        <v>2.17</v>
      </c>
      <c r="K1616" s="8">
        <f>IFERROR(INDEX(Tbl_KPIMaster[Tolerance],MATCH($G1616,Tbl_KPIMaster[KPI],0)),"")</f>
        <v/>
      </c>
      <c r="L1616" s="8">
        <f>IFERROR(INDEX(Tbl_KPIMaster[Owner],MATCH($G1616,Tbl_KPIMaster[KPI],0)),"")</f>
        <v/>
      </c>
      <c r="M1616" s="10" t="inlineStr">
        <is>
          <t>Vendor delay</t>
        </is>
      </c>
      <c r="N1616" s="8" t="inlineStr"/>
      <c r="O1616" s="8" t="inlineStr">
        <is>
          <t>Low</t>
        </is>
      </c>
      <c r="P1616" s="8" t="inlineStr">
        <is>
          <t>Closed</t>
        </is>
      </c>
      <c r="Q1616" s="9">
        <f>IFERROR(IF(INDEX(Tbl_KPIMaster[Direction],MATCH($G1616,Tbl_KPIMaster[KPI],0))="Lower is Better",IF($J1616=0,1,IF($I1616=0,0,$I1616/$J1616)),IF($I1616=0,1,$J1616/$I1616)),0)</f>
        <v/>
      </c>
      <c r="R1616" s="8">
        <f>IF(OR($I1616="",$J1616=""),"",$J1616-$I1616)</f>
        <v/>
      </c>
      <c r="S1616" s="8">
        <f>IFERROR(IF(INDEX(Tbl_KPIMaster[Direction],MATCH($G1616,Tbl_KPIMaster[KPI],0))="Lower is Better",IF($J1616&lt;=$I1616,"Green",IF($J1616&lt;=$I1616+IF($I1616=0,$K1616,$I1616*$K1616),"Amber","Red")),IF($J1616&gt;=$I1616,"Green",IF($J1616&gt;=$I1616-IF($I1616=0,$K1616,$I1616*$K1616),"Amber","Red"))),"")</f>
        <v/>
      </c>
      <c r="T1616" s="10" t="inlineStr"/>
    </row>
    <row r="1617">
      <c r="A1617" s="3" t="n">
        <v>46210</v>
      </c>
      <c r="B1617" s="4">
        <f>IF($A1617="","",TEXT($A1617,"mmm-yyyy"))</f>
        <v/>
      </c>
      <c r="C1617" s="4">
        <f>IF($A1617="","","W"&amp;WEEKNUM($A1617,2))</f>
        <v/>
      </c>
      <c r="D1617" s="4">
        <f>IF($A1617="","",TEXT($A1617,"ddd"))</f>
        <v/>
      </c>
      <c r="E1617" s="4" t="inlineStr">
        <is>
          <t>Engineering</t>
        </is>
      </c>
      <c r="F1617" s="4">
        <f>IFERROR(INDEX(Tbl_KPIMaster[Category],MATCH($G1617,Tbl_KPIMaster[KPI],0)),"")</f>
        <v/>
      </c>
      <c r="G1617" s="4" t="inlineStr">
        <is>
          <t>Project Milestone Adherence %</t>
        </is>
      </c>
      <c r="H1617" s="4">
        <f>IFERROR(INDEX(Tbl_KPIMaster[Unit],MATCH($G1617,Tbl_KPIMaster[KPI],0)),"")</f>
        <v/>
      </c>
      <c r="I1617" s="5">
        <f>IFERROR(INDEX(Tbl_KPIMaster[Maximum Target],MATCH($G1617,Tbl_KPIMaster[KPI],0)),"")</f>
        <v/>
      </c>
      <c r="J1617" s="5" t="n">
        <v>0.8342000000000001</v>
      </c>
      <c r="K1617" s="4">
        <f>IFERROR(INDEX(Tbl_KPIMaster[Tolerance],MATCH($G1617,Tbl_KPIMaster[KPI],0)),"")</f>
        <v/>
      </c>
      <c r="L1617" s="4">
        <f>IFERROR(INDEX(Tbl_KPIMaster[Owner],MATCH($G1617,Tbl_KPIMaster[KPI],0)),"")</f>
        <v/>
      </c>
      <c r="M1617" s="6" t="inlineStr">
        <is>
          <t>Awaiting spares</t>
        </is>
      </c>
      <c r="N1617" s="4" t="inlineStr"/>
      <c r="O1617" s="4" t="inlineStr">
        <is>
          <t>Low</t>
        </is>
      </c>
      <c r="P1617" s="4" t="inlineStr">
        <is>
          <t>Closed</t>
        </is>
      </c>
      <c r="Q1617" s="5">
        <f>IFERROR(IF(INDEX(Tbl_KPIMaster[Direction],MATCH($G1617,Tbl_KPIMaster[KPI],0))="Lower is Better",IF($J1617=0,1,IF($I1617=0,0,$I1617/$J1617)),IF($I1617=0,1,$J1617/$I1617)),0)</f>
        <v/>
      </c>
      <c r="R1617" s="4">
        <f>IF(OR($I1617="",$J1617=""),"",$J1617-$I1617)</f>
        <v/>
      </c>
      <c r="S1617" s="4">
        <f>IFERROR(IF(INDEX(Tbl_KPIMaster[Direction],MATCH($G1617,Tbl_KPIMaster[KPI],0))="Lower is Better",IF($J1617&lt;=$I1617,"Green",IF($J1617&lt;=$I1617+IF($I1617=0,$K1617,$I1617*$K1617),"Amber","Red")),IF($J1617&gt;=$I1617,"Green",IF($J1617&gt;=$I1617-IF($I1617=0,$K1617,$I1617*$K1617),"Amber","Red"))),"")</f>
        <v/>
      </c>
      <c r="T1617" s="6" t="inlineStr"/>
    </row>
    <row r="1618">
      <c r="A1618" s="7" t="n">
        <v>46210</v>
      </c>
      <c r="B1618" s="8">
        <f>IF($A1618="","",TEXT($A1618,"mmm-yyyy"))</f>
        <v/>
      </c>
      <c r="C1618" s="8">
        <f>IF($A1618="","","W"&amp;WEEKNUM($A1618,2))</f>
        <v/>
      </c>
      <c r="D1618" s="8">
        <f>IF($A1618="","",TEXT($A1618,"ddd"))</f>
        <v/>
      </c>
      <c r="E1618" s="8" t="inlineStr">
        <is>
          <t>Engineering</t>
        </is>
      </c>
      <c r="F1618" s="8">
        <f>IFERROR(INDEX(Tbl_KPIMaster[Category],MATCH($G1618,Tbl_KPIMaster[KPI],0)),"")</f>
        <v/>
      </c>
      <c r="G1618" s="8" t="inlineStr">
        <is>
          <t>Breakdown Resolution Time</t>
        </is>
      </c>
      <c r="H1618" s="8">
        <f>IFERROR(INDEX(Tbl_KPIMaster[Unit],MATCH($G1618,Tbl_KPIMaster[KPI],0)),"")</f>
        <v/>
      </c>
      <c r="I1618" s="9">
        <f>IFERROR(INDEX(Tbl_KPIMaster[Maximum Target],MATCH($G1618,Tbl_KPIMaster[KPI],0)),"")</f>
        <v/>
      </c>
      <c r="J1618" s="9" t="n">
        <v>0.51</v>
      </c>
      <c r="K1618" s="8">
        <f>IFERROR(INDEX(Tbl_KPIMaster[Tolerance],MATCH($G1618,Tbl_KPIMaster[KPI],0)),"")</f>
        <v/>
      </c>
      <c r="L1618" s="8">
        <f>IFERROR(INDEX(Tbl_KPIMaster[Owner],MATCH($G1618,Tbl_KPIMaster[KPI],0)),"")</f>
        <v/>
      </c>
      <c r="M1618" s="10" t="inlineStr">
        <is>
          <t>New operator training effect</t>
        </is>
      </c>
      <c r="N1618" s="8" t="inlineStr"/>
      <c r="O1618" s="8" t="inlineStr">
        <is>
          <t>High</t>
        </is>
      </c>
      <c r="P1618" s="8" t="inlineStr">
        <is>
          <t>In Progress</t>
        </is>
      </c>
      <c r="Q1618" s="9">
        <f>IFERROR(IF(INDEX(Tbl_KPIMaster[Direction],MATCH($G1618,Tbl_KPIMaster[KPI],0))="Lower is Better",IF($J1618=0,1,IF($I1618=0,0,$I1618/$J1618)),IF($I1618=0,1,$J1618/$I1618)),0)</f>
        <v/>
      </c>
      <c r="R1618" s="8">
        <f>IF(OR($I1618="",$J1618=""),"",$J1618-$I1618)</f>
        <v/>
      </c>
      <c r="S1618" s="8">
        <f>IFERROR(IF(INDEX(Tbl_KPIMaster[Direction],MATCH($G1618,Tbl_KPIMaster[KPI],0))="Lower is Better",IF($J1618&lt;=$I1618,"Green",IF($J1618&lt;=$I1618+IF($I1618=0,$K1618,$I1618*$K1618),"Amber","Red")),IF($J1618&gt;=$I1618,"Green",IF($J1618&gt;=$I1618-IF($I1618=0,$K1618,$I1618*$K1618),"Amber","Red"))),"")</f>
        <v/>
      </c>
      <c r="T1618" s="10" t="inlineStr"/>
    </row>
    <row r="1619">
      <c r="A1619" s="3" t="n">
        <v>46210</v>
      </c>
      <c r="B1619" s="4">
        <f>IF($A1619="","",TEXT($A1619,"mmm-yyyy"))</f>
        <v/>
      </c>
      <c r="C1619" s="4">
        <f>IF($A1619="","","W"&amp;WEEKNUM($A1619,2))</f>
        <v/>
      </c>
      <c r="D1619" s="4">
        <f>IF($A1619="","",TEXT($A1619,"ddd"))</f>
        <v/>
      </c>
      <c r="E1619" s="4" t="inlineStr">
        <is>
          <t>Cost</t>
        </is>
      </c>
      <c r="F1619" s="4">
        <f>IFERROR(INDEX(Tbl_KPIMaster[Category],MATCH($G1619,Tbl_KPIMaster[KPI],0)),"")</f>
        <v/>
      </c>
      <c r="G1619" s="4" t="inlineStr">
        <is>
          <t>Cost per Unit</t>
        </is>
      </c>
      <c r="H1619" s="4">
        <f>IFERROR(INDEX(Tbl_KPIMaster[Unit],MATCH($G1619,Tbl_KPIMaster[KPI],0)),"")</f>
        <v/>
      </c>
      <c r="I1619" s="5">
        <f>IFERROR(INDEX(Tbl_KPIMaster[Maximum Target],MATCH($G1619,Tbl_KPIMaster[KPI],0)),"")</f>
        <v/>
      </c>
      <c r="J1619" s="5" t="n">
        <v>41.36</v>
      </c>
      <c r="K1619" s="4">
        <f>IFERROR(INDEX(Tbl_KPIMaster[Tolerance],MATCH($G1619,Tbl_KPIMaster[KPI],0)),"")</f>
        <v/>
      </c>
      <c r="L1619" s="4">
        <f>IFERROR(INDEX(Tbl_KPIMaster[Owner],MATCH($G1619,Tbl_KPIMaster[KPI],0)),"")</f>
        <v/>
      </c>
      <c r="M1619" s="6" t="inlineStr">
        <is>
          <t>New operator training effect</t>
        </is>
      </c>
      <c r="N1619" s="4" t="inlineStr">
        <is>
          <t>Management approval pending</t>
        </is>
      </c>
      <c r="O1619" s="4" t="inlineStr">
        <is>
          <t>High</t>
        </is>
      </c>
      <c r="P1619" s="4" t="inlineStr">
        <is>
          <t>In Progress</t>
        </is>
      </c>
      <c r="Q1619" s="5">
        <f>IFERROR(IF(INDEX(Tbl_KPIMaster[Direction],MATCH($G1619,Tbl_KPIMaster[KPI],0))="Lower is Better",IF($J1619=0,1,IF($I1619=0,0,$I1619/$J1619)),IF($I1619=0,1,$J1619/$I1619)),0)</f>
        <v/>
      </c>
      <c r="R1619" s="4">
        <f>IF(OR($I1619="",$J1619=""),"",$J1619-$I1619)</f>
        <v/>
      </c>
      <c r="S1619" s="4">
        <f>IFERROR(IF(INDEX(Tbl_KPIMaster[Direction],MATCH($G1619,Tbl_KPIMaster[KPI],0))="Lower is Better",IF($J1619&lt;=$I1619,"Green",IF($J1619&lt;=$I1619+IF($I1619=0,$K1619,$I1619*$K1619),"Amber","Red")),IF($J1619&gt;=$I1619,"Green",IF($J1619&gt;=$I1619-IF($I1619=0,$K1619,$I1619*$K1619),"Amber","Red"))),"")</f>
        <v/>
      </c>
      <c r="T1619" s="6" t="inlineStr"/>
    </row>
    <row r="1620">
      <c r="A1620" s="7" t="n">
        <v>46210</v>
      </c>
      <c r="B1620" s="8">
        <f>IF($A1620="","",TEXT($A1620,"mmm-yyyy"))</f>
        <v/>
      </c>
      <c r="C1620" s="8">
        <f>IF($A1620="","","W"&amp;WEEKNUM($A1620,2))</f>
        <v/>
      </c>
      <c r="D1620" s="8">
        <f>IF($A1620="","",TEXT($A1620,"ddd"))</f>
        <v/>
      </c>
      <c r="E1620" s="8" t="inlineStr">
        <is>
          <t>Cost</t>
        </is>
      </c>
      <c r="F1620" s="8">
        <f>IFERROR(INDEX(Tbl_KPIMaster[Category],MATCH($G1620,Tbl_KPIMaster[KPI],0)),"")</f>
        <v/>
      </c>
      <c r="G1620" s="8" t="inlineStr">
        <is>
          <t>Budget Variance %</t>
        </is>
      </c>
      <c r="H1620" s="8">
        <f>IFERROR(INDEX(Tbl_KPIMaster[Unit],MATCH($G1620,Tbl_KPIMaster[KPI],0)),"")</f>
        <v/>
      </c>
      <c r="I1620" s="9">
        <f>IFERROR(INDEX(Tbl_KPIMaster[Maximum Target],MATCH($G1620,Tbl_KPIMaster[KPI],0)),"")</f>
        <v/>
      </c>
      <c r="J1620" s="9" t="n">
        <v>0.1141</v>
      </c>
      <c r="K1620" s="8">
        <f>IFERROR(INDEX(Tbl_KPIMaster[Tolerance],MATCH($G1620,Tbl_KPIMaster[KPI],0)),"")</f>
        <v/>
      </c>
      <c r="L1620" s="8">
        <f>IFERROR(INDEX(Tbl_KPIMaster[Owner],MATCH($G1620,Tbl_KPIMaster[KPI],0)),"")</f>
        <v/>
      </c>
      <c r="M1620" s="10" t="inlineStr">
        <is>
          <t>Equipment breakdown</t>
        </is>
      </c>
      <c r="N1620" s="8" t="inlineStr">
        <is>
          <t>Engineering support needed</t>
        </is>
      </c>
      <c r="O1620" s="8" t="inlineStr">
        <is>
          <t>Low</t>
        </is>
      </c>
      <c r="P1620" s="8" t="inlineStr">
        <is>
          <t>In Progress</t>
        </is>
      </c>
      <c r="Q1620" s="9">
        <f>IFERROR(IF(INDEX(Tbl_KPIMaster[Direction],MATCH($G1620,Tbl_KPIMaster[KPI],0))="Lower is Better",IF($J1620=0,1,IF($I1620=0,0,$I1620/$J1620)),IF($I1620=0,1,$J1620/$I1620)),0)</f>
        <v/>
      </c>
      <c r="R1620" s="8">
        <f>IF(OR($I1620="",$J1620=""),"",$J1620-$I1620)</f>
        <v/>
      </c>
      <c r="S1620" s="8">
        <f>IFERROR(IF(INDEX(Tbl_KPIMaster[Direction],MATCH($G1620,Tbl_KPIMaster[KPI],0))="Lower is Better",IF($J1620&lt;=$I1620,"Green",IF($J1620&lt;=$I1620+IF($I1620=0,$K1620,$I1620*$K1620),"Amber","Red")),IF($J1620&gt;=$I1620,"Green",IF($J1620&gt;=$I1620-IF($I1620=0,$K1620,$I1620*$K1620),"Amber","Red"))),"")</f>
        <v/>
      </c>
      <c r="T1620" s="10" t="inlineStr"/>
    </row>
    <row r="1621">
      <c r="A1621" s="3" t="n">
        <v>46210</v>
      </c>
      <c r="B1621" s="4">
        <f>IF($A1621="","",TEXT($A1621,"mmm-yyyy"))</f>
        <v/>
      </c>
      <c r="C1621" s="4">
        <f>IF($A1621="","","W"&amp;WEEKNUM($A1621,2))</f>
        <v/>
      </c>
      <c r="D1621" s="4">
        <f>IF($A1621="","",TEXT($A1621,"ddd"))</f>
        <v/>
      </c>
      <c r="E1621" s="4" t="inlineStr">
        <is>
          <t>Energy</t>
        </is>
      </c>
      <c r="F1621" s="4">
        <f>IFERROR(INDEX(Tbl_KPIMaster[Category],MATCH($G1621,Tbl_KPIMaster[KPI],0)),"")</f>
        <v/>
      </c>
      <c r="G1621" s="4" t="inlineStr">
        <is>
          <t>Energy Intensity (kWh/unit)</t>
        </is>
      </c>
      <c r="H1621" s="4">
        <f>IFERROR(INDEX(Tbl_KPIMaster[Unit],MATCH($G1621,Tbl_KPIMaster[KPI],0)),"")</f>
        <v/>
      </c>
      <c r="I1621" s="5">
        <f>IFERROR(INDEX(Tbl_KPIMaster[Maximum Target],MATCH($G1621,Tbl_KPIMaster[KPI],0)),"")</f>
        <v/>
      </c>
      <c r="J1621" s="5" t="n">
        <v>4.24</v>
      </c>
      <c r="K1621" s="4">
        <f>IFERROR(INDEX(Tbl_KPIMaster[Tolerance],MATCH($G1621,Tbl_KPIMaster[KPI],0)),"")</f>
        <v/>
      </c>
      <c r="L1621" s="4">
        <f>IFERROR(INDEX(Tbl_KPIMaster[Owner],MATCH($G1621,Tbl_KPIMaster[KPI],0)),"")</f>
        <v/>
      </c>
      <c r="M1621" s="6" t="inlineStr">
        <is>
          <t>Process improvement in progress</t>
        </is>
      </c>
      <c r="N1621" s="4" t="inlineStr">
        <is>
          <t>Engineering support needed</t>
        </is>
      </c>
      <c r="O1621" s="4" t="inlineStr">
        <is>
          <t>High</t>
        </is>
      </c>
      <c r="P1621" s="4" t="inlineStr">
        <is>
          <t>In Progress</t>
        </is>
      </c>
      <c r="Q1621" s="5">
        <f>IFERROR(IF(INDEX(Tbl_KPIMaster[Direction],MATCH($G1621,Tbl_KPIMaster[KPI],0))="Lower is Better",IF($J1621=0,1,IF($I1621=0,0,$I1621/$J1621)),IF($I1621=0,1,$J1621/$I1621)),0)</f>
        <v/>
      </c>
      <c r="R1621" s="4">
        <f>IF(OR($I1621="",$J1621=""),"",$J1621-$I1621)</f>
        <v/>
      </c>
      <c r="S1621" s="4">
        <f>IFERROR(IF(INDEX(Tbl_KPIMaster[Direction],MATCH($G1621,Tbl_KPIMaster[KPI],0))="Lower is Better",IF($J1621&lt;=$I1621,"Green",IF($J1621&lt;=$I1621+IF($I1621=0,$K1621,$I1621*$K1621),"Amber","Red")),IF($J1621&gt;=$I1621,"Green",IF($J1621&gt;=$I1621-IF($I1621=0,$K1621,$I1621*$K1621),"Amber","Red"))),"")</f>
        <v/>
      </c>
      <c r="T1621" s="6" t="inlineStr"/>
    </row>
    <row r="1622">
      <c r="A1622" s="7" t="n">
        <v>46210</v>
      </c>
      <c r="B1622" s="8">
        <f>IF($A1622="","",TEXT($A1622,"mmm-yyyy"))</f>
        <v/>
      </c>
      <c r="C1622" s="8">
        <f>IF($A1622="","","W"&amp;WEEKNUM($A1622,2))</f>
        <v/>
      </c>
      <c r="D1622" s="8">
        <f>IF($A1622="","",TEXT($A1622,"ddd"))</f>
        <v/>
      </c>
      <c r="E1622" s="8" t="inlineStr">
        <is>
          <t>Energy</t>
        </is>
      </c>
      <c r="F1622" s="8">
        <f>IFERROR(INDEX(Tbl_KPIMaster[Category],MATCH($G1622,Tbl_KPIMaster[KPI],0)),"")</f>
        <v/>
      </c>
      <c r="G1622" s="8" t="inlineStr">
        <is>
          <t>Renewable Energy Share %</t>
        </is>
      </c>
      <c r="H1622" s="8">
        <f>IFERROR(INDEX(Tbl_KPIMaster[Unit],MATCH($G1622,Tbl_KPIMaster[KPI],0)),"")</f>
        <v/>
      </c>
      <c r="I1622" s="9">
        <f>IFERROR(INDEX(Tbl_KPIMaster[Maximum Target],MATCH($G1622,Tbl_KPIMaster[KPI],0)),"")</f>
        <v/>
      </c>
      <c r="J1622" s="9" t="n">
        <v>0.2322</v>
      </c>
      <c r="K1622" s="8">
        <f>IFERROR(INDEX(Tbl_KPIMaster[Tolerance],MATCH($G1622,Tbl_KPIMaster[KPI],0)),"")</f>
        <v/>
      </c>
      <c r="L1622" s="8">
        <f>IFERROR(INDEX(Tbl_KPIMaster[Owner],MATCH($G1622,Tbl_KPIMaster[KPI],0)),"")</f>
        <v/>
      </c>
      <c r="M1622" s="10" t="inlineStr">
        <is>
          <t>Vendor delay</t>
        </is>
      </c>
      <c r="N1622" s="8" t="inlineStr">
        <is>
          <t>Engineering support needed</t>
        </is>
      </c>
      <c r="O1622" s="8" t="inlineStr">
        <is>
          <t>Low</t>
        </is>
      </c>
      <c r="P1622" s="8" t="inlineStr">
        <is>
          <t>In Progress</t>
        </is>
      </c>
      <c r="Q1622" s="9">
        <f>IFERROR(IF(INDEX(Tbl_KPIMaster[Direction],MATCH($G1622,Tbl_KPIMaster[KPI],0))="Lower is Better",IF($J1622=0,1,IF($I1622=0,0,$I1622/$J1622)),IF($I1622=0,1,$J1622/$I1622)),0)</f>
        <v/>
      </c>
      <c r="R1622" s="8">
        <f>IF(OR($I1622="",$J1622=""),"",$J1622-$I1622)</f>
        <v/>
      </c>
      <c r="S1622" s="8">
        <f>IFERROR(IF(INDEX(Tbl_KPIMaster[Direction],MATCH($G1622,Tbl_KPIMaster[KPI],0))="Lower is Better",IF($J1622&lt;=$I1622,"Green",IF($J1622&lt;=$I1622+IF($I1622=0,$K1622,$I1622*$K1622),"Amber","Red")),IF($J1622&gt;=$I1622,"Green",IF($J1622&gt;=$I1622-IF($I1622=0,$K1622,$I1622*$K1622),"Amber","Red"))),"")</f>
        <v/>
      </c>
      <c r="T1622" s="10" t="inlineStr"/>
    </row>
    <row r="1623">
      <c r="A1623" s="3" t="n">
        <v>46211</v>
      </c>
      <c r="B1623" s="4">
        <f>IF($A1623="","",TEXT($A1623,"mmm-yyyy"))</f>
        <v/>
      </c>
      <c r="C1623" s="4">
        <f>IF($A1623="","","W"&amp;WEEKNUM($A1623,2))</f>
        <v/>
      </c>
      <c r="D1623" s="4">
        <f>IF($A1623="","",TEXT($A1623,"ddd"))</f>
        <v/>
      </c>
      <c r="E1623" s="4" t="inlineStr">
        <is>
          <t>Safety</t>
        </is>
      </c>
      <c r="F1623" s="4">
        <f>IFERROR(INDEX(Tbl_KPIMaster[Category],MATCH($G1623,Tbl_KPIMaster[KPI],0)),"")</f>
        <v/>
      </c>
      <c r="G1623" s="4" t="inlineStr">
        <is>
          <t>Safety Incidents (LTI)</t>
        </is>
      </c>
      <c r="H1623" s="4">
        <f>IFERROR(INDEX(Tbl_KPIMaster[Unit],MATCH($G1623,Tbl_KPIMaster[KPI],0)),"")</f>
        <v/>
      </c>
      <c r="I1623" s="5">
        <f>IFERROR(INDEX(Tbl_KPIMaster[Maximum Target],MATCH($G1623,Tbl_KPIMaster[KPI],0)),"")</f>
        <v/>
      </c>
      <c r="J1623" s="5" t="n">
        <v>0</v>
      </c>
      <c r="K1623" s="4">
        <f>IFERROR(INDEX(Tbl_KPIMaster[Tolerance],MATCH($G1623,Tbl_KPIMaster[KPI],0)),"")</f>
        <v/>
      </c>
      <c r="L1623" s="4">
        <f>IFERROR(INDEX(Tbl_KPIMaster[Owner],MATCH($G1623,Tbl_KPIMaster[KPI],0)),"")</f>
        <v/>
      </c>
      <c r="M1623" s="6" t="inlineStr">
        <is>
          <t>Awaiting spares</t>
        </is>
      </c>
      <c r="N1623" s="4" t="inlineStr"/>
      <c r="O1623" s="4" t="inlineStr">
        <is>
          <t>Low</t>
        </is>
      </c>
      <c r="P1623" s="4" t="inlineStr">
        <is>
          <t>Closed</t>
        </is>
      </c>
      <c r="Q1623" s="5">
        <f>IFERROR(IF(INDEX(Tbl_KPIMaster[Direction],MATCH($G1623,Tbl_KPIMaster[KPI],0))="Lower is Better",IF($J1623=0,1,IF($I1623=0,0,$I1623/$J1623)),IF($I1623=0,1,$J1623/$I1623)),0)</f>
        <v/>
      </c>
      <c r="R1623" s="4">
        <f>IF(OR($I1623="",$J1623=""),"",$J1623-$I1623)</f>
        <v/>
      </c>
      <c r="S1623" s="4">
        <f>IFERROR(IF(INDEX(Tbl_KPIMaster[Direction],MATCH($G1623,Tbl_KPIMaster[KPI],0))="Lower is Better",IF($J1623&lt;=$I1623,"Green",IF($J1623&lt;=$I1623+IF($I1623=0,$K1623,$I1623*$K1623),"Amber","Red")),IF($J1623&gt;=$I1623,"Green",IF($J1623&gt;=$I1623-IF($I1623=0,$K1623,$I1623*$K1623),"Amber","Red"))),"")</f>
        <v/>
      </c>
      <c r="T1623" s="6" t="inlineStr"/>
    </row>
    <row r="1624">
      <c r="A1624" s="7" t="n">
        <v>46211</v>
      </c>
      <c r="B1624" s="8">
        <f>IF($A1624="","",TEXT($A1624,"mmm-yyyy"))</f>
        <v/>
      </c>
      <c r="C1624" s="8">
        <f>IF($A1624="","","W"&amp;WEEKNUM($A1624,2))</f>
        <v/>
      </c>
      <c r="D1624" s="8">
        <f>IF($A1624="","",TEXT($A1624,"ddd"))</f>
        <v/>
      </c>
      <c r="E1624" s="8" t="inlineStr">
        <is>
          <t>Safety</t>
        </is>
      </c>
      <c r="F1624" s="8">
        <f>IFERROR(INDEX(Tbl_KPIMaster[Category],MATCH($G1624,Tbl_KPIMaster[KPI],0)),"")</f>
        <v/>
      </c>
      <c r="G1624" s="8" t="inlineStr">
        <is>
          <t>Near Miss Reports</t>
        </is>
      </c>
      <c r="H1624" s="8">
        <f>IFERROR(INDEX(Tbl_KPIMaster[Unit],MATCH($G1624,Tbl_KPIMaster[KPI],0)),"")</f>
        <v/>
      </c>
      <c r="I1624" s="9">
        <f>IFERROR(INDEX(Tbl_KPIMaster[Maximum Target],MATCH($G1624,Tbl_KPIMaster[KPI],0)),"")</f>
        <v/>
      </c>
      <c r="J1624" s="9" t="n">
        <v>2</v>
      </c>
      <c r="K1624" s="8">
        <f>IFERROR(INDEX(Tbl_KPIMaster[Tolerance],MATCH($G1624,Tbl_KPIMaster[KPI],0)),"")</f>
        <v/>
      </c>
      <c r="L1624" s="8">
        <f>IFERROR(INDEX(Tbl_KPIMaster[Owner],MATCH($G1624,Tbl_KPIMaster[KPI],0)),"")</f>
        <v/>
      </c>
      <c r="M1624" s="10" t="inlineStr">
        <is>
          <t>New operator training effect</t>
        </is>
      </c>
      <c r="N1624" s="8" t="inlineStr"/>
      <c r="O1624" s="8" t="inlineStr">
        <is>
          <t>High</t>
        </is>
      </c>
      <c r="P1624" s="8" t="inlineStr">
        <is>
          <t>In Progress</t>
        </is>
      </c>
      <c r="Q1624" s="9">
        <f>IFERROR(IF(INDEX(Tbl_KPIMaster[Direction],MATCH($G1624,Tbl_KPIMaster[KPI],0))="Lower is Better",IF($J1624=0,1,IF($I1624=0,0,$I1624/$J1624)),IF($I1624=0,1,$J1624/$I1624)),0)</f>
        <v/>
      </c>
      <c r="R1624" s="8">
        <f>IF(OR($I1624="",$J1624=""),"",$J1624-$I1624)</f>
        <v/>
      </c>
      <c r="S1624" s="8">
        <f>IFERROR(IF(INDEX(Tbl_KPIMaster[Direction],MATCH($G1624,Tbl_KPIMaster[KPI],0))="Lower is Better",IF($J1624&lt;=$I1624,"Green",IF($J1624&lt;=$I1624+IF($I1624=0,$K1624,$I1624*$K1624),"Amber","Red")),IF($J1624&gt;=$I1624,"Green",IF($J1624&gt;=$I1624-IF($I1624=0,$K1624,$I1624*$K1624),"Amber","Red"))),"")</f>
        <v/>
      </c>
      <c r="T1624" s="10" t="inlineStr"/>
    </row>
    <row r="1625">
      <c r="A1625" s="3" t="n">
        <v>46211</v>
      </c>
      <c r="B1625" s="4">
        <f>IF($A1625="","",TEXT($A1625,"mmm-yyyy"))</f>
        <v/>
      </c>
      <c r="C1625" s="4">
        <f>IF($A1625="","","W"&amp;WEEKNUM($A1625,2))</f>
        <v/>
      </c>
      <c r="D1625" s="4">
        <f>IF($A1625="","",TEXT($A1625,"ddd"))</f>
        <v/>
      </c>
      <c r="E1625" s="4" t="inlineStr">
        <is>
          <t>Production</t>
        </is>
      </c>
      <c r="F1625" s="4">
        <f>IFERROR(INDEX(Tbl_KPIMaster[Category],MATCH($G1625,Tbl_KPIMaster[KPI],0)),"")</f>
        <v/>
      </c>
      <c r="G1625" s="4" t="inlineStr">
        <is>
          <t>Production Output</t>
        </is>
      </c>
      <c r="H1625" s="4">
        <f>IFERROR(INDEX(Tbl_KPIMaster[Unit],MATCH($G1625,Tbl_KPIMaster[KPI],0)),"")</f>
        <v/>
      </c>
      <c r="I1625" s="5">
        <f>IFERROR(INDEX(Tbl_KPIMaster[Maximum Target],MATCH($G1625,Tbl_KPIMaster[KPI],0)),"")</f>
        <v/>
      </c>
      <c r="J1625" s="5" t="n">
        <v>1073.75</v>
      </c>
      <c r="K1625" s="4">
        <f>IFERROR(INDEX(Tbl_KPIMaster[Tolerance],MATCH($G1625,Tbl_KPIMaster[KPI],0)),"")</f>
        <v/>
      </c>
      <c r="L1625" s="4">
        <f>IFERROR(INDEX(Tbl_KPIMaster[Owner],MATCH($G1625,Tbl_KPIMaster[KPI],0)),"")</f>
        <v/>
      </c>
      <c r="M1625" s="6" t="inlineStr">
        <is>
          <t>Within normal range</t>
        </is>
      </c>
      <c r="N1625" s="4" t="inlineStr">
        <is>
          <t>Procurement follow-up</t>
        </is>
      </c>
      <c r="O1625" s="4" t="inlineStr">
        <is>
          <t>High</t>
        </is>
      </c>
      <c r="P1625" s="4" t="inlineStr">
        <is>
          <t>Closed</t>
        </is>
      </c>
      <c r="Q1625" s="5">
        <f>IFERROR(IF(INDEX(Tbl_KPIMaster[Direction],MATCH($G1625,Tbl_KPIMaster[KPI],0))="Lower is Better",IF($J1625=0,1,IF($I1625=0,0,$I1625/$J1625)),IF($I1625=0,1,$J1625/$I1625)),0)</f>
        <v/>
      </c>
      <c r="R1625" s="4">
        <f>IF(OR($I1625="",$J1625=""),"",$J1625-$I1625)</f>
        <v/>
      </c>
      <c r="S1625" s="4">
        <f>IFERROR(IF(INDEX(Tbl_KPIMaster[Direction],MATCH($G1625,Tbl_KPIMaster[KPI],0))="Lower is Better",IF($J1625&lt;=$I1625,"Green",IF($J1625&lt;=$I1625+IF($I1625=0,$K1625,$I1625*$K1625),"Amber","Red")),IF($J1625&gt;=$I1625,"Green",IF($J1625&gt;=$I1625-IF($I1625=0,$K1625,$I1625*$K1625),"Amber","Red"))),"")</f>
        <v/>
      </c>
      <c r="T1625" s="6" t="inlineStr"/>
    </row>
    <row r="1626">
      <c r="A1626" s="7" t="n">
        <v>46211</v>
      </c>
      <c r="B1626" s="8">
        <f>IF($A1626="","",TEXT($A1626,"mmm-yyyy"))</f>
        <v/>
      </c>
      <c r="C1626" s="8">
        <f>IF($A1626="","","W"&amp;WEEKNUM($A1626,2))</f>
        <v/>
      </c>
      <c r="D1626" s="8">
        <f>IF($A1626="","",TEXT($A1626,"ddd"))</f>
        <v/>
      </c>
      <c r="E1626" s="8" t="inlineStr">
        <is>
          <t>Production</t>
        </is>
      </c>
      <c r="F1626" s="8">
        <f>IFERROR(INDEX(Tbl_KPIMaster[Category],MATCH($G1626,Tbl_KPIMaster[KPI],0)),"")</f>
        <v/>
      </c>
      <c r="G1626" s="8" t="inlineStr">
        <is>
          <t>OEE %</t>
        </is>
      </c>
      <c r="H1626" s="8">
        <f>IFERROR(INDEX(Tbl_KPIMaster[Unit],MATCH($G1626,Tbl_KPIMaster[KPI],0)),"")</f>
        <v/>
      </c>
      <c r="I1626" s="9">
        <f>IFERROR(INDEX(Tbl_KPIMaster[Maximum Target],MATCH($G1626,Tbl_KPIMaster[KPI],0)),"")</f>
        <v/>
      </c>
      <c r="J1626" s="9" t="n">
        <v>0.6774</v>
      </c>
      <c r="K1626" s="8">
        <f>IFERROR(INDEX(Tbl_KPIMaster[Tolerance],MATCH($G1626,Tbl_KPIMaster[KPI],0)),"")</f>
        <v/>
      </c>
      <c r="L1626" s="8">
        <f>IFERROR(INDEX(Tbl_KPIMaster[Owner],MATCH($G1626,Tbl_KPIMaster[KPI],0)),"")</f>
        <v/>
      </c>
      <c r="M1626" s="10" t="inlineStr">
        <is>
          <t>Manpower shortage</t>
        </is>
      </c>
      <c r="N1626" s="8" t="inlineStr">
        <is>
          <t>Management approval pending</t>
        </is>
      </c>
      <c r="O1626" s="8" t="inlineStr">
        <is>
          <t>High</t>
        </is>
      </c>
      <c r="P1626" s="8" t="inlineStr">
        <is>
          <t>Closed</t>
        </is>
      </c>
      <c r="Q1626" s="9">
        <f>IFERROR(IF(INDEX(Tbl_KPIMaster[Direction],MATCH($G1626,Tbl_KPIMaster[KPI],0))="Lower is Better",IF($J1626=0,1,IF($I1626=0,0,$I1626/$J1626)),IF($I1626=0,1,$J1626/$I1626)),0)</f>
        <v/>
      </c>
      <c r="R1626" s="8">
        <f>IF(OR($I1626="",$J1626=""),"",$J1626-$I1626)</f>
        <v/>
      </c>
      <c r="S1626" s="8">
        <f>IFERROR(IF(INDEX(Tbl_KPIMaster[Direction],MATCH($G1626,Tbl_KPIMaster[KPI],0))="Lower is Better",IF($J1626&lt;=$I1626,"Green",IF($J1626&lt;=$I1626+IF($I1626=0,$K1626,$I1626*$K1626),"Amber","Red")),IF($J1626&gt;=$I1626,"Green",IF($J1626&gt;=$I1626-IF($I1626=0,$K1626,$I1626*$K1626),"Amber","Red"))),"")</f>
        <v/>
      </c>
      <c r="T1626" s="10" t="inlineStr"/>
    </row>
    <row r="1627">
      <c r="A1627" s="3" t="n">
        <v>46211</v>
      </c>
      <c r="B1627" s="4">
        <f>IF($A1627="","",TEXT($A1627,"mmm-yyyy"))</f>
        <v/>
      </c>
      <c r="C1627" s="4">
        <f>IF($A1627="","","W"&amp;WEEKNUM($A1627,2))</f>
        <v/>
      </c>
      <c r="D1627" s="4">
        <f>IF($A1627="","",TEXT($A1627,"ddd"))</f>
        <v/>
      </c>
      <c r="E1627" s="4" t="inlineStr">
        <is>
          <t>Quality</t>
        </is>
      </c>
      <c r="F1627" s="4">
        <f>IFERROR(INDEX(Tbl_KPIMaster[Category],MATCH($G1627,Tbl_KPIMaster[KPI],0)),"")</f>
        <v/>
      </c>
      <c r="G1627" s="4" t="inlineStr">
        <is>
          <t>Defect Rate %</t>
        </is>
      </c>
      <c r="H1627" s="4">
        <f>IFERROR(INDEX(Tbl_KPIMaster[Unit],MATCH($G1627,Tbl_KPIMaster[KPI],0)),"")</f>
        <v/>
      </c>
      <c r="I1627" s="5">
        <f>IFERROR(INDEX(Tbl_KPIMaster[Maximum Target],MATCH($G1627,Tbl_KPIMaster[KPI],0)),"")</f>
        <v/>
      </c>
      <c r="J1627" s="5" t="n">
        <v>0</v>
      </c>
      <c r="K1627" s="4">
        <f>IFERROR(INDEX(Tbl_KPIMaster[Tolerance],MATCH($G1627,Tbl_KPIMaster[KPI],0)),"")</f>
        <v/>
      </c>
      <c r="L1627" s="4">
        <f>IFERROR(INDEX(Tbl_KPIMaster[Owner],MATCH($G1627,Tbl_KPIMaster[KPI],0)),"")</f>
        <v/>
      </c>
      <c r="M1627" s="6" t="inlineStr">
        <is>
          <t>Line changeover impact</t>
        </is>
      </c>
      <c r="N1627" s="4" t="inlineStr"/>
      <c r="O1627" s="4" t="inlineStr">
        <is>
          <t>Low</t>
        </is>
      </c>
      <c r="P1627" s="4" t="inlineStr">
        <is>
          <t>Closed</t>
        </is>
      </c>
      <c r="Q1627" s="5">
        <f>IFERROR(IF(INDEX(Tbl_KPIMaster[Direction],MATCH($G1627,Tbl_KPIMaster[KPI],0))="Lower is Better",IF($J1627=0,1,IF($I1627=0,0,$I1627/$J1627)),IF($I1627=0,1,$J1627/$I1627)),0)</f>
        <v/>
      </c>
      <c r="R1627" s="4">
        <f>IF(OR($I1627="",$J1627=""),"",$J1627-$I1627)</f>
        <v/>
      </c>
      <c r="S1627" s="4">
        <f>IFERROR(IF(INDEX(Tbl_KPIMaster[Direction],MATCH($G1627,Tbl_KPIMaster[KPI],0))="Lower is Better",IF($J1627&lt;=$I1627,"Green",IF($J1627&lt;=$I1627+IF($I1627=0,$K1627,$I1627*$K1627),"Amber","Red")),IF($J1627&gt;=$I1627,"Green",IF($J1627&gt;=$I1627-IF($I1627=0,$K1627,$I1627*$K1627),"Amber","Red"))),"")</f>
        <v/>
      </c>
      <c r="T1627" s="6" t="inlineStr"/>
    </row>
    <row r="1628">
      <c r="A1628" s="7" t="n">
        <v>46211</v>
      </c>
      <c r="B1628" s="8">
        <f>IF($A1628="","",TEXT($A1628,"mmm-yyyy"))</f>
        <v/>
      </c>
      <c r="C1628" s="8">
        <f>IF($A1628="","","W"&amp;WEEKNUM($A1628,2))</f>
        <v/>
      </c>
      <c r="D1628" s="8">
        <f>IF($A1628="","",TEXT($A1628,"ddd"))</f>
        <v/>
      </c>
      <c r="E1628" s="8" t="inlineStr">
        <is>
          <t>Quality</t>
        </is>
      </c>
      <c r="F1628" s="8">
        <f>IFERROR(INDEX(Tbl_KPIMaster[Category],MATCH($G1628,Tbl_KPIMaster[KPI],0)),"")</f>
        <v/>
      </c>
      <c r="G1628" s="8" t="inlineStr">
        <is>
          <t>Customer Complaints</t>
        </is>
      </c>
      <c r="H1628" s="8">
        <f>IFERROR(INDEX(Tbl_KPIMaster[Unit],MATCH($G1628,Tbl_KPIMaster[KPI],0)),"")</f>
        <v/>
      </c>
      <c r="I1628" s="9">
        <f>IFERROR(INDEX(Tbl_KPIMaster[Maximum Target],MATCH($G1628,Tbl_KPIMaster[KPI],0)),"")</f>
        <v/>
      </c>
      <c r="J1628" s="9" t="n">
        <v>0</v>
      </c>
      <c r="K1628" s="8">
        <f>IFERROR(INDEX(Tbl_KPIMaster[Tolerance],MATCH($G1628,Tbl_KPIMaster[KPI],0)),"")</f>
        <v/>
      </c>
      <c r="L1628" s="8">
        <f>IFERROR(INDEX(Tbl_KPIMaster[Owner],MATCH($G1628,Tbl_KPIMaster[KPI],0)),"")</f>
        <v/>
      </c>
      <c r="M1628" s="10" t="inlineStr">
        <is>
          <t>Line changeover impact</t>
        </is>
      </c>
      <c r="N1628" s="8" t="inlineStr"/>
      <c r="O1628" s="8" t="inlineStr">
        <is>
          <t>Low</t>
        </is>
      </c>
      <c r="P1628" s="8" t="inlineStr">
        <is>
          <t>Closed</t>
        </is>
      </c>
      <c r="Q1628" s="9">
        <f>IFERROR(IF(INDEX(Tbl_KPIMaster[Direction],MATCH($G1628,Tbl_KPIMaster[KPI],0))="Lower is Better",IF($J1628=0,1,IF($I1628=0,0,$I1628/$J1628)),IF($I1628=0,1,$J1628/$I1628)),0)</f>
        <v/>
      </c>
      <c r="R1628" s="8">
        <f>IF(OR($I1628="",$J1628=""),"",$J1628-$I1628)</f>
        <v/>
      </c>
      <c r="S1628" s="8">
        <f>IFERROR(IF(INDEX(Tbl_KPIMaster[Direction],MATCH($G1628,Tbl_KPIMaster[KPI],0))="Lower is Better",IF($J1628&lt;=$I1628,"Green",IF($J1628&lt;=$I1628+IF($I1628=0,$K1628,$I1628*$K1628),"Amber","Red")),IF($J1628&gt;=$I1628,"Green",IF($J1628&gt;=$I1628-IF($I1628=0,$K1628,$I1628*$K1628),"Amber","Red"))),"")</f>
        <v/>
      </c>
      <c r="T1628" s="10" t="inlineStr"/>
    </row>
    <row r="1629">
      <c r="A1629" s="3" t="n">
        <v>46211</v>
      </c>
      <c r="B1629" s="4">
        <f>IF($A1629="","",TEXT($A1629,"mmm-yyyy"))</f>
        <v/>
      </c>
      <c r="C1629" s="4">
        <f>IF($A1629="","","W"&amp;WEEKNUM($A1629,2))</f>
        <v/>
      </c>
      <c r="D1629" s="4">
        <f>IF($A1629="","",TEXT($A1629,"ddd"))</f>
        <v/>
      </c>
      <c r="E1629" s="4" t="inlineStr">
        <is>
          <t>Maintenance</t>
        </is>
      </c>
      <c r="F1629" s="4">
        <f>IFERROR(INDEX(Tbl_KPIMaster[Category],MATCH($G1629,Tbl_KPIMaster[KPI],0)),"")</f>
        <v/>
      </c>
      <c r="G1629" s="4" t="inlineStr">
        <is>
          <t>Unplanned Downtime</t>
        </is>
      </c>
      <c r="H1629" s="4">
        <f>IFERROR(INDEX(Tbl_KPIMaster[Unit],MATCH($G1629,Tbl_KPIMaster[KPI],0)),"")</f>
        <v/>
      </c>
      <c r="I1629" s="5">
        <f>IFERROR(INDEX(Tbl_KPIMaster[Maximum Target],MATCH($G1629,Tbl_KPIMaster[KPI],0)),"")</f>
        <v/>
      </c>
      <c r="J1629" s="5" t="n">
        <v>0</v>
      </c>
      <c r="K1629" s="4">
        <f>IFERROR(INDEX(Tbl_KPIMaster[Tolerance],MATCH($G1629,Tbl_KPIMaster[KPI],0)),"")</f>
        <v/>
      </c>
      <c r="L1629" s="4">
        <f>IFERROR(INDEX(Tbl_KPIMaster[Owner],MATCH($G1629,Tbl_KPIMaster[KPI],0)),"")</f>
        <v/>
      </c>
      <c r="M1629" s="6" t="inlineStr">
        <is>
          <t>Line changeover impact</t>
        </is>
      </c>
      <c r="N1629" s="4" t="inlineStr"/>
      <c r="O1629" s="4" t="inlineStr">
        <is>
          <t>Low</t>
        </is>
      </c>
      <c r="P1629" s="4" t="inlineStr">
        <is>
          <t>Open</t>
        </is>
      </c>
      <c r="Q1629" s="5">
        <f>IFERROR(IF(INDEX(Tbl_KPIMaster[Direction],MATCH($G1629,Tbl_KPIMaster[KPI],0))="Lower is Better",IF($J1629=0,1,IF($I1629=0,0,$I1629/$J1629)),IF($I1629=0,1,$J1629/$I1629)),0)</f>
        <v/>
      </c>
      <c r="R1629" s="4">
        <f>IF(OR($I1629="",$J1629=""),"",$J1629-$I1629)</f>
        <v/>
      </c>
      <c r="S1629" s="4">
        <f>IFERROR(IF(INDEX(Tbl_KPIMaster[Direction],MATCH($G1629,Tbl_KPIMaster[KPI],0))="Lower is Better",IF($J1629&lt;=$I1629,"Green",IF($J1629&lt;=$I1629+IF($I1629=0,$K1629,$I1629*$K1629),"Amber","Red")),IF($J1629&gt;=$I1629,"Green",IF($J1629&gt;=$I1629-IF($I1629=0,$K1629,$I1629*$K1629),"Amber","Red"))),"")</f>
        <v/>
      </c>
      <c r="T1629" s="6" t="inlineStr"/>
    </row>
    <row r="1630">
      <c r="A1630" s="7" t="n">
        <v>46211</v>
      </c>
      <c r="B1630" s="8">
        <f>IF($A1630="","",TEXT($A1630,"mmm-yyyy"))</f>
        <v/>
      </c>
      <c r="C1630" s="8">
        <f>IF($A1630="","","W"&amp;WEEKNUM($A1630,2))</f>
        <v/>
      </c>
      <c r="D1630" s="8">
        <f>IF($A1630="","",TEXT($A1630,"ddd"))</f>
        <v/>
      </c>
      <c r="E1630" s="8" t="inlineStr">
        <is>
          <t>Maintenance</t>
        </is>
      </c>
      <c r="F1630" s="8">
        <f>IFERROR(INDEX(Tbl_KPIMaster[Category],MATCH($G1630,Tbl_KPIMaster[KPI],0)),"")</f>
        <v/>
      </c>
      <c r="G1630" s="8" t="inlineStr">
        <is>
          <t>PM Compliance %</t>
        </is>
      </c>
      <c r="H1630" s="8">
        <f>IFERROR(INDEX(Tbl_KPIMaster[Unit],MATCH($G1630,Tbl_KPIMaster[KPI],0)),"")</f>
        <v/>
      </c>
      <c r="I1630" s="9">
        <f>IFERROR(INDEX(Tbl_KPIMaster[Maximum Target],MATCH($G1630,Tbl_KPIMaster[KPI],0)),"")</f>
        <v/>
      </c>
      <c r="J1630" s="9" t="n">
        <v>1.1247</v>
      </c>
      <c r="K1630" s="8">
        <f>IFERROR(INDEX(Tbl_KPIMaster[Tolerance],MATCH($G1630,Tbl_KPIMaster[KPI],0)),"")</f>
        <v/>
      </c>
      <c r="L1630" s="8">
        <f>IFERROR(INDEX(Tbl_KPIMaster[Owner],MATCH($G1630,Tbl_KPIMaster[KPI],0)),"")</f>
        <v/>
      </c>
      <c r="M1630" s="10" t="inlineStr">
        <is>
          <t>New operator training effect</t>
        </is>
      </c>
      <c r="N1630" s="8" t="inlineStr"/>
      <c r="O1630" s="8" t="inlineStr">
        <is>
          <t>Low</t>
        </is>
      </c>
      <c r="P1630" s="8" t="inlineStr">
        <is>
          <t>Open</t>
        </is>
      </c>
      <c r="Q1630" s="9">
        <f>IFERROR(IF(INDEX(Tbl_KPIMaster[Direction],MATCH($G1630,Tbl_KPIMaster[KPI],0))="Lower is Better",IF($J1630=0,1,IF($I1630=0,0,$I1630/$J1630)),IF($I1630=0,1,$J1630/$I1630)),0)</f>
        <v/>
      </c>
      <c r="R1630" s="8">
        <f>IF(OR($I1630="",$J1630=""),"",$J1630-$I1630)</f>
        <v/>
      </c>
      <c r="S1630" s="8">
        <f>IFERROR(IF(INDEX(Tbl_KPIMaster[Direction],MATCH($G1630,Tbl_KPIMaster[KPI],0))="Lower is Better",IF($J1630&lt;=$I1630,"Green",IF($J1630&lt;=$I1630+IF($I1630=0,$K1630,$I1630*$K1630),"Amber","Red")),IF($J1630&gt;=$I1630,"Green",IF($J1630&gt;=$I1630-IF($I1630=0,$K1630,$I1630*$K1630),"Amber","Red"))),"")</f>
        <v/>
      </c>
      <c r="T1630" s="10" t="inlineStr"/>
    </row>
    <row r="1631">
      <c r="A1631" s="3" t="n">
        <v>46211</v>
      </c>
      <c r="B1631" s="4">
        <f>IF($A1631="","",TEXT($A1631,"mmm-yyyy"))</f>
        <v/>
      </c>
      <c r="C1631" s="4">
        <f>IF($A1631="","","W"&amp;WEEKNUM($A1631,2))</f>
        <v/>
      </c>
      <c r="D1631" s="4">
        <f>IF($A1631="","",TEXT($A1631,"ddd"))</f>
        <v/>
      </c>
      <c r="E1631" s="4" t="inlineStr">
        <is>
          <t>Utilities</t>
        </is>
      </c>
      <c r="F1631" s="4">
        <f>IFERROR(INDEX(Tbl_KPIMaster[Category],MATCH($G1631,Tbl_KPIMaster[KPI],0)),"")</f>
        <v/>
      </c>
      <c r="G1631" s="4" t="inlineStr">
        <is>
          <t>Power Consumption</t>
        </is>
      </c>
      <c r="H1631" s="4">
        <f>IFERROR(INDEX(Tbl_KPIMaster[Unit],MATCH($G1631,Tbl_KPIMaster[KPI],0)),"")</f>
        <v/>
      </c>
      <c r="I1631" s="5">
        <f>IFERROR(INDEX(Tbl_KPIMaster[Maximum Target],MATCH($G1631,Tbl_KPIMaster[KPI],0)),"")</f>
        <v/>
      </c>
      <c r="J1631" s="5" t="n">
        <v>4407.16</v>
      </c>
      <c r="K1631" s="4">
        <f>IFERROR(INDEX(Tbl_KPIMaster[Tolerance],MATCH($G1631,Tbl_KPIMaster[KPI],0)),"")</f>
        <v/>
      </c>
      <c r="L1631" s="4">
        <f>IFERROR(INDEX(Tbl_KPIMaster[Owner],MATCH($G1631,Tbl_KPIMaster[KPI],0)),"")</f>
        <v/>
      </c>
      <c r="M1631" s="6" t="inlineStr">
        <is>
          <t>Process improvement in progress</t>
        </is>
      </c>
      <c r="N1631" s="4" t="inlineStr">
        <is>
          <t>Engineering support needed</t>
        </is>
      </c>
      <c r="O1631" s="4" t="inlineStr">
        <is>
          <t>Low</t>
        </is>
      </c>
      <c r="P1631" s="4" t="inlineStr">
        <is>
          <t>Closed</t>
        </is>
      </c>
      <c r="Q1631" s="5">
        <f>IFERROR(IF(INDEX(Tbl_KPIMaster[Direction],MATCH($G1631,Tbl_KPIMaster[KPI],0))="Lower is Better",IF($J1631=0,1,IF($I1631=0,0,$I1631/$J1631)),IF($I1631=0,1,$J1631/$I1631)),0)</f>
        <v/>
      </c>
      <c r="R1631" s="4">
        <f>IF(OR($I1631="",$J1631=""),"",$J1631-$I1631)</f>
        <v/>
      </c>
      <c r="S1631" s="4">
        <f>IFERROR(IF(INDEX(Tbl_KPIMaster[Direction],MATCH($G1631,Tbl_KPIMaster[KPI],0))="Lower is Better",IF($J1631&lt;=$I1631,"Green",IF($J1631&lt;=$I1631+IF($I1631=0,$K1631,$I1631*$K1631),"Amber","Red")),IF($J1631&gt;=$I1631,"Green",IF($J1631&gt;=$I1631-IF($I1631=0,$K1631,$I1631*$K1631),"Amber","Red"))),"")</f>
        <v/>
      </c>
      <c r="T1631" s="6" t="inlineStr"/>
    </row>
    <row r="1632">
      <c r="A1632" s="7" t="n">
        <v>46211</v>
      </c>
      <c r="B1632" s="8">
        <f>IF($A1632="","",TEXT($A1632,"mmm-yyyy"))</f>
        <v/>
      </c>
      <c r="C1632" s="8">
        <f>IF($A1632="","","W"&amp;WEEKNUM($A1632,2))</f>
        <v/>
      </c>
      <c r="D1632" s="8">
        <f>IF($A1632="","",TEXT($A1632,"ddd"))</f>
        <v/>
      </c>
      <c r="E1632" s="8" t="inlineStr">
        <is>
          <t>Utilities</t>
        </is>
      </c>
      <c r="F1632" s="8">
        <f>IFERROR(INDEX(Tbl_KPIMaster[Category],MATCH($G1632,Tbl_KPIMaster[KPI],0)),"")</f>
        <v/>
      </c>
      <c r="G1632" s="8" t="inlineStr">
        <is>
          <t>Water Consumption</t>
        </is>
      </c>
      <c r="H1632" s="8">
        <f>IFERROR(INDEX(Tbl_KPIMaster[Unit],MATCH($G1632,Tbl_KPIMaster[KPI],0)),"")</f>
        <v/>
      </c>
      <c r="I1632" s="9">
        <f>IFERROR(INDEX(Tbl_KPIMaster[Maximum Target],MATCH($G1632,Tbl_KPIMaster[KPI],0)),"")</f>
        <v/>
      </c>
      <c r="J1632" s="9" t="n">
        <v>42.45</v>
      </c>
      <c r="K1632" s="8">
        <f>IFERROR(INDEX(Tbl_KPIMaster[Tolerance],MATCH($G1632,Tbl_KPIMaster[KPI],0)),"")</f>
        <v/>
      </c>
      <c r="L1632" s="8">
        <f>IFERROR(INDEX(Tbl_KPIMaster[Owner],MATCH($G1632,Tbl_KPIMaster[KPI],0)),"")</f>
        <v/>
      </c>
      <c r="M1632" s="10" t="inlineStr">
        <is>
          <t>Awaiting spares</t>
        </is>
      </c>
      <c r="N1632" s="8" t="inlineStr"/>
      <c r="O1632" s="8" t="inlineStr">
        <is>
          <t>High</t>
        </is>
      </c>
      <c r="P1632" s="8" t="inlineStr">
        <is>
          <t>Closed</t>
        </is>
      </c>
      <c r="Q1632" s="9">
        <f>IFERROR(IF(INDEX(Tbl_KPIMaster[Direction],MATCH($G1632,Tbl_KPIMaster[KPI],0))="Lower is Better",IF($J1632=0,1,IF($I1632=0,0,$I1632/$J1632)),IF($I1632=0,1,$J1632/$I1632)),0)</f>
        <v/>
      </c>
      <c r="R1632" s="8">
        <f>IF(OR($I1632="",$J1632=""),"",$J1632-$I1632)</f>
        <v/>
      </c>
      <c r="S1632" s="8">
        <f>IFERROR(IF(INDEX(Tbl_KPIMaster[Direction],MATCH($G1632,Tbl_KPIMaster[KPI],0))="Lower is Better",IF($J1632&lt;=$I1632,"Green",IF($J1632&lt;=$I1632+IF($I1632=0,$K1632,$I1632*$K1632),"Amber","Red")),IF($J1632&gt;=$I1632,"Green",IF($J1632&gt;=$I1632-IF($I1632=0,$K1632,$I1632*$K1632),"Amber","Red"))),"")</f>
        <v/>
      </c>
      <c r="T1632" s="10" t="inlineStr"/>
    </row>
    <row r="1633">
      <c r="A1633" s="3" t="n">
        <v>46211</v>
      </c>
      <c r="B1633" s="4">
        <f>IF($A1633="","",TEXT($A1633,"mmm-yyyy"))</f>
        <v/>
      </c>
      <c r="C1633" s="4">
        <f>IF($A1633="","","W"&amp;WEEKNUM($A1633,2))</f>
        <v/>
      </c>
      <c r="D1633" s="4">
        <f>IF($A1633="","",TEXT($A1633,"ddd"))</f>
        <v/>
      </c>
      <c r="E1633" s="4" t="inlineStr">
        <is>
          <t>Warehouse</t>
        </is>
      </c>
      <c r="F1633" s="4">
        <f>IFERROR(INDEX(Tbl_KPIMaster[Category],MATCH($G1633,Tbl_KPIMaster[KPI],0)),"")</f>
        <v/>
      </c>
      <c r="G1633" s="4" t="inlineStr">
        <is>
          <t>On-Time Dispatch %</t>
        </is>
      </c>
      <c r="H1633" s="4">
        <f>IFERROR(INDEX(Tbl_KPIMaster[Unit],MATCH($G1633,Tbl_KPIMaster[KPI],0)),"")</f>
        <v/>
      </c>
      <c r="I1633" s="5">
        <f>IFERROR(INDEX(Tbl_KPIMaster[Maximum Target],MATCH($G1633,Tbl_KPIMaster[KPI],0)),"")</f>
        <v/>
      </c>
      <c r="J1633" s="5" t="n">
        <v>1.0051</v>
      </c>
      <c r="K1633" s="4">
        <f>IFERROR(INDEX(Tbl_KPIMaster[Tolerance],MATCH($G1633,Tbl_KPIMaster[KPI],0)),"")</f>
        <v/>
      </c>
      <c r="L1633" s="4">
        <f>IFERROR(INDEX(Tbl_KPIMaster[Owner],MATCH($G1633,Tbl_KPIMaster[KPI],0)),"")</f>
        <v/>
      </c>
      <c r="M1633" s="6" t="inlineStr">
        <is>
          <t>New operator training effect</t>
        </is>
      </c>
      <c r="N1633" s="4" t="inlineStr"/>
      <c r="O1633" s="4" t="inlineStr">
        <is>
          <t>Low</t>
        </is>
      </c>
      <c r="P1633" s="4" t="inlineStr">
        <is>
          <t>Closed</t>
        </is>
      </c>
      <c r="Q1633" s="5">
        <f>IFERROR(IF(INDEX(Tbl_KPIMaster[Direction],MATCH($G1633,Tbl_KPIMaster[KPI],0))="Lower is Better",IF($J1633=0,1,IF($I1633=0,0,$I1633/$J1633)),IF($I1633=0,1,$J1633/$I1633)),0)</f>
        <v/>
      </c>
      <c r="R1633" s="4">
        <f>IF(OR($I1633="",$J1633=""),"",$J1633-$I1633)</f>
        <v/>
      </c>
      <c r="S1633" s="4">
        <f>IFERROR(IF(INDEX(Tbl_KPIMaster[Direction],MATCH($G1633,Tbl_KPIMaster[KPI],0))="Lower is Better",IF($J1633&lt;=$I1633,"Green",IF($J1633&lt;=$I1633+IF($I1633=0,$K1633,$I1633*$K1633),"Amber","Red")),IF($J1633&gt;=$I1633,"Green",IF($J1633&gt;=$I1633-IF($I1633=0,$K1633,$I1633*$K1633),"Amber","Red"))),"")</f>
        <v/>
      </c>
      <c r="T1633" s="6" t="inlineStr"/>
    </row>
    <row r="1634">
      <c r="A1634" s="7" t="n">
        <v>46211</v>
      </c>
      <c r="B1634" s="8">
        <f>IF($A1634="","",TEXT($A1634,"mmm-yyyy"))</f>
        <v/>
      </c>
      <c r="C1634" s="8">
        <f>IF($A1634="","","W"&amp;WEEKNUM($A1634,2))</f>
        <v/>
      </c>
      <c r="D1634" s="8">
        <f>IF($A1634="","",TEXT($A1634,"ddd"))</f>
        <v/>
      </c>
      <c r="E1634" s="8" t="inlineStr">
        <is>
          <t>Warehouse</t>
        </is>
      </c>
      <c r="F1634" s="8">
        <f>IFERROR(INDEX(Tbl_KPIMaster[Category],MATCH($G1634,Tbl_KPIMaster[KPI],0)),"")</f>
        <v/>
      </c>
      <c r="G1634" s="8" t="inlineStr">
        <is>
          <t>Inventory Accuracy %</t>
        </is>
      </c>
      <c r="H1634" s="8">
        <f>IFERROR(INDEX(Tbl_KPIMaster[Unit],MATCH($G1634,Tbl_KPIMaster[KPI],0)),"")</f>
        <v/>
      </c>
      <c r="I1634" s="9">
        <f>IFERROR(INDEX(Tbl_KPIMaster[Maximum Target],MATCH($G1634,Tbl_KPIMaster[KPI],0)),"")</f>
        <v/>
      </c>
      <c r="J1634" s="9" t="n">
        <v>1.1233</v>
      </c>
      <c r="K1634" s="8">
        <f>IFERROR(INDEX(Tbl_KPIMaster[Tolerance],MATCH($G1634,Tbl_KPIMaster[KPI],0)),"")</f>
        <v/>
      </c>
      <c r="L1634" s="8">
        <f>IFERROR(INDEX(Tbl_KPIMaster[Owner],MATCH($G1634,Tbl_KPIMaster[KPI],0)),"")</f>
        <v/>
      </c>
      <c r="M1634" s="10" t="inlineStr">
        <is>
          <t>Vendor delay</t>
        </is>
      </c>
      <c r="N1634" s="8" t="inlineStr">
        <is>
          <t>Engineering support needed</t>
        </is>
      </c>
      <c r="O1634" s="8" t="inlineStr">
        <is>
          <t>Low</t>
        </is>
      </c>
      <c r="P1634" s="8" t="inlineStr">
        <is>
          <t>Closed</t>
        </is>
      </c>
      <c r="Q1634" s="9">
        <f>IFERROR(IF(INDEX(Tbl_KPIMaster[Direction],MATCH($G1634,Tbl_KPIMaster[KPI],0))="Lower is Better",IF($J1634=0,1,IF($I1634=0,0,$I1634/$J1634)),IF($I1634=0,1,$J1634/$I1634)),0)</f>
        <v/>
      </c>
      <c r="R1634" s="8">
        <f>IF(OR($I1634="",$J1634=""),"",$J1634-$I1634)</f>
        <v/>
      </c>
      <c r="S1634" s="8">
        <f>IFERROR(IF(INDEX(Tbl_KPIMaster[Direction],MATCH($G1634,Tbl_KPIMaster[KPI],0))="Lower is Better",IF($J1634&lt;=$I1634,"Green",IF($J1634&lt;=$I1634+IF($I1634=0,$K1634,$I1634*$K1634),"Amber","Red")),IF($J1634&gt;=$I1634,"Green",IF($J1634&gt;=$I1634-IF($I1634=0,$K1634,$I1634*$K1634),"Amber","Red"))),"")</f>
        <v/>
      </c>
      <c r="T1634" s="10" t="inlineStr"/>
    </row>
    <row r="1635">
      <c r="A1635" s="3" t="n">
        <v>46211</v>
      </c>
      <c r="B1635" s="4">
        <f>IF($A1635="","",TEXT($A1635,"mmm-yyyy"))</f>
        <v/>
      </c>
      <c r="C1635" s="4">
        <f>IF($A1635="","","W"&amp;WEEKNUM($A1635,2))</f>
        <v/>
      </c>
      <c r="D1635" s="4">
        <f>IF($A1635="","",TEXT($A1635,"ddd"))</f>
        <v/>
      </c>
      <c r="E1635" s="4" t="inlineStr">
        <is>
          <t>HR</t>
        </is>
      </c>
      <c r="F1635" s="4">
        <f>IFERROR(INDEX(Tbl_KPIMaster[Category],MATCH($G1635,Tbl_KPIMaster[KPI],0)),"")</f>
        <v/>
      </c>
      <c r="G1635" s="4" t="inlineStr">
        <is>
          <t>Absenteeism %</t>
        </is>
      </c>
      <c r="H1635" s="4">
        <f>IFERROR(INDEX(Tbl_KPIMaster[Unit],MATCH($G1635,Tbl_KPIMaster[KPI],0)),"")</f>
        <v/>
      </c>
      <c r="I1635" s="5">
        <f>IFERROR(INDEX(Tbl_KPIMaster[Maximum Target],MATCH($G1635,Tbl_KPIMaster[KPI],0)),"")</f>
        <v/>
      </c>
      <c r="J1635" s="5" t="n">
        <v>0</v>
      </c>
      <c r="K1635" s="4">
        <f>IFERROR(INDEX(Tbl_KPIMaster[Tolerance],MATCH($G1635,Tbl_KPIMaster[KPI],0)),"")</f>
        <v/>
      </c>
      <c r="L1635" s="4">
        <f>IFERROR(INDEX(Tbl_KPIMaster[Owner],MATCH($G1635,Tbl_KPIMaster[KPI],0)),"")</f>
        <v/>
      </c>
      <c r="M1635" s="6" t="inlineStr">
        <is>
          <t>Equipment breakdown</t>
        </is>
      </c>
      <c r="N1635" s="4" t="inlineStr"/>
      <c r="O1635" s="4" t="inlineStr">
        <is>
          <t>High</t>
        </is>
      </c>
      <c r="P1635" s="4" t="inlineStr">
        <is>
          <t>Open</t>
        </is>
      </c>
      <c r="Q1635" s="5">
        <f>IFERROR(IF(INDEX(Tbl_KPIMaster[Direction],MATCH($G1635,Tbl_KPIMaster[KPI],0))="Lower is Better",IF($J1635=0,1,IF($I1635=0,0,$I1635/$J1635)),IF($I1635=0,1,$J1635/$I1635)),0)</f>
        <v/>
      </c>
      <c r="R1635" s="4">
        <f>IF(OR($I1635="",$J1635=""),"",$J1635-$I1635)</f>
        <v/>
      </c>
      <c r="S1635" s="4">
        <f>IFERROR(IF(INDEX(Tbl_KPIMaster[Direction],MATCH($G1635,Tbl_KPIMaster[KPI],0))="Lower is Better",IF($J1635&lt;=$I1635,"Green",IF($J1635&lt;=$I1635+IF($I1635=0,$K1635,$I1635*$K1635),"Amber","Red")),IF($J1635&gt;=$I1635,"Green",IF($J1635&gt;=$I1635-IF($I1635=0,$K1635,$I1635*$K1635),"Amber","Red"))),"")</f>
        <v/>
      </c>
      <c r="T1635" s="6" t="inlineStr"/>
    </row>
    <row r="1636">
      <c r="A1636" s="7" t="n">
        <v>46211</v>
      </c>
      <c r="B1636" s="8">
        <f>IF($A1636="","",TEXT($A1636,"mmm-yyyy"))</f>
        <v/>
      </c>
      <c r="C1636" s="8">
        <f>IF($A1636="","","W"&amp;WEEKNUM($A1636,2))</f>
        <v/>
      </c>
      <c r="D1636" s="8">
        <f>IF($A1636="","",TEXT($A1636,"ddd"))</f>
        <v/>
      </c>
      <c r="E1636" s="8" t="inlineStr">
        <is>
          <t>HR</t>
        </is>
      </c>
      <c r="F1636" s="8">
        <f>IFERROR(INDEX(Tbl_KPIMaster[Category],MATCH($G1636,Tbl_KPIMaster[KPI],0)),"")</f>
        <v/>
      </c>
      <c r="G1636" s="8" t="inlineStr">
        <is>
          <t>Training Hours</t>
        </is>
      </c>
      <c r="H1636" s="8">
        <f>IFERROR(INDEX(Tbl_KPIMaster[Unit],MATCH($G1636,Tbl_KPIMaster[KPI],0)),"")</f>
        <v/>
      </c>
      <c r="I1636" s="9">
        <f>IFERROR(INDEX(Tbl_KPIMaster[Maximum Target],MATCH($G1636,Tbl_KPIMaster[KPI],0)),"")</f>
        <v/>
      </c>
      <c r="J1636" s="9" t="n">
        <v>1.75</v>
      </c>
      <c r="K1636" s="8">
        <f>IFERROR(INDEX(Tbl_KPIMaster[Tolerance],MATCH($G1636,Tbl_KPIMaster[KPI],0)),"")</f>
        <v/>
      </c>
      <c r="L1636" s="8">
        <f>IFERROR(INDEX(Tbl_KPIMaster[Owner],MATCH($G1636,Tbl_KPIMaster[KPI],0)),"")</f>
        <v/>
      </c>
      <c r="M1636" s="10" t="inlineStr">
        <is>
          <t>Within normal range</t>
        </is>
      </c>
      <c r="N1636" s="8" t="inlineStr"/>
      <c r="O1636" s="8" t="inlineStr">
        <is>
          <t>Medium</t>
        </is>
      </c>
      <c r="P1636" s="8" t="inlineStr">
        <is>
          <t>In Progress</t>
        </is>
      </c>
      <c r="Q1636" s="9">
        <f>IFERROR(IF(INDEX(Tbl_KPIMaster[Direction],MATCH($G1636,Tbl_KPIMaster[KPI],0))="Lower is Better",IF($J1636=0,1,IF($I1636=0,0,$I1636/$J1636)),IF($I1636=0,1,$J1636/$I1636)),0)</f>
        <v/>
      </c>
      <c r="R1636" s="8">
        <f>IF(OR($I1636="",$J1636=""),"",$J1636-$I1636)</f>
        <v/>
      </c>
      <c r="S1636" s="8">
        <f>IFERROR(IF(INDEX(Tbl_KPIMaster[Direction],MATCH($G1636,Tbl_KPIMaster[KPI],0))="Lower is Better",IF($J1636&lt;=$I1636,"Green",IF($J1636&lt;=$I1636+IF($I1636=0,$K1636,$I1636*$K1636),"Amber","Red")),IF($J1636&gt;=$I1636,"Green",IF($J1636&gt;=$I1636-IF($I1636=0,$K1636,$I1636*$K1636),"Amber","Red"))),"")</f>
        <v/>
      </c>
      <c r="T1636" s="10" t="inlineStr"/>
    </row>
    <row r="1637">
      <c r="A1637" s="3" t="n">
        <v>46211</v>
      </c>
      <c r="B1637" s="4">
        <f>IF($A1637="","",TEXT($A1637,"mmm-yyyy"))</f>
        <v/>
      </c>
      <c r="C1637" s="4">
        <f>IF($A1637="","","W"&amp;WEEKNUM($A1637,2))</f>
        <v/>
      </c>
      <c r="D1637" s="4">
        <f>IF($A1637="","",TEXT($A1637,"ddd"))</f>
        <v/>
      </c>
      <c r="E1637" s="4" t="inlineStr">
        <is>
          <t>Engineering</t>
        </is>
      </c>
      <c r="F1637" s="4">
        <f>IFERROR(INDEX(Tbl_KPIMaster[Category],MATCH($G1637,Tbl_KPIMaster[KPI],0)),"")</f>
        <v/>
      </c>
      <c r="G1637" s="4" t="inlineStr">
        <is>
          <t>Project Milestone Adherence %</t>
        </is>
      </c>
      <c r="H1637" s="4">
        <f>IFERROR(INDEX(Tbl_KPIMaster[Unit],MATCH($G1637,Tbl_KPIMaster[KPI],0)),"")</f>
        <v/>
      </c>
      <c r="I1637" s="5">
        <f>IFERROR(INDEX(Tbl_KPIMaster[Maximum Target],MATCH($G1637,Tbl_KPIMaster[KPI],0)),"")</f>
        <v/>
      </c>
      <c r="J1637" s="5" t="n">
        <v>1.0014</v>
      </c>
      <c r="K1637" s="4">
        <f>IFERROR(INDEX(Tbl_KPIMaster[Tolerance],MATCH($G1637,Tbl_KPIMaster[KPI],0)),"")</f>
        <v/>
      </c>
      <c r="L1637" s="4">
        <f>IFERROR(INDEX(Tbl_KPIMaster[Owner],MATCH($G1637,Tbl_KPIMaster[KPI],0)),"")</f>
        <v/>
      </c>
      <c r="M1637" s="6" t="inlineStr">
        <is>
          <t>Manpower shortage</t>
        </is>
      </c>
      <c r="N1637" s="4" t="inlineStr"/>
      <c r="O1637" s="4" t="inlineStr">
        <is>
          <t>Low</t>
        </is>
      </c>
      <c r="P1637" s="4" t="inlineStr">
        <is>
          <t>Closed</t>
        </is>
      </c>
      <c r="Q1637" s="5">
        <f>IFERROR(IF(INDEX(Tbl_KPIMaster[Direction],MATCH($G1637,Tbl_KPIMaster[KPI],0))="Lower is Better",IF($J1637=0,1,IF($I1637=0,0,$I1637/$J1637)),IF($I1637=0,1,$J1637/$I1637)),0)</f>
        <v/>
      </c>
      <c r="R1637" s="4">
        <f>IF(OR($I1637="",$J1637=""),"",$J1637-$I1637)</f>
        <v/>
      </c>
      <c r="S1637" s="4">
        <f>IFERROR(IF(INDEX(Tbl_KPIMaster[Direction],MATCH($G1637,Tbl_KPIMaster[KPI],0))="Lower is Better",IF($J1637&lt;=$I1637,"Green",IF($J1637&lt;=$I1637+IF($I1637=0,$K1637,$I1637*$K1637),"Amber","Red")),IF($J1637&gt;=$I1637,"Green",IF($J1637&gt;=$I1637-IF($I1637=0,$K1637,$I1637*$K1637),"Amber","Red"))),"")</f>
        <v/>
      </c>
      <c r="T1637" s="6" t="inlineStr"/>
    </row>
    <row r="1638">
      <c r="A1638" s="7" t="n">
        <v>46211</v>
      </c>
      <c r="B1638" s="8">
        <f>IF($A1638="","",TEXT($A1638,"mmm-yyyy"))</f>
        <v/>
      </c>
      <c r="C1638" s="8">
        <f>IF($A1638="","","W"&amp;WEEKNUM($A1638,2))</f>
        <v/>
      </c>
      <c r="D1638" s="8">
        <f>IF($A1638="","",TEXT($A1638,"ddd"))</f>
        <v/>
      </c>
      <c r="E1638" s="8" t="inlineStr">
        <is>
          <t>Engineering</t>
        </is>
      </c>
      <c r="F1638" s="8">
        <f>IFERROR(INDEX(Tbl_KPIMaster[Category],MATCH($G1638,Tbl_KPIMaster[KPI],0)),"")</f>
        <v/>
      </c>
      <c r="G1638" s="8" t="inlineStr">
        <is>
          <t>Breakdown Resolution Time</t>
        </is>
      </c>
      <c r="H1638" s="8">
        <f>IFERROR(INDEX(Tbl_KPIMaster[Unit],MATCH($G1638,Tbl_KPIMaster[KPI],0)),"")</f>
        <v/>
      </c>
      <c r="I1638" s="9">
        <f>IFERROR(INDEX(Tbl_KPIMaster[Maximum Target],MATCH($G1638,Tbl_KPIMaster[KPI],0)),"")</f>
        <v/>
      </c>
      <c r="J1638" s="9" t="n">
        <v>0.55</v>
      </c>
      <c r="K1638" s="8">
        <f>IFERROR(INDEX(Tbl_KPIMaster[Tolerance],MATCH($G1638,Tbl_KPIMaster[KPI],0)),"")</f>
        <v/>
      </c>
      <c r="L1638" s="8">
        <f>IFERROR(INDEX(Tbl_KPIMaster[Owner],MATCH($G1638,Tbl_KPIMaster[KPI],0)),"")</f>
        <v/>
      </c>
      <c r="M1638" s="10" t="inlineStr"/>
      <c r="N1638" s="8" t="inlineStr">
        <is>
          <t>Engineering support needed</t>
        </is>
      </c>
      <c r="O1638" s="8" t="inlineStr">
        <is>
          <t>Low</t>
        </is>
      </c>
      <c r="P1638" s="8" t="inlineStr">
        <is>
          <t>Open</t>
        </is>
      </c>
      <c r="Q1638" s="9">
        <f>IFERROR(IF(INDEX(Tbl_KPIMaster[Direction],MATCH($G1638,Tbl_KPIMaster[KPI],0))="Lower is Better",IF($J1638=0,1,IF($I1638=0,0,$I1638/$J1638)),IF($I1638=0,1,$J1638/$I1638)),0)</f>
        <v/>
      </c>
      <c r="R1638" s="8">
        <f>IF(OR($I1638="",$J1638=""),"",$J1638-$I1638)</f>
        <v/>
      </c>
      <c r="S1638" s="8">
        <f>IFERROR(IF(INDEX(Tbl_KPIMaster[Direction],MATCH($G1638,Tbl_KPIMaster[KPI],0))="Lower is Better",IF($J1638&lt;=$I1638,"Green",IF($J1638&lt;=$I1638+IF($I1638=0,$K1638,$I1638*$K1638),"Amber","Red")),IF($J1638&gt;=$I1638,"Green",IF($J1638&gt;=$I1638-IF($I1638=0,$K1638,$I1638*$K1638),"Amber","Red"))),"")</f>
        <v/>
      </c>
      <c r="T1638" s="10" t="inlineStr"/>
    </row>
    <row r="1639">
      <c r="A1639" s="3" t="n">
        <v>46211</v>
      </c>
      <c r="B1639" s="4">
        <f>IF($A1639="","",TEXT($A1639,"mmm-yyyy"))</f>
        <v/>
      </c>
      <c r="C1639" s="4">
        <f>IF($A1639="","","W"&amp;WEEKNUM($A1639,2))</f>
        <v/>
      </c>
      <c r="D1639" s="4">
        <f>IF($A1639="","",TEXT($A1639,"ddd"))</f>
        <v/>
      </c>
      <c r="E1639" s="4" t="inlineStr">
        <is>
          <t>Cost</t>
        </is>
      </c>
      <c r="F1639" s="4">
        <f>IFERROR(INDEX(Tbl_KPIMaster[Category],MATCH($G1639,Tbl_KPIMaster[KPI],0)),"")</f>
        <v/>
      </c>
      <c r="G1639" s="4" t="inlineStr">
        <is>
          <t>Cost per Unit</t>
        </is>
      </c>
      <c r="H1639" s="4">
        <f>IFERROR(INDEX(Tbl_KPIMaster[Unit],MATCH($G1639,Tbl_KPIMaster[KPI],0)),"")</f>
        <v/>
      </c>
      <c r="I1639" s="5">
        <f>IFERROR(INDEX(Tbl_KPIMaster[Maximum Target],MATCH($G1639,Tbl_KPIMaster[KPI],0)),"")</f>
        <v/>
      </c>
      <c r="J1639" s="5" t="n">
        <v>39.53</v>
      </c>
      <c r="K1639" s="4">
        <f>IFERROR(INDEX(Tbl_KPIMaster[Tolerance],MATCH($G1639,Tbl_KPIMaster[KPI],0)),"")</f>
        <v/>
      </c>
      <c r="L1639" s="4">
        <f>IFERROR(INDEX(Tbl_KPIMaster[Owner],MATCH($G1639,Tbl_KPIMaster[KPI],0)),"")</f>
        <v/>
      </c>
      <c r="M1639" s="6" t="inlineStr">
        <is>
          <t>Line changeover impact</t>
        </is>
      </c>
      <c r="N1639" s="4" t="inlineStr"/>
      <c r="O1639" s="4" t="inlineStr">
        <is>
          <t>Low</t>
        </is>
      </c>
      <c r="P1639" s="4" t="inlineStr">
        <is>
          <t>Closed</t>
        </is>
      </c>
      <c r="Q1639" s="5">
        <f>IFERROR(IF(INDEX(Tbl_KPIMaster[Direction],MATCH($G1639,Tbl_KPIMaster[KPI],0))="Lower is Better",IF($J1639=0,1,IF($I1639=0,0,$I1639/$J1639)),IF($I1639=0,1,$J1639/$I1639)),0)</f>
        <v/>
      </c>
      <c r="R1639" s="4">
        <f>IF(OR($I1639="",$J1639=""),"",$J1639-$I1639)</f>
        <v/>
      </c>
      <c r="S1639" s="4">
        <f>IFERROR(IF(INDEX(Tbl_KPIMaster[Direction],MATCH($G1639,Tbl_KPIMaster[KPI],0))="Lower is Better",IF($J1639&lt;=$I1639,"Green",IF($J1639&lt;=$I1639+IF($I1639=0,$K1639,$I1639*$K1639),"Amber","Red")),IF($J1639&gt;=$I1639,"Green",IF($J1639&gt;=$I1639-IF($I1639=0,$K1639,$I1639*$K1639),"Amber","Red"))),"")</f>
        <v/>
      </c>
      <c r="T1639" s="6" t="inlineStr"/>
    </row>
    <row r="1640">
      <c r="A1640" s="7" t="n">
        <v>46211</v>
      </c>
      <c r="B1640" s="8">
        <f>IF($A1640="","",TEXT($A1640,"mmm-yyyy"))</f>
        <v/>
      </c>
      <c r="C1640" s="8">
        <f>IF($A1640="","","W"&amp;WEEKNUM($A1640,2))</f>
        <v/>
      </c>
      <c r="D1640" s="8">
        <f>IF($A1640="","",TEXT($A1640,"ddd"))</f>
        <v/>
      </c>
      <c r="E1640" s="8" t="inlineStr">
        <is>
          <t>Cost</t>
        </is>
      </c>
      <c r="F1640" s="8">
        <f>IFERROR(INDEX(Tbl_KPIMaster[Category],MATCH($G1640,Tbl_KPIMaster[KPI],0)),"")</f>
        <v/>
      </c>
      <c r="G1640" s="8" t="inlineStr">
        <is>
          <t>Budget Variance %</t>
        </is>
      </c>
      <c r="H1640" s="8">
        <f>IFERROR(INDEX(Tbl_KPIMaster[Unit],MATCH($G1640,Tbl_KPIMaster[KPI],0)),"")</f>
        <v/>
      </c>
      <c r="I1640" s="9">
        <f>IFERROR(INDEX(Tbl_KPIMaster[Maximum Target],MATCH($G1640,Tbl_KPIMaster[KPI],0)),"")</f>
        <v/>
      </c>
      <c r="J1640" s="9" t="n">
        <v>0.9075</v>
      </c>
      <c r="K1640" s="8">
        <f>IFERROR(INDEX(Tbl_KPIMaster[Tolerance],MATCH($G1640,Tbl_KPIMaster[KPI],0)),"")</f>
        <v/>
      </c>
      <c r="L1640" s="8">
        <f>IFERROR(INDEX(Tbl_KPIMaster[Owner],MATCH($G1640,Tbl_KPIMaster[KPI],0)),"")</f>
        <v/>
      </c>
      <c r="M1640" s="10" t="inlineStr">
        <is>
          <t>Preventive check done</t>
        </is>
      </c>
      <c r="N1640" s="8" t="inlineStr">
        <is>
          <t>Management approval pending</t>
        </is>
      </c>
      <c r="O1640" s="8" t="inlineStr">
        <is>
          <t>Low</t>
        </is>
      </c>
      <c r="P1640" s="8" t="inlineStr">
        <is>
          <t>Closed</t>
        </is>
      </c>
      <c r="Q1640" s="9">
        <f>IFERROR(IF(INDEX(Tbl_KPIMaster[Direction],MATCH($G1640,Tbl_KPIMaster[KPI],0))="Lower is Better",IF($J1640=0,1,IF($I1640=0,0,$I1640/$J1640)),IF($I1640=0,1,$J1640/$I1640)),0)</f>
        <v/>
      </c>
      <c r="R1640" s="8">
        <f>IF(OR($I1640="",$J1640=""),"",$J1640-$I1640)</f>
        <v/>
      </c>
      <c r="S1640" s="8">
        <f>IFERROR(IF(INDEX(Tbl_KPIMaster[Direction],MATCH($G1640,Tbl_KPIMaster[KPI],0))="Lower is Better",IF($J1640&lt;=$I1640,"Green",IF($J1640&lt;=$I1640+IF($I1640=0,$K1640,$I1640*$K1640),"Amber","Red")),IF($J1640&gt;=$I1640,"Green",IF($J1640&gt;=$I1640-IF($I1640=0,$K1640,$I1640*$K1640),"Amber","Red"))),"")</f>
        <v/>
      </c>
      <c r="T1640" s="10" t="inlineStr"/>
    </row>
    <row r="1641">
      <c r="A1641" s="3" t="n">
        <v>46211</v>
      </c>
      <c r="B1641" s="4">
        <f>IF($A1641="","",TEXT($A1641,"mmm-yyyy"))</f>
        <v/>
      </c>
      <c r="C1641" s="4">
        <f>IF($A1641="","","W"&amp;WEEKNUM($A1641,2))</f>
        <v/>
      </c>
      <c r="D1641" s="4">
        <f>IF($A1641="","",TEXT($A1641,"ddd"))</f>
        <v/>
      </c>
      <c r="E1641" s="4" t="inlineStr">
        <is>
          <t>Energy</t>
        </is>
      </c>
      <c r="F1641" s="4">
        <f>IFERROR(INDEX(Tbl_KPIMaster[Category],MATCH($G1641,Tbl_KPIMaster[KPI],0)),"")</f>
        <v/>
      </c>
      <c r="G1641" s="4" t="inlineStr">
        <is>
          <t>Energy Intensity (kWh/unit)</t>
        </is>
      </c>
      <c r="H1641" s="4">
        <f>IFERROR(INDEX(Tbl_KPIMaster[Unit],MATCH($G1641,Tbl_KPIMaster[KPI],0)),"")</f>
        <v/>
      </c>
      <c r="I1641" s="5">
        <f>IFERROR(INDEX(Tbl_KPIMaster[Maximum Target],MATCH($G1641,Tbl_KPIMaster[KPI],0)),"")</f>
        <v/>
      </c>
      <c r="J1641" s="5" t="n">
        <v>3.81</v>
      </c>
      <c r="K1641" s="4">
        <f>IFERROR(INDEX(Tbl_KPIMaster[Tolerance],MATCH($G1641,Tbl_KPIMaster[KPI],0)),"")</f>
        <v/>
      </c>
      <c r="L1641" s="4">
        <f>IFERROR(INDEX(Tbl_KPIMaster[Owner],MATCH($G1641,Tbl_KPIMaster[KPI],0)),"")</f>
        <v/>
      </c>
      <c r="M1641" s="6" t="inlineStr">
        <is>
          <t>Manpower shortage</t>
        </is>
      </c>
      <c r="N1641" s="4" t="inlineStr">
        <is>
          <t>Management approval pending</t>
        </is>
      </c>
      <c r="O1641" s="4" t="inlineStr">
        <is>
          <t>High</t>
        </is>
      </c>
      <c r="P1641" s="4" t="inlineStr">
        <is>
          <t>Closed</t>
        </is>
      </c>
      <c r="Q1641" s="5">
        <f>IFERROR(IF(INDEX(Tbl_KPIMaster[Direction],MATCH($G1641,Tbl_KPIMaster[KPI],0))="Lower is Better",IF($J1641=0,1,IF($I1641=0,0,$I1641/$J1641)),IF($I1641=0,1,$J1641/$I1641)),0)</f>
        <v/>
      </c>
      <c r="R1641" s="4">
        <f>IF(OR($I1641="",$J1641=""),"",$J1641-$I1641)</f>
        <v/>
      </c>
      <c r="S1641" s="4">
        <f>IFERROR(IF(INDEX(Tbl_KPIMaster[Direction],MATCH($G1641,Tbl_KPIMaster[KPI],0))="Lower is Better",IF($J1641&lt;=$I1641,"Green",IF($J1641&lt;=$I1641+IF($I1641=0,$K1641,$I1641*$K1641),"Amber","Red")),IF($J1641&gt;=$I1641,"Green",IF($J1641&gt;=$I1641-IF($I1641=0,$K1641,$I1641*$K1641),"Amber","Red"))),"")</f>
        <v/>
      </c>
      <c r="T1641" s="6" t="inlineStr"/>
    </row>
    <row r="1642">
      <c r="A1642" s="7" t="n">
        <v>46211</v>
      </c>
      <c r="B1642" s="8">
        <f>IF($A1642="","",TEXT($A1642,"mmm-yyyy"))</f>
        <v/>
      </c>
      <c r="C1642" s="8">
        <f>IF($A1642="","","W"&amp;WEEKNUM($A1642,2))</f>
        <v/>
      </c>
      <c r="D1642" s="8">
        <f>IF($A1642="","",TEXT($A1642,"ddd"))</f>
        <v/>
      </c>
      <c r="E1642" s="8" t="inlineStr">
        <is>
          <t>Energy</t>
        </is>
      </c>
      <c r="F1642" s="8">
        <f>IFERROR(INDEX(Tbl_KPIMaster[Category],MATCH($G1642,Tbl_KPIMaster[KPI],0)),"")</f>
        <v/>
      </c>
      <c r="G1642" s="8" t="inlineStr">
        <is>
          <t>Renewable Energy Share %</t>
        </is>
      </c>
      <c r="H1642" s="8">
        <f>IFERROR(INDEX(Tbl_KPIMaster[Unit],MATCH($G1642,Tbl_KPIMaster[KPI],0)),"")</f>
        <v/>
      </c>
      <c r="I1642" s="9">
        <f>IFERROR(INDEX(Tbl_KPIMaster[Maximum Target],MATCH($G1642,Tbl_KPIMaster[KPI],0)),"")</f>
        <v/>
      </c>
      <c r="J1642" s="9" t="n">
        <v>0.2255</v>
      </c>
      <c r="K1642" s="8">
        <f>IFERROR(INDEX(Tbl_KPIMaster[Tolerance],MATCH($G1642,Tbl_KPIMaster[KPI],0)),"")</f>
        <v/>
      </c>
      <c r="L1642" s="8">
        <f>IFERROR(INDEX(Tbl_KPIMaster[Owner],MATCH($G1642,Tbl_KPIMaster[KPI],0)),"")</f>
        <v/>
      </c>
      <c r="M1642" s="10" t="inlineStr">
        <is>
          <t>Within normal range</t>
        </is>
      </c>
      <c r="N1642" s="8" t="inlineStr"/>
      <c r="O1642" s="8" t="inlineStr">
        <is>
          <t>High</t>
        </is>
      </c>
      <c r="P1642" s="8" t="inlineStr">
        <is>
          <t>Closed</t>
        </is>
      </c>
      <c r="Q1642" s="9">
        <f>IFERROR(IF(INDEX(Tbl_KPIMaster[Direction],MATCH($G1642,Tbl_KPIMaster[KPI],0))="Lower is Better",IF($J1642=0,1,IF($I1642=0,0,$I1642/$J1642)),IF($I1642=0,1,$J1642/$I1642)),0)</f>
        <v/>
      </c>
      <c r="R1642" s="8">
        <f>IF(OR($I1642="",$J1642=""),"",$J1642-$I1642)</f>
        <v/>
      </c>
      <c r="S1642" s="8">
        <f>IFERROR(IF(INDEX(Tbl_KPIMaster[Direction],MATCH($G1642,Tbl_KPIMaster[KPI],0))="Lower is Better",IF($J1642&lt;=$I1642,"Green",IF($J1642&lt;=$I1642+IF($I1642=0,$K1642,$I1642*$K1642),"Amber","Red")),IF($J1642&gt;=$I1642,"Green",IF($J1642&gt;=$I1642-IF($I1642=0,$K1642,$I1642*$K1642),"Amber","Red"))),"")</f>
        <v/>
      </c>
      <c r="T1642" s="10" t="inlineStr"/>
    </row>
    <row r="1643">
      <c r="A1643" s="3" t="n">
        <v>46212</v>
      </c>
      <c r="B1643" s="4">
        <f>IF($A1643="","",TEXT($A1643,"mmm-yyyy"))</f>
        <v/>
      </c>
      <c r="C1643" s="4">
        <f>IF($A1643="","","W"&amp;WEEKNUM($A1643,2))</f>
        <v/>
      </c>
      <c r="D1643" s="4">
        <f>IF($A1643="","",TEXT($A1643,"ddd"))</f>
        <v/>
      </c>
      <c r="E1643" s="4" t="inlineStr">
        <is>
          <t>Safety</t>
        </is>
      </c>
      <c r="F1643" s="4">
        <f>IFERROR(INDEX(Tbl_KPIMaster[Category],MATCH($G1643,Tbl_KPIMaster[KPI],0)),"")</f>
        <v/>
      </c>
      <c r="G1643" s="4" t="inlineStr">
        <is>
          <t>Safety Incidents (LTI)</t>
        </is>
      </c>
      <c r="H1643" s="4">
        <f>IFERROR(INDEX(Tbl_KPIMaster[Unit],MATCH($G1643,Tbl_KPIMaster[KPI],0)),"")</f>
        <v/>
      </c>
      <c r="I1643" s="5">
        <f>IFERROR(INDEX(Tbl_KPIMaster[Maximum Target],MATCH($G1643,Tbl_KPIMaster[KPI],0)),"")</f>
        <v/>
      </c>
      <c r="J1643" s="5" t="n">
        <v>0</v>
      </c>
      <c r="K1643" s="4">
        <f>IFERROR(INDEX(Tbl_KPIMaster[Tolerance],MATCH($G1643,Tbl_KPIMaster[KPI],0)),"")</f>
        <v/>
      </c>
      <c r="L1643" s="4">
        <f>IFERROR(INDEX(Tbl_KPIMaster[Owner],MATCH($G1643,Tbl_KPIMaster[KPI],0)),"")</f>
        <v/>
      </c>
      <c r="M1643" s="6" t="inlineStr">
        <is>
          <t>Preventive check done</t>
        </is>
      </c>
      <c r="N1643" s="4" t="inlineStr"/>
      <c r="O1643" s="4" t="inlineStr">
        <is>
          <t>Low</t>
        </is>
      </c>
      <c r="P1643" s="4" t="inlineStr">
        <is>
          <t>In Progress</t>
        </is>
      </c>
      <c r="Q1643" s="5">
        <f>IFERROR(IF(INDEX(Tbl_KPIMaster[Direction],MATCH($G1643,Tbl_KPIMaster[KPI],0))="Lower is Better",IF($J1643=0,1,IF($I1643=0,0,$I1643/$J1643)),IF($I1643=0,1,$J1643/$I1643)),0)</f>
        <v/>
      </c>
      <c r="R1643" s="4">
        <f>IF(OR($I1643="",$J1643=""),"",$J1643-$I1643)</f>
        <v/>
      </c>
      <c r="S1643" s="4">
        <f>IFERROR(IF(INDEX(Tbl_KPIMaster[Direction],MATCH($G1643,Tbl_KPIMaster[KPI],0))="Lower is Better",IF($J1643&lt;=$I1643,"Green",IF($J1643&lt;=$I1643+IF($I1643=0,$K1643,$I1643*$K1643),"Amber","Red")),IF($J1643&gt;=$I1643,"Green",IF($J1643&gt;=$I1643-IF($I1643=0,$K1643,$I1643*$K1643),"Amber","Red"))),"")</f>
        <v/>
      </c>
      <c r="T1643" s="6" t="inlineStr"/>
    </row>
    <row r="1644">
      <c r="A1644" s="7" t="n">
        <v>46212</v>
      </c>
      <c r="B1644" s="8">
        <f>IF($A1644="","",TEXT($A1644,"mmm-yyyy"))</f>
        <v/>
      </c>
      <c r="C1644" s="8">
        <f>IF($A1644="","","W"&amp;WEEKNUM($A1644,2))</f>
        <v/>
      </c>
      <c r="D1644" s="8">
        <f>IF($A1644="","",TEXT($A1644,"ddd"))</f>
        <v/>
      </c>
      <c r="E1644" s="8" t="inlineStr">
        <is>
          <t>Safety</t>
        </is>
      </c>
      <c r="F1644" s="8">
        <f>IFERROR(INDEX(Tbl_KPIMaster[Category],MATCH($G1644,Tbl_KPIMaster[KPI],0)),"")</f>
        <v/>
      </c>
      <c r="G1644" s="8" t="inlineStr">
        <is>
          <t>Near Miss Reports</t>
        </is>
      </c>
      <c r="H1644" s="8">
        <f>IFERROR(INDEX(Tbl_KPIMaster[Unit],MATCH($G1644,Tbl_KPIMaster[KPI],0)),"")</f>
        <v/>
      </c>
      <c r="I1644" s="9">
        <f>IFERROR(INDEX(Tbl_KPIMaster[Maximum Target],MATCH($G1644,Tbl_KPIMaster[KPI],0)),"")</f>
        <v/>
      </c>
      <c r="J1644" s="9" t="n">
        <v>2</v>
      </c>
      <c r="K1644" s="8">
        <f>IFERROR(INDEX(Tbl_KPIMaster[Tolerance],MATCH($G1644,Tbl_KPIMaster[KPI],0)),"")</f>
        <v/>
      </c>
      <c r="L1644" s="8">
        <f>IFERROR(INDEX(Tbl_KPIMaster[Owner],MATCH($G1644,Tbl_KPIMaster[KPI],0)),"")</f>
        <v/>
      </c>
      <c r="M1644" s="10" t="inlineStr">
        <is>
          <t>New operator training effect</t>
        </is>
      </c>
      <c r="N1644" s="8" t="inlineStr">
        <is>
          <t>Engineering support needed</t>
        </is>
      </c>
      <c r="O1644" s="8" t="inlineStr">
        <is>
          <t>Medium</t>
        </is>
      </c>
      <c r="P1644" s="8" t="inlineStr">
        <is>
          <t>Open</t>
        </is>
      </c>
      <c r="Q1644" s="9">
        <f>IFERROR(IF(INDEX(Tbl_KPIMaster[Direction],MATCH($G1644,Tbl_KPIMaster[KPI],0))="Lower is Better",IF($J1644=0,1,IF($I1644=0,0,$I1644/$J1644)),IF($I1644=0,1,$J1644/$I1644)),0)</f>
        <v/>
      </c>
      <c r="R1644" s="8">
        <f>IF(OR($I1644="",$J1644=""),"",$J1644-$I1644)</f>
        <v/>
      </c>
      <c r="S1644" s="8">
        <f>IFERROR(IF(INDEX(Tbl_KPIMaster[Direction],MATCH($G1644,Tbl_KPIMaster[KPI],0))="Lower is Better",IF($J1644&lt;=$I1644,"Green",IF($J1644&lt;=$I1644+IF($I1644=0,$K1644,$I1644*$K1644),"Amber","Red")),IF($J1644&gt;=$I1644,"Green",IF($J1644&gt;=$I1644-IF($I1644=0,$K1644,$I1644*$K1644),"Amber","Red"))),"")</f>
        <v/>
      </c>
      <c r="T1644" s="10" t="inlineStr"/>
    </row>
    <row r="1645">
      <c r="A1645" s="3" t="n">
        <v>46212</v>
      </c>
      <c r="B1645" s="4">
        <f>IF($A1645="","",TEXT($A1645,"mmm-yyyy"))</f>
        <v/>
      </c>
      <c r="C1645" s="4">
        <f>IF($A1645="","","W"&amp;WEEKNUM($A1645,2))</f>
        <v/>
      </c>
      <c r="D1645" s="4">
        <f>IF($A1645="","",TEXT($A1645,"ddd"))</f>
        <v/>
      </c>
      <c r="E1645" s="4" t="inlineStr">
        <is>
          <t>Production</t>
        </is>
      </c>
      <c r="F1645" s="4">
        <f>IFERROR(INDEX(Tbl_KPIMaster[Category],MATCH($G1645,Tbl_KPIMaster[KPI],0)),"")</f>
        <v/>
      </c>
      <c r="G1645" s="4" t="inlineStr">
        <is>
          <t>Production Output</t>
        </is>
      </c>
      <c r="H1645" s="4">
        <f>IFERROR(INDEX(Tbl_KPIMaster[Unit],MATCH($G1645,Tbl_KPIMaster[KPI],0)),"")</f>
        <v/>
      </c>
      <c r="I1645" s="5">
        <f>IFERROR(INDEX(Tbl_KPIMaster[Maximum Target],MATCH($G1645,Tbl_KPIMaster[KPI],0)),"")</f>
        <v/>
      </c>
      <c r="J1645" s="5" t="n">
        <v>993.36</v>
      </c>
      <c r="K1645" s="4">
        <f>IFERROR(INDEX(Tbl_KPIMaster[Tolerance],MATCH($G1645,Tbl_KPIMaster[KPI],0)),"")</f>
        <v/>
      </c>
      <c r="L1645" s="4">
        <f>IFERROR(INDEX(Tbl_KPIMaster[Owner],MATCH($G1645,Tbl_KPIMaster[KPI],0)),"")</f>
        <v/>
      </c>
      <c r="M1645" s="6" t="inlineStr">
        <is>
          <t>Process improvement in progress</t>
        </is>
      </c>
      <c r="N1645" s="4" t="inlineStr"/>
      <c r="O1645" s="4" t="inlineStr">
        <is>
          <t>High</t>
        </is>
      </c>
      <c r="P1645" s="4" t="inlineStr">
        <is>
          <t>Closed</t>
        </is>
      </c>
      <c r="Q1645" s="5">
        <f>IFERROR(IF(INDEX(Tbl_KPIMaster[Direction],MATCH($G1645,Tbl_KPIMaster[KPI],0))="Lower is Better",IF($J1645=0,1,IF($I1645=0,0,$I1645/$J1645)),IF($I1645=0,1,$J1645/$I1645)),0)</f>
        <v/>
      </c>
      <c r="R1645" s="4">
        <f>IF(OR($I1645="",$J1645=""),"",$J1645-$I1645)</f>
        <v/>
      </c>
      <c r="S1645" s="4">
        <f>IFERROR(IF(INDEX(Tbl_KPIMaster[Direction],MATCH($G1645,Tbl_KPIMaster[KPI],0))="Lower is Better",IF($J1645&lt;=$I1645,"Green",IF($J1645&lt;=$I1645+IF($I1645=0,$K1645,$I1645*$K1645),"Amber","Red")),IF($J1645&gt;=$I1645,"Green",IF($J1645&gt;=$I1645-IF($I1645=0,$K1645,$I1645*$K1645),"Amber","Red"))),"")</f>
        <v/>
      </c>
      <c r="T1645" s="6" t="inlineStr"/>
    </row>
    <row r="1646">
      <c r="A1646" s="7" t="n">
        <v>46212</v>
      </c>
      <c r="B1646" s="8">
        <f>IF($A1646="","",TEXT($A1646,"mmm-yyyy"))</f>
        <v/>
      </c>
      <c r="C1646" s="8">
        <f>IF($A1646="","","W"&amp;WEEKNUM($A1646,2))</f>
        <v/>
      </c>
      <c r="D1646" s="8">
        <f>IF($A1646="","",TEXT($A1646,"ddd"))</f>
        <v/>
      </c>
      <c r="E1646" s="8" t="inlineStr">
        <is>
          <t>Production</t>
        </is>
      </c>
      <c r="F1646" s="8">
        <f>IFERROR(INDEX(Tbl_KPIMaster[Category],MATCH($G1646,Tbl_KPIMaster[KPI],0)),"")</f>
        <v/>
      </c>
      <c r="G1646" s="8" t="inlineStr">
        <is>
          <t>OEE %</t>
        </is>
      </c>
      <c r="H1646" s="8">
        <f>IFERROR(INDEX(Tbl_KPIMaster[Unit],MATCH($G1646,Tbl_KPIMaster[KPI],0)),"")</f>
        <v/>
      </c>
      <c r="I1646" s="9">
        <f>IFERROR(INDEX(Tbl_KPIMaster[Maximum Target],MATCH($G1646,Tbl_KPIMaster[KPI],0)),"")</f>
        <v/>
      </c>
      <c r="J1646" s="9" t="n">
        <v>0.9349</v>
      </c>
      <c r="K1646" s="8">
        <f>IFERROR(INDEX(Tbl_KPIMaster[Tolerance],MATCH($G1646,Tbl_KPIMaster[KPI],0)),"")</f>
        <v/>
      </c>
      <c r="L1646" s="8">
        <f>IFERROR(INDEX(Tbl_KPIMaster[Owner],MATCH($G1646,Tbl_KPIMaster[KPI],0)),"")</f>
        <v/>
      </c>
      <c r="M1646" s="10" t="inlineStr">
        <is>
          <t>Within normal range</t>
        </is>
      </c>
      <c r="N1646" s="8" t="inlineStr">
        <is>
          <t>Procurement follow-up</t>
        </is>
      </c>
      <c r="O1646" s="8" t="inlineStr">
        <is>
          <t>Medium</t>
        </is>
      </c>
      <c r="P1646" s="8" t="inlineStr">
        <is>
          <t>Closed</t>
        </is>
      </c>
      <c r="Q1646" s="9">
        <f>IFERROR(IF(INDEX(Tbl_KPIMaster[Direction],MATCH($G1646,Tbl_KPIMaster[KPI],0))="Lower is Better",IF($J1646=0,1,IF($I1646=0,0,$I1646/$J1646)),IF($I1646=0,1,$J1646/$I1646)),0)</f>
        <v/>
      </c>
      <c r="R1646" s="8">
        <f>IF(OR($I1646="",$J1646=""),"",$J1646-$I1646)</f>
        <v/>
      </c>
      <c r="S1646" s="8">
        <f>IFERROR(IF(INDEX(Tbl_KPIMaster[Direction],MATCH($G1646,Tbl_KPIMaster[KPI],0))="Lower is Better",IF($J1646&lt;=$I1646,"Green",IF($J1646&lt;=$I1646+IF($I1646=0,$K1646,$I1646*$K1646),"Amber","Red")),IF($J1646&gt;=$I1646,"Green",IF($J1646&gt;=$I1646-IF($I1646=0,$K1646,$I1646*$K1646),"Amber","Red"))),"")</f>
        <v/>
      </c>
      <c r="T1646" s="10" t="inlineStr"/>
    </row>
    <row r="1647">
      <c r="A1647" s="3" t="n">
        <v>46212</v>
      </c>
      <c r="B1647" s="4">
        <f>IF($A1647="","",TEXT($A1647,"mmm-yyyy"))</f>
        <v/>
      </c>
      <c r="C1647" s="4">
        <f>IF($A1647="","","W"&amp;WEEKNUM($A1647,2))</f>
        <v/>
      </c>
      <c r="D1647" s="4">
        <f>IF($A1647="","",TEXT($A1647,"ddd"))</f>
        <v/>
      </c>
      <c r="E1647" s="4" t="inlineStr">
        <is>
          <t>Quality</t>
        </is>
      </c>
      <c r="F1647" s="4">
        <f>IFERROR(INDEX(Tbl_KPIMaster[Category],MATCH($G1647,Tbl_KPIMaster[KPI],0)),"")</f>
        <v/>
      </c>
      <c r="G1647" s="4" t="inlineStr">
        <is>
          <t>Defect Rate %</t>
        </is>
      </c>
      <c r="H1647" s="4">
        <f>IFERROR(INDEX(Tbl_KPIMaster[Unit],MATCH($G1647,Tbl_KPIMaster[KPI],0)),"")</f>
        <v/>
      </c>
      <c r="I1647" s="5">
        <f>IFERROR(INDEX(Tbl_KPIMaster[Maximum Target],MATCH($G1647,Tbl_KPIMaster[KPI],0)),"")</f>
        <v/>
      </c>
      <c r="J1647" s="5" t="n">
        <v>0.442</v>
      </c>
      <c r="K1647" s="4">
        <f>IFERROR(INDEX(Tbl_KPIMaster[Tolerance],MATCH($G1647,Tbl_KPIMaster[KPI],0)),"")</f>
        <v/>
      </c>
      <c r="L1647" s="4">
        <f>IFERROR(INDEX(Tbl_KPIMaster[Owner],MATCH($G1647,Tbl_KPIMaster[KPI],0)),"")</f>
        <v/>
      </c>
      <c r="M1647" s="6" t="inlineStr">
        <is>
          <t>Line changeover impact</t>
        </is>
      </c>
      <c r="N1647" s="4" t="inlineStr">
        <is>
          <t>Management approval pending</t>
        </is>
      </c>
      <c r="O1647" s="4" t="inlineStr">
        <is>
          <t>Medium</t>
        </is>
      </c>
      <c r="P1647" s="4" t="inlineStr">
        <is>
          <t>Open</t>
        </is>
      </c>
      <c r="Q1647" s="5">
        <f>IFERROR(IF(INDEX(Tbl_KPIMaster[Direction],MATCH($G1647,Tbl_KPIMaster[KPI],0))="Lower is Better",IF($J1647=0,1,IF($I1647=0,0,$I1647/$J1647)),IF($I1647=0,1,$J1647/$I1647)),0)</f>
        <v/>
      </c>
      <c r="R1647" s="4">
        <f>IF(OR($I1647="",$J1647=""),"",$J1647-$I1647)</f>
        <v/>
      </c>
      <c r="S1647" s="4">
        <f>IFERROR(IF(INDEX(Tbl_KPIMaster[Direction],MATCH($G1647,Tbl_KPIMaster[KPI],0))="Lower is Better",IF($J1647&lt;=$I1647,"Green",IF($J1647&lt;=$I1647+IF($I1647=0,$K1647,$I1647*$K1647),"Amber","Red")),IF($J1647&gt;=$I1647,"Green",IF($J1647&gt;=$I1647-IF($I1647=0,$K1647,$I1647*$K1647),"Amber","Red"))),"")</f>
        <v/>
      </c>
      <c r="T1647" s="6" t="inlineStr"/>
    </row>
    <row r="1648">
      <c r="A1648" s="7" t="n">
        <v>46212</v>
      </c>
      <c r="B1648" s="8">
        <f>IF($A1648="","",TEXT($A1648,"mmm-yyyy"))</f>
        <v/>
      </c>
      <c r="C1648" s="8">
        <f>IF($A1648="","","W"&amp;WEEKNUM($A1648,2))</f>
        <v/>
      </c>
      <c r="D1648" s="8">
        <f>IF($A1648="","",TEXT($A1648,"ddd"))</f>
        <v/>
      </c>
      <c r="E1648" s="8" t="inlineStr">
        <is>
          <t>Quality</t>
        </is>
      </c>
      <c r="F1648" s="8">
        <f>IFERROR(INDEX(Tbl_KPIMaster[Category],MATCH($G1648,Tbl_KPIMaster[KPI],0)),"")</f>
        <v/>
      </c>
      <c r="G1648" s="8" t="inlineStr">
        <is>
          <t>Customer Complaints</t>
        </is>
      </c>
      <c r="H1648" s="8">
        <f>IFERROR(INDEX(Tbl_KPIMaster[Unit],MATCH($G1648,Tbl_KPIMaster[KPI],0)),"")</f>
        <v/>
      </c>
      <c r="I1648" s="9">
        <f>IFERROR(INDEX(Tbl_KPIMaster[Maximum Target],MATCH($G1648,Tbl_KPIMaster[KPI],0)),"")</f>
        <v/>
      </c>
      <c r="J1648" s="9" t="n">
        <v>0</v>
      </c>
      <c r="K1648" s="8">
        <f>IFERROR(INDEX(Tbl_KPIMaster[Tolerance],MATCH($G1648,Tbl_KPIMaster[KPI],0)),"")</f>
        <v/>
      </c>
      <c r="L1648" s="8">
        <f>IFERROR(INDEX(Tbl_KPIMaster[Owner],MATCH($G1648,Tbl_KPIMaster[KPI],0)),"")</f>
        <v/>
      </c>
      <c r="M1648" s="10" t="inlineStr">
        <is>
          <t>Awaiting spares</t>
        </is>
      </c>
      <c r="N1648" s="8" t="inlineStr">
        <is>
          <t>Management approval pending</t>
        </is>
      </c>
      <c r="O1648" s="8" t="inlineStr">
        <is>
          <t>High</t>
        </is>
      </c>
      <c r="P1648" s="8" t="inlineStr">
        <is>
          <t>In Progress</t>
        </is>
      </c>
      <c r="Q1648" s="9">
        <f>IFERROR(IF(INDEX(Tbl_KPIMaster[Direction],MATCH($G1648,Tbl_KPIMaster[KPI],0))="Lower is Better",IF($J1648=0,1,IF($I1648=0,0,$I1648/$J1648)),IF($I1648=0,1,$J1648/$I1648)),0)</f>
        <v/>
      </c>
      <c r="R1648" s="8">
        <f>IF(OR($I1648="",$J1648=""),"",$J1648-$I1648)</f>
        <v/>
      </c>
      <c r="S1648" s="8">
        <f>IFERROR(IF(INDEX(Tbl_KPIMaster[Direction],MATCH($G1648,Tbl_KPIMaster[KPI],0))="Lower is Better",IF($J1648&lt;=$I1648,"Green",IF($J1648&lt;=$I1648+IF($I1648=0,$K1648,$I1648*$K1648),"Amber","Red")),IF($J1648&gt;=$I1648,"Green",IF($J1648&gt;=$I1648-IF($I1648=0,$K1648,$I1648*$K1648),"Amber","Red"))),"")</f>
        <v/>
      </c>
      <c r="T1648" s="10" t="inlineStr"/>
    </row>
    <row r="1649">
      <c r="A1649" s="3" t="n">
        <v>46212</v>
      </c>
      <c r="B1649" s="4">
        <f>IF($A1649="","",TEXT($A1649,"mmm-yyyy"))</f>
        <v/>
      </c>
      <c r="C1649" s="4">
        <f>IF($A1649="","","W"&amp;WEEKNUM($A1649,2))</f>
        <v/>
      </c>
      <c r="D1649" s="4">
        <f>IF($A1649="","",TEXT($A1649,"ddd"))</f>
        <v/>
      </c>
      <c r="E1649" s="4" t="inlineStr">
        <is>
          <t>Maintenance</t>
        </is>
      </c>
      <c r="F1649" s="4">
        <f>IFERROR(INDEX(Tbl_KPIMaster[Category],MATCH($G1649,Tbl_KPIMaster[KPI],0)),"")</f>
        <v/>
      </c>
      <c r="G1649" s="4" t="inlineStr">
        <is>
          <t>Unplanned Downtime</t>
        </is>
      </c>
      <c r="H1649" s="4">
        <f>IFERROR(INDEX(Tbl_KPIMaster[Unit],MATCH($G1649,Tbl_KPIMaster[KPI],0)),"")</f>
        <v/>
      </c>
      <c r="I1649" s="5">
        <f>IFERROR(INDEX(Tbl_KPIMaster[Maximum Target],MATCH($G1649,Tbl_KPIMaster[KPI],0)),"")</f>
        <v/>
      </c>
      <c r="J1649" s="5" t="n">
        <v>1.13</v>
      </c>
      <c r="K1649" s="4">
        <f>IFERROR(INDEX(Tbl_KPIMaster[Tolerance],MATCH($G1649,Tbl_KPIMaster[KPI],0)),"")</f>
        <v/>
      </c>
      <c r="L1649" s="4">
        <f>IFERROR(INDEX(Tbl_KPIMaster[Owner],MATCH($G1649,Tbl_KPIMaster[KPI],0)),"")</f>
        <v/>
      </c>
      <c r="M1649" s="6" t="inlineStr">
        <is>
          <t>Awaiting spares</t>
        </is>
      </c>
      <c r="N1649" s="4" t="inlineStr"/>
      <c r="O1649" s="4" t="inlineStr">
        <is>
          <t>Low</t>
        </is>
      </c>
      <c r="P1649" s="4" t="inlineStr">
        <is>
          <t>Closed</t>
        </is>
      </c>
      <c r="Q1649" s="5">
        <f>IFERROR(IF(INDEX(Tbl_KPIMaster[Direction],MATCH($G1649,Tbl_KPIMaster[KPI],0))="Lower is Better",IF($J1649=0,1,IF($I1649=0,0,$I1649/$J1649)),IF($I1649=0,1,$J1649/$I1649)),0)</f>
        <v/>
      </c>
      <c r="R1649" s="4">
        <f>IF(OR($I1649="",$J1649=""),"",$J1649-$I1649)</f>
        <v/>
      </c>
      <c r="S1649" s="4">
        <f>IFERROR(IF(INDEX(Tbl_KPIMaster[Direction],MATCH($G1649,Tbl_KPIMaster[KPI],0))="Lower is Better",IF($J1649&lt;=$I1649,"Green",IF($J1649&lt;=$I1649+IF($I1649=0,$K1649,$I1649*$K1649),"Amber","Red")),IF($J1649&gt;=$I1649,"Green",IF($J1649&gt;=$I1649-IF($I1649=0,$K1649,$I1649*$K1649),"Amber","Red"))),"")</f>
        <v/>
      </c>
      <c r="T1649" s="6" t="inlineStr"/>
    </row>
    <row r="1650">
      <c r="A1650" s="7" t="n">
        <v>46212</v>
      </c>
      <c r="B1650" s="8">
        <f>IF($A1650="","",TEXT($A1650,"mmm-yyyy"))</f>
        <v/>
      </c>
      <c r="C1650" s="8">
        <f>IF($A1650="","","W"&amp;WEEKNUM($A1650,2))</f>
        <v/>
      </c>
      <c r="D1650" s="8">
        <f>IF($A1650="","",TEXT($A1650,"ddd"))</f>
        <v/>
      </c>
      <c r="E1650" s="8" t="inlineStr">
        <is>
          <t>Maintenance</t>
        </is>
      </c>
      <c r="F1650" s="8">
        <f>IFERROR(INDEX(Tbl_KPIMaster[Category],MATCH($G1650,Tbl_KPIMaster[KPI],0)),"")</f>
        <v/>
      </c>
      <c r="G1650" s="8" t="inlineStr">
        <is>
          <t>PM Compliance %</t>
        </is>
      </c>
      <c r="H1650" s="8">
        <f>IFERROR(INDEX(Tbl_KPIMaster[Unit],MATCH($G1650,Tbl_KPIMaster[KPI],0)),"")</f>
        <v/>
      </c>
      <c r="I1650" s="9">
        <f>IFERROR(INDEX(Tbl_KPIMaster[Maximum Target],MATCH($G1650,Tbl_KPIMaster[KPI],0)),"")</f>
        <v/>
      </c>
      <c r="J1650" s="9" t="n">
        <v>0.9095</v>
      </c>
      <c r="K1650" s="8">
        <f>IFERROR(INDEX(Tbl_KPIMaster[Tolerance],MATCH($G1650,Tbl_KPIMaster[KPI],0)),"")</f>
        <v/>
      </c>
      <c r="L1650" s="8">
        <f>IFERROR(INDEX(Tbl_KPIMaster[Owner],MATCH($G1650,Tbl_KPIMaster[KPI],0)),"")</f>
        <v/>
      </c>
      <c r="M1650" s="10" t="inlineStr">
        <is>
          <t>Vendor delay</t>
        </is>
      </c>
      <c r="N1650" s="8" t="inlineStr">
        <is>
          <t>Engineering support needed</t>
        </is>
      </c>
      <c r="O1650" s="8" t="inlineStr">
        <is>
          <t>High</t>
        </is>
      </c>
      <c r="P1650" s="8" t="inlineStr">
        <is>
          <t>Closed</t>
        </is>
      </c>
      <c r="Q1650" s="9">
        <f>IFERROR(IF(INDEX(Tbl_KPIMaster[Direction],MATCH($G1650,Tbl_KPIMaster[KPI],0))="Lower is Better",IF($J1650=0,1,IF($I1650=0,0,$I1650/$J1650)),IF($I1650=0,1,$J1650/$I1650)),0)</f>
        <v/>
      </c>
      <c r="R1650" s="8">
        <f>IF(OR($I1650="",$J1650=""),"",$J1650-$I1650)</f>
        <v/>
      </c>
      <c r="S1650" s="8">
        <f>IFERROR(IF(INDEX(Tbl_KPIMaster[Direction],MATCH($G1650,Tbl_KPIMaster[KPI],0))="Lower is Better",IF($J1650&lt;=$I1650,"Green",IF($J1650&lt;=$I1650+IF($I1650=0,$K1650,$I1650*$K1650),"Amber","Red")),IF($J1650&gt;=$I1650,"Green",IF($J1650&gt;=$I1650-IF($I1650=0,$K1650,$I1650*$K1650),"Amber","Red"))),"")</f>
        <v/>
      </c>
      <c r="T1650" s="10" t="inlineStr"/>
    </row>
    <row r="1651">
      <c r="A1651" s="3" t="n">
        <v>46212</v>
      </c>
      <c r="B1651" s="4">
        <f>IF($A1651="","",TEXT($A1651,"mmm-yyyy"))</f>
        <v/>
      </c>
      <c r="C1651" s="4">
        <f>IF($A1651="","","W"&amp;WEEKNUM($A1651,2))</f>
        <v/>
      </c>
      <c r="D1651" s="4">
        <f>IF($A1651="","",TEXT($A1651,"ddd"))</f>
        <v/>
      </c>
      <c r="E1651" s="4" t="inlineStr">
        <is>
          <t>Utilities</t>
        </is>
      </c>
      <c r="F1651" s="4">
        <f>IFERROR(INDEX(Tbl_KPIMaster[Category],MATCH($G1651,Tbl_KPIMaster[KPI],0)),"")</f>
        <v/>
      </c>
      <c r="G1651" s="4" t="inlineStr">
        <is>
          <t>Power Consumption</t>
        </is>
      </c>
      <c r="H1651" s="4">
        <f>IFERROR(INDEX(Tbl_KPIMaster[Unit],MATCH($G1651,Tbl_KPIMaster[KPI],0)),"")</f>
        <v/>
      </c>
      <c r="I1651" s="5">
        <f>IFERROR(INDEX(Tbl_KPIMaster[Maximum Target],MATCH($G1651,Tbl_KPIMaster[KPI],0)),"")</f>
        <v/>
      </c>
      <c r="J1651" s="5" t="n">
        <v>3952.12</v>
      </c>
      <c r="K1651" s="4">
        <f>IFERROR(INDEX(Tbl_KPIMaster[Tolerance],MATCH($G1651,Tbl_KPIMaster[KPI],0)),"")</f>
        <v/>
      </c>
      <c r="L1651" s="4">
        <f>IFERROR(INDEX(Tbl_KPIMaster[Owner],MATCH($G1651,Tbl_KPIMaster[KPI],0)),"")</f>
        <v/>
      </c>
      <c r="M1651" s="6" t="inlineStr"/>
      <c r="N1651" s="4" t="inlineStr">
        <is>
          <t>Engineering support needed</t>
        </is>
      </c>
      <c r="O1651" s="4" t="inlineStr">
        <is>
          <t>Low</t>
        </is>
      </c>
      <c r="P1651" s="4" t="inlineStr">
        <is>
          <t>Open</t>
        </is>
      </c>
      <c r="Q1651" s="5">
        <f>IFERROR(IF(INDEX(Tbl_KPIMaster[Direction],MATCH($G1651,Tbl_KPIMaster[KPI],0))="Lower is Better",IF($J1651=0,1,IF($I1651=0,0,$I1651/$J1651)),IF($I1651=0,1,$J1651/$I1651)),0)</f>
        <v/>
      </c>
      <c r="R1651" s="4">
        <f>IF(OR($I1651="",$J1651=""),"",$J1651-$I1651)</f>
        <v/>
      </c>
      <c r="S1651" s="4">
        <f>IFERROR(IF(INDEX(Tbl_KPIMaster[Direction],MATCH($G1651,Tbl_KPIMaster[KPI],0))="Lower is Better",IF($J1651&lt;=$I1651,"Green",IF($J1651&lt;=$I1651+IF($I1651=0,$K1651,$I1651*$K1651),"Amber","Red")),IF($J1651&gt;=$I1651,"Green",IF($J1651&gt;=$I1651-IF($I1651=0,$K1651,$I1651*$K1651),"Amber","Red"))),"")</f>
        <v/>
      </c>
      <c r="T1651" s="6" t="inlineStr"/>
    </row>
    <row r="1652">
      <c r="A1652" s="7" t="n">
        <v>46212</v>
      </c>
      <c r="B1652" s="8">
        <f>IF($A1652="","",TEXT($A1652,"mmm-yyyy"))</f>
        <v/>
      </c>
      <c r="C1652" s="8">
        <f>IF($A1652="","","W"&amp;WEEKNUM($A1652,2))</f>
        <v/>
      </c>
      <c r="D1652" s="8">
        <f>IF($A1652="","",TEXT($A1652,"ddd"))</f>
        <v/>
      </c>
      <c r="E1652" s="8" t="inlineStr">
        <is>
          <t>Utilities</t>
        </is>
      </c>
      <c r="F1652" s="8">
        <f>IFERROR(INDEX(Tbl_KPIMaster[Category],MATCH($G1652,Tbl_KPIMaster[KPI],0)),"")</f>
        <v/>
      </c>
      <c r="G1652" s="8" t="inlineStr">
        <is>
          <t>Water Consumption</t>
        </is>
      </c>
      <c r="H1652" s="8">
        <f>IFERROR(INDEX(Tbl_KPIMaster[Unit],MATCH($G1652,Tbl_KPIMaster[KPI],0)),"")</f>
        <v/>
      </c>
      <c r="I1652" s="9">
        <f>IFERROR(INDEX(Tbl_KPIMaster[Maximum Target],MATCH($G1652,Tbl_KPIMaster[KPI],0)),"")</f>
        <v/>
      </c>
      <c r="J1652" s="9" t="n">
        <v>51.91</v>
      </c>
      <c r="K1652" s="8">
        <f>IFERROR(INDEX(Tbl_KPIMaster[Tolerance],MATCH($G1652,Tbl_KPIMaster[KPI],0)),"")</f>
        <v/>
      </c>
      <c r="L1652" s="8">
        <f>IFERROR(INDEX(Tbl_KPIMaster[Owner],MATCH($G1652,Tbl_KPIMaster[KPI],0)),"")</f>
        <v/>
      </c>
      <c r="M1652" s="10" t="inlineStr">
        <is>
          <t>New operator training effect</t>
        </is>
      </c>
      <c r="N1652" s="8" t="inlineStr"/>
      <c r="O1652" s="8" t="inlineStr">
        <is>
          <t>Medium</t>
        </is>
      </c>
      <c r="P1652" s="8" t="inlineStr">
        <is>
          <t>Open</t>
        </is>
      </c>
      <c r="Q1652" s="9">
        <f>IFERROR(IF(INDEX(Tbl_KPIMaster[Direction],MATCH($G1652,Tbl_KPIMaster[KPI],0))="Lower is Better",IF($J1652=0,1,IF($I1652=0,0,$I1652/$J1652)),IF($I1652=0,1,$J1652/$I1652)),0)</f>
        <v/>
      </c>
      <c r="R1652" s="8">
        <f>IF(OR($I1652="",$J1652=""),"",$J1652-$I1652)</f>
        <v/>
      </c>
      <c r="S1652" s="8">
        <f>IFERROR(IF(INDEX(Tbl_KPIMaster[Direction],MATCH($G1652,Tbl_KPIMaster[KPI],0))="Lower is Better",IF($J1652&lt;=$I1652,"Green",IF($J1652&lt;=$I1652+IF($I1652=0,$K1652,$I1652*$K1652),"Amber","Red")),IF($J1652&gt;=$I1652,"Green",IF($J1652&gt;=$I1652-IF($I1652=0,$K1652,$I1652*$K1652),"Amber","Red"))),"")</f>
        <v/>
      </c>
      <c r="T1652" s="10" t="inlineStr"/>
    </row>
    <row r="1653">
      <c r="A1653" s="3" t="n">
        <v>46212</v>
      </c>
      <c r="B1653" s="4">
        <f>IF($A1653="","",TEXT($A1653,"mmm-yyyy"))</f>
        <v/>
      </c>
      <c r="C1653" s="4">
        <f>IF($A1653="","","W"&amp;WEEKNUM($A1653,2))</f>
        <v/>
      </c>
      <c r="D1653" s="4">
        <f>IF($A1653="","",TEXT($A1653,"ddd"))</f>
        <v/>
      </c>
      <c r="E1653" s="4" t="inlineStr">
        <is>
          <t>Warehouse</t>
        </is>
      </c>
      <c r="F1653" s="4">
        <f>IFERROR(INDEX(Tbl_KPIMaster[Category],MATCH($G1653,Tbl_KPIMaster[KPI],0)),"")</f>
        <v/>
      </c>
      <c r="G1653" s="4" t="inlineStr">
        <is>
          <t>On-Time Dispatch %</t>
        </is>
      </c>
      <c r="H1653" s="4">
        <f>IFERROR(INDEX(Tbl_KPIMaster[Unit],MATCH($G1653,Tbl_KPIMaster[KPI],0)),"")</f>
        <v/>
      </c>
      <c r="I1653" s="5">
        <f>IFERROR(INDEX(Tbl_KPIMaster[Maximum Target],MATCH($G1653,Tbl_KPIMaster[KPI],0)),"")</f>
        <v/>
      </c>
      <c r="J1653" s="5" t="n">
        <v>1.0171</v>
      </c>
      <c r="K1653" s="4">
        <f>IFERROR(INDEX(Tbl_KPIMaster[Tolerance],MATCH($G1653,Tbl_KPIMaster[KPI],0)),"")</f>
        <v/>
      </c>
      <c r="L1653" s="4">
        <f>IFERROR(INDEX(Tbl_KPIMaster[Owner],MATCH($G1653,Tbl_KPIMaster[KPI],0)),"")</f>
        <v/>
      </c>
      <c r="M1653" s="6" t="inlineStr">
        <is>
          <t>Equipment breakdown</t>
        </is>
      </c>
      <c r="N1653" s="4" t="inlineStr"/>
      <c r="O1653" s="4" t="inlineStr">
        <is>
          <t>Low</t>
        </is>
      </c>
      <c r="P1653" s="4" t="inlineStr">
        <is>
          <t>Open</t>
        </is>
      </c>
      <c r="Q1653" s="5">
        <f>IFERROR(IF(INDEX(Tbl_KPIMaster[Direction],MATCH($G1653,Tbl_KPIMaster[KPI],0))="Lower is Better",IF($J1653=0,1,IF($I1653=0,0,$I1653/$J1653)),IF($I1653=0,1,$J1653/$I1653)),0)</f>
        <v/>
      </c>
      <c r="R1653" s="4">
        <f>IF(OR($I1653="",$J1653=""),"",$J1653-$I1653)</f>
        <v/>
      </c>
      <c r="S1653" s="4">
        <f>IFERROR(IF(INDEX(Tbl_KPIMaster[Direction],MATCH($G1653,Tbl_KPIMaster[KPI],0))="Lower is Better",IF($J1653&lt;=$I1653,"Green",IF($J1653&lt;=$I1653+IF($I1653=0,$K1653,$I1653*$K1653),"Amber","Red")),IF($J1653&gt;=$I1653,"Green",IF($J1653&gt;=$I1653-IF($I1653=0,$K1653,$I1653*$K1653),"Amber","Red"))),"")</f>
        <v/>
      </c>
      <c r="T1653" s="6" t="inlineStr"/>
    </row>
    <row r="1654">
      <c r="A1654" s="7" t="n">
        <v>46212</v>
      </c>
      <c r="B1654" s="8">
        <f>IF($A1654="","",TEXT($A1654,"mmm-yyyy"))</f>
        <v/>
      </c>
      <c r="C1654" s="8">
        <f>IF($A1654="","","W"&amp;WEEKNUM($A1654,2))</f>
        <v/>
      </c>
      <c r="D1654" s="8">
        <f>IF($A1654="","",TEXT($A1654,"ddd"))</f>
        <v/>
      </c>
      <c r="E1654" s="8" t="inlineStr">
        <is>
          <t>Warehouse</t>
        </is>
      </c>
      <c r="F1654" s="8">
        <f>IFERROR(INDEX(Tbl_KPIMaster[Category],MATCH($G1654,Tbl_KPIMaster[KPI],0)),"")</f>
        <v/>
      </c>
      <c r="G1654" s="8" t="inlineStr">
        <is>
          <t>Inventory Accuracy %</t>
        </is>
      </c>
      <c r="H1654" s="8">
        <f>IFERROR(INDEX(Tbl_KPIMaster[Unit],MATCH($G1654,Tbl_KPIMaster[KPI],0)),"")</f>
        <v/>
      </c>
      <c r="I1654" s="9">
        <f>IFERROR(INDEX(Tbl_KPIMaster[Maximum Target],MATCH($G1654,Tbl_KPIMaster[KPI],0)),"")</f>
        <v/>
      </c>
      <c r="J1654" s="9" t="n">
        <v>1.0948</v>
      </c>
      <c r="K1654" s="8">
        <f>IFERROR(INDEX(Tbl_KPIMaster[Tolerance],MATCH($G1654,Tbl_KPIMaster[KPI],0)),"")</f>
        <v/>
      </c>
      <c r="L1654" s="8">
        <f>IFERROR(INDEX(Tbl_KPIMaster[Owner],MATCH($G1654,Tbl_KPIMaster[KPI],0)),"")</f>
        <v/>
      </c>
      <c r="M1654" s="10" t="inlineStr">
        <is>
          <t>Manpower shortage</t>
        </is>
      </c>
      <c r="N1654" s="8" t="inlineStr">
        <is>
          <t>Engineering support needed</t>
        </is>
      </c>
      <c r="O1654" s="8" t="inlineStr">
        <is>
          <t>Medium</t>
        </is>
      </c>
      <c r="P1654" s="8" t="inlineStr">
        <is>
          <t>Open</t>
        </is>
      </c>
      <c r="Q1654" s="9">
        <f>IFERROR(IF(INDEX(Tbl_KPIMaster[Direction],MATCH($G1654,Tbl_KPIMaster[KPI],0))="Lower is Better",IF($J1654=0,1,IF($I1654=0,0,$I1654/$J1654)),IF($I1654=0,1,$J1654/$I1654)),0)</f>
        <v/>
      </c>
      <c r="R1654" s="8">
        <f>IF(OR($I1654="",$J1654=""),"",$J1654-$I1654)</f>
        <v/>
      </c>
      <c r="S1654" s="8">
        <f>IFERROR(IF(INDEX(Tbl_KPIMaster[Direction],MATCH($G1654,Tbl_KPIMaster[KPI],0))="Lower is Better",IF($J1654&lt;=$I1654,"Green",IF($J1654&lt;=$I1654+IF($I1654=0,$K1654,$I1654*$K1654),"Amber","Red")),IF($J1654&gt;=$I1654,"Green",IF($J1654&gt;=$I1654-IF($I1654=0,$K1654,$I1654*$K1654),"Amber","Red"))),"")</f>
        <v/>
      </c>
      <c r="T1654" s="10" t="inlineStr"/>
    </row>
    <row r="1655">
      <c r="A1655" s="3" t="n">
        <v>46212</v>
      </c>
      <c r="B1655" s="4">
        <f>IF($A1655="","",TEXT($A1655,"mmm-yyyy"))</f>
        <v/>
      </c>
      <c r="C1655" s="4">
        <f>IF($A1655="","","W"&amp;WEEKNUM($A1655,2))</f>
        <v/>
      </c>
      <c r="D1655" s="4">
        <f>IF($A1655="","",TEXT($A1655,"ddd"))</f>
        <v/>
      </c>
      <c r="E1655" s="4" t="inlineStr">
        <is>
          <t>HR</t>
        </is>
      </c>
      <c r="F1655" s="4">
        <f>IFERROR(INDEX(Tbl_KPIMaster[Category],MATCH($G1655,Tbl_KPIMaster[KPI],0)),"")</f>
        <v/>
      </c>
      <c r="G1655" s="4" t="inlineStr">
        <is>
          <t>Absenteeism %</t>
        </is>
      </c>
      <c r="H1655" s="4">
        <f>IFERROR(INDEX(Tbl_KPIMaster[Unit],MATCH($G1655,Tbl_KPIMaster[KPI],0)),"")</f>
        <v/>
      </c>
      <c r="I1655" s="5">
        <f>IFERROR(INDEX(Tbl_KPIMaster[Maximum Target],MATCH($G1655,Tbl_KPIMaster[KPI],0)),"")</f>
        <v/>
      </c>
      <c r="J1655" s="5" t="n">
        <v>0</v>
      </c>
      <c r="K1655" s="4">
        <f>IFERROR(INDEX(Tbl_KPIMaster[Tolerance],MATCH($G1655,Tbl_KPIMaster[KPI],0)),"")</f>
        <v/>
      </c>
      <c r="L1655" s="4">
        <f>IFERROR(INDEX(Tbl_KPIMaster[Owner],MATCH($G1655,Tbl_KPIMaster[KPI],0)),"")</f>
        <v/>
      </c>
      <c r="M1655" s="6" t="inlineStr">
        <is>
          <t>Equipment breakdown</t>
        </is>
      </c>
      <c r="N1655" s="4" t="inlineStr">
        <is>
          <t>Engineering support needed</t>
        </is>
      </c>
      <c r="O1655" s="4" t="inlineStr">
        <is>
          <t>Low</t>
        </is>
      </c>
      <c r="P1655" s="4" t="inlineStr">
        <is>
          <t>Closed</t>
        </is>
      </c>
      <c r="Q1655" s="5">
        <f>IFERROR(IF(INDEX(Tbl_KPIMaster[Direction],MATCH($G1655,Tbl_KPIMaster[KPI],0))="Lower is Better",IF($J1655=0,1,IF($I1655=0,0,$I1655/$J1655)),IF($I1655=0,1,$J1655/$I1655)),0)</f>
        <v/>
      </c>
      <c r="R1655" s="4">
        <f>IF(OR($I1655="",$J1655=""),"",$J1655-$I1655)</f>
        <v/>
      </c>
      <c r="S1655" s="4">
        <f>IFERROR(IF(INDEX(Tbl_KPIMaster[Direction],MATCH($G1655,Tbl_KPIMaster[KPI],0))="Lower is Better",IF($J1655&lt;=$I1655,"Green",IF($J1655&lt;=$I1655+IF($I1655=0,$K1655,$I1655*$K1655),"Amber","Red")),IF($J1655&gt;=$I1655,"Green",IF($J1655&gt;=$I1655-IF($I1655=0,$K1655,$I1655*$K1655),"Amber","Red"))),"")</f>
        <v/>
      </c>
      <c r="T1655" s="6" t="inlineStr"/>
    </row>
    <row r="1656">
      <c r="A1656" s="7" t="n">
        <v>46212</v>
      </c>
      <c r="B1656" s="8">
        <f>IF($A1656="","",TEXT($A1656,"mmm-yyyy"))</f>
        <v/>
      </c>
      <c r="C1656" s="8">
        <f>IF($A1656="","","W"&amp;WEEKNUM($A1656,2))</f>
        <v/>
      </c>
      <c r="D1656" s="8">
        <f>IF($A1656="","",TEXT($A1656,"ddd"))</f>
        <v/>
      </c>
      <c r="E1656" s="8" t="inlineStr">
        <is>
          <t>HR</t>
        </is>
      </c>
      <c r="F1656" s="8">
        <f>IFERROR(INDEX(Tbl_KPIMaster[Category],MATCH($G1656,Tbl_KPIMaster[KPI],0)),"")</f>
        <v/>
      </c>
      <c r="G1656" s="8" t="inlineStr">
        <is>
          <t>Training Hours</t>
        </is>
      </c>
      <c r="H1656" s="8">
        <f>IFERROR(INDEX(Tbl_KPIMaster[Unit],MATCH($G1656,Tbl_KPIMaster[KPI],0)),"")</f>
        <v/>
      </c>
      <c r="I1656" s="9">
        <f>IFERROR(INDEX(Tbl_KPIMaster[Maximum Target],MATCH($G1656,Tbl_KPIMaster[KPI],0)),"")</f>
        <v/>
      </c>
      <c r="J1656" s="9" t="n">
        <v>2.06</v>
      </c>
      <c r="K1656" s="8">
        <f>IFERROR(INDEX(Tbl_KPIMaster[Tolerance],MATCH($G1656,Tbl_KPIMaster[KPI],0)),"")</f>
        <v/>
      </c>
      <c r="L1656" s="8">
        <f>IFERROR(INDEX(Tbl_KPIMaster[Owner],MATCH($G1656,Tbl_KPIMaster[KPI],0)),"")</f>
        <v/>
      </c>
      <c r="M1656" s="10" t="inlineStr">
        <is>
          <t>Manpower shortage</t>
        </is>
      </c>
      <c r="N1656" s="8" t="inlineStr">
        <is>
          <t>Management approval pending</t>
        </is>
      </c>
      <c r="O1656" s="8" t="inlineStr">
        <is>
          <t>Medium</t>
        </is>
      </c>
      <c r="P1656" s="8" t="inlineStr">
        <is>
          <t>Closed</t>
        </is>
      </c>
      <c r="Q1656" s="9">
        <f>IFERROR(IF(INDEX(Tbl_KPIMaster[Direction],MATCH($G1656,Tbl_KPIMaster[KPI],0))="Lower is Better",IF($J1656=0,1,IF($I1656=0,0,$I1656/$J1656)),IF($I1656=0,1,$J1656/$I1656)),0)</f>
        <v/>
      </c>
      <c r="R1656" s="8">
        <f>IF(OR($I1656="",$J1656=""),"",$J1656-$I1656)</f>
        <v/>
      </c>
      <c r="S1656" s="8">
        <f>IFERROR(IF(INDEX(Tbl_KPIMaster[Direction],MATCH($G1656,Tbl_KPIMaster[KPI],0))="Lower is Better",IF($J1656&lt;=$I1656,"Green",IF($J1656&lt;=$I1656+IF($I1656=0,$K1656,$I1656*$K1656),"Amber","Red")),IF($J1656&gt;=$I1656,"Green",IF($J1656&gt;=$I1656-IF($I1656=0,$K1656,$I1656*$K1656),"Amber","Red"))),"")</f>
        <v/>
      </c>
      <c r="T1656" s="10" t="inlineStr"/>
    </row>
    <row r="1657">
      <c r="A1657" s="3" t="n">
        <v>46212</v>
      </c>
      <c r="B1657" s="4">
        <f>IF($A1657="","",TEXT($A1657,"mmm-yyyy"))</f>
        <v/>
      </c>
      <c r="C1657" s="4">
        <f>IF($A1657="","","W"&amp;WEEKNUM($A1657,2))</f>
        <v/>
      </c>
      <c r="D1657" s="4">
        <f>IF($A1657="","",TEXT($A1657,"ddd"))</f>
        <v/>
      </c>
      <c r="E1657" s="4" t="inlineStr">
        <is>
          <t>Engineering</t>
        </is>
      </c>
      <c r="F1657" s="4">
        <f>IFERROR(INDEX(Tbl_KPIMaster[Category],MATCH($G1657,Tbl_KPIMaster[KPI],0)),"")</f>
        <v/>
      </c>
      <c r="G1657" s="4" t="inlineStr">
        <is>
          <t>Project Milestone Adherence %</t>
        </is>
      </c>
      <c r="H1657" s="4">
        <f>IFERROR(INDEX(Tbl_KPIMaster[Unit],MATCH($G1657,Tbl_KPIMaster[KPI],0)),"")</f>
        <v/>
      </c>
      <c r="I1657" s="5">
        <f>IFERROR(INDEX(Tbl_KPIMaster[Maximum Target],MATCH($G1657,Tbl_KPIMaster[KPI],0)),"")</f>
        <v/>
      </c>
      <c r="J1657" s="5" t="n">
        <v>0.7895</v>
      </c>
      <c r="K1657" s="4">
        <f>IFERROR(INDEX(Tbl_KPIMaster[Tolerance],MATCH($G1657,Tbl_KPIMaster[KPI],0)),"")</f>
        <v/>
      </c>
      <c r="L1657" s="4">
        <f>IFERROR(INDEX(Tbl_KPIMaster[Owner],MATCH($G1657,Tbl_KPIMaster[KPI],0)),"")</f>
        <v/>
      </c>
      <c r="M1657" s="6" t="inlineStr">
        <is>
          <t>Awaiting spares</t>
        </is>
      </c>
      <c r="N1657" s="4" t="inlineStr"/>
      <c r="O1657" s="4" t="inlineStr">
        <is>
          <t>Low</t>
        </is>
      </c>
      <c r="P1657" s="4" t="inlineStr">
        <is>
          <t>Closed</t>
        </is>
      </c>
      <c r="Q1657" s="5">
        <f>IFERROR(IF(INDEX(Tbl_KPIMaster[Direction],MATCH($G1657,Tbl_KPIMaster[KPI],0))="Lower is Better",IF($J1657=0,1,IF($I1657=0,0,$I1657/$J1657)),IF($I1657=0,1,$J1657/$I1657)),0)</f>
        <v/>
      </c>
      <c r="R1657" s="4">
        <f>IF(OR($I1657="",$J1657=""),"",$J1657-$I1657)</f>
        <v/>
      </c>
      <c r="S1657" s="4">
        <f>IFERROR(IF(INDEX(Tbl_KPIMaster[Direction],MATCH($G1657,Tbl_KPIMaster[KPI],0))="Lower is Better",IF($J1657&lt;=$I1657,"Green",IF($J1657&lt;=$I1657+IF($I1657=0,$K1657,$I1657*$K1657),"Amber","Red")),IF($J1657&gt;=$I1657,"Green",IF($J1657&gt;=$I1657-IF($I1657=0,$K1657,$I1657*$K1657),"Amber","Red"))),"")</f>
        <v/>
      </c>
      <c r="T1657" s="6" t="inlineStr"/>
    </row>
    <row r="1658">
      <c r="A1658" s="7" t="n">
        <v>46212</v>
      </c>
      <c r="B1658" s="8">
        <f>IF($A1658="","",TEXT($A1658,"mmm-yyyy"))</f>
        <v/>
      </c>
      <c r="C1658" s="8">
        <f>IF($A1658="","","W"&amp;WEEKNUM($A1658,2))</f>
        <v/>
      </c>
      <c r="D1658" s="8">
        <f>IF($A1658="","",TEXT($A1658,"ddd"))</f>
        <v/>
      </c>
      <c r="E1658" s="8" t="inlineStr">
        <is>
          <t>Engineering</t>
        </is>
      </c>
      <c r="F1658" s="8">
        <f>IFERROR(INDEX(Tbl_KPIMaster[Category],MATCH($G1658,Tbl_KPIMaster[KPI],0)),"")</f>
        <v/>
      </c>
      <c r="G1658" s="8" t="inlineStr">
        <is>
          <t>Breakdown Resolution Time</t>
        </is>
      </c>
      <c r="H1658" s="8">
        <f>IFERROR(INDEX(Tbl_KPIMaster[Unit],MATCH($G1658,Tbl_KPIMaster[KPI],0)),"")</f>
        <v/>
      </c>
      <c r="I1658" s="9">
        <f>IFERROR(INDEX(Tbl_KPIMaster[Maximum Target],MATCH($G1658,Tbl_KPIMaster[KPI],0)),"")</f>
        <v/>
      </c>
      <c r="J1658" s="9" t="n">
        <v>0.06</v>
      </c>
      <c r="K1658" s="8">
        <f>IFERROR(INDEX(Tbl_KPIMaster[Tolerance],MATCH($G1658,Tbl_KPIMaster[KPI],0)),"")</f>
        <v/>
      </c>
      <c r="L1658" s="8">
        <f>IFERROR(INDEX(Tbl_KPIMaster[Owner],MATCH($G1658,Tbl_KPIMaster[KPI],0)),"")</f>
        <v/>
      </c>
      <c r="M1658" s="10" t="inlineStr">
        <is>
          <t>Line changeover impact</t>
        </is>
      </c>
      <c r="N1658" s="8" t="inlineStr">
        <is>
          <t>Management approval pending</t>
        </is>
      </c>
      <c r="O1658" s="8" t="inlineStr">
        <is>
          <t>Low</t>
        </is>
      </c>
      <c r="P1658" s="8" t="inlineStr">
        <is>
          <t>In Progress</t>
        </is>
      </c>
      <c r="Q1658" s="9">
        <f>IFERROR(IF(INDEX(Tbl_KPIMaster[Direction],MATCH($G1658,Tbl_KPIMaster[KPI],0))="Lower is Better",IF($J1658=0,1,IF($I1658=0,0,$I1658/$J1658)),IF($I1658=0,1,$J1658/$I1658)),0)</f>
        <v/>
      </c>
      <c r="R1658" s="8">
        <f>IF(OR($I1658="",$J1658=""),"",$J1658-$I1658)</f>
        <v/>
      </c>
      <c r="S1658" s="8">
        <f>IFERROR(IF(INDEX(Tbl_KPIMaster[Direction],MATCH($G1658,Tbl_KPIMaster[KPI],0))="Lower is Better",IF($J1658&lt;=$I1658,"Green",IF($J1658&lt;=$I1658+IF($I1658=0,$K1658,$I1658*$K1658),"Amber","Red")),IF($J1658&gt;=$I1658,"Green",IF($J1658&gt;=$I1658-IF($I1658=0,$K1658,$I1658*$K1658),"Amber","Red"))),"")</f>
        <v/>
      </c>
      <c r="T1658" s="10" t="inlineStr"/>
    </row>
    <row r="1659">
      <c r="A1659" s="3" t="n">
        <v>46212</v>
      </c>
      <c r="B1659" s="4">
        <f>IF($A1659="","",TEXT($A1659,"mmm-yyyy"))</f>
        <v/>
      </c>
      <c r="C1659" s="4">
        <f>IF($A1659="","","W"&amp;WEEKNUM($A1659,2))</f>
        <v/>
      </c>
      <c r="D1659" s="4">
        <f>IF($A1659="","",TEXT($A1659,"ddd"))</f>
        <v/>
      </c>
      <c r="E1659" s="4" t="inlineStr">
        <is>
          <t>Cost</t>
        </is>
      </c>
      <c r="F1659" s="4">
        <f>IFERROR(INDEX(Tbl_KPIMaster[Category],MATCH($G1659,Tbl_KPIMaster[KPI],0)),"")</f>
        <v/>
      </c>
      <c r="G1659" s="4" t="inlineStr">
        <is>
          <t>Cost per Unit</t>
        </is>
      </c>
      <c r="H1659" s="4">
        <f>IFERROR(INDEX(Tbl_KPIMaster[Unit],MATCH($G1659,Tbl_KPIMaster[KPI],0)),"")</f>
        <v/>
      </c>
      <c r="I1659" s="5">
        <f>IFERROR(INDEX(Tbl_KPIMaster[Maximum Target],MATCH($G1659,Tbl_KPIMaster[KPI],0)),"")</f>
        <v/>
      </c>
      <c r="J1659" s="5" t="n">
        <v>43.84</v>
      </c>
      <c r="K1659" s="4">
        <f>IFERROR(INDEX(Tbl_KPIMaster[Tolerance],MATCH($G1659,Tbl_KPIMaster[KPI],0)),"")</f>
        <v/>
      </c>
      <c r="L1659" s="4">
        <f>IFERROR(INDEX(Tbl_KPIMaster[Owner],MATCH($G1659,Tbl_KPIMaster[KPI],0)),"")</f>
        <v/>
      </c>
      <c r="M1659" s="6" t="inlineStr">
        <is>
          <t>Process improvement in progress</t>
        </is>
      </c>
      <c r="N1659" s="4" t="inlineStr">
        <is>
          <t>Engineering support needed</t>
        </is>
      </c>
      <c r="O1659" s="4" t="inlineStr">
        <is>
          <t>Low</t>
        </is>
      </c>
      <c r="P1659" s="4" t="inlineStr">
        <is>
          <t>In Progress</t>
        </is>
      </c>
      <c r="Q1659" s="5">
        <f>IFERROR(IF(INDEX(Tbl_KPIMaster[Direction],MATCH($G1659,Tbl_KPIMaster[KPI],0))="Lower is Better",IF($J1659=0,1,IF($I1659=0,0,$I1659/$J1659)),IF($I1659=0,1,$J1659/$I1659)),0)</f>
        <v/>
      </c>
      <c r="R1659" s="4">
        <f>IF(OR($I1659="",$J1659=""),"",$J1659-$I1659)</f>
        <v/>
      </c>
      <c r="S1659" s="4">
        <f>IFERROR(IF(INDEX(Tbl_KPIMaster[Direction],MATCH($G1659,Tbl_KPIMaster[KPI],0))="Lower is Better",IF($J1659&lt;=$I1659,"Green",IF($J1659&lt;=$I1659+IF($I1659=0,$K1659,$I1659*$K1659),"Amber","Red")),IF($J1659&gt;=$I1659,"Green",IF($J1659&gt;=$I1659-IF($I1659=0,$K1659,$I1659*$K1659),"Amber","Red"))),"")</f>
        <v/>
      </c>
      <c r="T1659" s="6" t="inlineStr"/>
    </row>
    <row r="1660">
      <c r="A1660" s="7" t="n">
        <v>46212</v>
      </c>
      <c r="B1660" s="8">
        <f>IF($A1660="","",TEXT($A1660,"mmm-yyyy"))</f>
        <v/>
      </c>
      <c r="C1660" s="8">
        <f>IF($A1660="","","W"&amp;WEEKNUM($A1660,2))</f>
        <v/>
      </c>
      <c r="D1660" s="8">
        <f>IF($A1660="","",TEXT($A1660,"ddd"))</f>
        <v/>
      </c>
      <c r="E1660" s="8" t="inlineStr">
        <is>
          <t>Cost</t>
        </is>
      </c>
      <c r="F1660" s="8">
        <f>IFERROR(INDEX(Tbl_KPIMaster[Category],MATCH($G1660,Tbl_KPIMaster[KPI],0)),"")</f>
        <v/>
      </c>
      <c r="G1660" s="8" t="inlineStr">
        <is>
          <t>Budget Variance %</t>
        </is>
      </c>
      <c r="H1660" s="8">
        <f>IFERROR(INDEX(Tbl_KPIMaster[Unit],MATCH($G1660,Tbl_KPIMaster[KPI],0)),"")</f>
        <v/>
      </c>
      <c r="I1660" s="9">
        <f>IFERROR(INDEX(Tbl_KPIMaster[Maximum Target],MATCH($G1660,Tbl_KPIMaster[KPI],0)),"")</f>
        <v/>
      </c>
      <c r="J1660" s="9" t="n">
        <v>0.0118</v>
      </c>
      <c r="K1660" s="8">
        <f>IFERROR(INDEX(Tbl_KPIMaster[Tolerance],MATCH($G1660,Tbl_KPIMaster[KPI],0)),"")</f>
        <v/>
      </c>
      <c r="L1660" s="8">
        <f>IFERROR(INDEX(Tbl_KPIMaster[Owner],MATCH($G1660,Tbl_KPIMaster[KPI],0)),"")</f>
        <v/>
      </c>
      <c r="M1660" s="10" t="inlineStr">
        <is>
          <t>Process improvement in progress</t>
        </is>
      </c>
      <c r="N1660" s="8" t="inlineStr">
        <is>
          <t>Procurement follow-up</t>
        </is>
      </c>
      <c r="O1660" s="8" t="inlineStr">
        <is>
          <t>High</t>
        </is>
      </c>
      <c r="P1660" s="8" t="inlineStr">
        <is>
          <t>Closed</t>
        </is>
      </c>
      <c r="Q1660" s="9">
        <f>IFERROR(IF(INDEX(Tbl_KPIMaster[Direction],MATCH($G1660,Tbl_KPIMaster[KPI],0))="Lower is Better",IF($J1660=0,1,IF($I1660=0,0,$I1660/$J1660)),IF($I1660=0,1,$J1660/$I1660)),0)</f>
        <v/>
      </c>
      <c r="R1660" s="8">
        <f>IF(OR($I1660="",$J1660=""),"",$J1660-$I1660)</f>
        <v/>
      </c>
      <c r="S1660" s="8">
        <f>IFERROR(IF(INDEX(Tbl_KPIMaster[Direction],MATCH($G1660,Tbl_KPIMaster[KPI],0))="Lower is Better",IF($J1660&lt;=$I1660,"Green",IF($J1660&lt;=$I1660+IF($I1660=0,$K1660,$I1660*$K1660),"Amber","Red")),IF($J1660&gt;=$I1660,"Green",IF($J1660&gt;=$I1660-IF($I1660=0,$K1660,$I1660*$K1660),"Amber","Red"))),"")</f>
        <v/>
      </c>
      <c r="T1660" s="10" t="inlineStr"/>
    </row>
    <row r="1661">
      <c r="A1661" s="3" t="n">
        <v>46212</v>
      </c>
      <c r="B1661" s="4">
        <f>IF($A1661="","",TEXT($A1661,"mmm-yyyy"))</f>
        <v/>
      </c>
      <c r="C1661" s="4">
        <f>IF($A1661="","","W"&amp;WEEKNUM($A1661,2))</f>
        <v/>
      </c>
      <c r="D1661" s="4">
        <f>IF($A1661="","",TEXT($A1661,"ddd"))</f>
        <v/>
      </c>
      <c r="E1661" s="4" t="inlineStr">
        <is>
          <t>Energy</t>
        </is>
      </c>
      <c r="F1661" s="4">
        <f>IFERROR(INDEX(Tbl_KPIMaster[Category],MATCH($G1661,Tbl_KPIMaster[KPI],0)),"")</f>
        <v/>
      </c>
      <c r="G1661" s="4" t="inlineStr">
        <is>
          <t>Energy Intensity (kWh/unit)</t>
        </is>
      </c>
      <c r="H1661" s="4">
        <f>IFERROR(INDEX(Tbl_KPIMaster[Unit],MATCH($G1661,Tbl_KPIMaster[KPI],0)),"")</f>
        <v/>
      </c>
      <c r="I1661" s="5">
        <f>IFERROR(INDEX(Tbl_KPIMaster[Maximum Target],MATCH($G1661,Tbl_KPIMaster[KPI],0)),"")</f>
        <v/>
      </c>
      <c r="J1661" s="5" t="n">
        <v>4.05</v>
      </c>
      <c r="K1661" s="4">
        <f>IFERROR(INDEX(Tbl_KPIMaster[Tolerance],MATCH($G1661,Tbl_KPIMaster[KPI],0)),"")</f>
        <v/>
      </c>
      <c r="L1661" s="4">
        <f>IFERROR(INDEX(Tbl_KPIMaster[Owner],MATCH($G1661,Tbl_KPIMaster[KPI],0)),"")</f>
        <v/>
      </c>
      <c r="M1661" s="6" t="inlineStr">
        <is>
          <t>Vendor delay</t>
        </is>
      </c>
      <c r="N1661" s="4" t="inlineStr">
        <is>
          <t>Engineering support needed</t>
        </is>
      </c>
      <c r="O1661" s="4" t="inlineStr">
        <is>
          <t>Low</t>
        </is>
      </c>
      <c r="P1661" s="4" t="inlineStr">
        <is>
          <t>Closed</t>
        </is>
      </c>
      <c r="Q1661" s="5">
        <f>IFERROR(IF(INDEX(Tbl_KPIMaster[Direction],MATCH($G1661,Tbl_KPIMaster[KPI],0))="Lower is Better",IF($J1661=0,1,IF($I1661=0,0,$I1661/$J1661)),IF($I1661=0,1,$J1661/$I1661)),0)</f>
        <v/>
      </c>
      <c r="R1661" s="4">
        <f>IF(OR($I1661="",$J1661=""),"",$J1661-$I1661)</f>
        <v/>
      </c>
      <c r="S1661" s="4">
        <f>IFERROR(IF(INDEX(Tbl_KPIMaster[Direction],MATCH($G1661,Tbl_KPIMaster[KPI],0))="Lower is Better",IF($J1661&lt;=$I1661,"Green",IF($J1661&lt;=$I1661+IF($I1661=0,$K1661,$I1661*$K1661),"Amber","Red")),IF($J1661&gt;=$I1661,"Green",IF($J1661&gt;=$I1661-IF($I1661=0,$K1661,$I1661*$K1661),"Amber","Red"))),"")</f>
        <v/>
      </c>
      <c r="T1661" s="6" t="inlineStr"/>
    </row>
    <row r="1662">
      <c r="A1662" s="7" t="n">
        <v>46212</v>
      </c>
      <c r="B1662" s="8">
        <f>IF($A1662="","",TEXT($A1662,"mmm-yyyy"))</f>
        <v/>
      </c>
      <c r="C1662" s="8">
        <f>IF($A1662="","","W"&amp;WEEKNUM($A1662,2))</f>
        <v/>
      </c>
      <c r="D1662" s="8">
        <f>IF($A1662="","",TEXT($A1662,"ddd"))</f>
        <v/>
      </c>
      <c r="E1662" s="8" t="inlineStr">
        <is>
          <t>Energy</t>
        </is>
      </c>
      <c r="F1662" s="8">
        <f>IFERROR(INDEX(Tbl_KPIMaster[Category],MATCH($G1662,Tbl_KPIMaster[KPI],0)),"")</f>
        <v/>
      </c>
      <c r="G1662" s="8" t="inlineStr">
        <is>
          <t>Renewable Energy Share %</t>
        </is>
      </c>
      <c r="H1662" s="8">
        <f>IFERROR(INDEX(Tbl_KPIMaster[Unit],MATCH($G1662,Tbl_KPIMaster[KPI],0)),"")</f>
        <v/>
      </c>
      <c r="I1662" s="9">
        <f>IFERROR(INDEX(Tbl_KPIMaster[Maximum Target],MATCH($G1662,Tbl_KPIMaster[KPI],0)),"")</f>
        <v/>
      </c>
      <c r="J1662" s="9" t="n">
        <v>0.2154</v>
      </c>
      <c r="K1662" s="8">
        <f>IFERROR(INDEX(Tbl_KPIMaster[Tolerance],MATCH($G1662,Tbl_KPIMaster[KPI],0)),"")</f>
        <v/>
      </c>
      <c r="L1662" s="8">
        <f>IFERROR(INDEX(Tbl_KPIMaster[Owner],MATCH($G1662,Tbl_KPIMaster[KPI],0)),"")</f>
        <v/>
      </c>
      <c r="M1662" s="10" t="inlineStr">
        <is>
          <t>Equipment breakdown</t>
        </is>
      </c>
      <c r="N1662" s="8" t="inlineStr"/>
      <c r="O1662" s="8" t="inlineStr">
        <is>
          <t>Medium</t>
        </is>
      </c>
      <c r="P1662" s="8" t="inlineStr">
        <is>
          <t>Closed</t>
        </is>
      </c>
      <c r="Q1662" s="9">
        <f>IFERROR(IF(INDEX(Tbl_KPIMaster[Direction],MATCH($G1662,Tbl_KPIMaster[KPI],0))="Lower is Better",IF($J1662=0,1,IF($I1662=0,0,$I1662/$J1662)),IF($I1662=0,1,$J1662/$I1662)),0)</f>
        <v/>
      </c>
      <c r="R1662" s="8">
        <f>IF(OR($I1662="",$J1662=""),"",$J1662-$I1662)</f>
        <v/>
      </c>
      <c r="S1662" s="8">
        <f>IFERROR(IF(INDEX(Tbl_KPIMaster[Direction],MATCH($G1662,Tbl_KPIMaster[KPI],0))="Lower is Better",IF($J1662&lt;=$I1662,"Green",IF($J1662&lt;=$I1662+IF($I1662=0,$K1662,$I1662*$K1662),"Amber","Red")),IF($J1662&gt;=$I1662,"Green",IF($J1662&gt;=$I1662-IF($I1662=0,$K1662,$I1662*$K1662),"Amber","Red"))),"")</f>
        <v/>
      </c>
      <c r="T1662" s="10" t="inlineStr"/>
    </row>
    <row r="1663">
      <c r="A1663" s="3" t="n">
        <v>46213</v>
      </c>
      <c r="B1663" s="4">
        <f>IF($A1663="","",TEXT($A1663,"mmm-yyyy"))</f>
        <v/>
      </c>
      <c r="C1663" s="4">
        <f>IF($A1663="","","W"&amp;WEEKNUM($A1663,2))</f>
        <v/>
      </c>
      <c r="D1663" s="4">
        <f>IF($A1663="","",TEXT($A1663,"ddd"))</f>
        <v/>
      </c>
      <c r="E1663" s="4" t="inlineStr">
        <is>
          <t>Safety</t>
        </is>
      </c>
      <c r="F1663" s="4">
        <f>IFERROR(INDEX(Tbl_KPIMaster[Category],MATCH($G1663,Tbl_KPIMaster[KPI],0)),"")</f>
        <v/>
      </c>
      <c r="G1663" s="4" t="inlineStr">
        <is>
          <t>Safety Incidents (LTI)</t>
        </is>
      </c>
      <c r="H1663" s="4">
        <f>IFERROR(INDEX(Tbl_KPIMaster[Unit],MATCH($G1663,Tbl_KPIMaster[KPI],0)),"")</f>
        <v/>
      </c>
      <c r="I1663" s="5">
        <f>IFERROR(INDEX(Tbl_KPIMaster[Maximum Target],MATCH($G1663,Tbl_KPIMaster[KPI],0)),"")</f>
        <v/>
      </c>
      <c r="J1663" s="5" t="n">
        <v>3</v>
      </c>
      <c r="K1663" s="4">
        <f>IFERROR(INDEX(Tbl_KPIMaster[Tolerance],MATCH($G1663,Tbl_KPIMaster[KPI],0)),"")</f>
        <v/>
      </c>
      <c r="L1663" s="4">
        <f>IFERROR(INDEX(Tbl_KPIMaster[Owner],MATCH($G1663,Tbl_KPIMaster[KPI],0)),"")</f>
        <v/>
      </c>
      <c r="M1663" s="6" t="inlineStr"/>
      <c r="N1663" s="4" t="inlineStr">
        <is>
          <t>Management approval pending</t>
        </is>
      </c>
      <c r="O1663" s="4" t="inlineStr">
        <is>
          <t>Medium</t>
        </is>
      </c>
      <c r="P1663" s="4" t="inlineStr">
        <is>
          <t>Open</t>
        </is>
      </c>
      <c r="Q1663" s="5">
        <f>IFERROR(IF(INDEX(Tbl_KPIMaster[Direction],MATCH($G1663,Tbl_KPIMaster[KPI],0))="Lower is Better",IF($J1663=0,1,IF($I1663=0,0,$I1663/$J1663)),IF($I1663=0,1,$J1663/$I1663)),0)</f>
        <v/>
      </c>
      <c r="R1663" s="4">
        <f>IF(OR($I1663="",$J1663=""),"",$J1663-$I1663)</f>
        <v/>
      </c>
      <c r="S1663" s="4">
        <f>IFERROR(IF(INDEX(Tbl_KPIMaster[Direction],MATCH($G1663,Tbl_KPIMaster[KPI],0))="Lower is Better",IF($J1663&lt;=$I1663,"Green",IF($J1663&lt;=$I1663+IF($I1663=0,$K1663,$I1663*$K1663),"Amber","Red")),IF($J1663&gt;=$I1663,"Green",IF($J1663&gt;=$I1663-IF($I1663=0,$K1663,$I1663*$K1663),"Amber","Red"))),"")</f>
        <v/>
      </c>
      <c r="T1663" s="6" t="inlineStr"/>
    </row>
    <row r="1664">
      <c r="A1664" s="7" t="n">
        <v>46213</v>
      </c>
      <c r="B1664" s="8">
        <f>IF($A1664="","",TEXT($A1664,"mmm-yyyy"))</f>
        <v/>
      </c>
      <c r="C1664" s="8">
        <f>IF($A1664="","","W"&amp;WEEKNUM($A1664,2))</f>
        <v/>
      </c>
      <c r="D1664" s="8">
        <f>IF($A1664="","",TEXT($A1664,"ddd"))</f>
        <v/>
      </c>
      <c r="E1664" s="8" t="inlineStr">
        <is>
          <t>Safety</t>
        </is>
      </c>
      <c r="F1664" s="8">
        <f>IFERROR(INDEX(Tbl_KPIMaster[Category],MATCH($G1664,Tbl_KPIMaster[KPI],0)),"")</f>
        <v/>
      </c>
      <c r="G1664" s="8" t="inlineStr">
        <is>
          <t>Near Miss Reports</t>
        </is>
      </c>
      <c r="H1664" s="8">
        <f>IFERROR(INDEX(Tbl_KPIMaster[Unit],MATCH($G1664,Tbl_KPIMaster[KPI],0)),"")</f>
        <v/>
      </c>
      <c r="I1664" s="9">
        <f>IFERROR(INDEX(Tbl_KPIMaster[Maximum Target],MATCH($G1664,Tbl_KPIMaster[KPI],0)),"")</f>
        <v/>
      </c>
      <c r="J1664" s="9" t="n">
        <v>2</v>
      </c>
      <c r="K1664" s="8">
        <f>IFERROR(INDEX(Tbl_KPIMaster[Tolerance],MATCH($G1664,Tbl_KPIMaster[KPI],0)),"")</f>
        <v/>
      </c>
      <c r="L1664" s="8">
        <f>IFERROR(INDEX(Tbl_KPIMaster[Owner],MATCH($G1664,Tbl_KPIMaster[KPI],0)),"")</f>
        <v/>
      </c>
      <c r="M1664" s="10" t="inlineStr">
        <is>
          <t>Equipment breakdown</t>
        </is>
      </c>
      <c r="N1664" s="8" t="inlineStr"/>
      <c r="O1664" s="8" t="inlineStr">
        <is>
          <t>High</t>
        </is>
      </c>
      <c r="P1664" s="8" t="inlineStr">
        <is>
          <t>In Progress</t>
        </is>
      </c>
      <c r="Q1664" s="9">
        <f>IFERROR(IF(INDEX(Tbl_KPIMaster[Direction],MATCH($G1664,Tbl_KPIMaster[KPI],0))="Lower is Better",IF($J1664=0,1,IF($I1664=0,0,$I1664/$J1664)),IF($I1664=0,1,$J1664/$I1664)),0)</f>
        <v/>
      </c>
      <c r="R1664" s="8">
        <f>IF(OR($I1664="",$J1664=""),"",$J1664-$I1664)</f>
        <v/>
      </c>
      <c r="S1664" s="8">
        <f>IFERROR(IF(INDEX(Tbl_KPIMaster[Direction],MATCH($G1664,Tbl_KPIMaster[KPI],0))="Lower is Better",IF($J1664&lt;=$I1664,"Green",IF($J1664&lt;=$I1664+IF($I1664=0,$K1664,$I1664*$K1664),"Amber","Red")),IF($J1664&gt;=$I1664,"Green",IF($J1664&gt;=$I1664-IF($I1664=0,$K1664,$I1664*$K1664),"Amber","Red"))),"")</f>
        <v/>
      </c>
      <c r="T1664" s="10" t="inlineStr"/>
    </row>
    <row r="1665">
      <c r="A1665" s="3" t="n">
        <v>46213</v>
      </c>
      <c r="B1665" s="4">
        <f>IF($A1665="","",TEXT($A1665,"mmm-yyyy"))</f>
        <v/>
      </c>
      <c r="C1665" s="4">
        <f>IF($A1665="","","W"&amp;WEEKNUM($A1665,2))</f>
        <v/>
      </c>
      <c r="D1665" s="4">
        <f>IF($A1665="","",TEXT($A1665,"ddd"))</f>
        <v/>
      </c>
      <c r="E1665" s="4" t="inlineStr">
        <is>
          <t>Production</t>
        </is>
      </c>
      <c r="F1665" s="4">
        <f>IFERROR(INDEX(Tbl_KPIMaster[Category],MATCH($G1665,Tbl_KPIMaster[KPI],0)),"")</f>
        <v/>
      </c>
      <c r="G1665" s="4" t="inlineStr">
        <is>
          <t>Production Output</t>
        </is>
      </c>
      <c r="H1665" s="4">
        <f>IFERROR(INDEX(Tbl_KPIMaster[Unit],MATCH($G1665,Tbl_KPIMaster[KPI],0)),"")</f>
        <v/>
      </c>
      <c r="I1665" s="5">
        <f>IFERROR(INDEX(Tbl_KPIMaster[Maximum Target],MATCH($G1665,Tbl_KPIMaster[KPI],0)),"")</f>
        <v/>
      </c>
      <c r="J1665" s="5" t="n">
        <v>975.27</v>
      </c>
      <c r="K1665" s="4">
        <f>IFERROR(INDEX(Tbl_KPIMaster[Tolerance],MATCH($G1665,Tbl_KPIMaster[KPI],0)),"")</f>
        <v/>
      </c>
      <c r="L1665" s="4">
        <f>IFERROR(INDEX(Tbl_KPIMaster[Owner],MATCH($G1665,Tbl_KPIMaster[KPI],0)),"")</f>
        <v/>
      </c>
      <c r="M1665" s="6" t="inlineStr">
        <is>
          <t>Line changeover impact</t>
        </is>
      </c>
      <c r="N1665" s="4" t="inlineStr"/>
      <c r="O1665" s="4" t="inlineStr">
        <is>
          <t>Medium</t>
        </is>
      </c>
      <c r="P1665" s="4" t="inlineStr">
        <is>
          <t>Open</t>
        </is>
      </c>
      <c r="Q1665" s="5">
        <f>IFERROR(IF(INDEX(Tbl_KPIMaster[Direction],MATCH($G1665,Tbl_KPIMaster[KPI],0))="Lower is Better",IF($J1665=0,1,IF($I1665=0,0,$I1665/$J1665)),IF($I1665=0,1,$J1665/$I1665)),0)</f>
        <v/>
      </c>
      <c r="R1665" s="4">
        <f>IF(OR($I1665="",$J1665=""),"",$J1665-$I1665)</f>
        <v/>
      </c>
      <c r="S1665" s="4">
        <f>IFERROR(IF(INDEX(Tbl_KPIMaster[Direction],MATCH($G1665,Tbl_KPIMaster[KPI],0))="Lower is Better",IF($J1665&lt;=$I1665,"Green",IF($J1665&lt;=$I1665+IF($I1665=0,$K1665,$I1665*$K1665),"Amber","Red")),IF($J1665&gt;=$I1665,"Green",IF($J1665&gt;=$I1665-IF($I1665=0,$K1665,$I1665*$K1665),"Amber","Red"))),"")</f>
        <v/>
      </c>
      <c r="T1665" s="6" t="inlineStr"/>
    </row>
    <row r="1666">
      <c r="A1666" s="7" t="n">
        <v>46213</v>
      </c>
      <c r="B1666" s="8">
        <f>IF($A1666="","",TEXT($A1666,"mmm-yyyy"))</f>
        <v/>
      </c>
      <c r="C1666" s="8">
        <f>IF($A1666="","","W"&amp;WEEKNUM($A1666,2))</f>
        <v/>
      </c>
      <c r="D1666" s="8">
        <f>IF($A1666="","",TEXT($A1666,"ddd"))</f>
        <v/>
      </c>
      <c r="E1666" s="8" t="inlineStr">
        <is>
          <t>Production</t>
        </is>
      </c>
      <c r="F1666" s="8">
        <f>IFERROR(INDEX(Tbl_KPIMaster[Category],MATCH($G1666,Tbl_KPIMaster[KPI],0)),"")</f>
        <v/>
      </c>
      <c r="G1666" s="8" t="inlineStr">
        <is>
          <t>OEE %</t>
        </is>
      </c>
      <c r="H1666" s="8">
        <f>IFERROR(INDEX(Tbl_KPIMaster[Unit],MATCH($G1666,Tbl_KPIMaster[KPI],0)),"")</f>
        <v/>
      </c>
      <c r="I1666" s="9">
        <f>IFERROR(INDEX(Tbl_KPIMaster[Maximum Target],MATCH($G1666,Tbl_KPIMaster[KPI],0)),"")</f>
        <v/>
      </c>
      <c r="J1666" s="9" t="n">
        <v>0.8689</v>
      </c>
      <c r="K1666" s="8">
        <f>IFERROR(INDEX(Tbl_KPIMaster[Tolerance],MATCH($G1666,Tbl_KPIMaster[KPI],0)),"")</f>
        <v/>
      </c>
      <c r="L1666" s="8">
        <f>IFERROR(INDEX(Tbl_KPIMaster[Owner],MATCH($G1666,Tbl_KPIMaster[KPI],0)),"")</f>
        <v/>
      </c>
      <c r="M1666" s="10" t="inlineStr">
        <is>
          <t>Process improvement in progress</t>
        </is>
      </c>
      <c r="N1666" s="8" t="inlineStr"/>
      <c r="O1666" s="8" t="inlineStr">
        <is>
          <t>Low</t>
        </is>
      </c>
      <c r="P1666" s="8" t="inlineStr">
        <is>
          <t>Open</t>
        </is>
      </c>
      <c r="Q1666" s="9">
        <f>IFERROR(IF(INDEX(Tbl_KPIMaster[Direction],MATCH($G1666,Tbl_KPIMaster[KPI],0))="Lower is Better",IF($J1666=0,1,IF($I1666=0,0,$I1666/$J1666)),IF($I1666=0,1,$J1666/$I1666)),0)</f>
        <v/>
      </c>
      <c r="R1666" s="8">
        <f>IF(OR($I1666="",$J1666=""),"",$J1666-$I1666)</f>
        <v/>
      </c>
      <c r="S1666" s="8">
        <f>IFERROR(IF(INDEX(Tbl_KPIMaster[Direction],MATCH($G1666,Tbl_KPIMaster[KPI],0))="Lower is Better",IF($J1666&lt;=$I1666,"Green",IF($J1666&lt;=$I1666+IF($I1666=0,$K1666,$I1666*$K1666),"Amber","Red")),IF($J1666&gt;=$I1666,"Green",IF($J1666&gt;=$I1666-IF($I1666=0,$K1666,$I1666*$K1666),"Amber","Red"))),"")</f>
        <v/>
      </c>
      <c r="T1666" s="10" t="inlineStr"/>
    </row>
    <row r="1667">
      <c r="A1667" s="3" t="n">
        <v>46213</v>
      </c>
      <c r="B1667" s="4">
        <f>IF($A1667="","",TEXT($A1667,"mmm-yyyy"))</f>
        <v/>
      </c>
      <c r="C1667" s="4">
        <f>IF($A1667="","","W"&amp;WEEKNUM($A1667,2))</f>
        <v/>
      </c>
      <c r="D1667" s="4">
        <f>IF($A1667="","",TEXT($A1667,"ddd"))</f>
        <v/>
      </c>
      <c r="E1667" s="4" t="inlineStr">
        <is>
          <t>Quality</t>
        </is>
      </c>
      <c r="F1667" s="4">
        <f>IFERROR(INDEX(Tbl_KPIMaster[Category],MATCH($G1667,Tbl_KPIMaster[KPI],0)),"")</f>
        <v/>
      </c>
      <c r="G1667" s="4" t="inlineStr">
        <is>
          <t>Defect Rate %</t>
        </is>
      </c>
      <c r="H1667" s="4">
        <f>IFERROR(INDEX(Tbl_KPIMaster[Unit],MATCH($G1667,Tbl_KPIMaster[KPI],0)),"")</f>
        <v/>
      </c>
      <c r="I1667" s="5">
        <f>IFERROR(INDEX(Tbl_KPIMaster[Maximum Target],MATCH($G1667,Tbl_KPIMaster[KPI],0)),"")</f>
        <v/>
      </c>
      <c r="J1667" s="5" t="n">
        <v>0.4393</v>
      </c>
      <c r="K1667" s="4">
        <f>IFERROR(INDEX(Tbl_KPIMaster[Tolerance],MATCH($G1667,Tbl_KPIMaster[KPI],0)),"")</f>
        <v/>
      </c>
      <c r="L1667" s="4">
        <f>IFERROR(INDEX(Tbl_KPIMaster[Owner],MATCH($G1667,Tbl_KPIMaster[KPI],0)),"")</f>
        <v/>
      </c>
      <c r="M1667" s="6" t="inlineStr">
        <is>
          <t>Weather impact</t>
        </is>
      </c>
      <c r="N1667" s="4" t="inlineStr"/>
      <c r="O1667" s="4" t="inlineStr">
        <is>
          <t>Medium</t>
        </is>
      </c>
      <c r="P1667" s="4" t="inlineStr">
        <is>
          <t>Closed</t>
        </is>
      </c>
      <c r="Q1667" s="5">
        <f>IFERROR(IF(INDEX(Tbl_KPIMaster[Direction],MATCH($G1667,Tbl_KPIMaster[KPI],0))="Lower is Better",IF($J1667=0,1,IF($I1667=0,0,$I1667/$J1667)),IF($I1667=0,1,$J1667/$I1667)),0)</f>
        <v/>
      </c>
      <c r="R1667" s="4">
        <f>IF(OR($I1667="",$J1667=""),"",$J1667-$I1667)</f>
        <v/>
      </c>
      <c r="S1667" s="4">
        <f>IFERROR(IF(INDEX(Tbl_KPIMaster[Direction],MATCH($G1667,Tbl_KPIMaster[KPI],0))="Lower is Better",IF($J1667&lt;=$I1667,"Green",IF($J1667&lt;=$I1667+IF($I1667=0,$K1667,$I1667*$K1667),"Amber","Red")),IF($J1667&gt;=$I1667,"Green",IF($J1667&gt;=$I1667-IF($I1667=0,$K1667,$I1667*$K1667),"Amber","Red"))),"")</f>
        <v/>
      </c>
      <c r="T1667" s="6" t="inlineStr"/>
    </row>
    <row r="1668">
      <c r="A1668" s="7" t="n">
        <v>46213</v>
      </c>
      <c r="B1668" s="8">
        <f>IF($A1668="","",TEXT($A1668,"mmm-yyyy"))</f>
        <v/>
      </c>
      <c r="C1668" s="8">
        <f>IF($A1668="","","W"&amp;WEEKNUM($A1668,2))</f>
        <v/>
      </c>
      <c r="D1668" s="8">
        <f>IF($A1668="","",TEXT($A1668,"ddd"))</f>
        <v/>
      </c>
      <c r="E1668" s="8" t="inlineStr">
        <is>
          <t>Quality</t>
        </is>
      </c>
      <c r="F1668" s="8">
        <f>IFERROR(INDEX(Tbl_KPIMaster[Category],MATCH($G1668,Tbl_KPIMaster[KPI],0)),"")</f>
        <v/>
      </c>
      <c r="G1668" s="8" t="inlineStr">
        <is>
          <t>Customer Complaints</t>
        </is>
      </c>
      <c r="H1668" s="8">
        <f>IFERROR(INDEX(Tbl_KPIMaster[Unit],MATCH($G1668,Tbl_KPIMaster[KPI],0)),"")</f>
        <v/>
      </c>
      <c r="I1668" s="9">
        <f>IFERROR(INDEX(Tbl_KPIMaster[Maximum Target],MATCH($G1668,Tbl_KPIMaster[KPI],0)),"")</f>
        <v/>
      </c>
      <c r="J1668" s="9" t="n">
        <v>0</v>
      </c>
      <c r="K1668" s="8">
        <f>IFERROR(INDEX(Tbl_KPIMaster[Tolerance],MATCH($G1668,Tbl_KPIMaster[KPI],0)),"")</f>
        <v/>
      </c>
      <c r="L1668" s="8">
        <f>IFERROR(INDEX(Tbl_KPIMaster[Owner],MATCH($G1668,Tbl_KPIMaster[KPI],0)),"")</f>
        <v/>
      </c>
      <c r="M1668" s="10" t="inlineStr">
        <is>
          <t>Within normal range</t>
        </is>
      </c>
      <c r="N1668" s="8" t="inlineStr">
        <is>
          <t>Management approval pending</t>
        </is>
      </c>
      <c r="O1668" s="8" t="inlineStr">
        <is>
          <t>Low</t>
        </is>
      </c>
      <c r="P1668" s="8" t="inlineStr">
        <is>
          <t>Closed</t>
        </is>
      </c>
      <c r="Q1668" s="9">
        <f>IFERROR(IF(INDEX(Tbl_KPIMaster[Direction],MATCH($G1668,Tbl_KPIMaster[KPI],0))="Lower is Better",IF($J1668=0,1,IF($I1668=0,0,$I1668/$J1668)),IF($I1668=0,1,$J1668/$I1668)),0)</f>
        <v/>
      </c>
      <c r="R1668" s="8">
        <f>IF(OR($I1668="",$J1668=""),"",$J1668-$I1668)</f>
        <v/>
      </c>
      <c r="S1668" s="8">
        <f>IFERROR(IF(INDEX(Tbl_KPIMaster[Direction],MATCH($G1668,Tbl_KPIMaster[KPI],0))="Lower is Better",IF($J1668&lt;=$I1668,"Green",IF($J1668&lt;=$I1668+IF($I1668=0,$K1668,$I1668*$K1668),"Amber","Red")),IF($J1668&gt;=$I1668,"Green",IF($J1668&gt;=$I1668-IF($I1668=0,$K1668,$I1668*$K1668),"Amber","Red"))),"")</f>
        <v/>
      </c>
      <c r="T1668" s="10" t="inlineStr"/>
    </row>
    <row r="1669">
      <c r="A1669" s="3" t="n">
        <v>46213</v>
      </c>
      <c r="B1669" s="4">
        <f>IF($A1669="","",TEXT($A1669,"mmm-yyyy"))</f>
        <v/>
      </c>
      <c r="C1669" s="4">
        <f>IF($A1669="","","W"&amp;WEEKNUM($A1669,2))</f>
        <v/>
      </c>
      <c r="D1669" s="4">
        <f>IF($A1669="","",TEXT($A1669,"ddd"))</f>
        <v/>
      </c>
      <c r="E1669" s="4" t="inlineStr">
        <is>
          <t>Maintenance</t>
        </is>
      </c>
      <c r="F1669" s="4">
        <f>IFERROR(INDEX(Tbl_KPIMaster[Category],MATCH($G1669,Tbl_KPIMaster[KPI],0)),"")</f>
        <v/>
      </c>
      <c r="G1669" s="4" t="inlineStr">
        <is>
          <t>Unplanned Downtime</t>
        </is>
      </c>
      <c r="H1669" s="4">
        <f>IFERROR(INDEX(Tbl_KPIMaster[Unit],MATCH($G1669,Tbl_KPIMaster[KPI],0)),"")</f>
        <v/>
      </c>
      <c r="I1669" s="5">
        <f>IFERROR(INDEX(Tbl_KPIMaster[Maximum Target],MATCH($G1669,Tbl_KPIMaster[KPI],0)),"")</f>
        <v/>
      </c>
      <c r="J1669" s="5" t="n">
        <v>0</v>
      </c>
      <c r="K1669" s="4">
        <f>IFERROR(INDEX(Tbl_KPIMaster[Tolerance],MATCH($G1669,Tbl_KPIMaster[KPI],0)),"")</f>
        <v/>
      </c>
      <c r="L1669" s="4">
        <f>IFERROR(INDEX(Tbl_KPIMaster[Owner],MATCH($G1669,Tbl_KPIMaster[KPI],0)),"")</f>
        <v/>
      </c>
      <c r="M1669" s="6" t="inlineStr">
        <is>
          <t>Manpower shortage</t>
        </is>
      </c>
      <c r="N1669" s="4" t="inlineStr">
        <is>
          <t>Engineering support needed</t>
        </is>
      </c>
      <c r="O1669" s="4" t="inlineStr">
        <is>
          <t>Medium</t>
        </is>
      </c>
      <c r="P1669" s="4" t="inlineStr">
        <is>
          <t>Closed</t>
        </is>
      </c>
      <c r="Q1669" s="5">
        <f>IFERROR(IF(INDEX(Tbl_KPIMaster[Direction],MATCH($G1669,Tbl_KPIMaster[KPI],0))="Lower is Better",IF($J1669=0,1,IF($I1669=0,0,$I1669/$J1669)),IF($I1669=0,1,$J1669/$I1669)),0)</f>
        <v/>
      </c>
      <c r="R1669" s="4">
        <f>IF(OR($I1669="",$J1669=""),"",$J1669-$I1669)</f>
        <v/>
      </c>
      <c r="S1669" s="4">
        <f>IFERROR(IF(INDEX(Tbl_KPIMaster[Direction],MATCH($G1669,Tbl_KPIMaster[KPI],0))="Lower is Better",IF($J1669&lt;=$I1669,"Green",IF($J1669&lt;=$I1669+IF($I1669=0,$K1669,$I1669*$K1669),"Amber","Red")),IF($J1669&gt;=$I1669,"Green",IF($J1669&gt;=$I1669-IF($I1669=0,$K1669,$I1669*$K1669),"Amber","Red"))),"")</f>
        <v/>
      </c>
      <c r="T1669" s="6" t="inlineStr"/>
    </row>
    <row r="1670">
      <c r="A1670" s="7" t="n">
        <v>46213</v>
      </c>
      <c r="B1670" s="8">
        <f>IF($A1670="","",TEXT($A1670,"mmm-yyyy"))</f>
        <v/>
      </c>
      <c r="C1670" s="8">
        <f>IF($A1670="","","W"&amp;WEEKNUM($A1670,2))</f>
        <v/>
      </c>
      <c r="D1670" s="8">
        <f>IF($A1670="","",TEXT($A1670,"ddd"))</f>
        <v/>
      </c>
      <c r="E1670" s="8" t="inlineStr">
        <is>
          <t>Maintenance</t>
        </is>
      </c>
      <c r="F1670" s="8">
        <f>IFERROR(INDEX(Tbl_KPIMaster[Category],MATCH($G1670,Tbl_KPIMaster[KPI],0)),"")</f>
        <v/>
      </c>
      <c r="G1670" s="8" t="inlineStr">
        <is>
          <t>PM Compliance %</t>
        </is>
      </c>
      <c r="H1670" s="8">
        <f>IFERROR(INDEX(Tbl_KPIMaster[Unit],MATCH($G1670,Tbl_KPIMaster[KPI],0)),"")</f>
        <v/>
      </c>
      <c r="I1670" s="9">
        <f>IFERROR(INDEX(Tbl_KPIMaster[Maximum Target],MATCH($G1670,Tbl_KPIMaster[KPI],0)),"")</f>
        <v/>
      </c>
      <c r="J1670" s="9" t="n">
        <v>0.8491</v>
      </c>
      <c r="K1670" s="8">
        <f>IFERROR(INDEX(Tbl_KPIMaster[Tolerance],MATCH($G1670,Tbl_KPIMaster[KPI],0)),"")</f>
        <v/>
      </c>
      <c r="L1670" s="8">
        <f>IFERROR(INDEX(Tbl_KPIMaster[Owner],MATCH($G1670,Tbl_KPIMaster[KPI],0)),"")</f>
        <v/>
      </c>
      <c r="M1670" s="10" t="inlineStr">
        <is>
          <t>New operator training effect</t>
        </is>
      </c>
      <c r="N1670" s="8" t="inlineStr"/>
      <c r="O1670" s="8" t="inlineStr">
        <is>
          <t>Low</t>
        </is>
      </c>
      <c r="P1670" s="8" t="inlineStr">
        <is>
          <t>Open</t>
        </is>
      </c>
      <c r="Q1670" s="9">
        <f>IFERROR(IF(INDEX(Tbl_KPIMaster[Direction],MATCH($G1670,Tbl_KPIMaster[KPI],0))="Lower is Better",IF($J1670=0,1,IF($I1670=0,0,$I1670/$J1670)),IF($I1670=0,1,$J1670/$I1670)),0)</f>
        <v/>
      </c>
      <c r="R1670" s="8">
        <f>IF(OR($I1670="",$J1670=""),"",$J1670-$I1670)</f>
        <v/>
      </c>
      <c r="S1670" s="8">
        <f>IFERROR(IF(INDEX(Tbl_KPIMaster[Direction],MATCH($G1670,Tbl_KPIMaster[KPI],0))="Lower is Better",IF($J1670&lt;=$I1670,"Green",IF($J1670&lt;=$I1670+IF($I1670=0,$K1670,$I1670*$K1670),"Amber","Red")),IF($J1670&gt;=$I1670,"Green",IF($J1670&gt;=$I1670-IF($I1670=0,$K1670,$I1670*$K1670),"Amber","Red"))),"")</f>
        <v/>
      </c>
      <c r="T1670" s="10" t="inlineStr"/>
    </row>
    <row r="1671">
      <c r="A1671" s="3" t="n">
        <v>46213</v>
      </c>
      <c r="B1671" s="4">
        <f>IF($A1671="","",TEXT($A1671,"mmm-yyyy"))</f>
        <v/>
      </c>
      <c r="C1671" s="4">
        <f>IF($A1671="","","W"&amp;WEEKNUM($A1671,2))</f>
        <v/>
      </c>
      <c r="D1671" s="4">
        <f>IF($A1671="","",TEXT($A1671,"ddd"))</f>
        <v/>
      </c>
      <c r="E1671" s="4" t="inlineStr">
        <is>
          <t>Utilities</t>
        </is>
      </c>
      <c r="F1671" s="4">
        <f>IFERROR(INDEX(Tbl_KPIMaster[Category],MATCH($G1671,Tbl_KPIMaster[KPI],0)),"")</f>
        <v/>
      </c>
      <c r="G1671" s="4" t="inlineStr">
        <is>
          <t>Power Consumption</t>
        </is>
      </c>
      <c r="H1671" s="4">
        <f>IFERROR(INDEX(Tbl_KPIMaster[Unit],MATCH($G1671,Tbl_KPIMaster[KPI],0)),"")</f>
        <v/>
      </c>
      <c r="I1671" s="5">
        <f>IFERROR(INDEX(Tbl_KPIMaster[Maximum Target],MATCH($G1671,Tbl_KPIMaster[KPI],0)),"")</f>
        <v/>
      </c>
      <c r="J1671" s="5" t="n">
        <v>3859.09</v>
      </c>
      <c r="K1671" s="4">
        <f>IFERROR(INDEX(Tbl_KPIMaster[Tolerance],MATCH($G1671,Tbl_KPIMaster[KPI],0)),"")</f>
        <v/>
      </c>
      <c r="L1671" s="4">
        <f>IFERROR(INDEX(Tbl_KPIMaster[Owner],MATCH($G1671,Tbl_KPIMaster[KPI],0)),"")</f>
        <v/>
      </c>
      <c r="M1671" s="6" t="inlineStr">
        <is>
          <t>New operator training effect</t>
        </is>
      </c>
      <c r="N1671" s="4" t="inlineStr">
        <is>
          <t>Engineering support needed</t>
        </is>
      </c>
      <c r="O1671" s="4" t="inlineStr">
        <is>
          <t>High</t>
        </is>
      </c>
      <c r="P1671" s="4" t="inlineStr">
        <is>
          <t>Open</t>
        </is>
      </c>
      <c r="Q1671" s="5">
        <f>IFERROR(IF(INDEX(Tbl_KPIMaster[Direction],MATCH($G1671,Tbl_KPIMaster[KPI],0))="Lower is Better",IF($J1671=0,1,IF($I1671=0,0,$I1671/$J1671)),IF($I1671=0,1,$J1671/$I1671)),0)</f>
        <v/>
      </c>
      <c r="R1671" s="4">
        <f>IF(OR($I1671="",$J1671=""),"",$J1671-$I1671)</f>
        <v/>
      </c>
      <c r="S1671" s="4">
        <f>IFERROR(IF(INDEX(Tbl_KPIMaster[Direction],MATCH($G1671,Tbl_KPIMaster[KPI],0))="Lower is Better",IF($J1671&lt;=$I1671,"Green",IF($J1671&lt;=$I1671+IF($I1671=0,$K1671,$I1671*$K1671),"Amber","Red")),IF($J1671&gt;=$I1671,"Green",IF($J1671&gt;=$I1671-IF($I1671=0,$K1671,$I1671*$K1671),"Amber","Red"))),"")</f>
        <v/>
      </c>
      <c r="T1671" s="6" t="inlineStr"/>
    </row>
    <row r="1672">
      <c r="A1672" s="7" t="n">
        <v>46213</v>
      </c>
      <c r="B1672" s="8">
        <f>IF($A1672="","",TEXT($A1672,"mmm-yyyy"))</f>
        <v/>
      </c>
      <c r="C1672" s="8">
        <f>IF($A1672="","","W"&amp;WEEKNUM($A1672,2))</f>
        <v/>
      </c>
      <c r="D1672" s="8">
        <f>IF($A1672="","",TEXT($A1672,"ddd"))</f>
        <v/>
      </c>
      <c r="E1672" s="8" t="inlineStr">
        <is>
          <t>Utilities</t>
        </is>
      </c>
      <c r="F1672" s="8">
        <f>IFERROR(INDEX(Tbl_KPIMaster[Category],MATCH($G1672,Tbl_KPIMaster[KPI],0)),"")</f>
        <v/>
      </c>
      <c r="G1672" s="8" t="inlineStr">
        <is>
          <t>Water Consumption</t>
        </is>
      </c>
      <c r="H1672" s="8">
        <f>IFERROR(INDEX(Tbl_KPIMaster[Unit],MATCH($G1672,Tbl_KPIMaster[KPI],0)),"")</f>
        <v/>
      </c>
      <c r="I1672" s="9">
        <f>IFERROR(INDEX(Tbl_KPIMaster[Maximum Target],MATCH($G1672,Tbl_KPIMaster[KPI],0)),"")</f>
        <v/>
      </c>
      <c r="J1672" s="9" t="n">
        <v>52.61</v>
      </c>
      <c r="K1672" s="8">
        <f>IFERROR(INDEX(Tbl_KPIMaster[Tolerance],MATCH($G1672,Tbl_KPIMaster[KPI],0)),"")</f>
        <v/>
      </c>
      <c r="L1672" s="8">
        <f>IFERROR(INDEX(Tbl_KPIMaster[Owner],MATCH($G1672,Tbl_KPIMaster[KPI],0)),"")</f>
        <v/>
      </c>
      <c r="M1672" s="10" t="inlineStr">
        <is>
          <t>Process improvement in progress</t>
        </is>
      </c>
      <c r="N1672" s="8" t="inlineStr"/>
      <c r="O1672" s="8" t="inlineStr">
        <is>
          <t>High</t>
        </is>
      </c>
      <c r="P1672" s="8" t="inlineStr">
        <is>
          <t>Open</t>
        </is>
      </c>
      <c r="Q1672" s="9">
        <f>IFERROR(IF(INDEX(Tbl_KPIMaster[Direction],MATCH($G1672,Tbl_KPIMaster[KPI],0))="Lower is Better",IF($J1672=0,1,IF($I1672=0,0,$I1672/$J1672)),IF($I1672=0,1,$J1672/$I1672)),0)</f>
        <v/>
      </c>
      <c r="R1672" s="8">
        <f>IF(OR($I1672="",$J1672=""),"",$J1672-$I1672)</f>
        <v/>
      </c>
      <c r="S1672" s="8">
        <f>IFERROR(IF(INDEX(Tbl_KPIMaster[Direction],MATCH($G1672,Tbl_KPIMaster[KPI],0))="Lower is Better",IF($J1672&lt;=$I1672,"Green",IF($J1672&lt;=$I1672+IF($I1672=0,$K1672,$I1672*$K1672),"Amber","Red")),IF($J1672&gt;=$I1672,"Green",IF($J1672&gt;=$I1672-IF($I1672=0,$K1672,$I1672*$K1672),"Amber","Red"))),"")</f>
        <v/>
      </c>
      <c r="T1672" s="10" t="inlineStr"/>
    </row>
    <row r="1673">
      <c r="A1673" s="3" t="n">
        <v>46213</v>
      </c>
      <c r="B1673" s="4">
        <f>IF($A1673="","",TEXT($A1673,"mmm-yyyy"))</f>
        <v/>
      </c>
      <c r="C1673" s="4">
        <f>IF($A1673="","","W"&amp;WEEKNUM($A1673,2))</f>
        <v/>
      </c>
      <c r="D1673" s="4">
        <f>IF($A1673="","",TEXT($A1673,"ddd"))</f>
        <v/>
      </c>
      <c r="E1673" s="4" t="inlineStr">
        <is>
          <t>Warehouse</t>
        </is>
      </c>
      <c r="F1673" s="4">
        <f>IFERROR(INDEX(Tbl_KPIMaster[Category],MATCH($G1673,Tbl_KPIMaster[KPI],0)),"")</f>
        <v/>
      </c>
      <c r="G1673" s="4" t="inlineStr">
        <is>
          <t>On-Time Dispatch %</t>
        </is>
      </c>
      <c r="H1673" s="4">
        <f>IFERROR(INDEX(Tbl_KPIMaster[Unit],MATCH($G1673,Tbl_KPIMaster[KPI],0)),"")</f>
        <v/>
      </c>
      <c r="I1673" s="5">
        <f>IFERROR(INDEX(Tbl_KPIMaster[Maximum Target],MATCH($G1673,Tbl_KPIMaster[KPI],0)),"")</f>
        <v/>
      </c>
      <c r="J1673" s="5" t="n">
        <v>1.0892</v>
      </c>
      <c r="K1673" s="4">
        <f>IFERROR(INDEX(Tbl_KPIMaster[Tolerance],MATCH($G1673,Tbl_KPIMaster[KPI],0)),"")</f>
        <v/>
      </c>
      <c r="L1673" s="4">
        <f>IFERROR(INDEX(Tbl_KPIMaster[Owner],MATCH($G1673,Tbl_KPIMaster[KPI],0)),"")</f>
        <v/>
      </c>
      <c r="M1673" s="6" t="inlineStr">
        <is>
          <t>Weather impact</t>
        </is>
      </c>
      <c r="N1673" s="4" t="inlineStr"/>
      <c r="O1673" s="4" t="inlineStr">
        <is>
          <t>Low</t>
        </is>
      </c>
      <c r="P1673" s="4" t="inlineStr">
        <is>
          <t>Open</t>
        </is>
      </c>
      <c r="Q1673" s="5">
        <f>IFERROR(IF(INDEX(Tbl_KPIMaster[Direction],MATCH($G1673,Tbl_KPIMaster[KPI],0))="Lower is Better",IF($J1673=0,1,IF($I1673=0,0,$I1673/$J1673)),IF($I1673=0,1,$J1673/$I1673)),0)</f>
        <v/>
      </c>
      <c r="R1673" s="4">
        <f>IF(OR($I1673="",$J1673=""),"",$J1673-$I1673)</f>
        <v/>
      </c>
      <c r="S1673" s="4">
        <f>IFERROR(IF(INDEX(Tbl_KPIMaster[Direction],MATCH($G1673,Tbl_KPIMaster[KPI],0))="Lower is Better",IF($J1673&lt;=$I1673,"Green",IF($J1673&lt;=$I1673+IF($I1673=0,$K1673,$I1673*$K1673),"Amber","Red")),IF($J1673&gt;=$I1673,"Green",IF($J1673&gt;=$I1673-IF($I1673=0,$K1673,$I1673*$K1673),"Amber","Red"))),"")</f>
        <v/>
      </c>
      <c r="T1673" s="6" t="inlineStr"/>
    </row>
    <row r="1674">
      <c r="A1674" s="7" t="n">
        <v>46213</v>
      </c>
      <c r="B1674" s="8">
        <f>IF($A1674="","",TEXT($A1674,"mmm-yyyy"))</f>
        <v/>
      </c>
      <c r="C1674" s="8">
        <f>IF($A1674="","","W"&amp;WEEKNUM($A1674,2))</f>
        <v/>
      </c>
      <c r="D1674" s="8">
        <f>IF($A1674="","",TEXT($A1674,"ddd"))</f>
        <v/>
      </c>
      <c r="E1674" s="8" t="inlineStr">
        <is>
          <t>Warehouse</t>
        </is>
      </c>
      <c r="F1674" s="8">
        <f>IFERROR(INDEX(Tbl_KPIMaster[Category],MATCH($G1674,Tbl_KPIMaster[KPI],0)),"")</f>
        <v/>
      </c>
      <c r="G1674" s="8" t="inlineStr">
        <is>
          <t>Inventory Accuracy %</t>
        </is>
      </c>
      <c r="H1674" s="8">
        <f>IFERROR(INDEX(Tbl_KPIMaster[Unit],MATCH($G1674,Tbl_KPIMaster[KPI],0)),"")</f>
        <v/>
      </c>
      <c r="I1674" s="9">
        <f>IFERROR(INDEX(Tbl_KPIMaster[Maximum Target],MATCH($G1674,Tbl_KPIMaster[KPI],0)),"")</f>
        <v/>
      </c>
      <c r="J1674" s="9" t="n">
        <v>1.17</v>
      </c>
      <c r="K1674" s="8">
        <f>IFERROR(INDEX(Tbl_KPIMaster[Tolerance],MATCH($G1674,Tbl_KPIMaster[KPI],0)),"")</f>
        <v/>
      </c>
      <c r="L1674" s="8">
        <f>IFERROR(INDEX(Tbl_KPIMaster[Owner],MATCH($G1674,Tbl_KPIMaster[KPI],0)),"")</f>
        <v/>
      </c>
      <c r="M1674" s="10" t="inlineStr">
        <is>
          <t>Preventive check done</t>
        </is>
      </c>
      <c r="N1674" s="8" t="inlineStr">
        <is>
          <t>Engineering support needed</t>
        </is>
      </c>
      <c r="O1674" s="8" t="inlineStr">
        <is>
          <t>Medium</t>
        </is>
      </c>
      <c r="P1674" s="8" t="inlineStr">
        <is>
          <t>Closed</t>
        </is>
      </c>
      <c r="Q1674" s="9">
        <f>IFERROR(IF(INDEX(Tbl_KPIMaster[Direction],MATCH($G1674,Tbl_KPIMaster[KPI],0))="Lower is Better",IF($J1674=0,1,IF($I1674=0,0,$I1674/$J1674)),IF($I1674=0,1,$J1674/$I1674)),0)</f>
        <v/>
      </c>
      <c r="R1674" s="8">
        <f>IF(OR($I1674="",$J1674=""),"",$J1674-$I1674)</f>
        <v/>
      </c>
      <c r="S1674" s="8">
        <f>IFERROR(IF(INDEX(Tbl_KPIMaster[Direction],MATCH($G1674,Tbl_KPIMaster[KPI],0))="Lower is Better",IF($J1674&lt;=$I1674,"Green",IF($J1674&lt;=$I1674+IF($I1674=0,$K1674,$I1674*$K1674),"Amber","Red")),IF($J1674&gt;=$I1674,"Green",IF($J1674&gt;=$I1674-IF($I1674=0,$K1674,$I1674*$K1674),"Amber","Red"))),"")</f>
        <v/>
      </c>
      <c r="T1674" s="10" t="inlineStr"/>
    </row>
    <row r="1675">
      <c r="A1675" s="3" t="n">
        <v>46213</v>
      </c>
      <c r="B1675" s="4">
        <f>IF($A1675="","",TEXT($A1675,"mmm-yyyy"))</f>
        <v/>
      </c>
      <c r="C1675" s="4">
        <f>IF($A1675="","","W"&amp;WEEKNUM($A1675,2))</f>
        <v/>
      </c>
      <c r="D1675" s="4">
        <f>IF($A1675="","",TEXT($A1675,"ddd"))</f>
        <v/>
      </c>
      <c r="E1675" s="4" t="inlineStr">
        <is>
          <t>HR</t>
        </is>
      </c>
      <c r="F1675" s="4">
        <f>IFERROR(INDEX(Tbl_KPIMaster[Category],MATCH($G1675,Tbl_KPIMaster[KPI],0)),"")</f>
        <v/>
      </c>
      <c r="G1675" s="4" t="inlineStr">
        <is>
          <t>Absenteeism %</t>
        </is>
      </c>
      <c r="H1675" s="4">
        <f>IFERROR(INDEX(Tbl_KPIMaster[Unit],MATCH($G1675,Tbl_KPIMaster[KPI],0)),"")</f>
        <v/>
      </c>
      <c r="I1675" s="5">
        <f>IFERROR(INDEX(Tbl_KPIMaster[Maximum Target],MATCH($G1675,Tbl_KPIMaster[KPI],0)),"")</f>
        <v/>
      </c>
      <c r="J1675" s="5" t="n">
        <v>0</v>
      </c>
      <c r="K1675" s="4">
        <f>IFERROR(INDEX(Tbl_KPIMaster[Tolerance],MATCH($G1675,Tbl_KPIMaster[KPI],0)),"")</f>
        <v/>
      </c>
      <c r="L1675" s="4">
        <f>IFERROR(INDEX(Tbl_KPIMaster[Owner],MATCH($G1675,Tbl_KPIMaster[KPI],0)),"")</f>
        <v/>
      </c>
      <c r="M1675" s="6" t="inlineStr">
        <is>
          <t>Process improvement in progress</t>
        </is>
      </c>
      <c r="N1675" s="4" t="inlineStr"/>
      <c r="O1675" s="4" t="inlineStr">
        <is>
          <t>Low</t>
        </is>
      </c>
      <c r="P1675" s="4" t="inlineStr">
        <is>
          <t>Closed</t>
        </is>
      </c>
      <c r="Q1675" s="5">
        <f>IFERROR(IF(INDEX(Tbl_KPIMaster[Direction],MATCH($G1675,Tbl_KPIMaster[KPI],0))="Lower is Better",IF($J1675=0,1,IF($I1675=0,0,$I1675/$J1675)),IF($I1675=0,1,$J1675/$I1675)),0)</f>
        <v/>
      </c>
      <c r="R1675" s="4">
        <f>IF(OR($I1675="",$J1675=""),"",$J1675-$I1675)</f>
        <v/>
      </c>
      <c r="S1675" s="4">
        <f>IFERROR(IF(INDEX(Tbl_KPIMaster[Direction],MATCH($G1675,Tbl_KPIMaster[KPI],0))="Lower is Better",IF($J1675&lt;=$I1675,"Green",IF($J1675&lt;=$I1675+IF($I1675=0,$K1675,$I1675*$K1675),"Amber","Red")),IF($J1675&gt;=$I1675,"Green",IF($J1675&gt;=$I1675-IF($I1675=0,$K1675,$I1675*$K1675),"Amber","Red"))),"")</f>
        <v/>
      </c>
      <c r="T1675" s="6" t="inlineStr"/>
    </row>
    <row r="1676">
      <c r="A1676" s="7" t="n">
        <v>46213</v>
      </c>
      <c r="B1676" s="8">
        <f>IF($A1676="","",TEXT($A1676,"mmm-yyyy"))</f>
        <v/>
      </c>
      <c r="C1676" s="8">
        <f>IF($A1676="","","W"&amp;WEEKNUM($A1676,2))</f>
        <v/>
      </c>
      <c r="D1676" s="8">
        <f>IF($A1676="","",TEXT($A1676,"ddd"))</f>
        <v/>
      </c>
      <c r="E1676" s="8" t="inlineStr">
        <is>
          <t>HR</t>
        </is>
      </c>
      <c r="F1676" s="8">
        <f>IFERROR(INDEX(Tbl_KPIMaster[Category],MATCH($G1676,Tbl_KPIMaster[KPI],0)),"")</f>
        <v/>
      </c>
      <c r="G1676" s="8" t="inlineStr">
        <is>
          <t>Training Hours</t>
        </is>
      </c>
      <c r="H1676" s="8">
        <f>IFERROR(INDEX(Tbl_KPIMaster[Unit],MATCH($G1676,Tbl_KPIMaster[KPI],0)),"")</f>
        <v/>
      </c>
      <c r="I1676" s="9">
        <f>IFERROR(INDEX(Tbl_KPIMaster[Maximum Target],MATCH($G1676,Tbl_KPIMaster[KPI],0)),"")</f>
        <v/>
      </c>
      <c r="J1676" s="9" t="n">
        <v>1.68</v>
      </c>
      <c r="K1676" s="8">
        <f>IFERROR(INDEX(Tbl_KPIMaster[Tolerance],MATCH($G1676,Tbl_KPIMaster[KPI],0)),"")</f>
        <v/>
      </c>
      <c r="L1676" s="8">
        <f>IFERROR(INDEX(Tbl_KPIMaster[Owner],MATCH($G1676,Tbl_KPIMaster[KPI],0)),"")</f>
        <v/>
      </c>
      <c r="M1676" s="10" t="inlineStr">
        <is>
          <t>Awaiting spares</t>
        </is>
      </c>
      <c r="N1676" s="8" t="inlineStr">
        <is>
          <t>Procurement follow-up</t>
        </is>
      </c>
      <c r="O1676" s="8" t="inlineStr">
        <is>
          <t>High</t>
        </is>
      </c>
      <c r="P1676" s="8" t="inlineStr">
        <is>
          <t>Closed</t>
        </is>
      </c>
      <c r="Q1676" s="9">
        <f>IFERROR(IF(INDEX(Tbl_KPIMaster[Direction],MATCH($G1676,Tbl_KPIMaster[KPI],0))="Lower is Better",IF($J1676=0,1,IF($I1676=0,0,$I1676/$J1676)),IF($I1676=0,1,$J1676/$I1676)),0)</f>
        <v/>
      </c>
      <c r="R1676" s="8">
        <f>IF(OR($I1676="",$J1676=""),"",$J1676-$I1676)</f>
        <v/>
      </c>
      <c r="S1676" s="8">
        <f>IFERROR(IF(INDEX(Tbl_KPIMaster[Direction],MATCH($G1676,Tbl_KPIMaster[KPI],0))="Lower is Better",IF($J1676&lt;=$I1676,"Green",IF($J1676&lt;=$I1676+IF($I1676=0,$K1676,$I1676*$K1676),"Amber","Red")),IF($J1676&gt;=$I1676,"Green",IF($J1676&gt;=$I1676-IF($I1676=0,$K1676,$I1676*$K1676),"Amber","Red"))),"")</f>
        <v/>
      </c>
      <c r="T1676" s="10" t="inlineStr"/>
    </row>
    <row r="1677">
      <c r="A1677" s="3" t="n">
        <v>46213</v>
      </c>
      <c r="B1677" s="4">
        <f>IF($A1677="","",TEXT($A1677,"mmm-yyyy"))</f>
        <v/>
      </c>
      <c r="C1677" s="4">
        <f>IF($A1677="","","W"&amp;WEEKNUM($A1677,2))</f>
        <v/>
      </c>
      <c r="D1677" s="4">
        <f>IF($A1677="","",TEXT($A1677,"ddd"))</f>
        <v/>
      </c>
      <c r="E1677" s="4" t="inlineStr">
        <is>
          <t>Engineering</t>
        </is>
      </c>
      <c r="F1677" s="4">
        <f>IFERROR(INDEX(Tbl_KPIMaster[Category],MATCH($G1677,Tbl_KPIMaster[KPI],0)),"")</f>
        <v/>
      </c>
      <c r="G1677" s="4" t="inlineStr">
        <is>
          <t>Project Milestone Adherence %</t>
        </is>
      </c>
      <c r="H1677" s="4">
        <f>IFERROR(INDEX(Tbl_KPIMaster[Unit],MATCH($G1677,Tbl_KPIMaster[KPI],0)),"")</f>
        <v/>
      </c>
      <c r="I1677" s="5">
        <f>IFERROR(INDEX(Tbl_KPIMaster[Maximum Target],MATCH($G1677,Tbl_KPIMaster[KPI],0)),"")</f>
        <v/>
      </c>
      <c r="J1677" s="5" t="n">
        <v>1.0544</v>
      </c>
      <c r="K1677" s="4">
        <f>IFERROR(INDEX(Tbl_KPIMaster[Tolerance],MATCH($G1677,Tbl_KPIMaster[KPI],0)),"")</f>
        <v/>
      </c>
      <c r="L1677" s="4">
        <f>IFERROR(INDEX(Tbl_KPIMaster[Owner],MATCH($G1677,Tbl_KPIMaster[KPI],0)),"")</f>
        <v/>
      </c>
      <c r="M1677" s="6" t="inlineStr">
        <is>
          <t>Awaiting spares</t>
        </is>
      </c>
      <c r="N1677" s="4" t="inlineStr"/>
      <c r="O1677" s="4" t="inlineStr">
        <is>
          <t>High</t>
        </is>
      </c>
      <c r="P1677" s="4" t="inlineStr">
        <is>
          <t>In Progress</t>
        </is>
      </c>
      <c r="Q1677" s="5">
        <f>IFERROR(IF(INDEX(Tbl_KPIMaster[Direction],MATCH($G1677,Tbl_KPIMaster[KPI],0))="Lower is Better",IF($J1677=0,1,IF($I1677=0,0,$I1677/$J1677)),IF($I1677=0,1,$J1677/$I1677)),0)</f>
        <v/>
      </c>
      <c r="R1677" s="4">
        <f>IF(OR($I1677="",$J1677=""),"",$J1677-$I1677)</f>
        <v/>
      </c>
      <c r="S1677" s="4">
        <f>IFERROR(IF(INDEX(Tbl_KPIMaster[Direction],MATCH($G1677,Tbl_KPIMaster[KPI],0))="Lower is Better",IF($J1677&lt;=$I1677,"Green",IF($J1677&lt;=$I1677+IF($I1677=0,$K1677,$I1677*$K1677),"Amber","Red")),IF($J1677&gt;=$I1677,"Green",IF($J1677&gt;=$I1677-IF($I1677=0,$K1677,$I1677*$K1677),"Amber","Red"))),"")</f>
        <v/>
      </c>
      <c r="T1677" s="6" t="inlineStr"/>
    </row>
    <row r="1678">
      <c r="A1678" s="7" t="n">
        <v>46213</v>
      </c>
      <c r="B1678" s="8">
        <f>IF($A1678="","",TEXT($A1678,"mmm-yyyy"))</f>
        <v/>
      </c>
      <c r="C1678" s="8">
        <f>IF($A1678="","","W"&amp;WEEKNUM($A1678,2))</f>
        <v/>
      </c>
      <c r="D1678" s="8">
        <f>IF($A1678="","",TEXT($A1678,"ddd"))</f>
        <v/>
      </c>
      <c r="E1678" s="8" t="inlineStr">
        <is>
          <t>Engineering</t>
        </is>
      </c>
      <c r="F1678" s="8">
        <f>IFERROR(INDEX(Tbl_KPIMaster[Category],MATCH($G1678,Tbl_KPIMaster[KPI],0)),"")</f>
        <v/>
      </c>
      <c r="G1678" s="8" t="inlineStr">
        <is>
          <t>Breakdown Resolution Time</t>
        </is>
      </c>
      <c r="H1678" s="8">
        <f>IFERROR(INDEX(Tbl_KPIMaster[Unit],MATCH($G1678,Tbl_KPIMaster[KPI],0)),"")</f>
        <v/>
      </c>
      <c r="I1678" s="9">
        <f>IFERROR(INDEX(Tbl_KPIMaster[Maximum Target],MATCH($G1678,Tbl_KPIMaster[KPI],0)),"")</f>
        <v/>
      </c>
      <c r="J1678" s="9" t="n">
        <v>0</v>
      </c>
      <c r="K1678" s="8">
        <f>IFERROR(INDEX(Tbl_KPIMaster[Tolerance],MATCH($G1678,Tbl_KPIMaster[KPI],0)),"")</f>
        <v/>
      </c>
      <c r="L1678" s="8">
        <f>IFERROR(INDEX(Tbl_KPIMaster[Owner],MATCH($G1678,Tbl_KPIMaster[KPI],0)),"")</f>
        <v/>
      </c>
      <c r="M1678" s="10" t="inlineStr">
        <is>
          <t>Manpower shortage</t>
        </is>
      </c>
      <c r="N1678" s="8" t="inlineStr">
        <is>
          <t>Procurement follow-up</t>
        </is>
      </c>
      <c r="O1678" s="8" t="inlineStr">
        <is>
          <t>High</t>
        </is>
      </c>
      <c r="P1678" s="8" t="inlineStr">
        <is>
          <t>Closed</t>
        </is>
      </c>
      <c r="Q1678" s="9">
        <f>IFERROR(IF(INDEX(Tbl_KPIMaster[Direction],MATCH($G1678,Tbl_KPIMaster[KPI],0))="Lower is Better",IF($J1678=0,1,IF($I1678=0,0,$I1678/$J1678)),IF($I1678=0,1,$J1678/$I1678)),0)</f>
        <v/>
      </c>
      <c r="R1678" s="8">
        <f>IF(OR($I1678="",$J1678=""),"",$J1678-$I1678)</f>
        <v/>
      </c>
      <c r="S1678" s="8">
        <f>IFERROR(IF(INDEX(Tbl_KPIMaster[Direction],MATCH($G1678,Tbl_KPIMaster[KPI],0))="Lower is Better",IF($J1678&lt;=$I1678,"Green",IF($J1678&lt;=$I1678+IF($I1678=0,$K1678,$I1678*$K1678),"Amber","Red")),IF($J1678&gt;=$I1678,"Green",IF($J1678&gt;=$I1678-IF($I1678=0,$K1678,$I1678*$K1678),"Amber","Red"))),"")</f>
        <v/>
      </c>
      <c r="T1678" s="10" t="inlineStr"/>
    </row>
    <row r="1679">
      <c r="A1679" s="3" t="n">
        <v>46213</v>
      </c>
      <c r="B1679" s="4">
        <f>IF($A1679="","",TEXT($A1679,"mmm-yyyy"))</f>
        <v/>
      </c>
      <c r="C1679" s="4">
        <f>IF($A1679="","","W"&amp;WEEKNUM($A1679,2))</f>
        <v/>
      </c>
      <c r="D1679" s="4">
        <f>IF($A1679="","",TEXT($A1679,"ddd"))</f>
        <v/>
      </c>
      <c r="E1679" s="4" t="inlineStr">
        <is>
          <t>Cost</t>
        </is>
      </c>
      <c r="F1679" s="4">
        <f>IFERROR(INDEX(Tbl_KPIMaster[Category],MATCH($G1679,Tbl_KPIMaster[KPI],0)),"")</f>
        <v/>
      </c>
      <c r="G1679" s="4" t="inlineStr">
        <is>
          <t>Cost per Unit</t>
        </is>
      </c>
      <c r="H1679" s="4">
        <f>IFERROR(INDEX(Tbl_KPIMaster[Unit],MATCH($G1679,Tbl_KPIMaster[KPI],0)),"")</f>
        <v/>
      </c>
      <c r="I1679" s="5">
        <f>IFERROR(INDEX(Tbl_KPIMaster[Maximum Target],MATCH($G1679,Tbl_KPIMaster[KPI],0)),"")</f>
        <v/>
      </c>
      <c r="J1679" s="5" t="n">
        <v>44.41</v>
      </c>
      <c r="K1679" s="4">
        <f>IFERROR(INDEX(Tbl_KPIMaster[Tolerance],MATCH($G1679,Tbl_KPIMaster[KPI],0)),"")</f>
        <v/>
      </c>
      <c r="L1679" s="4">
        <f>IFERROR(INDEX(Tbl_KPIMaster[Owner],MATCH($G1679,Tbl_KPIMaster[KPI],0)),"")</f>
        <v/>
      </c>
      <c r="M1679" s="6" t="inlineStr"/>
      <c r="N1679" s="4" t="inlineStr">
        <is>
          <t>Engineering support needed</t>
        </is>
      </c>
      <c r="O1679" s="4" t="inlineStr">
        <is>
          <t>High</t>
        </is>
      </c>
      <c r="P1679" s="4" t="inlineStr">
        <is>
          <t>In Progress</t>
        </is>
      </c>
      <c r="Q1679" s="5">
        <f>IFERROR(IF(INDEX(Tbl_KPIMaster[Direction],MATCH($G1679,Tbl_KPIMaster[KPI],0))="Lower is Better",IF($J1679=0,1,IF($I1679=0,0,$I1679/$J1679)),IF($I1679=0,1,$J1679/$I1679)),0)</f>
        <v/>
      </c>
      <c r="R1679" s="4">
        <f>IF(OR($I1679="",$J1679=""),"",$J1679-$I1679)</f>
        <v/>
      </c>
      <c r="S1679" s="4">
        <f>IFERROR(IF(INDEX(Tbl_KPIMaster[Direction],MATCH($G1679,Tbl_KPIMaster[KPI],0))="Lower is Better",IF($J1679&lt;=$I1679,"Green",IF($J1679&lt;=$I1679+IF($I1679=0,$K1679,$I1679*$K1679),"Amber","Red")),IF($J1679&gt;=$I1679,"Green",IF($J1679&gt;=$I1679-IF($I1679=0,$K1679,$I1679*$K1679),"Amber","Red"))),"")</f>
        <v/>
      </c>
      <c r="T1679" s="6" t="inlineStr"/>
    </row>
    <row r="1680">
      <c r="A1680" s="7" t="n">
        <v>46213</v>
      </c>
      <c r="B1680" s="8">
        <f>IF($A1680="","",TEXT($A1680,"mmm-yyyy"))</f>
        <v/>
      </c>
      <c r="C1680" s="8">
        <f>IF($A1680="","","W"&amp;WEEKNUM($A1680,2))</f>
        <v/>
      </c>
      <c r="D1680" s="8">
        <f>IF($A1680="","",TEXT($A1680,"ddd"))</f>
        <v/>
      </c>
      <c r="E1680" s="8" t="inlineStr">
        <is>
          <t>Cost</t>
        </is>
      </c>
      <c r="F1680" s="8">
        <f>IFERROR(INDEX(Tbl_KPIMaster[Category],MATCH($G1680,Tbl_KPIMaster[KPI],0)),"")</f>
        <v/>
      </c>
      <c r="G1680" s="8" t="inlineStr">
        <is>
          <t>Budget Variance %</t>
        </is>
      </c>
      <c r="H1680" s="8">
        <f>IFERROR(INDEX(Tbl_KPIMaster[Unit],MATCH($G1680,Tbl_KPIMaster[KPI],0)),"")</f>
        <v/>
      </c>
      <c r="I1680" s="9">
        <f>IFERROR(INDEX(Tbl_KPIMaster[Maximum Target],MATCH($G1680,Tbl_KPIMaster[KPI],0)),"")</f>
        <v/>
      </c>
      <c r="J1680" s="9" t="n">
        <v>1.1263</v>
      </c>
      <c r="K1680" s="8">
        <f>IFERROR(INDEX(Tbl_KPIMaster[Tolerance],MATCH($G1680,Tbl_KPIMaster[KPI],0)),"")</f>
        <v/>
      </c>
      <c r="L1680" s="8">
        <f>IFERROR(INDEX(Tbl_KPIMaster[Owner],MATCH($G1680,Tbl_KPIMaster[KPI],0)),"")</f>
        <v/>
      </c>
      <c r="M1680" s="10" t="inlineStr">
        <is>
          <t>Equipment breakdown</t>
        </is>
      </c>
      <c r="N1680" s="8" t="inlineStr">
        <is>
          <t>Engineering support needed</t>
        </is>
      </c>
      <c r="O1680" s="8" t="inlineStr">
        <is>
          <t>Low</t>
        </is>
      </c>
      <c r="P1680" s="8" t="inlineStr">
        <is>
          <t>Open</t>
        </is>
      </c>
      <c r="Q1680" s="9">
        <f>IFERROR(IF(INDEX(Tbl_KPIMaster[Direction],MATCH($G1680,Tbl_KPIMaster[KPI],0))="Lower is Better",IF($J1680=0,1,IF($I1680=0,0,$I1680/$J1680)),IF($I1680=0,1,$J1680/$I1680)),0)</f>
        <v/>
      </c>
      <c r="R1680" s="8">
        <f>IF(OR($I1680="",$J1680=""),"",$J1680-$I1680)</f>
        <v/>
      </c>
      <c r="S1680" s="8">
        <f>IFERROR(IF(INDEX(Tbl_KPIMaster[Direction],MATCH($G1680,Tbl_KPIMaster[KPI],0))="Lower is Better",IF($J1680&lt;=$I1680,"Green",IF($J1680&lt;=$I1680+IF($I1680=0,$K1680,$I1680*$K1680),"Amber","Red")),IF($J1680&gt;=$I1680,"Green",IF($J1680&gt;=$I1680-IF($I1680=0,$K1680,$I1680*$K1680),"Amber","Red"))),"")</f>
        <v/>
      </c>
      <c r="T1680" s="10" t="inlineStr"/>
    </row>
    <row r="1681">
      <c r="A1681" s="3" t="n">
        <v>46213</v>
      </c>
      <c r="B1681" s="4">
        <f>IF($A1681="","",TEXT($A1681,"mmm-yyyy"))</f>
        <v/>
      </c>
      <c r="C1681" s="4">
        <f>IF($A1681="","","W"&amp;WEEKNUM($A1681,2))</f>
        <v/>
      </c>
      <c r="D1681" s="4">
        <f>IF($A1681="","",TEXT($A1681,"ddd"))</f>
        <v/>
      </c>
      <c r="E1681" s="4" t="inlineStr">
        <is>
          <t>Energy</t>
        </is>
      </c>
      <c r="F1681" s="4">
        <f>IFERROR(INDEX(Tbl_KPIMaster[Category],MATCH($G1681,Tbl_KPIMaster[KPI],0)),"")</f>
        <v/>
      </c>
      <c r="G1681" s="4" t="inlineStr">
        <is>
          <t>Energy Intensity (kWh/unit)</t>
        </is>
      </c>
      <c r="H1681" s="4">
        <f>IFERROR(INDEX(Tbl_KPIMaster[Unit],MATCH($G1681,Tbl_KPIMaster[KPI],0)),"")</f>
        <v/>
      </c>
      <c r="I1681" s="5">
        <f>IFERROR(INDEX(Tbl_KPIMaster[Maximum Target],MATCH($G1681,Tbl_KPIMaster[KPI],0)),"")</f>
        <v/>
      </c>
      <c r="J1681" s="5" t="n">
        <v>4.1</v>
      </c>
      <c r="K1681" s="4">
        <f>IFERROR(INDEX(Tbl_KPIMaster[Tolerance],MATCH($G1681,Tbl_KPIMaster[KPI],0)),"")</f>
        <v/>
      </c>
      <c r="L1681" s="4">
        <f>IFERROR(INDEX(Tbl_KPIMaster[Owner],MATCH($G1681,Tbl_KPIMaster[KPI],0)),"")</f>
        <v/>
      </c>
      <c r="M1681" s="6" t="inlineStr">
        <is>
          <t>Vendor delay</t>
        </is>
      </c>
      <c r="N1681" s="4" t="inlineStr">
        <is>
          <t>Engineering support needed</t>
        </is>
      </c>
      <c r="O1681" s="4" t="inlineStr">
        <is>
          <t>High</t>
        </is>
      </c>
      <c r="P1681" s="4" t="inlineStr">
        <is>
          <t>Closed</t>
        </is>
      </c>
      <c r="Q1681" s="5">
        <f>IFERROR(IF(INDEX(Tbl_KPIMaster[Direction],MATCH($G1681,Tbl_KPIMaster[KPI],0))="Lower is Better",IF($J1681=0,1,IF($I1681=0,0,$I1681/$J1681)),IF($I1681=0,1,$J1681/$I1681)),0)</f>
        <v/>
      </c>
      <c r="R1681" s="4">
        <f>IF(OR($I1681="",$J1681=""),"",$J1681-$I1681)</f>
        <v/>
      </c>
      <c r="S1681" s="4">
        <f>IFERROR(IF(INDEX(Tbl_KPIMaster[Direction],MATCH($G1681,Tbl_KPIMaster[KPI],0))="Lower is Better",IF($J1681&lt;=$I1681,"Green",IF($J1681&lt;=$I1681+IF($I1681=0,$K1681,$I1681*$K1681),"Amber","Red")),IF($J1681&gt;=$I1681,"Green",IF($J1681&gt;=$I1681-IF($I1681=0,$K1681,$I1681*$K1681),"Amber","Red"))),"")</f>
        <v/>
      </c>
      <c r="T1681" s="6" t="inlineStr"/>
    </row>
    <row r="1682">
      <c r="A1682" s="7" t="n">
        <v>46213</v>
      </c>
      <c r="B1682" s="8">
        <f>IF($A1682="","",TEXT($A1682,"mmm-yyyy"))</f>
        <v/>
      </c>
      <c r="C1682" s="8">
        <f>IF($A1682="","","W"&amp;WEEKNUM($A1682,2))</f>
        <v/>
      </c>
      <c r="D1682" s="8">
        <f>IF($A1682="","",TEXT($A1682,"ddd"))</f>
        <v/>
      </c>
      <c r="E1682" s="8" t="inlineStr">
        <is>
          <t>Energy</t>
        </is>
      </c>
      <c r="F1682" s="8">
        <f>IFERROR(INDEX(Tbl_KPIMaster[Category],MATCH($G1682,Tbl_KPIMaster[KPI],0)),"")</f>
        <v/>
      </c>
      <c r="G1682" s="8" t="inlineStr">
        <is>
          <t>Renewable Energy Share %</t>
        </is>
      </c>
      <c r="H1682" s="8">
        <f>IFERROR(INDEX(Tbl_KPIMaster[Unit],MATCH($G1682,Tbl_KPIMaster[KPI],0)),"")</f>
        <v/>
      </c>
      <c r="I1682" s="9">
        <f>IFERROR(INDEX(Tbl_KPIMaster[Maximum Target],MATCH($G1682,Tbl_KPIMaster[KPI],0)),"")</f>
        <v/>
      </c>
      <c r="J1682" s="9" t="n">
        <v>0.2979</v>
      </c>
      <c r="K1682" s="8">
        <f>IFERROR(INDEX(Tbl_KPIMaster[Tolerance],MATCH($G1682,Tbl_KPIMaster[KPI],0)),"")</f>
        <v/>
      </c>
      <c r="L1682" s="8">
        <f>IFERROR(INDEX(Tbl_KPIMaster[Owner],MATCH($G1682,Tbl_KPIMaster[KPI],0)),"")</f>
        <v/>
      </c>
      <c r="M1682" s="10" t="inlineStr">
        <is>
          <t>Process improvement in progress</t>
        </is>
      </c>
      <c r="N1682" s="8" t="inlineStr"/>
      <c r="O1682" s="8" t="inlineStr">
        <is>
          <t>Low</t>
        </is>
      </c>
      <c r="P1682" s="8" t="inlineStr">
        <is>
          <t>In Progress</t>
        </is>
      </c>
      <c r="Q1682" s="9">
        <f>IFERROR(IF(INDEX(Tbl_KPIMaster[Direction],MATCH($G1682,Tbl_KPIMaster[KPI],0))="Lower is Better",IF($J1682=0,1,IF($I1682=0,0,$I1682/$J1682)),IF($I1682=0,1,$J1682/$I1682)),0)</f>
        <v/>
      </c>
      <c r="R1682" s="8">
        <f>IF(OR($I1682="",$J1682=""),"",$J1682-$I1682)</f>
        <v/>
      </c>
      <c r="S1682" s="8">
        <f>IFERROR(IF(INDEX(Tbl_KPIMaster[Direction],MATCH($G1682,Tbl_KPIMaster[KPI],0))="Lower is Better",IF($J1682&lt;=$I1682,"Green",IF($J1682&lt;=$I1682+IF($I1682=0,$K1682,$I1682*$K1682),"Amber","Red")),IF($J1682&gt;=$I1682,"Green",IF($J1682&gt;=$I1682-IF($I1682=0,$K1682,$I1682*$K1682),"Amber","Red"))),"")</f>
        <v/>
      </c>
      <c r="T1682" s="10" t="inlineStr"/>
    </row>
    <row r="1683">
      <c r="A1683" s="3" t="n">
        <v>46214</v>
      </c>
      <c r="B1683" s="4">
        <f>IF($A1683="","",TEXT($A1683,"mmm-yyyy"))</f>
        <v/>
      </c>
      <c r="C1683" s="4">
        <f>IF($A1683="","","W"&amp;WEEKNUM($A1683,2))</f>
        <v/>
      </c>
      <c r="D1683" s="4">
        <f>IF($A1683="","",TEXT($A1683,"ddd"))</f>
        <v/>
      </c>
      <c r="E1683" s="4" t="inlineStr">
        <is>
          <t>Safety</t>
        </is>
      </c>
      <c r="F1683" s="4">
        <f>IFERROR(INDEX(Tbl_KPIMaster[Category],MATCH($G1683,Tbl_KPIMaster[KPI],0)),"")</f>
        <v/>
      </c>
      <c r="G1683" s="4" t="inlineStr">
        <is>
          <t>Safety Incidents (LTI)</t>
        </is>
      </c>
      <c r="H1683" s="4">
        <f>IFERROR(INDEX(Tbl_KPIMaster[Unit],MATCH($G1683,Tbl_KPIMaster[KPI],0)),"")</f>
        <v/>
      </c>
      <c r="I1683" s="5">
        <f>IFERROR(INDEX(Tbl_KPIMaster[Maximum Target],MATCH($G1683,Tbl_KPIMaster[KPI],0)),"")</f>
        <v/>
      </c>
      <c r="J1683" s="5" t="n">
        <v>0</v>
      </c>
      <c r="K1683" s="4">
        <f>IFERROR(INDEX(Tbl_KPIMaster[Tolerance],MATCH($G1683,Tbl_KPIMaster[KPI],0)),"")</f>
        <v/>
      </c>
      <c r="L1683" s="4">
        <f>IFERROR(INDEX(Tbl_KPIMaster[Owner],MATCH($G1683,Tbl_KPIMaster[KPI],0)),"")</f>
        <v/>
      </c>
      <c r="M1683" s="6" t="inlineStr">
        <is>
          <t>Weather impact</t>
        </is>
      </c>
      <c r="N1683" s="4" t="inlineStr"/>
      <c r="O1683" s="4" t="inlineStr">
        <is>
          <t>Medium</t>
        </is>
      </c>
      <c r="P1683" s="4" t="inlineStr">
        <is>
          <t>Open</t>
        </is>
      </c>
      <c r="Q1683" s="5">
        <f>IFERROR(IF(INDEX(Tbl_KPIMaster[Direction],MATCH($G1683,Tbl_KPIMaster[KPI],0))="Lower is Better",IF($J1683=0,1,IF($I1683=0,0,$I1683/$J1683)),IF($I1683=0,1,$J1683/$I1683)),0)</f>
        <v/>
      </c>
      <c r="R1683" s="4">
        <f>IF(OR($I1683="",$J1683=""),"",$J1683-$I1683)</f>
        <v/>
      </c>
      <c r="S1683" s="4">
        <f>IFERROR(IF(INDEX(Tbl_KPIMaster[Direction],MATCH($G1683,Tbl_KPIMaster[KPI],0))="Lower is Better",IF($J1683&lt;=$I1683,"Green",IF($J1683&lt;=$I1683+IF($I1683=0,$K1683,$I1683*$K1683),"Amber","Red")),IF($J1683&gt;=$I1683,"Green",IF($J1683&gt;=$I1683-IF($I1683=0,$K1683,$I1683*$K1683),"Amber","Red"))),"")</f>
        <v/>
      </c>
      <c r="T1683" s="6" t="inlineStr"/>
    </row>
    <row r="1684">
      <c r="A1684" s="7" t="n">
        <v>46214</v>
      </c>
      <c r="B1684" s="8">
        <f>IF($A1684="","",TEXT($A1684,"mmm-yyyy"))</f>
        <v/>
      </c>
      <c r="C1684" s="8">
        <f>IF($A1684="","","W"&amp;WEEKNUM($A1684,2))</f>
        <v/>
      </c>
      <c r="D1684" s="8">
        <f>IF($A1684="","",TEXT($A1684,"ddd"))</f>
        <v/>
      </c>
      <c r="E1684" s="8" t="inlineStr">
        <is>
          <t>Safety</t>
        </is>
      </c>
      <c r="F1684" s="8">
        <f>IFERROR(INDEX(Tbl_KPIMaster[Category],MATCH($G1684,Tbl_KPIMaster[KPI],0)),"")</f>
        <v/>
      </c>
      <c r="G1684" s="8" t="inlineStr">
        <is>
          <t>Near Miss Reports</t>
        </is>
      </c>
      <c r="H1684" s="8">
        <f>IFERROR(INDEX(Tbl_KPIMaster[Unit],MATCH($G1684,Tbl_KPIMaster[KPI],0)),"")</f>
        <v/>
      </c>
      <c r="I1684" s="9">
        <f>IFERROR(INDEX(Tbl_KPIMaster[Maximum Target],MATCH($G1684,Tbl_KPIMaster[KPI],0)),"")</f>
        <v/>
      </c>
      <c r="J1684" s="9" t="n">
        <v>2</v>
      </c>
      <c r="K1684" s="8">
        <f>IFERROR(INDEX(Tbl_KPIMaster[Tolerance],MATCH($G1684,Tbl_KPIMaster[KPI],0)),"")</f>
        <v/>
      </c>
      <c r="L1684" s="8">
        <f>IFERROR(INDEX(Tbl_KPIMaster[Owner],MATCH($G1684,Tbl_KPIMaster[KPI],0)),"")</f>
        <v/>
      </c>
      <c r="M1684" s="10" t="inlineStr"/>
      <c r="N1684" s="8" t="inlineStr"/>
      <c r="O1684" s="8" t="inlineStr">
        <is>
          <t>High</t>
        </is>
      </c>
      <c r="P1684" s="8" t="inlineStr">
        <is>
          <t>Closed</t>
        </is>
      </c>
      <c r="Q1684" s="9">
        <f>IFERROR(IF(INDEX(Tbl_KPIMaster[Direction],MATCH($G1684,Tbl_KPIMaster[KPI],0))="Lower is Better",IF($J1684=0,1,IF($I1684=0,0,$I1684/$J1684)),IF($I1684=0,1,$J1684/$I1684)),0)</f>
        <v/>
      </c>
      <c r="R1684" s="8">
        <f>IF(OR($I1684="",$J1684=""),"",$J1684-$I1684)</f>
        <v/>
      </c>
      <c r="S1684" s="8">
        <f>IFERROR(IF(INDEX(Tbl_KPIMaster[Direction],MATCH($G1684,Tbl_KPIMaster[KPI],0))="Lower is Better",IF($J1684&lt;=$I1684,"Green",IF($J1684&lt;=$I1684+IF($I1684=0,$K1684,$I1684*$K1684),"Amber","Red")),IF($J1684&gt;=$I1684,"Green",IF($J1684&gt;=$I1684-IF($I1684=0,$K1684,$I1684*$K1684),"Amber","Red"))),"")</f>
        <v/>
      </c>
      <c r="T1684" s="10" t="inlineStr"/>
    </row>
    <row r="1685">
      <c r="A1685" s="3" t="n">
        <v>46214</v>
      </c>
      <c r="B1685" s="4">
        <f>IF($A1685="","",TEXT($A1685,"mmm-yyyy"))</f>
        <v/>
      </c>
      <c r="C1685" s="4">
        <f>IF($A1685="","","W"&amp;WEEKNUM($A1685,2))</f>
        <v/>
      </c>
      <c r="D1685" s="4">
        <f>IF($A1685="","",TEXT($A1685,"ddd"))</f>
        <v/>
      </c>
      <c r="E1685" s="4" t="inlineStr">
        <is>
          <t>Production</t>
        </is>
      </c>
      <c r="F1685" s="4">
        <f>IFERROR(INDEX(Tbl_KPIMaster[Category],MATCH($G1685,Tbl_KPIMaster[KPI],0)),"")</f>
        <v/>
      </c>
      <c r="G1685" s="4" t="inlineStr">
        <is>
          <t>Production Output</t>
        </is>
      </c>
      <c r="H1685" s="4">
        <f>IFERROR(INDEX(Tbl_KPIMaster[Unit],MATCH($G1685,Tbl_KPIMaster[KPI],0)),"")</f>
        <v/>
      </c>
      <c r="I1685" s="5">
        <f>IFERROR(INDEX(Tbl_KPIMaster[Maximum Target],MATCH($G1685,Tbl_KPIMaster[KPI],0)),"")</f>
        <v/>
      </c>
      <c r="J1685" s="5" t="n">
        <v>1238.72</v>
      </c>
      <c r="K1685" s="4">
        <f>IFERROR(INDEX(Tbl_KPIMaster[Tolerance],MATCH($G1685,Tbl_KPIMaster[KPI],0)),"")</f>
        <v/>
      </c>
      <c r="L1685" s="4">
        <f>IFERROR(INDEX(Tbl_KPIMaster[Owner],MATCH($G1685,Tbl_KPIMaster[KPI],0)),"")</f>
        <v/>
      </c>
      <c r="M1685" s="6" t="inlineStr">
        <is>
          <t>Awaiting spares</t>
        </is>
      </c>
      <c r="N1685" s="4" t="inlineStr"/>
      <c r="O1685" s="4" t="inlineStr">
        <is>
          <t>Low</t>
        </is>
      </c>
      <c r="P1685" s="4" t="inlineStr">
        <is>
          <t>Closed</t>
        </is>
      </c>
      <c r="Q1685" s="5">
        <f>IFERROR(IF(INDEX(Tbl_KPIMaster[Direction],MATCH($G1685,Tbl_KPIMaster[KPI],0))="Lower is Better",IF($J1685=0,1,IF($I1685=0,0,$I1685/$J1685)),IF($I1685=0,1,$J1685/$I1685)),0)</f>
        <v/>
      </c>
      <c r="R1685" s="4">
        <f>IF(OR($I1685="",$J1685=""),"",$J1685-$I1685)</f>
        <v/>
      </c>
      <c r="S1685" s="4">
        <f>IFERROR(IF(INDEX(Tbl_KPIMaster[Direction],MATCH($G1685,Tbl_KPIMaster[KPI],0))="Lower is Better",IF($J1685&lt;=$I1685,"Green",IF($J1685&lt;=$I1685+IF($I1685=0,$K1685,$I1685*$K1685),"Amber","Red")),IF($J1685&gt;=$I1685,"Green",IF($J1685&gt;=$I1685-IF($I1685=0,$K1685,$I1685*$K1685),"Amber","Red"))),"")</f>
        <v/>
      </c>
      <c r="T1685" s="6" t="inlineStr"/>
    </row>
    <row r="1686">
      <c r="A1686" s="7" t="n">
        <v>46214</v>
      </c>
      <c r="B1686" s="8">
        <f>IF($A1686="","",TEXT($A1686,"mmm-yyyy"))</f>
        <v/>
      </c>
      <c r="C1686" s="8">
        <f>IF($A1686="","","W"&amp;WEEKNUM($A1686,2))</f>
        <v/>
      </c>
      <c r="D1686" s="8">
        <f>IF($A1686="","",TEXT($A1686,"ddd"))</f>
        <v/>
      </c>
      <c r="E1686" s="8" t="inlineStr">
        <is>
          <t>Production</t>
        </is>
      </c>
      <c r="F1686" s="8">
        <f>IFERROR(INDEX(Tbl_KPIMaster[Category],MATCH($G1686,Tbl_KPIMaster[KPI],0)),"")</f>
        <v/>
      </c>
      <c r="G1686" s="8" t="inlineStr">
        <is>
          <t>OEE %</t>
        </is>
      </c>
      <c r="H1686" s="8">
        <f>IFERROR(INDEX(Tbl_KPIMaster[Unit],MATCH($G1686,Tbl_KPIMaster[KPI],0)),"")</f>
        <v/>
      </c>
      <c r="I1686" s="9">
        <f>IFERROR(INDEX(Tbl_KPIMaster[Maximum Target],MATCH($G1686,Tbl_KPIMaster[KPI],0)),"")</f>
        <v/>
      </c>
      <c r="J1686" s="9" t="n">
        <v>0.8985</v>
      </c>
      <c r="K1686" s="8">
        <f>IFERROR(INDEX(Tbl_KPIMaster[Tolerance],MATCH($G1686,Tbl_KPIMaster[KPI],0)),"")</f>
        <v/>
      </c>
      <c r="L1686" s="8">
        <f>IFERROR(INDEX(Tbl_KPIMaster[Owner],MATCH($G1686,Tbl_KPIMaster[KPI],0)),"")</f>
        <v/>
      </c>
      <c r="M1686" s="10" t="inlineStr">
        <is>
          <t>Within normal range</t>
        </is>
      </c>
      <c r="N1686" s="8" t="inlineStr">
        <is>
          <t>Management approval pending</t>
        </is>
      </c>
      <c r="O1686" s="8" t="inlineStr">
        <is>
          <t>Medium</t>
        </is>
      </c>
      <c r="P1686" s="8" t="inlineStr">
        <is>
          <t>Closed</t>
        </is>
      </c>
      <c r="Q1686" s="9">
        <f>IFERROR(IF(INDEX(Tbl_KPIMaster[Direction],MATCH($G1686,Tbl_KPIMaster[KPI],0))="Lower is Better",IF($J1686=0,1,IF($I1686=0,0,$I1686/$J1686)),IF($I1686=0,1,$J1686/$I1686)),0)</f>
        <v/>
      </c>
      <c r="R1686" s="8">
        <f>IF(OR($I1686="",$J1686=""),"",$J1686-$I1686)</f>
        <v/>
      </c>
      <c r="S1686" s="8">
        <f>IFERROR(IF(INDEX(Tbl_KPIMaster[Direction],MATCH($G1686,Tbl_KPIMaster[KPI],0))="Lower is Better",IF($J1686&lt;=$I1686,"Green",IF($J1686&lt;=$I1686+IF($I1686=0,$K1686,$I1686*$K1686),"Amber","Red")),IF($J1686&gt;=$I1686,"Green",IF($J1686&gt;=$I1686-IF($I1686=0,$K1686,$I1686*$K1686),"Amber","Red"))),"")</f>
        <v/>
      </c>
      <c r="T1686" s="10" t="inlineStr"/>
    </row>
    <row r="1687">
      <c r="A1687" s="3" t="n">
        <v>46214</v>
      </c>
      <c r="B1687" s="4">
        <f>IF($A1687="","",TEXT($A1687,"mmm-yyyy"))</f>
        <v/>
      </c>
      <c r="C1687" s="4">
        <f>IF($A1687="","","W"&amp;WEEKNUM($A1687,2))</f>
        <v/>
      </c>
      <c r="D1687" s="4">
        <f>IF($A1687="","",TEXT($A1687,"ddd"))</f>
        <v/>
      </c>
      <c r="E1687" s="4" t="inlineStr">
        <is>
          <t>Quality</t>
        </is>
      </c>
      <c r="F1687" s="4">
        <f>IFERROR(INDEX(Tbl_KPIMaster[Category],MATCH($G1687,Tbl_KPIMaster[KPI],0)),"")</f>
        <v/>
      </c>
      <c r="G1687" s="4" t="inlineStr">
        <is>
          <t>Defect Rate %</t>
        </is>
      </c>
      <c r="H1687" s="4">
        <f>IFERROR(INDEX(Tbl_KPIMaster[Unit],MATCH($G1687,Tbl_KPIMaster[KPI],0)),"")</f>
        <v/>
      </c>
      <c r="I1687" s="5">
        <f>IFERROR(INDEX(Tbl_KPIMaster[Maximum Target],MATCH($G1687,Tbl_KPIMaster[KPI],0)),"")</f>
        <v/>
      </c>
      <c r="J1687" s="5" t="n">
        <v>1.5433</v>
      </c>
      <c r="K1687" s="4">
        <f>IFERROR(INDEX(Tbl_KPIMaster[Tolerance],MATCH($G1687,Tbl_KPIMaster[KPI],0)),"")</f>
        <v/>
      </c>
      <c r="L1687" s="4">
        <f>IFERROR(INDEX(Tbl_KPIMaster[Owner],MATCH($G1687,Tbl_KPIMaster[KPI],0)),"")</f>
        <v/>
      </c>
      <c r="M1687" s="6" t="inlineStr">
        <is>
          <t>Equipment breakdown</t>
        </is>
      </c>
      <c r="N1687" s="4" t="inlineStr">
        <is>
          <t>Management approval pending</t>
        </is>
      </c>
      <c r="O1687" s="4" t="inlineStr">
        <is>
          <t>Medium</t>
        </is>
      </c>
      <c r="P1687" s="4" t="inlineStr">
        <is>
          <t>In Progress</t>
        </is>
      </c>
      <c r="Q1687" s="5">
        <f>IFERROR(IF(INDEX(Tbl_KPIMaster[Direction],MATCH($G1687,Tbl_KPIMaster[KPI],0))="Lower is Better",IF($J1687=0,1,IF($I1687=0,0,$I1687/$J1687)),IF($I1687=0,1,$J1687/$I1687)),0)</f>
        <v/>
      </c>
      <c r="R1687" s="4">
        <f>IF(OR($I1687="",$J1687=""),"",$J1687-$I1687)</f>
        <v/>
      </c>
      <c r="S1687" s="4">
        <f>IFERROR(IF(INDEX(Tbl_KPIMaster[Direction],MATCH($G1687,Tbl_KPIMaster[KPI],0))="Lower is Better",IF($J1687&lt;=$I1687,"Green",IF($J1687&lt;=$I1687+IF($I1687=0,$K1687,$I1687*$K1687),"Amber","Red")),IF($J1687&gt;=$I1687,"Green",IF($J1687&gt;=$I1687-IF($I1687=0,$K1687,$I1687*$K1687),"Amber","Red"))),"")</f>
        <v/>
      </c>
      <c r="T1687" s="6" t="inlineStr"/>
    </row>
    <row r="1688">
      <c r="A1688" s="7" t="n">
        <v>46214</v>
      </c>
      <c r="B1688" s="8">
        <f>IF($A1688="","",TEXT($A1688,"mmm-yyyy"))</f>
        <v/>
      </c>
      <c r="C1688" s="8">
        <f>IF($A1688="","","W"&amp;WEEKNUM($A1688,2))</f>
        <v/>
      </c>
      <c r="D1688" s="8">
        <f>IF($A1688="","",TEXT($A1688,"ddd"))</f>
        <v/>
      </c>
      <c r="E1688" s="8" t="inlineStr">
        <is>
          <t>Quality</t>
        </is>
      </c>
      <c r="F1688" s="8">
        <f>IFERROR(INDEX(Tbl_KPIMaster[Category],MATCH($G1688,Tbl_KPIMaster[KPI],0)),"")</f>
        <v/>
      </c>
      <c r="G1688" s="8" t="inlineStr">
        <is>
          <t>Customer Complaints</t>
        </is>
      </c>
      <c r="H1688" s="8">
        <f>IFERROR(INDEX(Tbl_KPIMaster[Unit],MATCH($G1688,Tbl_KPIMaster[KPI],0)),"")</f>
        <v/>
      </c>
      <c r="I1688" s="9">
        <f>IFERROR(INDEX(Tbl_KPIMaster[Maximum Target],MATCH($G1688,Tbl_KPIMaster[KPI],0)),"")</f>
        <v/>
      </c>
      <c r="J1688" s="9" t="n">
        <v>1</v>
      </c>
      <c r="K1688" s="8">
        <f>IFERROR(INDEX(Tbl_KPIMaster[Tolerance],MATCH($G1688,Tbl_KPIMaster[KPI],0)),"")</f>
        <v/>
      </c>
      <c r="L1688" s="8">
        <f>IFERROR(INDEX(Tbl_KPIMaster[Owner],MATCH($G1688,Tbl_KPIMaster[KPI],0)),"")</f>
        <v/>
      </c>
      <c r="M1688" s="10" t="inlineStr">
        <is>
          <t>Equipment breakdown</t>
        </is>
      </c>
      <c r="N1688" s="8" t="inlineStr">
        <is>
          <t>Engineering support needed</t>
        </is>
      </c>
      <c r="O1688" s="8" t="inlineStr">
        <is>
          <t>Low</t>
        </is>
      </c>
      <c r="P1688" s="8" t="inlineStr">
        <is>
          <t>Open</t>
        </is>
      </c>
      <c r="Q1688" s="9">
        <f>IFERROR(IF(INDEX(Tbl_KPIMaster[Direction],MATCH($G1688,Tbl_KPIMaster[KPI],0))="Lower is Better",IF($J1688=0,1,IF($I1688=0,0,$I1688/$J1688)),IF($I1688=0,1,$J1688/$I1688)),0)</f>
        <v/>
      </c>
      <c r="R1688" s="8">
        <f>IF(OR($I1688="",$J1688=""),"",$J1688-$I1688)</f>
        <v/>
      </c>
      <c r="S1688" s="8">
        <f>IFERROR(IF(INDEX(Tbl_KPIMaster[Direction],MATCH($G1688,Tbl_KPIMaster[KPI],0))="Lower is Better",IF($J1688&lt;=$I1688,"Green",IF($J1688&lt;=$I1688+IF($I1688=0,$K1688,$I1688*$K1688),"Amber","Red")),IF($J1688&gt;=$I1688,"Green",IF($J1688&gt;=$I1688-IF($I1688=0,$K1688,$I1688*$K1688),"Amber","Red"))),"")</f>
        <v/>
      </c>
      <c r="T1688" s="10" t="inlineStr"/>
    </row>
    <row r="1689">
      <c r="A1689" s="3" t="n">
        <v>46214</v>
      </c>
      <c r="B1689" s="4">
        <f>IF($A1689="","",TEXT($A1689,"mmm-yyyy"))</f>
        <v/>
      </c>
      <c r="C1689" s="4">
        <f>IF($A1689="","","W"&amp;WEEKNUM($A1689,2))</f>
        <v/>
      </c>
      <c r="D1689" s="4">
        <f>IF($A1689="","",TEXT($A1689,"ddd"))</f>
        <v/>
      </c>
      <c r="E1689" s="4" t="inlineStr">
        <is>
          <t>Maintenance</t>
        </is>
      </c>
      <c r="F1689" s="4">
        <f>IFERROR(INDEX(Tbl_KPIMaster[Category],MATCH($G1689,Tbl_KPIMaster[KPI],0)),"")</f>
        <v/>
      </c>
      <c r="G1689" s="4" t="inlineStr">
        <is>
          <t>Unplanned Downtime</t>
        </is>
      </c>
      <c r="H1689" s="4">
        <f>IFERROR(INDEX(Tbl_KPIMaster[Unit],MATCH($G1689,Tbl_KPIMaster[KPI],0)),"")</f>
        <v/>
      </c>
      <c r="I1689" s="5">
        <f>IFERROR(INDEX(Tbl_KPIMaster[Maximum Target],MATCH($G1689,Tbl_KPIMaster[KPI],0)),"")</f>
        <v/>
      </c>
      <c r="J1689" s="5" t="n">
        <v>0.76</v>
      </c>
      <c r="K1689" s="4">
        <f>IFERROR(INDEX(Tbl_KPIMaster[Tolerance],MATCH($G1689,Tbl_KPIMaster[KPI],0)),"")</f>
        <v/>
      </c>
      <c r="L1689" s="4">
        <f>IFERROR(INDEX(Tbl_KPIMaster[Owner],MATCH($G1689,Tbl_KPIMaster[KPI],0)),"")</f>
        <v/>
      </c>
      <c r="M1689" s="6" t="inlineStr">
        <is>
          <t>New operator training effect</t>
        </is>
      </c>
      <c r="N1689" s="4" t="inlineStr">
        <is>
          <t>Management approval pending</t>
        </is>
      </c>
      <c r="O1689" s="4" t="inlineStr">
        <is>
          <t>Medium</t>
        </is>
      </c>
      <c r="P1689" s="4" t="inlineStr">
        <is>
          <t>Closed</t>
        </is>
      </c>
      <c r="Q1689" s="5">
        <f>IFERROR(IF(INDEX(Tbl_KPIMaster[Direction],MATCH($G1689,Tbl_KPIMaster[KPI],0))="Lower is Better",IF($J1689=0,1,IF($I1689=0,0,$I1689/$J1689)),IF($I1689=0,1,$J1689/$I1689)),0)</f>
        <v/>
      </c>
      <c r="R1689" s="4">
        <f>IF(OR($I1689="",$J1689=""),"",$J1689-$I1689)</f>
        <v/>
      </c>
      <c r="S1689" s="4">
        <f>IFERROR(IF(INDEX(Tbl_KPIMaster[Direction],MATCH($G1689,Tbl_KPIMaster[KPI],0))="Lower is Better",IF($J1689&lt;=$I1689,"Green",IF($J1689&lt;=$I1689+IF($I1689=0,$K1689,$I1689*$K1689),"Amber","Red")),IF($J1689&gt;=$I1689,"Green",IF($J1689&gt;=$I1689-IF($I1689=0,$K1689,$I1689*$K1689),"Amber","Red"))),"")</f>
        <v/>
      </c>
      <c r="T1689" s="6" t="inlineStr"/>
    </row>
    <row r="1690">
      <c r="A1690" s="7" t="n">
        <v>46214</v>
      </c>
      <c r="B1690" s="8">
        <f>IF($A1690="","",TEXT($A1690,"mmm-yyyy"))</f>
        <v/>
      </c>
      <c r="C1690" s="8">
        <f>IF($A1690="","","W"&amp;WEEKNUM($A1690,2))</f>
        <v/>
      </c>
      <c r="D1690" s="8">
        <f>IF($A1690="","",TEXT($A1690,"ddd"))</f>
        <v/>
      </c>
      <c r="E1690" s="8" t="inlineStr">
        <is>
          <t>Maintenance</t>
        </is>
      </c>
      <c r="F1690" s="8">
        <f>IFERROR(INDEX(Tbl_KPIMaster[Category],MATCH($G1690,Tbl_KPIMaster[KPI],0)),"")</f>
        <v/>
      </c>
      <c r="G1690" s="8" t="inlineStr">
        <is>
          <t>PM Compliance %</t>
        </is>
      </c>
      <c r="H1690" s="8">
        <f>IFERROR(INDEX(Tbl_KPIMaster[Unit],MATCH($G1690,Tbl_KPIMaster[KPI],0)),"")</f>
        <v/>
      </c>
      <c r="I1690" s="9">
        <f>IFERROR(INDEX(Tbl_KPIMaster[Maximum Target],MATCH($G1690,Tbl_KPIMaster[KPI],0)),"")</f>
        <v/>
      </c>
      <c r="J1690" s="9" t="n">
        <v>1.0227</v>
      </c>
      <c r="K1690" s="8">
        <f>IFERROR(INDEX(Tbl_KPIMaster[Tolerance],MATCH($G1690,Tbl_KPIMaster[KPI],0)),"")</f>
        <v/>
      </c>
      <c r="L1690" s="8">
        <f>IFERROR(INDEX(Tbl_KPIMaster[Owner],MATCH($G1690,Tbl_KPIMaster[KPI],0)),"")</f>
        <v/>
      </c>
      <c r="M1690" s="10" t="inlineStr">
        <is>
          <t>Manpower shortage</t>
        </is>
      </c>
      <c r="N1690" s="8" t="inlineStr">
        <is>
          <t>Management approval pending</t>
        </is>
      </c>
      <c r="O1690" s="8" t="inlineStr">
        <is>
          <t>High</t>
        </is>
      </c>
      <c r="P1690" s="8" t="inlineStr">
        <is>
          <t>Closed</t>
        </is>
      </c>
      <c r="Q1690" s="9">
        <f>IFERROR(IF(INDEX(Tbl_KPIMaster[Direction],MATCH($G1690,Tbl_KPIMaster[KPI],0))="Lower is Better",IF($J1690=0,1,IF($I1690=0,0,$I1690/$J1690)),IF($I1690=0,1,$J1690/$I1690)),0)</f>
        <v/>
      </c>
      <c r="R1690" s="8">
        <f>IF(OR($I1690="",$J1690=""),"",$J1690-$I1690)</f>
        <v/>
      </c>
      <c r="S1690" s="8">
        <f>IFERROR(IF(INDEX(Tbl_KPIMaster[Direction],MATCH($G1690,Tbl_KPIMaster[KPI],0))="Lower is Better",IF($J1690&lt;=$I1690,"Green",IF($J1690&lt;=$I1690+IF($I1690=0,$K1690,$I1690*$K1690),"Amber","Red")),IF($J1690&gt;=$I1690,"Green",IF($J1690&gt;=$I1690-IF($I1690=0,$K1690,$I1690*$K1690),"Amber","Red"))),"")</f>
        <v/>
      </c>
      <c r="T1690" s="10" t="inlineStr"/>
    </row>
    <row r="1691">
      <c r="A1691" s="3" t="n">
        <v>46214</v>
      </c>
      <c r="B1691" s="4">
        <f>IF($A1691="","",TEXT($A1691,"mmm-yyyy"))</f>
        <v/>
      </c>
      <c r="C1691" s="4">
        <f>IF($A1691="","","W"&amp;WEEKNUM($A1691,2))</f>
        <v/>
      </c>
      <c r="D1691" s="4">
        <f>IF($A1691="","",TEXT($A1691,"ddd"))</f>
        <v/>
      </c>
      <c r="E1691" s="4" t="inlineStr">
        <is>
          <t>Utilities</t>
        </is>
      </c>
      <c r="F1691" s="4">
        <f>IFERROR(INDEX(Tbl_KPIMaster[Category],MATCH($G1691,Tbl_KPIMaster[KPI],0)),"")</f>
        <v/>
      </c>
      <c r="G1691" s="4" t="inlineStr">
        <is>
          <t>Power Consumption</t>
        </is>
      </c>
      <c r="H1691" s="4">
        <f>IFERROR(INDEX(Tbl_KPIMaster[Unit],MATCH($G1691,Tbl_KPIMaster[KPI],0)),"")</f>
        <v/>
      </c>
      <c r="I1691" s="5">
        <f>IFERROR(INDEX(Tbl_KPIMaster[Maximum Target],MATCH($G1691,Tbl_KPIMaster[KPI],0)),"")</f>
        <v/>
      </c>
      <c r="J1691" s="5" t="n">
        <v>3479.43</v>
      </c>
      <c r="K1691" s="4">
        <f>IFERROR(INDEX(Tbl_KPIMaster[Tolerance],MATCH($G1691,Tbl_KPIMaster[KPI],0)),"")</f>
        <v/>
      </c>
      <c r="L1691" s="4">
        <f>IFERROR(INDEX(Tbl_KPIMaster[Owner],MATCH($G1691,Tbl_KPIMaster[KPI],0)),"")</f>
        <v/>
      </c>
      <c r="M1691" s="6" t="inlineStr">
        <is>
          <t>Weather impact</t>
        </is>
      </c>
      <c r="N1691" s="4" t="inlineStr"/>
      <c r="O1691" s="4" t="inlineStr">
        <is>
          <t>Medium</t>
        </is>
      </c>
      <c r="P1691" s="4" t="inlineStr">
        <is>
          <t>In Progress</t>
        </is>
      </c>
      <c r="Q1691" s="5">
        <f>IFERROR(IF(INDEX(Tbl_KPIMaster[Direction],MATCH($G1691,Tbl_KPIMaster[KPI],0))="Lower is Better",IF($J1691=0,1,IF($I1691=0,0,$I1691/$J1691)),IF($I1691=0,1,$J1691/$I1691)),0)</f>
        <v/>
      </c>
      <c r="R1691" s="4">
        <f>IF(OR($I1691="",$J1691=""),"",$J1691-$I1691)</f>
        <v/>
      </c>
      <c r="S1691" s="4">
        <f>IFERROR(IF(INDEX(Tbl_KPIMaster[Direction],MATCH($G1691,Tbl_KPIMaster[KPI],0))="Lower is Better",IF($J1691&lt;=$I1691,"Green",IF($J1691&lt;=$I1691+IF($I1691=0,$K1691,$I1691*$K1691),"Amber","Red")),IF($J1691&gt;=$I1691,"Green",IF($J1691&gt;=$I1691-IF($I1691=0,$K1691,$I1691*$K1691),"Amber","Red"))),"")</f>
        <v/>
      </c>
      <c r="T1691" s="6" t="inlineStr"/>
    </row>
    <row r="1692">
      <c r="A1692" s="7" t="n">
        <v>46214</v>
      </c>
      <c r="B1692" s="8">
        <f>IF($A1692="","",TEXT($A1692,"mmm-yyyy"))</f>
        <v/>
      </c>
      <c r="C1692" s="8">
        <f>IF($A1692="","","W"&amp;WEEKNUM($A1692,2))</f>
        <v/>
      </c>
      <c r="D1692" s="8">
        <f>IF($A1692="","",TEXT($A1692,"ddd"))</f>
        <v/>
      </c>
      <c r="E1692" s="8" t="inlineStr">
        <is>
          <t>Utilities</t>
        </is>
      </c>
      <c r="F1692" s="8">
        <f>IFERROR(INDEX(Tbl_KPIMaster[Category],MATCH($G1692,Tbl_KPIMaster[KPI],0)),"")</f>
        <v/>
      </c>
      <c r="G1692" s="8" t="inlineStr">
        <is>
          <t>Water Consumption</t>
        </is>
      </c>
      <c r="H1692" s="8">
        <f>IFERROR(INDEX(Tbl_KPIMaster[Unit],MATCH($G1692,Tbl_KPIMaster[KPI],0)),"")</f>
        <v/>
      </c>
      <c r="I1692" s="9">
        <f>IFERROR(INDEX(Tbl_KPIMaster[Maximum Target],MATCH($G1692,Tbl_KPIMaster[KPI],0)),"")</f>
        <v/>
      </c>
      <c r="J1692" s="9" t="n">
        <v>48.01</v>
      </c>
      <c r="K1692" s="8">
        <f>IFERROR(INDEX(Tbl_KPIMaster[Tolerance],MATCH($G1692,Tbl_KPIMaster[KPI],0)),"")</f>
        <v/>
      </c>
      <c r="L1692" s="8">
        <f>IFERROR(INDEX(Tbl_KPIMaster[Owner],MATCH($G1692,Tbl_KPIMaster[KPI],0)),"")</f>
        <v/>
      </c>
      <c r="M1692" s="10" t="inlineStr">
        <is>
          <t>Process improvement in progress</t>
        </is>
      </c>
      <c r="N1692" s="8" t="inlineStr"/>
      <c r="O1692" s="8" t="inlineStr">
        <is>
          <t>Medium</t>
        </is>
      </c>
      <c r="P1692" s="8" t="inlineStr">
        <is>
          <t>Closed</t>
        </is>
      </c>
      <c r="Q1692" s="9">
        <f>IFERROR(IF(INDEX(Tbl_KPIMaster[Direction],MATCH($G1692,Tbl_KPIMaster[KPI],0))="Lower is Better",IF($J1692=0,1,IF($I1692=0,0,$I1692/$J1692)),IF($I1692=0,1,$J1692/$I1692)),0)</f>
        <v/>
      </c>
      <c r="R1692" s="8">
        <f>IF(OR($I1692="",$J1692=""),"",$J1692-$I1692)</f>
        <v/>
      </c>
      <c r="S1692" s="8">
        <f>IFERROR(IF(INDEX(Tbl_KPIMaster[Direction],MATCH($G1692,Tbl_KPIMaster[KPI],0))="Lower is Better",IF($J1692&lt;=$I1692,"Green",IF($J1692&lt;=$I1692+IF($I1692=0,$K1692,$I1692*$K1692),"Amber","Red")),IF($J1692&gt;=$I1692,"Green",IF($J1692&gt;=$I1692-IF($I1692=0,$K1692,$I1692*$K1692),"Amber","Red"))),"")</f>
        <v/>
      </c>
      <c r="T1692" s="10" t="inlineStr"/>
    </row>
    <row r="1693">
      <c r="A1693" s="3" t="n">
        <v>46214</v>
      </c>
      <c r="B1693" s="4">
        <f>IF($A1693="","",TEXT($A1693,"mmm-yyyy"))</f>
        <v/>
      </c>
      <c r="C1693" s="4">
        <f>IF($A1693="","","W"&amp;WEEKNUM($A1693,2))</f>
        <v/>
      </c>
      <c r="D1693" s="4">
        <f>IF($A1693="","",TEXT($A1693,"ddd"))</f>
        <v/>
      </c>
      <c r="E1693" s="4" t="inlineStr">
        <is>
          <t>Warehouse</t>
        </is>
      </c>
      <c r="F1693" s="4">
        <f>IFERROR(INDEX(Tbl_KPIMaster[Category],MATCH($G1693,Tbl_KPIMaster[KPI],0)),"")</f>
        <v/>
      </c>
      <c r="G1693" s="4" t="inlineStr">
        <is>
          <t>On-Time Dispatch %</t>
        </is>
      </c>
      <c r="H1693" s="4">
        <f>IFERROR(INDEX(Tbl_KPIMaster[Unit],MATCH($G1693,Tbl_KPIMaster[KPI],0)),"")</f>
        <v/>
      </c>
      <c r="I1693" s="5">
        <f>IFERROR(INDEX(Tbl_KPIMaster[Maximum Target],MATCH($G1693,Tbl_KPIMaster[KPI],0)),"")</f>
        <v/>
      </c>
      <c r="J1693" s="5" t="n">
        <v>0.912</v>
      </c>
      <c r="K1693" s="4">
        <f>IFERROR(INDEX(Tbl_KPIMaster[Tolerance],MATCH($G1693,Tbl_KPIMaster[KPI],0)),"")</f>
        <v/>
      </c>
      <c r="L1693" s="4">
        <f>IFERROR(INDEX(Tbl_KPIMaster[Owner],MATCH($G1693,Tbl_KPIMaster[KPI],0)),"")</f>
        <v/>
      </c>
      <c r="M1693" s="6" t="inlineStr">
        <is>
          <t>Vendor delay</t>
        </is>
      </c>
      <c r="N1693" s="4" t="inlineStr">
        <is>
          <t>Management approval pending</t>
        </is>
      </c>
      <c r="O1693" s="4" t="inlineStr">
        <is>
          <t>Low</t>
        </is>
      </c>
      <c r="P1693" s="4" t="inlineStr">
        <is>
          <t>In Progress</t>
        </is>
      </c>
      <c r="Q1693" s="5">
        <f>IFERROR(IF(INDEX(Tbl_KPIMaster[Direction],MATCH($G1693,Tbl_KPIMaster[KPI],0))="Lower is Better",IF($J1693=0,1,IF($I1693=0,0,$I1693/$J1693)),IF($I1693=0,1,$J1693/$I1693)),0)</f>
        <v/>
      </c>
      <c r="R1693" s="4">
        <f>IF(OR($I1693="",$J1693=""),"",$J1693-$I1693)</f>
        <v/>
      </c>
      <c r="S1693" s="4">
        <f>IFERROR(IF(INDEX(Tbl_KPIMaster[Direction],MATCH($G1693,Tbl_KPIMaster[KPI],0))="Lower is Better",IF($J1693&lt;=$I1693,"Green",IF($J1693&lt;=$I1693+IF($I1693=0,$K1693,$I1693*$K1693),"Amber","Red")),IF($J1693&gt;=$I1693,"Green",IF($J1693&gt;=$I1693-IF($I1693=0,$K1693,$I1693*$K1693),"Amber","Red"))),"")</f>
        <v/>
      </c>
      <c r="T1693" s="6" t="inlineStr"/>
    </row>
    <row r="1694">
      <c r="A1694" s="7" t="n">
        <v>46214</v>
      </c>
      <c r="B1694" s="8">
        <f>IF($A1694="","",TEXT($A1694,"mmm-yyyy"))</f>
        <v/>
      </c>
      <c r="C1694" s="8">
        <f>IF($A1694="","","W"&amp;WEEKNUM($A1694,2))</f>
        <v/>
      </c>
      <c r="D1694" s="8">
        <f>IF($A1694="","",TEXT($A1694,"ddd"))</f>
        <v/>
      </c>
      <c r="E1694" s="8" t="inlineStr">
        <is>
          <t>Warehouse</t>
        </is>
      </c>
      <c r="F1694" s="8">
        <f>IFERROR(INDEX(Tbl_KPIMaster[Category],MATCH($G1694,Tbl_KPIMaster[KPI],0)),"")</f>
        <v/>
      </c>
      <c r="G1694" s="8" t="inlineStr">
        <is>
          <t>Inventory Accuracy %</t>
        </is>
      </c>
      <c r="H1694" s="8">
        <f>IFERROR(INDEX(Tbl_KPIMaster[Unit],MATCH($G1694,Tbl_KPIMaster[KPI],0)),"")</f>
        <v/>
      </c>
      <c r="I1694" s="9">
        <f>IFERROR(INDEX(Tbl_KPIMaster[Maximum Target],MATCH($G1694,Tbl_KPIMaster[KPI],0)),"")</f>
        <v/>
      </c>
      <c r="J1694" s="9" t="n">
        <v>0.9073</v>
      </c>
      <c r="K1694" s="8">
        <f>IFERROR(INDEX(Tbl_KPIMaster[Tolerance],MATCH($G1694,Tbl_KPIMaster[KPI],0)),"")</f>
        <v/>
      </c>
      <c r="L1694" s="8">
        <f>IFERROR(INDEX(Tbl_KPIMaster[Owner],MATCH($G1694,Tbl_KPIMaster[KPI],0)),"")</f>
        <v/>
      </c>
      <c r="M1694" s="10" t="inlineStr">
        <is>
          <t>Line changeover impact</t>
        </is>
      </c>
      <c r="N1694" s="8" t="inlineStr"/>
      <c r="O1694" s="8" t="inlineStr">
        <is>
          <t>Low</t>
        </is>
      </c>
      <c r="P1694" s="8" t="inlineStr">
        <is>
          <t>Closed</t>
        </is>
      </c>
      <c r="Q1694" s="9">
        <f>IFERROR(IF(INDEX(Tbl_KPIMaster[Direction],MATCH($G1694,Tbl_KPIMaster[KPI],0))="Lower is Better",IF($J1694=0,1,IF($I1694=0,0,$I1694/$J1694)),IF($I1694=0,1,$J1694/$I1694)),0)</f>
        <v/>
      </c>
      <c r="R1694" s="8">
        <f>IF(OR($I1694="",$J1694=""),"",$J1694-$I1694)</f>
        <v/>
      </c>
      <c r="S1694" s="8">
        <f>IFERROR(IF(INDEX(Tbl_KPIMaster[Direction],MATCH($G1694,Tbl_KPIMaster[KPI],0))="Lower is Better",IF($J1694&lt;=$I1694,"Green",IF($J1694&lt;=$I1694+IF($I1694=0,$K1694,$I1694*$K1694),"Amber","Red")),IF($J1694&gt;=$I1694,"Green",IF($J1694&gt;=$I1694-IF($I1694=0,$K1694,$I1694*$K1694),"Amber","Red"))),"")</f>
        <v/>
      </c>
      <c r="T1694" s="10" t="inlineStr"/>
    </row>
    <row r="1695">
      <c r="A1695" s="3" t="n">
        <v>46214</v>
      </c>
      <c r="B1695" s="4">
        <f>IF($A1695="","",TEXT($A1695,"mmm-yyyy"))</f>
        <v/>
      </c>
      <c r="C1695" s="4">
        <f>IF($A1695="","","W"&amp;WEEKNUM($A1695,2))</f>
        <v/>
      </c>
      <c r="D1695" s="4">
        <f>IF($A1695="","",TEXT($A1695,"ddd"))</f>
        <v/>
      </c>
      <c r="E1695" s="4" t="inlineStr">
        <is>
          <t>HR</t>
        </is>
      </c>
      <c r="F1695" s="4">
        <f>IFERROR(INDEX(Tbl_KPIMaster[Category],MATCH($G1695,Tbl_KPIMaster[KPI],0)),"")</f>
        <v/>
      </c>
      <c r="G1695" s="4" t="inlineStr">
        <is>
          <t>Absenteeism %</t>
        </is>
      </c>
      <c r="H1695" s="4">
        <f>IFERROR(INDEX(Tbl_KPIMaster[Unit],MATCH($G1695,Tbl_KPIMaster[KPI],0)),"")</f>
        <v/>
      </c>
      <c r="I1695" s="5">
        <f>IFERROR(INDEX(Tbl_KPIMaster[Maximum Target],MATCH($G1695,Tbl_KPIMaster[KPI],0)),"")</f>
        <v/>
      </c>
      <c r="J1695" s="5" t="n">
        <v>0</v>
      </c>
      <c r="K1695" s="4">
        <f>IFERROR(INDEX(Tbl_KPIMaster[Tolerance],MATCH($G1695,Tbl_KPIMaster[KPI],0)),"")</f>
        <v/>
      </c>
      <c r="L1695" s="4">
        <f>IFERROR(INDEX(Tbl_KPIMaster[Owner],MATCH($G1695,Tbl_KPIMaster[KPI],0)),"")</f>
        <v/>
      </c>
      <c r="M1695" s="6" t="inlineStr">
        <is>
          <t>Line changeover impact</t>
        </is>
      </c>
      <c r="N1695" s="4" t="inlineStr"/>
      <c r="O1695" s="4" t="inlineStr">
        <is>
          <t>Low</t>
        </is>
      </c>
      <c r="P1695" s="4" t="inlineStr">
        <is>
          <t>In Progress</t>
        </is>
      </c>
      <c r="Q1695" s="5">
        <f>IFERROR(IF(INDEX(Tbl_KPIMaster[Direction],MATCH($G1695,Tbl_KPIMaster[KPI],0))="Lower is Better",IF($J1695=0,1,IF($I1695=0,0,$I1695/$J1695)),IF($I1695=0,1,$J1695/$I1695)),0)</f>
        <v/>
      </c>
      <c r="R1695" s="4">
        <f>IF(OR($I1695="",$J1695=""),"",$J1695-$I1695)</f>
        <v/>
      </c>
      <c r="S1695" s="4">
        <f>IFERROR(IF(INDEX(Tbl_KPIMaster[Direction],MATCH($G1695,Tbl_KPIMaster[KPI],0))="Lower is Better",IF($J1695&lt;=$I1695,"Green",IF($J1695&lt;=$I1695+IF($I1695=0,$K1695,$I1695*$K1695),"Amber","Red")),IF($J1695&gt;=$I1695,"Green",IF($J1695&gt;=$I1695-IF($I1695=0,$K1695,$I1695*$K1695),"Amber","Red"))),"")</f>
        <v/>
      </c>
      <c r="T1695" s="6" t="inlineStr"/>
    </row>
    <row r="1696">
      <c r="A1696" s="7" t="n">
        <v>46214</v>
      </c>
      <c r="B1696" s="8">
        <f>IF($A1696="","",TEXT($A1696,"mmm-yyyy"))</f>
        <v/>
      </c>
      <c r="C1696" s="8">
        <f>IF($A1696="","","W"&amp;WEEKNUM($A1696,2))</f>
        <v/>
      </c>
      <c r="D1696" s="8">
        <f>IF($A1696="","",TEXT($A1696,"ddd"))</f>
        <v/>
      </c>
      <c r="E1696" s="8" t="inlineStr">
        <is>
          <t>HR</t>
        </is>
      </c>
      <c r="F1696" s="8">
        <f>IFERROR(INDEX(Tbl_KPIMaster[Category],MATCH($G1696,Tbl_KPIMaster[KPI],0)),"")</f>
        <v/>
      </c>
      <c r="G1696" s="8" t="inlineStr">
        <is>
          <t>Training Hours</t>
        </is>
      </c>
      <c r="H1696" s="8">
        <f>IFERROR(INDEX(Tbl_KPIMaster[Unit],MATCH($G1696,Tbl_KPIMaster[KPI],0)),"")</f>
        <v/>
      </c>
      <c r="I1696" s="9">
        <f>IFERROR(INDEX(Tbl_KPIMaster[Maximum Target],MATCH($G1696,Tbl_KPIMaster[KPI],0)),"")</f>
        <v/>
      </c>
      <c r="J1696" s="9" t="n">
        <v>2.32</v>
      </c>
      <c r="K1696" s="8">
        <f>IFERROR(INDEX(Tbl_KPIMaster[Tolerance],MATCH($G1696,Tbl_KPIMaster[KPI],0)),"")</f>
        <v/>
      </c>
      <c r="L1696" s="8">
        <f>IFERROR(INDEX(Tbl_KPIMaster[Owner],MATCH($G1696,Tbl_KPIMaster[KPI],0)),"")</f>
        <v/>
      </c>
      <c r="M1696" s="10" t="inlineStr">
        <is>
          <t>Line changeover impact</t>
        </is>
      </c>
      <c r="N1696" s="8" t="inlineStr"/>
      <c r="O1696" s="8" t="inlineStr">
        <is>
          <t>Low</t>
        </is>
      </c>
      <c r="P1696" s="8" t="inlineStr">
        <is>
          <t>Closed</t>
        </is>
      </c>
      <c r="Q1696" s="9">
        <f>IFERROR(IF(INDEX(Tbl_KPIMaster[Direction],MATCH($G1696,Tbl_KPIMaster[KPI],0))="Lower is Better",IF($J1696=0,1,IF($I1696=0,0,$I1696/$J1696)),IF($I1696=0,1,$J1696/$I1696)),0)</f>
        <v/>
      </c>
      <c r="R1696" s="8">
        <f>IF(OR($I1696="",$J1696=""),"",$J1696-$I1696)</f>
        <v/>
      </c>
      <c r="S1696" s="8">
        <f>IFERROR(IF(INDEX(Tbl_KPIMaster[Direction],MATCH($G1696,Tbl_KPIMaster[KPI],0))="Lower is Better",IF($J1696&lt;=$I1696,"Green",IF($J1696&lt;=$I1696+IF($I1696=0,$K1696,$I1696*$K1696),"Amber","Red")),IF($J1696&gt;=$I1696,"Green",IF($J1696&gt;=$I1696-IF($I1696=0,$K1696,$I1696*$K1696),"Amber","Red"))),"")</f>
        <v/>
      </c>
      <c r="T1696" s="10" t="inlineStr"/>
    </row>
    <row r="1697">
      <c r="A1697" s="3" t="n">
        <v>46214</v>
      </c>
      <c r="B1697" s="4">
        <f>IF($A1697="","",TEXT($A1697,"mmm-yyyy"))</f>
        <v/>
      </c>
      <c r="C1697" s="4">
        <f>IF($A1697="","","W"&amp;WEEKNUM($A1697,2))</f>
        <v/>
      </c>
      <c r="D1697" s="4">
        <f>IF($A1697="","",TEXT($A1697,"ddd"))</f>
        <v/>
      </c>
      <c r="E1697" s="4" t="inlineStr">
        <is>
          <t>Engineering</t>
        </is>
      </c>
      <c r="F1697" s="4">
        <f>IFERROR(INDEX(Tbl_KPIMaster[Category],MATCH($G1697,Tbl_KPIMaster[KPI],0)),"")</f>
        <v/>
      </c>
      <c r="G1697" s="4" t="inlineStr">
        <is>
          <t>Project Milestone Adherence %</t>
        </is>
      </c>
      <c r="H1697" s="4">
        <f>IFERROR(INDEX(Tbl_KPIMaster[Unit],MATCH($G1697,Tbl_KPIMaster[KPI],0)),"")</f>
        <v/>
      </c>
      <c r="I1697" s="5">
        <f>IFERROR(INDEX(Tbl_KPIMaster[Maximum Target],MATCH($G1697,Tbl_KPIMaster[KPI],0)),"")</f>
        <v/>
      </c>
      <c r="J1697" s="5" t="n">
        <v>1.0935</v>
      </c>
      <c r="K1697" s="4">
        <f>IFERROR(INDEX(Tbl_KPIMaster[Tolerance],MATCH($G1697,Tbl_KPIMaster[KPI],0)),"")</f>
        <v/>
      </c>
      <c r="L1697" s="4">
        <f>IFERROR(INDEX(Tbl_KPIMaster[Owner],MATCH($G1697,Tbl_KPIMaster[KPI],0)),"")</f>
        <v/>
      </c>
      <c r="M1697" s="6" t="inlineStr">
        <is>
          <t>Manpower shortage</t>
        </is>
      </c>
      <c r="N1697" s="4" t="inlineStr">
        <is>
          <t>Engineering support needed</t>
        </is>
      </c>
      <c r="O1697" s="4" t="inlineStr">
        <is>
          <t>Low</t>
        </is>
      </c>
      <c r="P1697" s="4" t="inlineStr">
        <is>
          <t>Open</t>
        </is>
      </c>
      <c r="Q1697" s="5">
        <f>IFERROR(IF(INDEX(Tbl_KPIMaster[Direction],MATCH($G1697,Tbl_KPIMaster[KPI],0))="Lower is Better",IF($J1697=0,1,IF($I1697=0,0,$I1697/$J1697)),IF($I1697=0,1,$J1697/$I1697)),0)</f>
        <v/>
      </c>
      <c r="R1697" s="4">
        <f>IF(OR($I1697="",$J1697=""),"",$J1697-$I1697)</f>
        <v/>
      </c>
      <c r="S1697" s="4">
        <f>IFERROR(IF(INDEX(Tbl_KPIMaster[Direction],MATCH($G1697,Tbl_KPIMaster[KPI],0))="Lower is Better",IF($J1697&lt;=$I1697,"Green",IF($J1697&lt;=$I1697+IF($I1697=0,$K1697,$I1697*$K1697),"Amber","Red")),IF($J1697&gt;=$I1697,"Green",IF($J1697&gt;=$I1697-IF($I1697=0,$K1697,$I1697*$K1697),"Amber","Red"))),"")</f>
        <v/>
      </c>
      <c r="T1697" s="6" t="inlineStr"/>
    </row>
    <row r="1698">
      <c r="A1698" s="7" t="n">
        <v>46214</v>
      </c>
      <c r="B1698" s="8">
        <f>IF($A1698="","",TEXT($A1698,"mmm-yyyy"))</f>
        <v/>
      </c>
      <c r="C1698" s="8">
        <f>IF($A1698="","","W"&amp;WEEKNUM($A1698,2))</f>
        <v/>
      </c>
      <c r="D1698" s="8">
        <f>IF($A1698="","",TEXT($A1698,"ddd"))</f>
        <v/>
      </c>
      <c r="E1698" s="8" t="inlineStr">
        <is>
          <t>Engineering</t>
        </is>
      </c>
      <c r="F1698" s="8">
        <f>IFERROR(INDEX(Tbl_KPIMaster[Category],MATCH($G1698,Tbl_KPIMaster[KPI],0)),"")</f>
        <v/>
      </c>
      <c r="G1698" s="8" t="inlineStr">
        <is>
          <t>Breakdown Resolution Time</t>
        </is>
      </c>
      <c r="H1698" s="8">
        <f>IFERROR(INDEX(Tbl_KPIMaster[Unit],MATCH($G1698,Tbl_KPIMaster[KPI],0)),"")</f>
        <v/>
      </c>
      <c r="I1698" s="9">
        <f>IFERROR(INDEX(Tbl_KPIMaster[Maximum Target],MATCH($G1698,Tbl_KPIMaster[KPI],0)),"")</f>
        <v/>
      </c>
      <c r="J1698" s="9" t="n">
        <v>1.22</v>
      </c>
      <c r="K1698" s="8">
        <f>IFERROR(INDEX(Tbl_KPIMaster[Tolerance],MATCH($G1698,Tbl_KPIMaster[KPI],0)),"")</f>
        <v/>
      </c>
      <c r="L1698" s="8">
        <f>IFERROR(INDEX(Tbl_KPIMaster[Owner],MATCH($G1698,Tbl_KPIMaster[KPI],0)),"")</f>
        <v/>
      </c>
      <c r="M1698" s="10" t="inlineStr">
        <is>
          <t>Process improvement in progress</t>
        </is>
      </c>
      <c r="N1698" s="8" t="inlineStr"/>
      <c r="O1698" s="8" t="inlineStr">
        <is>
          <t>Low</t>
        </is>
      </c>
      <c r="P1698" s="8" t="inlineStr">
        <is>
          <t>Open</t>
        </is>
      </c>
      <c r="Q1698" s="9">
        <f>IFERROR(IF(INDEX(Tbl_KPIMaster[Direction],MATCH($G1698,Tbl_KPIMaster[KPI],0))="Lower is Better",IF($J1698=0,1,IF($I1698=0,0,$I1698/$J1698)),IF($I1698=0,1,$J1698/$I1698)),0)</f>
        <v/>
      </c>
      <c r="R1698" s="8">
        <f>IF(OR($I1698="",$J1698=""),"",$J1698-$I1698)</f>
        <v/>
      </c>
      <c r="S1698" s="8">
        <f>IFERROR(IF(INDEX(Tbl_KPIMaster[Direction],MATCH($G1698,Tbl_KPIMaster[KPI],0))="Lower is Better",IF($J1698&lt;=$I1698,"Green",IF($J1698&lt;=$I1698+IF($I1698=0,$K1698,$I1698*$K1698),"Amber","Red")),IF($J1698&gt;=$I1698,"Green",IF($J1698&gt;=$I1698-IF($I1698=0,$K1698,$I1698*$K1698),"Amber","Red"))),"")</f>
        <v/>
      </c>
      <c r="T1698" s="10" t="inlineStr"/>
    </row>
    <row r="1699">
      <c r="A1699" s="3" t="n">
        <v>46214</v>
      </c>
      <c r="B1699" s="4">
        <f>IF($A1699="","",TEXT($A1699,"mmm-yyyy"))</f>
        <v/>
      </c>
      <c r="C1699" s="4">
        <f>IF($A1699="","","W"&amp;WEEKNUM($A1699,2))</f>
        <v/>
      </c>
      <c r="D1699" s="4">
        <f>IF($A1699="","",TEXT($A1699,"ddd"))</f>
        <v/>
      </c>
      <c r="E1699" s="4" t="inlineStr">
        <is>
          <t>Cost</t>
        </is>
      </c>
      <c r="F1699" s="4">
        <f>IFERROR(INDEX(Tbl_KPIMaster[Category],MATCH($G1699,Tbl_KPIMaster[KPI],0)),"")</f>
        <v/>
      </c>
      <c r="G1699" s="4" t="inlineStr">
        <is>
          <t>Cost per Unit</t>
        </is>
      </c>
      <c r="H1699" s="4">
        <f>IFERROR(INDEX(Tbl_KPIMaster[Unit],MATCH($G1699,Tbl_KPIMaster[KPI],0)),"")</f>
        <v/>
      </c>
      <c r="I1699" s="5">
        <f>IFERROR(INDEX(Tbl_KPIMaster[Maximum Target],MATCH($G1699,Tbl_KPIMaster[KPI],0)),"")</f>
        <v/>
      </c>
      <c r="J1699" s="5" t="n">
        <v>46.27</v>
      </c>
      <c r="K1699" s="4">
        <f>IFERROR(INDEX(Tbl_KPIMaster[Tolerance],MATCH($G1699,Tbl_KPIMaster[KPI],0)),"")</f>
        <v/>
      </c>
      <c r="L1699" s="4">
        <f>IFERROR(INDEX(Tbl_KPIMaster[Owner],MATCH($G1699,Tbl_KPIMaster[KPI],0)),"")</f>
        <v/>
      </c>
      <c r="M1699" s="6" t="inlineStr">
        <is>
          <t>Manpower shortage</t>
        </is>
      </c>
      <c r="N1699" s="4" t="inlineStr">
        <is>
          <t>Management approval pending</t>
        </is>
      </c>
      <c r="O1699" s="4" t="inlineStr">
        <is>
          <t>Low</t>
        </is>
      </c>
      <c r="P1699" s="4" t="inlineStr">
        <is>
          <t>In Progress</t>
        </is>
      </c>
      <c r="Q1699" s="5">
        <f>IFERROR(IF(INDEX(Tbl_KPIMaster[Direction],MATCH($G1699,Tbl_KPIMaster[KPI],0))="Lower is Better",IF($J1699=0,1,IF($I1699=0,0,$I1699/$J1699)),IF($I1699=0,1,$J1699/$I1699)),0)</f>
        <v/>
      </c>
      <c r="R1699" s="4">
        <f>IF(OR($I1699="",$J1699=""),"",$J1699-$I1699)</f>
        <v/>
      </c>
      <c r="S1699" s="4">
        <f>IFERROR(IF(INDEX(Tbl_KPIMaster[Direction],MATCH($G1699,Tbl_KPIMaster[KPI],0))="Lower is Better",IF($J1699&lt;=$I1699,"Green",IF($J1699&lt;=$I1699+IF($I1699=0,$K1699,$I1699*$K1699),"Amber","Red")),IF($J1699&gt;=$I1699,"Green",IF($J1699&gt;=$I1699-IF($I1699=0,$K1699,$I1699*$K1699),"Amber","Red"))),"")</f>
        <v/>
      </c>
      <c r="T1699" s="6" t="inlineStr"/>
    </row>
    <row r="1700">
      <c r="A1700" s="7" t="n">
        <v>46214</v>
      </c>
      <c r="B1700" s="8">
        <f>IF($A1700="","",TEXT($A1700,"mmm-yyyy"))</f>
        <v/>
      </c>
      <c r="C1700" s="8">
        <f>IF($A1700="","","W"&amp;WEEKNUM($A1700,2))</f>
        <v/>
      </c>
      <c r="D1700" s="8">
        <f>IF($A1700="","",TEXT($A1700,"ddd"))</f>
        <v/>
      </c>
      <c r="E1700" s="8" t="inlineStr">
        <is>
          <t>Cost</t>
        </is>
      </c>
      <c r="F1700" s="8">
        <f>IFERROR(INDEX(Tbl_KPIMaster[Category],MATCH($G1700,Tbl_KPIMaster[KPI],0)),"")</f>
        <v/>
      </c>
      <c r="G1700" s="8" t="inlineStr">
        <is>
          <t>Budget Variance %</t>
        </is>
      </c>
      <c r="H1700" s="8">
        <f>IFERROR(INDEX(Tbl_KPIMaster[Unit],MATCH($G1700,Tbl_KPIMaster[KPI],0)),"")</f>
        <v/>
      </c>
      <c r="I1700" s="9">
        <f>IFERROR(INDEX(Tbl_KPIMaster[Maximum Target],MATCH($G1700,Tbl_KPIMaster[KPI],0)),"")</f>
        <v/>
      </c>
      <c r="J1700" s="9" t="n">
        <v>0.206</v>
      </c>
      <c r="K1700" s="8">
        <f>IFERROR(INDEX(Tbl_KPIMaster[Tolerance],MATCH($G1700,Tbl_KPIMaster[KPI],0)),"")</f>
        <v/>
      </c>
      <c r="L1700" s="8">
        <f>IFERROR(INDEX(Tbl_KPIMaster[Owner],MATCH($G1700,Tbl_KPIMaster[KPI],0)),"")</f>
        <v/>
      </c>
      <c r="M1700" s="10" t="inlineStr"/>
      <c r="N1700" s="8" t="inlineStr">
        <is>
          <t>Engineering support needed</t>
        </is>
      </c>
      <c r="O1700" s="8" t="inlineStr">
        <is>
          <t>High</t>
        </is>
      </c>
      <c r="P1700" s="8" t="inlineStr">
        <is>
          <t>Closed</t>
        </is>
      </c>
      <c r="Q1700" s="9">
        <f>IFERROR(IF(INDEX(Tbl_KPIMaster[Direction],MATCH($G1700,Tbl_KPIMaster[KPI],0))="Lower is Better",IF($J1700=0,1,IF($I1700=0,0,$I1700/$J1700)),IF($I1700=0,1,$J1700/$I1700)),0)</f>
        <v/>
      </c>
      <c r="R1700" s="8">
        <f>IF(OR($I1700="",$J1700=""),"",$J1700-$I1700)</f>
        <v/>
      </c>
      <c r="S1700" s="8">
        <f>IFERROR(IF(INDEX(Tbl_KPIMaster[Direction],MATCH($G1700,Tbl_KPIMaster[KPI],0))="Lower is Better",IF($J1700&lt;=$I1700,"Green",IF($J1700&lt;=$I1700+IF($I1700=0,$K1700,$I1700*$K1700),"Amber","Red")),IF($J1700&gt;=$I1700,"Green",IF($J1700&gt;=$I1700-IF($I1700=0,$K1700,$I1700*$K1700),"Amber","Red"))),"")</f>
        <v/>
      </c>
      <c r="T1700" s="10" t="inlineStr"/>
    </row>
    <row r="1701">
      <c r="A1701" s="3" t="n">
        <v>46214</v>
      </c>
      <c r="B1701" s="4">
        <f>IF($A1701="","",TEXT($A1701,"mmm-yyyy"))</f>
        <v/>
      </c>
      <c r="C1701" s="4">
        <f>IF($A1701="","","W"&amp;WEEKNUM($A1701,2))</f>
        <v/>
      </c>
      <c r="D1701" s="4">
        <f>IF($A1701="","",TEXT($A1701,"ddd"))</f>
        <v/>
      </c>
      <c r="E1701" s="4" t="inlineStr">
        <is>
          <t>Energy</t>
        </is>
      </c>
      <c r="F1701" s="4">
        <f>IFERROR(INDEX(Tbl_KPIMaster[Category],MATCH($G1701,Tbl_KPIMaster[KPI],0)),"")</f>
        <v/>
      </c>
      <c r="G1701" s="4" t="inlineStr">
        <is>
          <t>Energy Intensity (kWh/unit)</t>
        </is>
      </c>
      <c r="H1701" s="4">
        <f>IFERROR(INDEX(Tbl_KPIMaster[Unit],MATCH($G1701,Tbl_KPIMaster[KPI],0)),"")</f>
        <v/>
      </c>
      <c r="I1701" s="5">
        <f>IFERROR(INDEX(Tbl_KPIMaster[Maximum Target],MATCH($G1701,Tbl_KPIMaster[KPI],0)),"")</f>
        <v/>
      </c>
      <c r="J1701" s="5" t="n">
        <v>3.68</v>
      </c>
      <c r="K1701" s="4">
        <f>IFERROR(INDEX(Tbl_KPIMaster[Tolerance],MATCH($G1701,Tbl_KPIMaster[KPI],0)),"")</f>
        <v/>
      </c>
      <c r="L1701" s="4">
        <f>IFERROR(INDEX(Tbl_KPIMaster[Owner],MATCH($G1701,Tbl_KPIMaster[KPI],0)),"")</f>
        <v/>
      </c>
      <c r="M1701" s="6" t="inlineStr">
        <is>
          <t>Within normal range</t>
        </is>
      </c>
      <c r="N1701" s="4" t="inlineStr"/>
      <c r="O1701" s="4" t="inlineStr">
        <is>
          <t>Medium</t>
        </is>
      </c>
      <c r="P1701" s="4" t="inlineStr">
        <is>
          <t>Open</t>
        </is>
      </c>
      <c r="Q1701" s="5">
        <f>IFERROR(IF(INDEX(Tbl_KPIMaster[Direction],MATCH($G1701,Tbl_KPIMaster[KPI],0))="Lower is Better",IF($J1701=0,1,IF($I1701=0,0,$I1701/$J1701)),IF($I1701=0,1,$J1701/$I1701)),0)</f>
        <v/>
      </c>
      <c r="R1701" s="4">
        <f>IF(OR($I1701="",$J1701=""),"",$J1701-$I1701)</f>
        <v/>
      </c>
      <c r="S1701" s="4">
        <f>IFERROR(IF(INDEX(Tbl_KPIMaster[Direction],MATCH($G1701,Tbl_KPIMaster[KPI],0))="Lower is Better",IF($J1701&lt;=$I1701,"Green",IF($J1701&lt;=$I1701+IF($I1701=0,$K1701,$I1701*$K1701),"Amber","Red")),IF($J1701&gt;=$I1701,"Green",IF($J1701&gt;=$I1701-IF($I1701=0,$K1701,$I1701*$K1701),"Amber","Red"))),"")</f>
        <v/>
      </c>
      <c r="T1701" s="6" t="inlineStr"/>
    </row>
    <row r="1702">
      <c r="A1702" s="7" t="n">
        <v>46214</v>
      </c>
      <c r="B1702" s="8">
        <f>IF($A1702="","",TEXT($A1702,"mmm-yyyy"))</f>
        <v/>
      </c>
      <c r="C1702" s="8">
        <f>IF($A1702="","","W"&amp;WEEKNUM($A1702,2))</f>
        <v/>
      </c>
      <c r="D1702" s="8">
        <f>IF($A1702="","",TEXT($A1702,"ddd"))</f>
        <v/>
      </c>
      <c r="E1702" s="8" t="inlineStr">
        <is>
          <t>Energy</t>
        </is>
      </c>
      <c r="F1702" s="8">
        <f>IFERROR(INDEX(Tbl_KPIMaster[Category],MATCH($G1702,Tbl_KPIMaster[KPI],0)),"")</f>
        <v/>
      </c>
      <c r="G1702" s="8" t="inlineStr">
        <is>
          <t>Renewable Energy Share %</t>
        </is>
      </c>
      <c r="H1702" s="8">
        <f>IFERROR(INDEX(Tbl_KPIMaster[Unit],MATCH($G1702,Tbl_KPIMaster[KPI],0)),"")</f>
        <v/>
      </c>
      <c r="I1702" s="9">
        <f>IFERROR(INDEX(Tbl_KPIMaster[Maximum Target],MATCH($G1702,Tbl_KPIMaster[KPI],0)),"")</f>
        <v/>
      </c>
      <c r="J1702" s="9" t="n">
        <v>0.2471</v>
      </c>
      <c r="K1702" s="8">
        <f>IFERROR(INDEX(Tbl_KPIMaster[Tolerance],MATCH($G1702,Tbl_KPIMaster[KPI],0)),"")</f>
        <v/>
      </c>
      <c r="L1702" s="8">
        <f>IFERROR(INDEX(Tbl_KPIMaster[Owner],MATCH($G1702,Tbl_KPIMaster[KPI],0)),"")</f>
        <v/>
      </c>
      <c r="M1702" s="10" t="inlineStr">
        <is>
          <t>Within normal range</t>
        </is>
      </c>
      <c r="N1702" s="8" t="inlineStr"/>
      <c r="O1702" s="8" t="inlineStr">
        <is>
          <t>High</t>
        </is>
      </c>
      <c r="P1702" s="8" t="inlineStr">
        <is>
          <t>In Progress</t>
        </is>
      </c>
      <c r="Q1702" s="9">
        <f>IFERROR(IF(INDEX(Tbl_KPIMaster[Direction],MATCH($G1702,Tbl_KPIMaster[KPI],0))="Lower is Better",IF($J1702=0,1,IF($I1702=0,0,$I1702/$J1702)),IF($I1702=0,1,$J1702/$I1702)),0)</f>
        <v/>
      </c>
      <c r="R1702" s="8">
        <f>IF(OR($I1702="",$J1702=""),"",$J1702-$I1702)</f>
        <v/>
      </c>
      <c r="S1702" s="8">
        <f>IFERROR(IF(INDEX(Tbl_KPIMaster[Direction],MATCH($G1702,Tbl_KPIMaster[KPI],0))="Lower is Better",IF($J1702&lt;=$I1702,"Green",IF($J1702&lt;=$I1702+IF($I1702=0,$K1702,$I1702*$K1702),"Amber","Red")),IF($J1702&gt;=$I1702,"Green",IF($J1702&gt;=$I1702-IF($I1702=0,$K1702,$I1702*$K1702),"Amber","Red"))),"")</f>
        <v/>
      </c>
      <c r="T1702" s="10" t="inlineStr"/>
    </row>
    <row r="1703">
      <c r="A1703" s="3" t="n">
        <v>46215</v>
      </c>
      <c r="B1703" s="4">
        <f>IF($A1703="","",TEXT($A1703,"mmm-yyyy"))</f>
        <v/>
      </c>
      <c r="C1703" s="4">
        <f>IF($A1703="","","W"&amp;WEEKNUM($A1703,2))</f>
        <v/>
      </c>
      <c r="D1703" s="4">
        <f>IF($A1703="","",TEXT($A1703,"ddd"))</f>
        <v/>
      </c>
      <c r="E1703" s="4" t="inlineStr">
        <is>
          <t>Safety</t>
        </is>
      </c>
      <c r="F1703" s="4">
        <f>IFERROR(INDEX(Tbl_KPIMaster[Category],MATCH($G1703,Tbl_KPIMaster[KPI],0)),"")</f>
        <v/>
      </c>
      <c r="G1703" s="4" t="inlineStr">
        <is>
          <t>Safety Incidents (LTI)</t>
        </is>
      </c>
      <c r="H1703" s="4">
        <f>IFERROR(INDEX(Tbl_KPIMaster[Unit],MATCH($G1703,Tbl_KPIMaster[KPI],0)),"")</f>
        <v/>
      </c>
      <c r="I1703" s="5">
        <f>IFERROR(INDEX(Tbl_KPIMaster[Maximum Target],MATCH($G1703,Tbl_KPIMaster[KPI],0)),"")</f>
        <v/>
      </c>
      <c r="J1703" s="5" t="n">
        <v>1</v>
      </c>
      <c r="K1703" s="4">
        <f>IFERROR(INDEX(Tbl_KPIMaster[Tolerance],MATCH($G1703,Tbl_KPIMaster[KPI],0)),"")</f>
        <v/>
      </c>
      <c r="L1703" s="4">
        <f>IFERROR(INDEX(Tbl_KPIMaster[Owner],MATCH($G1703,Tbl_KPIMaster[KPI],0)),"")</f>
        <v/>
      </c>
      <c r="M1703" s="6" t="inlineStr">
        <is>
          <t>New operator training effect</t>
        </is>
      </c>
      <c r="N1703" s="4" t="inlineStr">
        <is>
          <t>Procurement follow-up</t>
        </is>
      </c>
      <c r="O1703" s="4" t="inlineStr">
        <is>
          <t>Medium</t>
        </is>
      </c>
      <c r="P1703" s="4" t="inlineStr">
        <is>
          <t>Closed</t>
        </is>
      </c>
      <c r="Q1703" s="5">
        <f>IFERROR(IF(INDEX(Tbl_KPIMaster[Direction],MATCH($G1703,Tbl_KPIMaster[KPI],0))="Lower is Better",IF($J1703=0,1,IF($I1703=0,0,$I1703/$J1703)),IF($I1703=0,1,$J1703/$I1703)),0)</f>
        <v/>
      </c>
      <c r="R1703" s="4">
        <f>IF(OR($I1703="",$J1703=""),"",$J1703-$I1703)</f>
        <v/>
      </c>
      <c r="S1703" s="4">
        <f>IFERROR(IF(INDEX(Tbl_KPIMaster[Direction],MATCH($G1703,Tbl_KPIMaster[KPI],0))="Lower is Better",IF($J1703&lt;=$I1703,"Green",IF($J1703&lt;=$I1703+IF($I1703=0,$K1703,$I1703*$K1703),"Amber","Red")),IF($J1703&gt;=$I1703,"Green",IF($J1703&gt;=$I1703-IF($I1703=0,$K1703,$I1703*$K1703),"Amber","Red"))),"")</f>
        <v/>
      </c>
      <c r="T1703" s="6" t="inlineStr"/>
    </row>
    <row r="1704">
      <c r="A1704" s="7" t="n">
        <v>46215</v>
      </c>
      <c r="B1704" s="8">
        <f>IF($A1704="","",TEXT($A1704,"mmm-yyyy"))</f>
        <v/>
      </c>
      <c r="C1704" s="8">
        <f>IF($A1704="","","W"&amp;WEEKNUM($A1704,2))</f>
        <v/>
      </c>
      <c r="D1704" s="8">
        <f>IF($A1704="","",TEXT($A1704,"ddd"))</f>
        <v/>
      </c>
      <c r="E1704" s="8" t="inlineStr">
        <is>
          <t>Safety</t>
        </is>
      </c>
      <c r="F1704" s="8">
        <f>IFERROR(INDEX(Tbl_KPIMaster[Category],MATCH($G1704,Tbl_KPIMaster[KPI],0)),"")</f>
        <v/>
      </c>
      <c r="G1704" s="8" t="inlineStr">
        <is>
          <t>Near Miss Reports</t>
        </is>
      </c>
      <c r="H1704" s="8">
        <f>IFERROR(INDEX(Tbl_KPIMaster[Unit],MATCH($G1704,Tbl_KPIMaster[KPI],0)),"")</f>
        <v/>
      </c>
      <c r="I1704" s="9">
        <f>IFERROR(INDEX(Tbl_KPIMaster[Maximum Target],MATCH($G1704,Tbl_KPIMaster[KPI],0)),"")</f>
        <v/>
      </c>
      <c r="J1704" s="9" t="n">
        <v>2</v>
      </c>
      <c r="K1704" s="8">
        <f>IFERROR(INDEX(Tbl_KPIMaster[Tolerance],MATCH($G1704,Tbl_KPIMaster[KPI],0)),"")</f>
        <v/>
      </c>
      <c r="L1704" s="8">
        <f>IFERROR(INDEX(Tbl_KPIMaster[Owner],MATCH($G1704,Tbl_KPIMaster[KPI],0)),"")</f>
        <v/>
      </c>
      <c r="M1704" s="10" t="inlineStr">
        <is>
          <t>Weather impact</t>
        </is>
      </c>
      <c r="N1704" s="8" t="inlineStr">
        <is>
          <t>Management approval pending</t>
        </is>
      </c>
      <c r="O1704" s="8" t="inlineStr">
        <is>
          <t>Low</t>
        </is>
      </c>
      <c r="P1704" s="8" t="inlineStr">
        <is>
          <t>Closed</t>
        </is>
      </c>
      <c r="Q1704" s="9">
        <f>IFERROR(IF(INDEX(Tbl_KPIMaster[Direction],MATCH($G1704,Tbl_KPIMaster[KPI],0))="Lower is Better",IF($J1704=0,1,IF($I1704=0,0,$I1704/$J1704)),IF($I1704=0,1,$J1704/$I1704)),0)</f>
        <v/>
      </c>
      <c r="R1704" s="8">
        <f>IF(OR($I1704="",$J1704=""),"",$J1704-$I1704)</f>
        <v/>
      </c>
      <c r="S1704" s="8">
        <f>IFERROR(IF(INDEX(Tbl_KPIMaster[Direction],MATCH($G1704,Tbl_KPIMaster[KPI],0))="Lower is Better",IF($J1704&lt;=$I1704,"Green",IF($J1704&lt;=$I1704+IF($I1704=0,$K1704,$I1704*$K1704),"Amber","Red")),IF($J1704&gt;=$I1704,"Green",IF($J1704&gt;=$I1704-IF($I1704=0,$K1704,$I1704*$K1704),"Amber","Red"))),"")</f>
        <v/>
      </c>
      <c r="T1704" s="10" t="inlineStr"/>
    </row>
    <row r="1705">
      <c r="A1705" s="3" t="n">
        <v>46215</v>
      </c>
      <c r="B1705" s="4">
        <f>IF($A1705="","",TEXT($A1705,"mmm-yyyy"))</f>
        <v/>
      </c>
      <c r="C1705" s="4">
        <f>IF($A1705="","","W"&amp;WEEKNUM($A1705,2))</f>
        <v/>
      </c>
      <c r="D1705" s="4">
        <f>IF($A1705="","",TEXT($A1705,"ddd"))</f>
        <v/>
      </c>
      <c r="E1705" s="4" t="inlineStr">
        <is>
          <t>Production</t>
        </is>
      </c>
      <c r="F1705" s="4">
        <f>IFERROR(INDEX(Tbl_KPIMaster[Category],MATCH($G1705,Tbl_KPIMaster[KPI],0)),"")</f>
        <v/>
      </c>
      <c r="G1705" s="4" t="inlineStr">
        <is>
          <t>Production Output</t>
        </is>
      </c>
      <c r="H1705" s="4">
        <f>IFERROR(INDEX(Tbl_KPIMaster[Unit],MATCH($G1705,Tbl_KPIMaster[KPI],0)),"")</f>
        <v/>
      </c>
      <c r="I1705" s="5">
        <f>IFERROR(INDEX(Tbl_KPIMaster[Maximum Target],MATCH($G1705,Tbl_KPIMaster[KPI],0)),"")</f>
        <v/>
      </c>
      <c r="J1705" s="5" t="n">
        <v>995.6900000000001</v>
      </c>
      <c r="K1705" s="4">
        <f>IFERROR(INDEX(Tbl_KPIMaster[Tolerance],MATCH($G1705,Tbl_KPIMaster[KPI],0)),"")</f>
        <v/>
      </c>
      <c r="L1705" s="4">
        <f>IFERROR(INDEX(Tbl_KPIMaster[Owner],MATCH($G1705,Tbl_KPIMaster[KPI],0)),"")</f>
        <v/>
      </c>
      <c r="M1705" s="6" t="inlineStr">
        <is>
          <t>Equipment breakdown</t>
        </is>
      </c>
      <c r="N1705" s="4" t="inlineStr"/>
      <c r="O1705" s="4" t="inlineStr">
        <is>
          <t>Medium</t>
        </is>
      </c>
      <c r="P1705" s="4" t="inlineStr">
        <is>
          <t>Closed</t>
        </is>
      </c>
      <c r="Q1705" s="5">
        <f>IFERROR(IF(INDEX(Tbl_KPIMaster[Direction],MATCH($G1705,Tbl_KPIMaster[KPI],0))="Lower is Better",IF($J1705=0,1,IF($I1705=0,0,$I1705/$J1705)),IF($I1705=0,1,$J1705/$I1705)),0)</f>
        <v/>
      </c>
      <c r="R1705" s="4">
        <f>IF(OR($I1705="",$J1705=""),"",$J1705-$I1705)</f>
        <v/>
      </c>
      <c r="S1705" s="4">
        <f>IFERROR(IF(INDEX(Tbl_KPIMaster[Direction],MATCH($G1705,Tbl_KPIMaster[KPI],0))="Lower is Better",IF($J1705&lt;=$I1705,"Green",IF($J1705&lt;=$I1705+IF($I1705=0,$K1705,$I1705*$K1705),"Amber","Red")),IF($J1705&gt;=$I1705,"Green",IF($J1705&gt;=$I1705-IF($I1705=0,$K1705,$I1705*$K1705),"Amber","Red"))),"")</f>
        <v/>
      </c>
      <c r="T1705" s="6" t="inlineStr"/>
    </row>
    <row r="1706">
      <c r="A1706" s="7" t="n">
        <v>46215</v>
      </c>
      <c r="B1706" s="8">
        <f>IF($A1706="","",TEXT($A1706,"mmm-yyyy"))</f>
        <v/>
      </c>
      <c r="C1706" s="8">
        <f>IF($A1706="","","W"&amp;WEEKNUM($A1706,2))</f>
        <v/>
      </c>
      <c r="D1706" s="8">
        <f>IF($A1706="","",TEXT($A1706,"ddd"))</f>
        <v/>
      </c>
      <c r="E1706" s="8" t="inlineStr">
        <is>
          <t>Production</t>
        </is>
      </c>
      <c r="F1706" s="8">
        <f>IFERROR(INDEX(Tbl_KPIMaster[Category],MATCH($G1706,Tbl_KPIMaster[KPI],0)),"")</f>
        <v/>
      </c>
      <c r="G1706" s="8" t="inlineStr">
        <is>
          <t>OEE %</t>
        </is>
      </c>
      <c r="H1706" s="8">
        <f>IFERROR(INDEX(Tbl_KPIMaster[Unit],MATCH($G1706,Tbl_KPIMaster[KPI],0)),"")</f>
        <v/>
      </c>
      <c r="I1706" s="9">
        <f>IFERROR(INDEX(Tbl_KPIMaster[Maximum Target],MATCH($G1706,Tbl_KPIMaster[KPI],0)),"")</f>
        <v/>
      </c>
      <c r="J1706" s="9" t="n">
        <v>0.8566</v>
      </c>
      <c r="K1706" s="8">
        <f>IFERROR(INDEX(Tbl_KPIMaster[Tolerance],MATCH($G1706,Tbl_KPIMaster[KPI],0)),"")</f>
        <v/>
      </c>
      <c r="L1706" s="8">
        <f>IFERROR(INDEX(Tbl_KPIMaster[Owner],MATCH($G1706,Tbl_KPIMaster[KPI],0)),"")</f>
        <v/>
      </c>
      <c r="M1706" s="10" t="inlineStr">
        <is>
          <t>Vendor delay</t>
        </is>
      </c>
      <c r="N1706" s="8" t="inlineStr"/>
      <c r="O1706" s="8" t="inlineStr">
        <is>
          <t>High</t>
        </is>
      </c>
      <c r="P1706" s="8" t="inlineStr">
        <is>
          <t>Closed</t>
        </is>
      </c>
      <c r="Q1706" s="9">
        <f>IFERROR(IF(INDEX(Tbl_KPIMaster[Direction],MATCH($G1706,Tbl_KPIMaster[KPI],0))="Lower is Better",IF($J1706=0,1,IF($I1706=0,0,$I1706/$J1706)),IF($I1706=0,1,$J1706/$I1706)),0)</f>
        <v/>
      </c>
      <c r="R1706" s="8">
        <f>IF(OR($I1706="",$J1706=""),"",$J1706-$I1706)</f>
        <v/>
      </c>
      <c r="S1706" s="8">
        <f>IFERROR(IF(INDEX(Tbl_KPIMaster[Direction],MATCH($G1706,Tbl_KPIMaster[KPI],0))="Lower is Better",IF($J1706&lt;=$I1706,"Green",IF($J1706&lt;=$I1706+IF($I1706=0,$K1706,$I1706*$K1706),"Amber","Red")),IF($J1706&gt;=$I1706,"Green",IF($J1706&gt;=$I1706-IF($I1706=0,$K1706,$I1706*$K1706),"Amber","Red"))),"")</f>
        <v/>
      </c>
      <c r="T1706" s="10" t="inlineStr"/>
    </row>
    <row r="1707">
      <c r="A1707" s="3" t="n">
        <v>46215</v>
      </c>
      <c r="B1707" s="4">
        <f>IF($A1707="","",TEXT($A1707,"mmm-yyyy"))</f>
        <v/>
      </c>
      <c r="C1707" s="4">
        <f>IF($A1707="","","W"&amp;WEEKNUM($A1707,2))</f>
        <v/>
      </c>
      <c r="D1707" s="4">
        <f>IF($A1707="","",TEXT($A1707,"ddd"))</f>
        <v/>
      </c>
      <c r="E1707" s="4" t="inlineStr">
        <is>
          <t>Quality</t>
        </is>
      </c>
      <c r="F1707" s="4">
        <f>IFERROR(INDEX(Tbl_KPIMaster[Category],MATCH($G1707,Tbl_KPIMaster[KPI],0)),"")</f>
        <v/>
      </c>
      <c r="G1707" s="4" t="inlineStr">
        <is>
          <t>Defect Rate %</t>
        </is>
      </c>
      <c r="H1707" s="4">
        <f>IFERROR(INDEX(Tbl_KPIMaster[Unit],MATCH($G1707,Tbl_KPIMaster[KPI],0)),"")</f>
        <v/>
      </c>
      <c r="I1707" s="5">
        <f>IFERROR(INDEX(Tbl_KPIMaster[Maximum Target],MATCH($G1707,Tbl_KPIMaster[KPI],0)),"")</f>
        <v/>
      </c>
      <c r="J1707" s="5" t="n">
        <v>0.3794</v>
      </c>
      <c r="K1707" s="4">
        <f>IFERROR(INDEX(Tbl_KPIMaster[Tolerance],MATCH($G1707,Tbl_KPIMaster[KPI],0)),"")</f>
        <v/>
      </c>
      <c r="L1707" s="4">
        <f>IFERROR(INDEX(Tbl_KPIMaster[Owner],MATCH($G1707,Tbl_KPIMaster[KPI],0)),"")</f>
        <v/>
      </c>
      <c r="M1707" s="6" t="inlineStr">
        <is>
          <t>Manpower shortage</t>
        </is>
      </c>
      <c r="N1707" s="4" t="inlineStr"/>
      <c r="O1707" s="4" t="inlineStr">
        <is>
          <t>Low</t>
        </is>
      </c>
      <c r="P1707" s="4" t="inlineStr">
        <is>
          <t>Closed</t>
        </is>
      </c>
      <c r="Q1707" s="5">
        <f>IFERROR(IF(INDEX(Tbl_KPIMaster[Direction],MATCH($G1707,Tbl_KPIMaster[KPI],0))="Lower is Better",IF($J1707=0,1,IF($I1707=0,0,$I1707/$J1707)),IF($I1707=0,1,$J1707/$I1707)),0)</f>
        <v/>
      </c>
      <c r="R1707" s="4">
        <f>IF(OR($I1707="",$J1707=""),"",$J1707-$I1707)</f>
        <v/>
      </c>
      <c r="S1707" s="4">
        <f>IFERROR(IF(INDEX(Tbl_KPIMaster[Direction],MATCH($G1707,Tbl_KPIMaster[KPI],0))="Lower is Better",IF($J1707&lt;=$I1707,"Green",IF($J1707&lt;=$I1707+IF($I1707=0,$K1707,$I1707*$K1707),"Amber","Red")),IF($J1707&gt;=$I1707,"Green",IF($J1707&gt;=$I1707-IF($I1707=0,$K1707,$I1707*$K1707),"Amber","Red"))),"")</f>
        <v/>
      </c>
      <c r="T1707" s="6" t="inlineStr"/>
    </row>
    <row r="1708">
      <c r="A1708" s="7" t="n">
        <v>46215</v>
      </c>
      <c r="B1708" s="8">
        <f>IF($A1708="","",TEXT($A1708,"mmm-yyyy"))</f>
        <v/>
      </c>
      <c r="C1708" s="8">
        <f>IF($A1708="","","W"&amp;WEEKNUM($A1708,2))</f>
        <v/>
      </c>
      <c r="D1708" s="8">
        <f>IF($A1708="","",TEXT($A1708,"ddd"))</f>
        <v/>
      </c>
      <c r="E1708" s="8" t="inlineStr">
        <is>
          <t>Quality</t>
        </is>
      </c>
      <c r="F1708" s="8">
        <f>IFERROR(INDEX(Tbl_KPIMaster[Category],MATCH($G1708,Tbl_KPIMaster[KPI],0)),"")</f>
        <v/>
      </c>
      <c r="G1708" s="8" t="inlineStr">
        <is>
          <t>Customer Complaints</t>
        </is>
      </c>
      <c r="H1708" s="8">
        <f>IFERROR(INDEX(Tbl_KPIMaster[Unit],MATCH($G1708,Tbl_KPIMaster[KPI],0)),"")</f>
        <v/>
      </c>
      <c r="I1708" s="9">
        <f>IFERROR(INDEX(Tbl_KPIMaster[Maximum Target],MATCH($G1708,Tbl_KPIMaster[KPI],0)),"")</f>
        <v/>
      </c>
      <c r="J1708" s="9" t="n">
        <v>0</v>
      </c>
      <c r="K1708" s="8">
        <f>IFERROR(INDEX(Tbl_KPIMaster[Tolerance],MATCH($G1708,Tbl_KPIMaster[KPI],0)),"")</f>
        <v/>
      </c>
      <c r="L1708" s="8">
        <f>IFERROR(INDEX(Tbl_KPIMaster[Owner],MATCH($G1708,Tbl_KPIMaster[KPI],0)),"")</f>
        <v/>
      </c>
      <c r="M1708" s="10" t="inlineStr">
        <is>
          <t>Vendor delay</t>
        </is>
      </c>
      <c r="N1708" s="8" t="inlineStr"/>
      <c r="O1708" s="8" t="inlineStr">
        <is>
          <t>Low</t>
        </is>
      </c>
      <c r="P1708" s="8" t="inlineStr">
        <is>
          <t>Closed</t>
        </is>
      </c>
      <c r="Q1708" s="9">
        <f>IFERROR(IF(INDEX(Tbl_KPIMaster[Direction],MATCH($G1708,Tbl_KPIMaster[KPI],0))="Lower is Better",IF($J1708=0,1,IF($I1708=0,0,$I1708/$J1708)),IF($I1708=0,1,$J1708/$I1708)),0)</f>
        <v/>
      </c>
      <c r="R1708" s="8">
        <f>IF(OR($I1708="",$J1708=""),"",$J1708-$I1708)</f>
        <v/>
      </c>
      <c r="S1708" s="8">
        <f>IFERROR(IF(INDEX(Tbl_KPIMaster[Direction],MATCH($G1708,Tbl_KPIMaster[KPI],0))="Lower is Better",IF($J1708&lt;=$I1708,"Green",IF($J1708&lt;=$I1708+IF($I1708=0,$K1708,$I1708*$K1708),"Amber","Red")),IF($J1708&gt;=$I1708,"Green",IF($J1708&gt;=$I1708-IF($I1708=0,$K1708,$I1708*$K1708),"Amber","Red"))),"")</f>
        <v/>
      </c>
      <c r="T1708" s="10" t="inlineStr"/>
    </row>
    <row r="1709">
      <c r="A1709" s="3" t="n">
        <v>46215</v>
      </c>
      <c r="B1709" s="4">
        <f>IF($A1709="","",TEXT($A1709,"mmm-yyyy"))</f>
        <v/>
      </c>
      <c r="C1709" s="4">
        <f>IF($A1709="","","W"&amp;WEEKNUM($A1709,2))</f>
        <v/>
      </c>
      <c r="D1709" s="4">
        <f>IF($A1709="","",TEXT($A1709,"ddd"))</f>
        <v/>
      </c>
      <c r="E1709" s="4" t="inlineStr">
        <is>
          <t>Maintenance</t>
        </is>
      </c>
      <c r="F1709" s="4">
        <f>IFERROR(INDEX(Tbl_KPIMaster[Category],MATCH($G1709,Tbl_KPIMaster[KPI],0)),"")</f>
        <v/>
      </c>
      <c r="G1709" s="4" t="inlineStr">
        <is>
          <t>Unplanned Downtime</t>
        </is>
      </c>
      <c r="H1709" s="4">
        <f>IFERROR(INDEX(Tbl_KPIMaster[Unit],MATCH($G1709,Tbl_KPIMaster[KPI],0)),"")</f>
        <v/>
      </c>
      <c r="I1709" s="5">
        <f>IFERROR(INDEX(Tbl_KPIMaster[Maximum Target],MATCH($G1709,Tbl_KPIMaster[KPI],0)),"")</f>
        <v/>
      </c>
      <c r="J1709" s="5" t="n">
        <v>2</v>
      </c>
      <c r="K1709" s="4">
        <f>IFERROR(INDEX(Tbl_KPIMaster[Tolerance],MATCH($G1709,Tbl_KPIMaster[KPI],0)),"")</f>
        <v/>
      </c>
      <c r="L1709" s="4">
        <f>IFERROR(INDEX(Tbl_KPIMaster[Owner],MATCH($G1709,Tbl_KPIMaster[KPI],0)),"")</f>
        <v/>
      </c>
      <c r="M1709" s="6" t="inlineStr">
        <is>
          <t>Line changeover impact</t>
        </is>
      </c>
      <c r="N1709" s="4" t="inlineStr"/>
      <c r="O1709" s="4" t="inlineStr">
        <is>
          <t>Medium</t>
        </is>
      </c>
      <c r="P1709" s="4" t="inlineStr">
        <is>
          <t>Open</t>
        </is>
      </c>
      <c r="Q1709" s="5">
        <f>IFERROR(IF(INDEX(Tbl_KPIMaster[Direction],MATCH($G1709,Tbl_KPIMaster[KPI],0))="Lower is Better",IF($J1709=0,1,IF($I1709=0,0,$I1709/$J1709)),IF($I1709=0,1,$J1709/$I1709)),0)</f>
        <v/>
      </c>
      <c r="R1709" s="4">
        <f>IF(OR($I1709="",$J1709=""),"",$J1709-$I1709)</f>
        <v/>
      </c>
      <c r="S1709" s="4">
        <f>IFERROR(IF(INDEX(Tbl_KPIMaster[Direction],MATCH($G1709,Tbl_KPIMaster[KPI],0))="Lower is Better",IF($J1709&lt;=$I1709,"Green",IF($J1709&lt;=$I1709+IF($I1709=0,$K1709,$I1709*$K1709),"Amber","Red")),IF($J1709&gt;=$I1709,"Green",IF($J1709&gt;=$I1709-IF($I1709=0,$K1709,$I1709*$K1709),"Amber","Red"))),"")</f>
        <v/>
      </c>
      <c r="T1709" s="6" t="inlineStr"/>
    </row>
    <row r="1710">
      <c r="A1710" s="7" t="n">
        <v>46215</v>
      </c>
      <c r="B1710" s="8">
        <f>IF($A1710="","",TEXT($A1710,"mmm-yyyy"))</f>
        <v/>
      </c>
      <c r="C1710" s="8">
        <f>IF($A1710="","","W"&amp;WEEKNUM($A1710,2))</f>
        <v/>
      </c>
      <c r="D1710" s="8">
        <f>IF($A1710="","",TEXT($A1710,"ddd"))</f>
        <v/>
      </c>
      <c r="E1710" s="8" t="inlineStr">
        <is>
          <t>Maintenance</t>
        </is>
      </c>
      <c r="F1710" s="8">
        <f>IFERROR(INDEX(Tbl_KPIMaster[Category],MATCH($G1710,Tbl_KPIMaster[KPI],0)),"")</f>
        <v/>
      </c>
      <c r="G1710" s="8" t="inlineStr">
        <is>
          <t>PM Compliance %</t>
        </is>
      </c>
      <c r="H1710" s="8">
        <f>IFERROR(INDEX(Tbl_KPIMaster[Unit],MATCH($G1710,Tbl_KPIMaster[KPI],0)),"")</f>
        <v/>
      </c>
      <c r="I1710" s="9">
        <f>IFERROR(INDEX(Tbl_KPIMaster[Maximum Target],MATCH($G1710,Tbl_KPIMaster[KPI],0)),"")</f>
        <v/>
      </c>
      <c r="J1710" s="9" t="n">
        <v>0.9859</v>
      </c>
      <c r="K1710" s="8">
        <f>IFERROR(INDEX(Tbl_KPIMaster[Tolerance],MATCH($G1710,Tbl_KPIMaster[KPI],0)),"")</f>
        <v/>
      </c>
      <c r="L1710" s="8">
        <f>IFERROR(INDEX(Tbl_KPIMaster[Owner],MATCH($G1710,Tbl_KPIMaster[KPI],0)),"")</f>
        <v/>
      </c>
      <c r="M1710" s="10" t="inlineStr">
        <is>
          <t>New operator training effect</t>
        </is>
      </c>
      <c r="N1710" s="8" t="inlineStr">
        <is>
          <t>Management approval pending</t>
        </is>
      </c>
      <c r="O1710" s="8" t="inlineStr">
        <is>
          <t>High</t>
        </is>
      </c>
      <c r="P1710" s="8" t="inlineStr">
        <is>
          <t>Closed</t>
        </is>
      </c>
      <c r="Q1710" s="9">
        <f>IFERROR(IF(INDEX(Tbl_KPIMaster[Direction],MATCH($G1710,Tbl_KPIMaster[KPI],0))="Lower is Better",IF($J1710=0,1,IF($I1710=0,0,$I1710/$J1710)),IF($I1710=0,1,$J1710/$I1710)),0)</f>
        <v/>
      </c>
      <c r="R1710" s="8">
        <f>IF(OR($I1710="",$J1710=""),"",$J1710-$I1710)</f>
        <v/>
      </c>
      <c r="S1710" s="8">
        <f>IFERROR(IF(INDEX(Tbl_KPIMaster[Direction],MATCH($G1710,Tbl_KPIMaster[KPI],0))="Lower is Better",IF($J1710&lt;=$I1710,"Green",IF($J1710&lt;=$I1710+IF($I1710=0,$K1710,$I1710*$K1710),"Amber","Red")),IF($J1710&gt;=$I1710,"Green",IF($J1710&gt;=$I1710-IF($I1710=0,$K1710,$I1710*$K1710),"Amber","Red"))),"")</f>
        <v/>
      </c>
      <c r="T1710" s="10" t="inlineStr"/>
    </row>
    <row r="1711">
      <c r="A1711" s="3" t="n">
        <v>46215</v>
      </c>
      <c r="B1711" s="4">
        <f>IF($A1711="","",TEXT($A1711,"mmm-yyyy"))</f>
        <v/>
      </c>
      <c r="C1711" s="4">
        <f>IF($A1711="","","W"&amp;WEEKNUM($A1711,2))</f>
        <v/>
      </c>
      <c r="D1711" s="4">
        <f>IF($A1711="","",TEXT($A1711,"ddd"))</f>
        <v/>
      </c>
      <c r="E1711" s="4" t="inlineStr">
        <is>
          <t>Utilities</t>
        </is>
      </c>
      <c r="F1711" s="4">
        <f>IFERROR(INDEX(Tbl_KPIMaster[Category],MATCH($G1711,Tbl_KPIMaster[KPI],0)),"")</f>
        <v/>
      </c>
      <c r="G1711" s="4" t="inlineStr">
        <is>
          <t>Power Consumption</t>
        </is>
      </c>
      <c r="H1711" s="4">
        <f>IFERROR(INDEX(Tbl_KPIMaster[Unit],MATCH($G1711,Tbl_KPIMaster[KPI],0)),"")</f>
        <v/>
      </c>
      <c r="I1711" s="5">
        <f>IFERROR(INDEX(Tbl_KPIMaster[Maximum Target],MATCH($G1711,Tbl_KPIMaster[KPI],0)),"")</f>
        <v/>
      </c>
      <c r="J1711" s="5" t="n">
        <v>4169.68</v>
      </c>
      <c r="K1711" s="4">
        <f>IFERROR(INDEX(Tbl_KPIMaster[Tolerance],MATCH($G1711,Tbl_KPIMaster[KPI],0)),"")</f>
        <v/>
      </c>
      <c r="L1711" s="4">
        <f>IFERROR(INDEX(Tbl_KPIMaster[Owner],MATCH($G1711,Tbl_KPIMaster[KPI],0)),"")</f>
        <v/>
      </c>
      <c r="M1711" s="6" t="inlineStr">
        <is>
          <t>Process improvement in progress</t>
        </is>
      </c>
      <c r="N1711" s="4" t="inlineStr"/>
      <c r="O1711" s="4" t="inlineStr">
        <is>
          <t>Low</t>
        </is>
      </c>
      <c r="P1711" s="4" t="inlineStr">
        <is>
          <t>Closed</t>
        </is>
      </c>
      <c r="Q1711" s="5">
        <f>IFERROR(IF(INDEX(Tbl_KPIMaster[Direction],MATCH($G1711,Tbl_KPIMaster[KPI],0))="Lower is Better",IF($J1711=0,1,IF($I1711=0,0,$I1711/$J1711)),IF($I1711=0,1,$J1711/$I1711)),0)</f>
        <v/>
      </c>
      <c r="R1711" s="4">
        <f>IF(OR($I1711="",$J1711=""),"",$J1711-$I1711)</f>
        <v/>
      </c>
      <c r="S1711" s="4">
        <f>IFERROR(IF(INDEX(Tbl_KPIMaster[Direction],MATCH($G1711,Tbl_KPIMaster[KPI],0))="Lower is Better",IF($J1711&lt;=$I1711,"Green",IF($J1711&lt;=$I1711+IF($I1711=0,$K1711,$I1711*$K1711),"Amber","Red")),IF($J1711&gt;=$I1711,"Green",IF($J1711&gt;=$I1711-IF($I1711=0,$K1711,$I1711*$K1711),"Amber","Red"))),"")</f>
        <v/>
      </c>
      <c r="T1711" s="6" t="inlineStr"/>
    </row>
    <row r="1712">
      <c r="A1712" s="7" t="n">
        <v>46215</v>
      </c>
      <c r="B1712" s="8">
        <f>IF($A1712="","",TEXT($A1712,"mmm-yyyy"))</f>
        <v/>
      </c>
      <c r="C1712" s="8">
        <f>IF($A1712="","","W"&amp;WEEKNUM($A1712,2))</f>
        <v/>
      </c>
      <c r="D1712" s="8">
        <f>IF($A1712="","",TEXT($A1712,"ddd"))</f>
        <v/>
      </c>
      <c r="E1712" s="8" t="inlineStr">
        <is>
          <t>Utilities</t>
        </is>
      </c>
      <c r="F1712" s="8">
        <f>IFERROR(INDEX(Tbl_KPIMaster[Category],MATCH($G1712,Tbl_KPIMaster[KPI],0)),"")</f>
        <v/>
      </c>
      <c r="G1712" s="8" t="inlineStr">
        <is>
          <t>Water Consumption</t>
        </is>
      </c>
      <c r="H1712" s="8">
        <f>IFERROR(INDEX(Tbl_KPIMaster[Unit],MATCH($G1712,Tbl_KPIMaster[KPI],0)),"")</f>
        <v/>
      </c>
      <c r="I1712" s="9">
        <f>IFERROR(INDEX(Tbl_KPIMaster[Maximum Target],MATCH($G1712,Tbl_KPIMaster[KPI],0)),"")</f>
        <v/>
      </c>
      <c r="J1712" s="9" t="n">
        <v>67.83</v>
      </c>
      <c r="K1712" s="8">
        <f>IFERROR(INDEX(Tbl_KPIMaster[Tolerance],MATCH($G1712,Tbl_KPIMaster[KPI],0)),"")</f>
        <v/>
      </c>
      <c r="L1712" s="8">
        <f>IFERROR(INDEX(Tbl_KPIMaster[Owner],MATCH($G1712,Tbl_KPIMaster[KPI],0)),"")</f>
        <v/>
      </c>
      <c r="M1712" s="10" t="inlineStr">
        <is>
          <t>Preventive check done</t>
        </is>
      </c>
      <c r="N1712" s="8" t="inlineStr">
        <is>
          <t>Engineering support needed</t>
        </is>
      </c>
      <c r="O1712" s="8" t="inlineStr">
        <is>
          <t>Low</t>
        </is>
      </c>
      <c r="P1712" s="8" t="inlineStr">
        <is>
          <t>Open</t>
        </is>
      </c>
      <c r="Q1712" s="9">
        <f>IFERROR(IF(INDEX(Tbl_KPIMaster[Direction],MATCH($G1712,Tbl_KPIMaster[KPI],0))="Lower is Better",IF($J1712=0,1,IF($I1712=0,0,$I1712/$J1712)),IF($I1712=0,1,$J1712/$I1712)),0)</f>
        <v/>
      </c>
      <c r="R1712" s="8">
        <f>IF(OR($I1712="",$J1712=""),"",$J1712-$I1712)</f>
        <v/>
      </c>
      <c r="S1712" s="8">
        <f>IFERROR(IF(INDEX(Tbl_KPIMaster[Direction],MATCH($G1712,Tbl_KPIMaster[KPI],0))="Lower is Better",IF($J1712&lt;=$I1712,"Green",IF($J1712&lt;=$I1712+IF($I1712=0,$K1712,$I1712*$K1712),"Amber","Red")),IF($J1712&gt;=$I1712,"Green",IF($J1712&gt;=$I1712-IF($I1712=0,$K1712,$I1712*$K1712),"Amber","Red"))),"")</f>
        <v/>
      </c>
      <c r="T1712" s="10" t="inlineStr"/>
    </row>
    <row r="1713">
      <c r="A1713" s="3" t="n">
        <v>46215</v>
      </c>
      <c r="B1713" s="4">
        <f>IF($A1713="","",TEXT($A1713,"mmm-yyyy"))</f>
        <v/>
      </c>
      <c r="C1713" s="4">
        <f>IF($A1713="","","W"&amp;WEEKNUM($A1713,2))</f>
        <v/>
      </c>
      <c r="D1713" s="4">
        <f>IF($A1713="","",TEXT($A1713,"ddd"))</f>
        <v/>
      </c>
      <c r="E1713" s="4" t="inlineStr">
        <is>
          <t>Warehouse</t>
        </is>
      </c>
      <c r="F1713" s="4">
        <f>IFERROR(INDEX(Tbl_KPIMaster[Category],MATCH($G1713,Tbl_KPIMaster[KPI],0)),"")</f>
        <v/>
      </c>
      <c r="G1713" s="4" t="inlineStr">
        <is>
          <t>On-Time Dispatch %</t>
        </is>
      </c>
      <c r="H1713" s="4">
        <f>IFERROR(INDEX(Tbl_KPIMaster[Unit],MATCH($G1713,Tbl_KPIMaster[KPI],0)),"")</f>
        <v/>
      </c>
      <c r="I1713" s="5">
        <f>IFERROR(INDEX(Tbl_KPIMaster[Maximum Target],MATCH($G1713,Tbl_KPIMaster[KPI],0)),"")</f>
        <v/>
      </c>
      <c r="J1713" s="5" t="n">
        <v>1.039</v>
      </c>
      <c r="K1713" s="4">
        <f>IFERROR(INDEX(Tbl_KPIMaster[Tolerance],MATCH($G1713,Tbl_KPIMaster[KPI],0)),"")</f>
        <v/>
      </c>
      <c r="L1713" s="4">
        <f>IFERROR(INDEX(Tbl_KPIMaster[Owner],MATCH($G1713,Tbl_KPIMaster[KPI],0)),"")</f>
        <v/>
      </c>
      <c r="M1713" s="6" t="inlineStr">
        <is>
          <t>Equipment breakdown</t>
        </is>
      </c>
      <c r="N1713" s="4" t="inlineStr"/>
      <c r="O1713" s="4" t="inlineStr">
        <is>
          <t>Low</t>
        </is>
      </c>
      <c r="P1713" s="4" t="inlineStr">
        <is>
          <t>Closed</t>
        </is>
      </c>
      <c r="Q1713" s="5">
        <f>IFERROR(IF(INDEX(Tbl_KPIMaster[Direction],MATCH($G1713,Tbl_KPIMaster[KPI],0))="Lower is Better",IF($J1713=0,1,IF($I1713=0,0,$I1713/$J1713)),IF($I1713=0,1,$J1713/$I1713)),0)</f>
        <v/>
      </c>
      <c r="R1713" s="4">
        <f>IF(OR($I1713="",$J1713=""),"",$J1713-$I1713)</f>
        <v/>
      </c>
      <c r="S1713" s="4">
        <f>IFERROR(IF(INDEX(Tbl_KPIMaster[Direction],MATCH($G1713,Tbl_KPIMaster[KPI],0))="Lower is Better",IF($J1713&lt;=$I1713,"Green",IF($J1713&lt;=$I1713+IF($I1713=0,$K1713,$I1713*$K1713),"Amber","Red")),IF($J1713&gt;=$I1713,"Green",IF($J1713&gt;=$I1713-IF($I1713=0,$K1713,$I1713*$K1713),"Amber","Red"))),"")</f>
        <v/>
      </c>
      <c r="T1713" s="6" t="inlineStr"/>
    </row>
    <row r="1714">
      <c r="A1714" s="7" t="n">
        <v>46215</v>
      </c>
      <c r="B1714" s="8">
        <f>IF($A1714="","",TEXT($A1714,"mmm-yyyy"))</f>
        <v/>
      </c>
      <c r="C1714" s="8">
        <f>IF($A1714="","","W"&amp;WEEKNUM($A1714,2))</f>
        <v/>
      </c>
      <c r="D1714" s="8">
        <f>IF($A1714="","",TEXT($A1714,"ddd"))</f>
        <v/>
      </c>
      <c r="E1714" s="8" t="inlineStr">
        <is>
          <t>Warehouse</t>
        </is>
      </c>
      <c r="F1714" s="8">
        <f>IFERROR(INDEX(Tbl_KPIMaster[Category],MATCH($G1714,Tbl_KPIMaster[KPI],0)),"")</f>
        <v/>
      </c>
      <c r="G1714" s="8" t="inlineStr">
        <is>
          <t>Inventory Accuracy %</t>
        </is>
      </c>
      <c r="H1714" s="8">
        <f>IFERROR(INDEX(Tbl_KPIMaster[Unit],MATCH($G1714,Tbl_KPIMaster[KPI],0)),"")</f>
        <v/>
      </c>
      <c r="I1714" s="9">
        <f>IFERROR(INDEX(Tbl_KPIMaster[Maximum Target],MATCH($G1714,Tbl_KPIMaster[KPI],0)),"")</f>
        <v/>
      </c>
      <c r="J1714" s="9" t="n">
        <v>0.9372</v>
      </c>
      <c r="K1714" s="8">
        <f>IFERROR(INDEX(Tbl_KPIMaster[Tolerance],MATCH($G1714,Tbl_KPIMaster[KPI],0)),"")</f>
        <v/>
      </c>
      <c r="L1714" s="8">
        <f>IFERROR(INDEX(Tbl_KPIMaster[Owner],MATCH($G1714,Tbl_KPIMaster[KPI],0)),"")</f>
        <v/>
      </c>
      <c r="M1714" s="10" t="inlineStr">
        <is>
          <t>New operator training effect</t>
        </is>
      </c>
      <c r="N1714" s="8" t="inlineStr">
        <is>
          <t>Engineering support needed</t>
        </is>
      </c>
      <c r="O1714" s="8" t="inlineStr">
        <is>
          <t>High</t>
        </is>
      </c>
      <c r="P1714" s="8" t="inlineStr">
        <is>
          <t>Closed</t>
        </is>
      </c>
      <c r="Q1714" s="9">
        <f>IFERROR(IF(INDEX(Tbl_KPIMaster[Direction],MATCH($G1714,Tbl_KPIMaster[KPI],0))="Lower is Better",IF($J1714=0,1,IF($I1714=0,0,$I1714/$J1714)),IF($I1714=0,1,$J1714/$I1714)),0)</f>
        <v/>
      </c>
      <c r="R1714" s="8">
        <f>IF(OR($I1714="",$J1714=""),"",$J1714-$I1714)</f>
        <v/>
      </c>
      <c r="S1714" s="8">
        <f>IFERROR(IF(INDEX(Tbl_KPIMaster[Direction],MATCH($G1714,Tbl_KPIMaster[KPI],0))="Lower is Better",IF($J1714&lt;=$I1714,"Green",IF($J1714&lt;=$I1714+IF($I1714=0,$K1714,$I1714*$K1714),"Amber","Red")),IF($J1714&gt;=$I1714,"Green",IF($J1714&gt;=$I1714-IF($I1714=0,$K1714,$I1714*$K1714),"Amber","Red"))),"")</f>
        <v/>
      </c>
      <c r="T1714" s="10" t="inlineStr"/>
    </row>
    <row r="1715">
      <c r="A1715" s="3" t="n">
        <v>46215</v>
      </c>
      <c r="B1715" s="4">
        <f>IF($A1715="","",TEXT($A1715,"mmm-yyyy"))</f>
        <v/>
      </c>
      <c r="C1715" s="4">
        <f>IF($A1715="","","W"&amp;WEEKNUM($A1715,2))</f>
        <v/>
      </c>
      <c r="D1715" s="4">
        <f>IF($A1715="","",TEXT($A1715,"ddd"))</f>
        <v/>
      </c>
      <c r="E1715" s="4" t="inlineStr">
        <is>
          <t>HR</t>
        </is>
      </c>
      <c r="F1715" s="4">
        <f>IFERROR(INDEX(Tbl_KPIMaster[Category],MATCH($G1715,Tbl_KPIMaster[KPI],0)),"")</f>
        <v/>
      </c>
      <c r="G1715" s="4" t="inlineStr">
        <is>
          <t>Absenteeism %</t>
        </is>
      </c>
      <c r="H1715" s="4">
        <f>IFERROR(INDEX(Tbl_KPIMaster[Unit],MATCH($G1715,Tbl_KPIMaster[KPI],0)),"")</f>
        <v/>
      </c>
      <c r="I1715" s="5">
        <f>IFERROR(INDEX(Tbl_KPIMaster[Maximum Target],MATCH($G1715,Tbl_KPIMaster[KPI],0)),"")</f>
        <v/>
      </c>
      <c r="J1715" s="5" t="n">
        <v>0.1379</v>
      </c>
      <c r="K1715" s="4">
        <f>IFERROR(INDEX(Tbl_KPIMaster[Tolerance],MATCH($G1715,Tbl_KPIMaster[KPI],0)),"")</f>
        <v/>
      </c>
      <c r="L1715" s="4">
        <f>IFERROR(INDEX(Tbl_KPIMaster[Owner],MATCH($G1715,Tbl_KPIMaster[KPI],0)),"")</f>
        <v/>
      </c>
      <c r="M1715" s="6" t="inlineStr">
        <is>
          <t>Preventive check done</t>
        </is>
      </c>
      <c r="N1715" s="4" t="inlineStr"/>
      <c r="O1715" s="4" t="inlineStr">
        <is>
          <t>Medium</t>
        </is>
      </c>
      <c r="P1715" s="4" t="inlineStr">
        <is>
          <t>Open</t>
        </is>
      </c>
      <c r="Q1715" s="5">
        <f>IFERROR(IF(INDEX(Tbl_KPIMaster[Direction],MATCH($G1715,Tbl_KPIMaster[KPI],0))="Lower is Better",IF($J1715=0,1,IF($I1715=0,0,$I1715/$J1715)),IF($I1715=0,1,$J1715/$I1715)),0)</f>
        <v/>
      </c>
      <c r="R1715" s="4">
        <f>IF(OR($I1715="",$J1715=""),"",$J1715-$I1715)</f>
        <v/>
      </c>
      <c r="S1715" s="4">
        <f>IFERROR(IF(INDEX(Tbl_KPIMaster[Direction],MATCH($G1715,Tbl_KPIMaster[KPI],0))="Lower is Better",IF($J1715&lt;=$I1715,"Green",IF($J1715&lt;=$I1715+IF($I1715=0,$K1715,$I1715*$K1715),"Amber","Red")),IF($J1715&gt;=$I1715,"Green",IF($J1715&gt;=$I1715-IF($I1715=0,$K1715,$I1715*$K1715),"Amber","Red"))),"")</f>
        <v/>
      </c>
      <c r="T1715" s="6" t="inlineStr"/>
    </row>
    <row r="1716">
      <c r="A1716" s="7" t="n">
        <v>46215</v>
      </c>
      <c r="B1716" s="8">
        <f>IF($A1716="","",TEXT($A1716,"mmm-yyyy"))</f>
        <v/>
      </c>
      <c r="C1716" s="8">
        <f>IF($A1716="","","W"&amp;WEEKNUM($A1716,2))</f>
        <v/>
      </c>
      <c r="D1716" s="8">
        <f>IF($A1716="","",TEXT($A1716,"ddd"))</f>
        <v/>
      </c>
      <c r="E1716" s="8" t="inlineStr">
        <is>
          <t>HR</t>
        </is>
      </c>
      <c r="F1716" s="8">
        <f>IFERROR(INDEX(Tbl_KPIMaster[Category],MATCH($G1716,Tbl_KPIMaster[KPI],0)),"")</f>
        <v/>
      </c>
      <c r="G1716" s="8" t="inlineStr">
        <is>
          <t>Training Hours</t>
        </is>
      </c>
      <c r="H1716" s="8">
        <f>IFERROR(INDEX(Tbl_KPIMaster[Unit],MATCH($G1716,Tbl_KPIMaster[KPI],0)),"")</f>
        <v/>
      </c>
      <c r="I1716" s="9">
        <f>IFERROR(INDEX(Tbl_KPIMaster[Maximum Target],MATCH($G1716,Tbl_KPIMaster[KPI],0)),"")</f>
        <v/>
      </c>
      <c r="J1716" s="9" t="n">
        <v>1.8</v>
      </c>
      <c r="K1716" s="8">
        <f>IFERROR(INDEX(Tbl_KPIMaster[Tolerance],MATCH($G1716,Tbl_KPIMaster[KPI],0)),"")</f>
        <v/>
      </c>
      <c r="L1716" s="8">
        <f>IFERROR(INDEX(Tbl_KPIMaster[Owner],MATCH($G1716,Tbl_KPIMaster[KPI],0)),"")</f>
        <v/>
      </c>
      <c r="M1716" s="10" t="inlineStr">
        <is>
          <t>Process improvement in progress</t>
        </is>
      </c>
      <c r="N1716" s="8" t="inlineStr"/>
      <c r="O1716" s="8" t="inlineStr">
        <is>
          <t>Medium</t>
        </is>
      </c>
      <c r="P1716" s="8" t="inlineStr">
        <is>
          <t>Closed</t>
        </is>
      </c>
      <c r="Q1716" s="9">
        <f>IFERROR(IF(INDEX(Tbl_KPIMaster[Direction],MATCH($G1716,Tbl_KPIMaster[KPI],0))="Lower is Better",IF($J1716=0,1,IF($I1716=0,0,$I1716/$J1716)),IF($I1716=0,1,$J1716/$I1716)),0)</f>
        <v/>
      </c>
      <c r="R1716" s="8">
        <f>IF(OR($I1716="",$J1716=""),"",$J1716-$I1716)</f>
        <v/>
      </c>
      <c r="S1716" s="8">
        <f>IFERROR(IF(INDEX(Tbl_KPIMaster[Direction],MATCH($G1716,Tbl_KPIMaster[KPI],0))="Lower is Better",IF($J1716&lt;=$I1716,"Green",IF($J1716&lt;=$I1716+IF($I1716=0,$K1716,$I1716*$K1716),"Amber","Red")),IF($J1716&gt;=$I1716,"Green",IF($J1716&gt;=$I1716-IF($I1716=0,$K1716,$I1716*$K1716),"Amber","Red"))),"")</f>
        <v/>
      </c>
      <c r="T1716" s="10" t="inlineStr"/>
    </row>
    <row r="1717">
      <c r="A1717" s="3" t="n">
        <v>46215</v>
      </c>
      <c r="B1717" s="4">
        <f>IF($A1717="","",TEXT($A1717,"mmm-yyyy"))</f>
        <v/>
      </c>
      <c r="C1717" s="4">
        <f>IF($A1717="","","W"&amp;WEEKNUM($A1717,2))</f>
        <v/>
      </c>
      <c r="D1717" s="4">
        <f>IF($A1717="","",TEXT($A1717,"ddd"))</f>
        <v/>
      </c>
      <c r="E1717" s="4" t="inlineStr">
        <is>
          <t>Engineering</t>
        </is>
      </c>
      <c r="F1717" s="4">
        <f>IFERROR(INDEX(Tbl_KPIMaster[Category],MATCH($G1717,Tbl_KPIMaster[KPI],0)),"")</f>
        <v/>
      </c>
      <c r="G1717" s="4" t="inlineStr">
        <is>
          <t>Project Milestone Adherence %</t>
        </is>
      </c>
      <c r="H1717" s="4">
        <f>IFERROR(INDEX(Tbl_KPIMaster[Unit],MATCH($G1717,Tbl_KPIMaster[KPI],0)),"")</f>
        <v/>
      </c>
      <c r="I1717" s="5">
        <f>IFERROR(INDEX(Tbl_KPIMaster[Maximum Target],MATCH($G1717,Tbl_KPIMaster[KPI],0)),"")</f>
        <v/>
      </c>
      <c r="J1717" s="5" t="n">
        <v>0.9482</v>
      </c>
      <c r="K1717" s="4">
        <f>IFERROR(INDEX(Tbl_KPIMaster[Tolerance],MATCH($G1717,Tbl_KPIMaster[KPI],0)),"")</f>
        <v/>
      </c>
      <c r="L1717" s="4">
        <f>IFERROR(INDEX(Tbl_KPIMaster[Owner],MATCH($G1717,Tbl_KPIMaster[KPI],0)),"")</f>
        <v/>
      </c>
      <c r="M1717" s="6" t="inlineStr"/>
      <c r="N1717" s="4" t="inlineStr"/>
      <c r="O1717" s="4" t="inlineStr">
        <is>
          <t>Low</t>
        </is>
      </c>
      <c r="P1717" s="4" t="inlineStr">
        <is>
          <t>In Progress</t>
        </is>
      </c>
      <c r="Q1717" s="5">
        <f>IFERROR(IF(INDEX(Tbl_KPIMaster[Direction],MATCH($G1717,Tbl_KPIMaster[KPI],0))="Lower is Better",IF($J1717=0,1,IF($I1717=0,0,$I1717/$J1717)),IF($I1717=0,1,$J1717/$I1717)),0)</f>
        <v/>
      </c>
      <c r="R1717" s="4">
        <f>IF(OR($I1717="",$J1717=""),"",$J1717-$I1717)</f>
        <v/>
      </c>
      <c r="S1717" s="4">
        <f>IFERROR(IF(INDEX(Tbl_KPIMaster[Direction],MATCH($G1717,Tbl_KPIMaster[KPI],0))="Lower is Better",IF($J1717&lt;=$I1717,"Green",IF($J1717&lt;=$I1717+IF($I1717=0,$K1717,$I1717*$K1717),"Amber","Red")),IF($J1717&gt;=$I1717,"Green",IF($J1717&gt;=$I1717-IF($I1717=0,$K1717,$I1717*$K1717),"Amber","Red"))),"")</f>
        <v/>
      </c>
      <c r="T1717" s="6" t="inlineStr"/>
    </row>
    <row r="1718">
      <c r="A1718" s="7" t="n">
        <v>46215</v>
      </c>
      <c r="B1718" s="8">
        <f>IF($A1718="","",TEXT($A1718,"mmm-yyyy"))</f>
        <v/>
      </c>
      <c r="C1718" s="8">
        <f>IF($A1718="","","W"&amp;WEEKNUM($A1718,2))</f>
        <v/>
      </c>
      <c r="D1718" s="8">
        <f>IF($A1718="","",TEXT($A1718,"ddd"))</f>
        <v/>
      </c>
      <c r="E1718" s="8" t="inlineStr">
        <is>
          <t>Engineering</t>
        </is>
      </c>
      <c r="F1718" s="8">
        <f>IFERROR(INDEX(Tbl_KPIMaster[Category],MATCH($G1718,Tbl_KPIMaster[KPI],0)),"")</f>
        <v/>
      </c>
      <c r="G1718" s="8" t="inlineStr">
        <is>
          <t>Breakdown Resolution Time</t>
        </is>
      </c>
      <c r="H1718" s="8">
        <f>IFERROR(INDEX(Tbl_KPIMaster[Unit],MATCH($G1718,Tbl_KPIMaster[KPI],0)),"")</f>
        <v/>
      </c>
      <c r="I1718" s="9">
        <f>IFERROR(INDEX(Tbl_KPIMaster[Maximum Target],MATCH($G1718,Tbl_KPIMaster[KPI],0)),"")</f>
        <v/>
      </c>
      <c r="J1718" s="9" t="n">
        <v>0</v>
      </c>
      <c r="K1718" s="8">
        <f>IFERROR(INDEX(Tbl_KPIMaster[Tolerance],MATCH($G1718,Tbl_KPIMaster[KPI],0)),"")</f>
        <v/>
      </c>
      <c r="L1718" s="8">
        <f>IFERROR(INDEX(Tbl_KPIMaster[Owner],MATCH($G1718,Tbl_KPIMaster[KPI],0)),"")</f>
        <v/>
      </c>
      <c r="M1718" s="10" t="inlineStr">
        <is>
          <t>Weather impact</t>
        </is>
      </c>
      <c r="N1718" s="8" t="inlineStr"/>
      <c r="O1718" s="8" t="inlineStr">
        <is>
          <t>Medium</t>
        </is>
      </c>
      <c r="P1718" s="8" t="inlineStr">
        <is>
          <t>Closed</t>
        </is>
      </c>
      <c r="Q1718" s="9">
        <f>IFERROR(IF(INDEX(Tbl_KPIMaster[Direction],MATCH($G1718,Tbl_KPIMaster[KPI],0))="Lower is Better",IF($J1718=0,1,IF($I1718=0,0,$I1718/$J1718)),IF($I1718=0,1,$J1718/$I1718)),0)</f>
        <v/>
      </c>
      <c r="R1718" s="8">
        <f>IF(OR($I1718="",$J1718=""),"",$J1718-$I1718)</f>
        <v/>
      </c>
      <c r="S1718" s="8">
        <f>IFERROR(IF(INDEX(Tbl_KPIMaster[Direction],MATCH($G1718,Tbl_KPIMaster[KPI],0))="Lower is Better",IF($J1718&lt;=$I1718,"Green",IF($J1718&lt;=$I1718+IF($I1718=0,$K1718,$I1718*$K1718),"Amber","Red")),IF($J1718&gt;=$I1718,"Green",IF($J1718&gt;=$I1718-IF($I1718=0,$K1718,$I1718*$K1718),"Amber","Red"))),"")</f>
        <v/>
      </c>
      <c r="T1718" s="10" t="inlineStr"/>
    </row>
    <row r="1719">
      <c r="A1719" s="3" t="n">
        <v>46215</v>
      </c>
      <c r="B1719" s="4">
        <f>IF($A1719="","",TEXT($A1719,"mmm-yyyy"))</f>
        <v/>
      </c>
      <c r="C1719" s="4">
        <f>IF($A1719="","","W"&amp;WEEKNUM($A1719,2))</f>
        <v/>
      </c>
      <c r="D1719" s="4">
        <f>IF($A1719="","",TEXT($A1719,"ddd"))</f>
        <v/>
      </c>
      <c r="E1719" s="4" t="inlineStr">
        <is>
          <t>Cost</t>
        </is>
      </c>
      <c r="F1719" s="4">
        <f>IFERROR(INDEX(Tbl_KPIMaster[Category],MATCH($G1719,Tbl_KPIMaster[KPI],0)),"")</f>
        <v/>
      </c>
      <c r="G1719" s="4" t="inlineStr">
        <is>
          <t>Cost per Unit</t>
        </is>
      </c>
      <c r="H1719" s="4">
        <f>IFERROR(INDEX(Tbl_KPIMaster[Unit],MATCH($G1719,Tbl_KPIMaster[KPI],0)),"")</f>
        <v/>
      </c>
      <c r="I1719" s="5">
        <f>IFERROR(INDEX(Tbl_KPIMaster[Maximum Target],MATCH($G1719,Tbl_KPIMaster[KPI],0)),"")</f>
        <v/>
      </c>
      <c r="J1719" s="5" t="n">
        <v>42.16</v>
      </c>
      <c r="K1719" s="4">
        <f>IFERROR(INDEX(Tbl_KPIMaster[Tolerance],MATCH($G1719,Tbl_KPIMaster[KPI],0)),"")</f>
        <v/>
      </c>
      <c r="L1719" s="4">
        <f>IFERROR(INDEX(Tbl_KPIMaster[Owner],MATCH($G1719,Tbl_KPIMaster[KPI],0)),"")</f>
        <v/>
      </c>
      <c r="M1719" s="6" t="inlineStr"/>
      <c r="N1719" s="4" t="inlineStr">
        <is>
          <t>Procurement follow-up</t>
        </is>
      </c>
      <c r="O1719" s="4" t="inlineStr">
        <is>
          <t>Low</t>
        </is>
      </c>
      <c r="P1719" s="4" t="inlineStr">
        <is>
          <t>Closed</t>
        </is>
      </c>
      <c r="Q1719" s="5">
        <f>IFERROR(IF(INDEX(Tbl_KPIMaster[Direction],MATCH($G1719,Tbl_KPIMaster[KPI],0))="Lower is Better",IF($J1719=0,1,IF($I1719=0,0,$I1719/$J1719)),IF($I1719=0,1,$J1719/$I1719)),0)</f>
        <v/>
      </c>
      <c r="R1719" s="4">
        <f>IF(OR($I1719="",$J1719=""),"",$J1719-$I1719)</f>
        <v/>
      </c>
      <c r="S1719" s="4">
        <f>IFERROR(IF(INDEX(Tbl_KPIMaster[Direction],MATCH($G1719,Tbl_KPIMaster[KPI],0))="Lower is Better",IF($J1719&lt;=$I1719,"Green",IF($J1719&lt;=$I1719+IF($I1719=0,$K1719,$I1719*$K1719),"Amber","Red")),IF($J1719&gt;=$I1719,"Green",IF($J1719&gt;=$I1719-IF($I1719=0,$K1719,$I1719*$K1719),"Amber","Red"))),"")</f>
        <v/>
      </c>
      <c r="T1719" s="6" t="inlineStr"/>
    </row>
    <row r="1720">
      <c r="A1720" s="7" t="n">
        <v>46215</v>
      </c>
      <c r="B1720" s="8">
        <f>IF($A1720="","",TEXT($A1720,"mmm-yyyy"))</f>
        <v/>
      </c>
      <c r="C1720" s="8">
        <f>IF($A1720="","","W"&amp;WEEKNUM($A1720,2))</f>
        <v/>
      </c>
      <c r="D1720" s="8">
        <f>IF($A1720="","",TEXT($A1720,"ddd"))</f>
        <v/>
      </c>
      <c r="E1720" s="8" t="inlineStr">
        <is>
          <t>Cost</t>
        </is>
      </c>
      <c r="F1720" s="8">
        <f>IFERROR(INDEX(Tbl_KPIMaster[Category],MATCH($G1720,Tbl_KPIMaster[KPI],0)),"")</f>
        <v/>
      </c>
      <c r="G1720" s="8" t="inlineStr">
        <is>
          <t>Budget Variance %</t>
        </is>
      </c>
      <c r="H1720" s="8">
        <f>IFERROR(INDEX(Tbl_KPIMaster[Unit],MATCH($G1720,Tbl_KPIMaster[KPI],0)),"")</f>
        <v/>
      </c>
      <c r="I1720" s="9">
        <f>IFERROR(INDEX(Tbl_KPIMaster[Maximum Target],MATCH($G1720,Tbl_KPIMaster[KPI],0)),"")</f>
        <v/>
      </c>
      <c r="J1720" s="9" t="n">
        <v>0.4129</v>
      </c>
      <c r="K1720" s="8">
        <f>IFERROR(INDEX(Tbl_KPIMaster[Tolerance],MATCH($G1720,Tbl_KPIMaster[KPI],0)),"")</f>
        <v/>
      </c>
      <c r="L1720" s="8">
        <f>IFERROR(INDEX(Tbl_KPIMaster[Owner],MATCH($G1720,Tbl_KPIMaster[KPI],0)),"")</f>
        <v/>
      </c>
      <c r="M1720" s="10" t="inlineStr">
        <is>
          <t>Vendor delay</t>
        </is>
      </c>
      <c r="N1720" s="8" t="inlineStr"/>
      <c r="O1720" s="8" t="inlineStr">
        <is>
          <t>Low</t>
        </is>
      </c>
      <c r="P1720" s="8" t="inlineStr">
        <is>
          <t>Closed</t>
        </is>
      </c>
      <c r="Q1720" s="9">
        <f>IFERROR(IF(INDEX(Tbl_KPIMaster[Direction],MATCH($G1720,Tbl_KPIMaster[KPI],0))="Lower is Better",IF($J1720=0,1,IF($I1720=0,0,$I1720/$J1720)),IF($I1720=0,1,$J1720/$I1720)),0)</f>
        <v/>
      </c>
      <c r="R1720" s="8">
        <f>IF(OR($I1720="",$J1720=""),"",$J1720-$I1720)</f>
        <v/>
      </c>
      <c r="S1720" s="8">
        <f>IFERROR(IF(INDEX(Tbl_KPIMaster[Direction],MATCH($G1720,Tbl_KPIMaster[KPI],0))="Lower is Better",IF($J1720&lt;=$I1720,"Green",IF($J1720&lt;=$I1720+IF($I1720=0,$K1720,$I1720*$K1720),"Amber","Red")),IF($J1720&gt;=$I1720,"Green",IF($J1720&gt;=$I1720-IF($I1720=0,$K1720,$I1720*$K1720),"Amber","Red"))),"")</f>
        <v/>
      </c>
      <c r="T1720" s="10" t="inlineStr"/>
    </row>
    <row r="1721">
      <c r="A1721" s="3" t="n">
        <v>46215</v>
      </c>
      <c r="B1721" s="4">
        <f>IF($A1721="","",TEXT($A1721,"mmm-yyyy"))</f>
        <v/>
      </c>
      <c r="C1721" s="4">
        <f>IF($A1721="","","W"&amp;WEEKNUM($A1721,2))</f>
        <v/>
      </c>
      <c r="D1721" s="4">
        <f>IF($A1721="","",TEXT($A1721,"ddd"))</f>
        <v/>
      </c>
      <c r="E1721" s="4" t="inlineStr">
        <is>
          <t>Energy</t>
        </is>
      </c>
      <c r="F1721" s="4">
        <f>IFERROR(INDEX(Tbl_KPIMaster[Category],MATCH($G1721,Tbl_KPIMaster[KPI],0)),"")</f>
        <v/>
      </c>
      <c r="G1721" s="4" t="inlineStr">
        <is>
          <t>Energy Intensity (kWh/unit)</t>
        </is>
      </c>
      <c r="H1721" s="4">
        <f>IFERROR(INDEX(Tbl_KPIMaster[Unit],MATCH($G1721,Tbl_KPIMaster[KPI],0)),"")</f>
        <v/>
      </c>
      <c r="I1721" s="5">
        <f>IFERROR(INDEX(Tbl_KPIMaster[Maximum Target],MATCH($G1721,Tbl_KPIMaster[KPI],0)),"")</f>
        <v/>
      </c>
      <c r="J1721" s="5" t="n">
        <v>4.15</v>
      </c>
      <c r="K1721" s="4">
        <f>IFERROR(INDEX(Tbl_KPIMaster[Tolerance],MATCH($G1721,Tbl_KPIMaster[KPI],0)),"")</f>
        <v/>
      </c>
      <c r="L1721" s="4">
        <f>IFERROR(INDEX(Tbl_KPIMaster[Owner],MATCH($G1721,Tbl_KPIMaster[KPI],0)),"")</f>
        <v/>
      </c>
      <c r="M1721" s="6" t="inlineStr">
        <is>
          <t>Manpower shortage</t>
        </is>
      </c>
      <c r="N1721" s="4" t="inlineStr"/>
      <c r="O1721" s="4" t="inlineStr">
        <is>
          <t>Low</t>
        </is>
      </c>
      <c r="P1721" s="4" t="inlineStr">
        <is>
          <t>Closed</t>
        </is>
      </c>
      <c r="Q1721" s="5">
        <f>IFERROR(IF(INDEX(Tbl_KPIMaster[Direction],MATCH($G1721,Tbl_KPIMaster[KPI],0))="Lower is Better",IF($J1721=0,1,IF($I1721=0,0,$I1721/$J1721)),IF($I1721=0,1,$J1721/$I1721)),0)</f>
        <v/>
      </c>
      <c r="R1721" s="4">
        <f>IF(OR($I1721="",$J1721=""),"",$J1721-$I1721)</f>
        <v/>
      </c>
      <c r="S1721" s="4">
        <f>IFERROR(IF(INDEX(Tbl_KPIMaster[Direction],MATCH($G1721,Tbl_KPIMaster[KPI],0))="Lower is Better",IF($J1721&lt;=$I1721,"Green",IF($J1721&lt;=$I1721+IF($I1721=0,$K1721,$I1721*$K1721),"Amber","Red")),IF($J1721&gt;=$I1721,"Green",IF($J1721&gt;=$I1721-IF($I1721=0,$K1721,$I1721*$K1721),"Amber","Red"))),"")</f>
        <v/>
      </c>
      <c r="T1721" s="6" t="inlineStr"/>
    </row>
    <row r="1722">
      <c r="A1722" s="7" t="n">
        <v>46215</v>
      </c>
      <c r="B1722" s="8">
        <f>IF($A1722="","",TEXT($A1722,"mmm-yyyy"))</f>
        <v/>
      </c>
      <c r="C1722" s="8">
        <f>IF($A1722="","","W"&amp;WEEKNUM($A1722,2))</f>
        <v/>
      </c>
      <c r="D1722" s="8">
        <f>IF($A1722="","",TEXT($A1722,"ddd"))</f>
        <v/>
      </c>
      <c r="E1722" s="8" t="inlineStr">
        <is>
          <t>Energy</t>
        </is>
      </c>
      <c r="F1722" s="8">
        <f>IFERROR(INDEX(Tbl_KPIMaster[Category],MATCH($G1722,Tbl_KPIMaster[KPI],0)),"")</f>
        <v/>
      </c>
      <c r="G1722" s="8" t="inlineStr">
        <is>
          <t>Renewable Energy Share %</t>
        </is>
      </c>
      <c r="H1722" s="8">
        <f>IFERROR(INDEX(Tbl_KPIMaster[Unit],MATCH($G1722,Tbl_KPIMaster[KPI],0)),"")</f>
        <v/>
      </c>
      <c r="I1722" s="9">
        <f>IFERROR(INDEX(Tbl_KPIMaster[Maximum Target],MATCH($G1722,Tbl_KPIMaster[KPI],0)),"")</f>
        <v/>
      </c>
      <c r="J1722" s="9" t="n">
        <v>0.2408</v>
      </c>
      <c r="K1722" s="8">
        <f>IFERROR(INDEX(Tbl_KPIMaster[Tolerance],MATCH($G1722,Tbl_KPIMaster[KPI],0)),"")</f>
        <v/>
      </c>
      <c r="L1722" s="8">
        <f>IFERROR(INDEX(Tbl_KPIMaster[Owner],MATCH($G1722,Tbl_KPIMaster[KPI],0)),"")</f>
        <v/>
      </c>
      <c r="M1722" s="10" t="inlineStr">
        <is>
          <t>Vendor delay</t>
        </is>
      </c>
      <c r="N1722" s="8" t="inlineStr"/>
      <c r="O1722" s="8" t="inlineStr">
        <is>
          <t>Low</t>
        </is>
      </c>
      <c r="P1722" s="8" t="inlineStr">
        <is>
          <t>Closed</t>
        </is>
      </c>
      <c r="Q1722" s="9">
        <f>IFERROR(IF(INDEX(Tbl_KPIMaster[Direction],MATCH($G1722,Tbl_KPIMaster[KPI],0))="Lower is Better",IF($J1722=0,1,IF($I1722=0,0,$I1722/$J1722)),IF($I1722=0,1,$J1722/$I1722)),0)</f>
        <v/>
      </c>
      <c r="R1722" s="8">
        <f>IF(OR($I1722="",$J1722=""),"",$J1722-$I1722)</f>
        <v/>
      </c>
      <c r="S1722" s="8">
        <f>IFERROR(IF(INDEX(Tbl_KPIMaster[Direction],MATCH($G1722,Tbl_KPIMaster[KPI],0))="Lower is Better",IF($J1722&lt;=$I1722,"Green",IF($J1722&lt;=$I1722+IF($I1722=0,$K1722,$I1722*$K1722),"Amber","Red")),IF($J1722&gt;=$I1722,"Green",IF($J1722&gt;=$I1722-IF($I1722=0,$K1722,$I1722*$K1722),"Amber","Red"))),"")</f>
        <v/>
      </c>
      <c r="T1722" s="10" t="inlineStr"/>
    </row>
    <row r="1723">
      <c r="A1723" s="3" t="n">
        <v>46216</v>
      </c>
      <c r="B1723" s="4">
        <f>IF($A1723="","",TEXT($A1723,"mmm-yyyy"))</f>
        <v/>
      </c>
      <c r="C1723" s="4">
        <f>IF($A1723="","","W"&amp;WEEKNUM($A1723,2))</f>
        <v/>
      </c>
      <c r="D1723" s="4">
        <f>IF($A1723="","",TEXT($A1723,"ddd"))</f>
        <v/>
      </c>
      <c r="E1723" s="4" t="inlineStr">
        <is>
          <t>Safety</t>
        </is>
      </c>
      <c r="F1723" s="4">
        <f>IFERROR(INDEX(Tbl_KPIMaster[Category],MATCH($G1723,Tbl_KPIMaster[KPI],0)),"")</f>
        <v/>
      </c>
      <c r="G1723" s="4" t="inlineStr">
        <is>
          <t>Safety Incidents (LTI)</t>
        </is>
      </c>
      <c r="H1723" s="4">
        <f>IFERROR(INDEX(Tbl_KPIMaster[Unit],MATCH($G1723,Tbl_KPIMaster[KPI],0)),"")</f>
        <v/>
      </c>
      <c r="I1723" s="5">
        <f>IFERROR(INDEX(Tbl_KPIMaster[Maximum Target],MATCH($G1723,Tbl_KPIMaster[KPI],0)),"")</f>
        <v/>
      </c>
      <c r="J1723" s="5" t="n">
        <v>0</v>
      </c>
      <c r="K1723" s="4">
        <f>IFERROR(INDEX(Tbl_KPIMaster[Tolerance],MATCH($G1723,Tbl_KPIMaster[KPI],0)),"")</f>
        <v/>
      </c>
      <c r="L1723" s="4">
        <f>IFERROR(INDEX(Tbl_KPIMaster[Owner],MATCH($G1723,Tbl_KPIMaster[KPI],0)),"")</f>
        <v/>
      </c>
      <c r="M1723" s="6" t="inlineStr">
        <is>
          <t>Within normal range</t>
        </is>
      </c>
      <c r="N1723" s="4" t="inlineStr">
        <is>
          <t>Management approval pending</t>
        </is>
      </c>
      <c r="O1723" s="4" t="inlineStr">
        <is>
          <t>Low</t>
        </is>
      </c>
      <c r="P1723" s="4" t="inlineStr">
        <is>
          <t>Closed</t>
        </is>
      </c>
      <c r="Q1723" s="5">
        <f>IFERROR(IF(INDEX(Tbl_KPIMaster[Direction],MATCH($G1723,Tbl_KPIMaster[KPI],0))="Lower is Better",IF($J1723=0,1,IF($I1723=0,0,$I1723/$J1723)),IF($I1723=0,1,$J1723/$I1723)),0)</f>
        <v/>
      </c>
      <c r="R1723" s="4">
        <f>IF(OR($I1723="",$J1723=""),"",$J1723-$I1723)</f>
        <v/>
      </c>
      <c r="S1723" s="4">
        <f>IFERROR(IF(INDEX(Tbl_KPIMaster[Direction],MATCH($G1723,Tbl_KPIMaster[KPI],0))="Lower is Better",IF($J1723&lt;=$I1723,"Green",IF($J1723&lt;=$I1723+IF($I1723=0,$K1723,$I1723*$K1723),"Amber","Red")),IF($J1723&gt;=$I1723,"Green",IF($J1723&gt;=$I1723-IF($I1723=0,$K1723,$I1723*$K1723),"Amber","Red"))),"")</f>
        <v/>
      </c>
      <c r="T1723" s="6" t="inlineStr"/>
    </row>
    <row r="1724">
      <c r="A1724" s="7" t="n">
        <v>46216</v>
      </c>
      <c r="B1724" s="8">
        <f>IF($A1724="","",TEXT($A1724,"mmm-yyyy"))</f>
        <v/>
      </c>
      <c r="C1724" s="8">
        <f>IF($A1724="","","W"&amp;WEEKNUM($A1724,2))</f>
        <v/>
      </c>
      <c r="D1724" s="8">
        <f>IF($A1724="","",TEXT($A1724,"ddd"))</f>
        <v/>
      </c>
      <c r="E1724" s="8" t="inlineStr">
        <is>
          <t>Safety</t>
        </is>
      </c>
      <c r="F1724" s="8">
        <f>IFERROR(INDEX(Tbl_KPIMaster[Category],MATCH($G1724,Tbl_KPIMaster[KPI],0)),"")</f>
        <v/>
      </c>
      <c r="G1724" s="8" t="inlineStr">
        <is>
          <t>Near Miss Reports</t>
        </is>
      </c>
      <c r="H1724" s="8">
        <f>IFERROR(INDEX(Tbl_KPIMaster[Unit],MATCH($G1724,Tbl_KPIMaster[KPI],0)),"")</f>
        <v/>
      </c>
      <c r="I1724" s="9">
        <f>IFERROR(INDEX(Tbl_KPIMaster[Maximum Target],MATCH($G1724,Tbl_KPIMaster[KPI],0)),"")</f>
        <v/>
      </c>
      <c r="J1724" s="9" t="n">
        <v>2</v>
      </c>
      <c r="K1724" s="8">
        <f>IFERROR(INDEX(Tbl_KPIMaster[Tolerance],MATCH($G1724,Tbl_KPIMaster[KPI],0)),"")</f>
        <v/>
      </c>
      <c r="L1724" s="8">
        <f>IFERROR(INDEX(Tbl_KPIMaster[Owner],MATCH($G1724,Tbl_KPIMaster[KPI],0)),"")</f>
        <v/>
      </c>
      <c r="M1724" s="10" t="inlineStr">
        <is>
          <t>Awaiting spares</t>
        </is>
      </c>
      <c r="N1724" s="8" t="inlineStr"/>
      <c r="O1724" s="8" t="inlineStr">
        <is>
          <t>Medium</t>
        </is>
      </c>
      <c r="P1724" s="8" t="inlineStr">
        <is>
          <t>Closed</t>
        </is>
      </c>
      <c r="Q1724" s="9">
        <f>IFERROR(IF(INDEX(Tbl_KPIMaster[Direction],MATCH($G1724,Tbl_KPIMaster[KPI],0))="Lower is Better",IF($J1724=0,1,IF($I1724=0,0,$I1724/$J1724)),IF($I1724=0,1,$J1724/$I1724)),0)</f>
        <v/>
      </c>
      <c r="R1724" s="8">
        <f>IF(OR($I1724="",$J1724=""),"",$J1724-$I1724)</f>
        <v/>
      </c>
      <c r="S1724" s="8">
        <f>IFERROR(IF(INDEX(Tbl_KPIMaster[Direction],MATCH($G1724,Tbl_KPIMaster[KPI],0))="Lower is Better",IF($J1724&lt;=$I1724,"Green",IF($J1724&lt;=$I1724+IF($I1724=0,$K1724,$I1724*$K1724),"Amber","Red")),IF($J1724&gt;=$I1724,"Green",IF($J1724&gt;=$I1724-IF($I1724=0,$K1724,$I1724*$K1724),"Amber","Red"))),"")</f>
        <v/>
      </c>
      <c r="T1724" s="10" t="inlineStr"/>
    </row>
    <row r="1725">
      <c r="A1725" s="3" t="n">
        <v>46216</v>
      </c>
      <c r="B1725" s="4">
        <f>IF($A1725="","",TEXT($A1725,"mmm-yyyy"))</f>
        <v/>
      </c>
      <c r="C1725" s="4">
        <f>IF($A1725="","","W"&amp;WEEKNUM($A1725,2))</f>
        <v/>
      </c>
      <c r="D1725" s="4">
        <f>IF($A1725="","",TEXT($A1725,"ddd"))</f>
        <v/>
      </c>
      <c r="E1725" s="4" t="inlineStr">
        <is>
          <t>Production</t>
        </is>
      </c>
      <c r="F1725" s="4">
        <f>IFERROR(INDEX(Tbl_KPIMaster[Category],MATCH($G1725,Tbl_KPIMaster[KPI],0)),"")</f>
        <v/>
      </c>
      <c r="G1725" s="4" t="inlineStr">
        <is>
          <t>Production Output</t>
        </is>
      </c>
      <c r="H1725" s="4">
        <f>IFERROR(INDEX(Tbl_KPIMaster[Unit],MATCH($G1725,Tbl_KPIMaster[KPI],0)),"")</f>
        <v/>
      </c>
      <c r="I1725" s="5">
        <f>IFERROR(INDEX(Tbl_KPIMaster[Maximum Target],MATCH($G1725,Tbl_KPIMaster[KPI],0)),"")</f>
        <v/>
      </c>
      <c r="J1725" s="5" t="n">
        <v>1127.26</v>
      </c>
      <c r="K1725" s="4">
        <f>IFERROR(INDEX(Tbl_KPIMaster[Tolerance],MATCH($G1725,Tbl_KPIMaster[KPI],0)),"")</f>
        <v/>
      </c>
      <c r="L1725" s="4">
        <f>IFERROR(INDEX(Tbl_KPIMaster[Owner],MATCH($G1725,Tbl_KPIMaster[KPI],0)),"")</f>
        <v/>
      </c>
      <c r="M1725" s="6" t="inlineStr">
        <is>
          <t>Equipment breakdown</t>
        </is>
      </c>
      <c r="N1725" s="4" t="inlineStr"/>
      <c r="O1725" s="4" t="inlineStr">
        <is>
          <t>Medium</t>
        </is>
      </c>
      <c r="P1725" s="4" t="inlineStr">
        <is>
          <t>Closed</t>
        </is>
      </c>
      <c r="Q1725" s="5">
        <f>IFERROR(IF(INDEX(Tbl_KPIMaster[Direction],MATCH($G1725,Tbl_KPIMaster[KPI],0))="Lower is Better",IF($J1725=0,1,IF($I1725=0,0,$I1725/$J1725)),IF($I1725=0,1,$J1725/$I1725)),0)</f>
        <v/>
      </c>
      <c r="R1725" s="4">
        <f>IF(OR($I1725="",$J1725=""),"",$J1725-$I1725)</f>
        <v/>
      </c>
      <c r="S1725" s="4">
        <f>IFERROR(IF(INDEX(Tbl_KPIMaster[Direction],MATCH($G1725,Tbl_KPIMaster[KPI],0))="Lower is Better",IF($J1725&lt;=$I1725,"Green",IF($J1725&lt;=$I1725+IF($I1725=0,$K1725,$I1725*$K1725),"Amber","Red")),IF($J1725&gt;=$I1725,"Green",IF($J1725&gt;=$I1725-IF($I1725=0,$K1725,$I1725*$K1725),"Amber","Red"))),"")</f>
        <v/>
      </c>
      <c r="T1725" s="6" t="inlineStr"/>
    </row>
    <row r="1726">
      <c r="A1726" s="7" t="n">
        <v>46216</v>
      </c>
      <c r="B1726" s="8">
        <f>IF($A1726="","",TEXT($A1726,"mmm-yyyy"))</f>
        <v/>
      </c>
      <c r="C1726" s="8">
        <f>IF($A1726="","","W"&amp;WEEKNUM($A1726,2))</f>
        <v/>
      </c>
      <c r="D1726" s="8">
        <f>IF($A1726="","",TEXT($A1726,"ddd"))</f>
        <v/>
      </c>
      <c r="E1726" s="8" t="inlineStr">
        <is>
          <t>Production</t>
        </is>
      </c>
      <c r="F1726" s="8">
        <f>IFERROR(INDEX(Tbl_KPIMaster[Category],MATCH($G1726,Tbl_KPIMaster[KPI],0)),"")</f>
        <v/>
      </c>
      <c r="G1726" s="8" t="inlineStr">
        <is>
          <t>OEE %</t>
        </is>
      </c>
      <c r="H1726" s="8">
        <f>IFERROR(INDEX(Tbl_KPIMaster[Unit],MATCH($G1726,Tbl_KPIMaster[KPI],0)),"")</f>
        <v/>
      </c>
      <c r="I1726" s="9">
        <f>IFERROR(INDEX(Tbl_KPIMaster[Maximum Target],MATCH($G1726,Tbl_KPIMaster[KPI],0)),"")</f>
        <v/>
      </c>
      <c r="J1726" s="9" t="n">
        <v>0.7024</v>
      </c>
      <c r="K1726" s="8">
        <f>IFERROR(INDEX(Tbl_KPIMaster[Tolerance],MATCH($G1726,Tbl_KPIMaster[KPI],0)),"")</f>
        <v/>
      </c>
      <c r="L1726" s="8">
        <f>IFERROR(INDEX(Tbl_KPIMaster[Owner],MATCH($G1726,Tbl_KPIMaster[KPI],0)),"")</f>
        <v/>
      </c>
      <c r="M1726" s="10" t="inlineStr">
        <is>
          <t>Preventive check done</t>
        </is>
      </c>
      <c r="N1726" s="8" t="inlineStr">
        <is>
          <t>Management approval pending</t>
        </is>
      </c>
      <c r="O1726" s="8" t="inlineStr">
        <is>
          <t>Medium</t>
        </is>
      </c>
      <c r="P1726" s="8" t="inlineStr">
        <is>
          <t>In Progress</t>
        </is>
      </c>
      <c r="Q1726" s="9">
        <f>IFERROR(IF(INDEX(Tbl_KPIMaster[Direction],MATCH($G1726,Tbl_KPIMaster[KPI],0))="Lower is Better",IF($J1726=0,1,IF($I1726=0,0,$I1726/$J1726)),IF($I1726=0,1,$J1726/$I1726)),0)</f>
        <v/>
      </c>
      <c r="R1726" s="8">
        <f>IF(OR($I1726="",$J1726=""),"",$J1726-$I1726)</f>
        <v/>
      </c>
      <c r="S1726" s="8">
        <f>IFERROR(IF(INDEX(Tbl_KPIMaster[Direction],MATCH($G1726,Tbl_KPIMaster[KPI],0))="Lower is Better",IF($J1726&lt;=$I1726,"Green",IF($J1726&lt;=$I1726+IF($I1726=0,$K1726,$I1726*$K1726),"Amber","Red")),IF($J1726&gt;=$I1726,"Green",IF($J1726&gt;=$I1726-IF($I1726=0,$K1726,$I1726*$K1726),"Amber","Red"))),"")</f>
        <v/>
      </c>
      <c r="T1726" s="10" t="inlineStr"/>
    </row>
    <row r="1727">
      <c r="A1727" s="3" t="n">
        <v>46216</v>
      </c>
      <c r="B1727" s="4">
        <f>IF($A1727="","",TEXT($A1727,"mmm-yyyy"))</f>
        <v/>
      </c>
      <c r="C1727" s="4">
        <f>IF($A1727="","","W"&amp;WEEKNUM($A1727,2))</f>
        <v/>
      </c>
      <c r="D1727" s="4">
        <f>IF($A1727="","",TEXT($A1727,"ddd"))</f>
        <v/>
      </c>
      <c r="E1727" s="4" t="inlineStr">
        <is>
          <t>Quality</t>
        </is>
      </c>
      <c r="F1727" s="4">
        <f>IFERROR(INDEX(Tbl_KPIMaster[Category],MATCH($G1727,Tbl_KPIMaster[KPI],0)),"")</f>
        <v/>
      </c>
      <c r="G1727" s="4" t="inlineStr">
        <is>
          <t>Defect Rate %</t>
        </is>
      </c>
      <c r="H1727" s="4">
        <f>IFERROR(INDEX(Tbl_KPIMaster[Unit],MATCH($G1727,Tbl_KPIMaster[KPI],0)),"")</f>
        <v/>
      </c>
      <c r="I1727" s="5">
        <f>IFERROR(INDEX(Tbl_KPIMaster[Maximum Target],MATCH($G1727,Tbl_KPIMaster[KPI],0)),"")</f>
        <v/>
      </c>
      <c r="J1727" s="5" t="n">
        <v>0.5851</v>
      </c>
      <c r="K1727" s="4">
        <f>IFERROR(INDEX(Tbl_KPIMaster[Tolerance],MATCH($G1727,Tbl_KPIMaster[KPI],0)),"")</f>
        <v/>
      </c>
      <c r="L1727" s="4">
        <f>IFERROR(INDEX(Tbl_KPIMaster[Owner],MATCH($G1727,Tbl_KPIMaster[KPI],0)),"")</f>
        <v/>
      </c>
      <c r="M1727" s="6" t="inlineStr"/>
      <c r="N1727" s="4" t="inlineStr"/>
      <c r="O1727" s="4" t="inlineStr">
        <is>
          <t>Medium</t>
        </is>
      </c>
      <c r="P1727" s="4" t="inlineStr">
        <is>
          <t>Open</t>
        </is>
      </c>
      <c r="Q1727" s="5">
        <f>IFERROR(IF(INDEX(Tbl_KPIMaster[Direction],MATCH($G1727,Tbl_KPIMaster[KPI],0))="Lower is Better",IF($J1727=0,1,IF($I1727=0,0,$I1727/$J1727)),IF($I1727=0,1,$J1727/$I1727)),0)</f>
        <v/>
      </c>
      <c r="R1727" s="4">
        <f>IF(OR($I1727="",$J1727=""),"",$J1727-$I1727)</f>
        <v/>
      </c>
      <c r="S1727" s="4">
        <f>IFERROR(IF(INDEX(Tbl_KPIMaster[Direction],MATCH($G1727,Tbl_KPIMaster[KPI],0))="Lower is Better",IF($J1727&lt;=$I1727,"Green",IF($J1727&lt;=$I1727+IF($I1727=0,$K1727,$I1727*$K1727),"Amber","Red")),IF($J1727&gt;=$I1727,"Green",IF($J1727&gt;=$I1727-IF($I1727=0,$K1727,$I1727*$K1727),"Amber","Red"))),"")</f>
        <v/>
      </c>
      <c r="T1727" s="6" t="inlineStr"/>
    </row>
    <row r="1728">
      <c r="A1728" s="7" t="n">
        <v>46216</v>
      </c>
      <c r="B1728" s="8">
        <f>IF($A1728="","",TEXT($A1728,"mmm-yyyy"))</f>
        <v/>
      </c>
      <c r="C1728" s="8">
        <f>IF($A1728="","","W"&amp;WEEKNUM($A1728,2))</f>
        <v/>
      </c>
      <c r="D1728" s="8">
        <f>IF($A1728="","",TEXT($A1728,"ddd"))</f>
        <v/>
      </c>
      <c r="E1728" s="8" t="inlineStr">
        <is>
          <t>Quality</t>
        </is>
      </c>
      <c r="F1728" s="8">
        <f>IFERROR(INDEX(Tbl_KPIMaster[Category],MATCH($G1728,Tbl_KPIMaster[KPI],0)),"")</f>
        <v/>
      </c>
      <c r="G1728" s="8" t="inlineStr">
        <is>
          <t>Customer Complaints</t>
        </is>
      </c>
      <c r="H1728" s="8">
        <f>IFERROR(INDEX(Tbl_KPIMaster[Unit],MATCH($G1728,Tbl_KPIMaster[KPI],0)),"")</f>
        <v/>
      </c>
      <c r="I1728" s="9">
        <f>IFERROR(INDEX(Tbl_KPIMaster[Maximum Target],MATCH($G1728,Tbl_KPIMaster[KPI],0)),"")</f>
        <v/>
      </c>
      <c r="J1728" s="9" t="n">
        <v>3</v>
      </c>
      <c r="K1728" s="8">
        <f>IFERROR(INDEX(Tbl_KPIMaster[Tolerance],MATCH($G1728,Tbl_KPIMaster[KPI],0)),"")</f>
        <v/>
      </c>
      <c r="L1728" s="8">
        <f>IFERROR(INDEX(Tbl_KPIMaster[Owner],MATCH($G1728,Tbl_KPIMaster[KPI],0)),"")</f>
        <v/>
      </c>
      <c r="M1728" s="10" t="inlineStr"/>
      <c r="N1728" s="8" t="inlineStr">
        <is>
          <t>Engineering support needed</t>
        </is>
      </c>
      <c r="O1728" s="8" t="inlineStr">
        <is>
          <t>Low</t>
        </is>
      </c>
      <c r="P1728" s="8" t="inlineStr">
        <is>
          <t>Closed</t>
        </is>
      </c>
      <c r="Q1728" s="9">
        <f>IFERROR(IF(INDEX(Tbl_KPIMaster[Direction],MATCH($G1728,Tbl_KPIMaster[KPI],0))="Lower is Better",IF($J1728=0,1,IF($I1728=0,0,$I1728/$J1728)),IF($I1728=0,1,$J1728/$I1728)),0)</f>
        <v/>
      </c>
      <c r="R1728" s="8">
        <f>IF(OR($I1728="",$J1728=""),"",$J1728-$I1728)</f>
        <v/>
      </c>
      <c r="S1728" s="8">
        <f>IFERROR(IF(INDEX(Tbl_KPIMaster[Direction],MATCH($G1728,Tbl_KPIMaster[KPI],0))="Lower is Better",IF($J1728&lt;=$I1728,"Green",IF($J1728&lt;=$I1728+IF($I1728=0,$K1728,$I1728*$K1728),"Amber","Red")),IF($J1728&gt;=$I1728,"Green",IF($J1728&gt;=$I1728-IF($I1728=0,$K1728,$I1728*$K1728),"Amber","Red"))),"")</f>
        <v/>
      </c>
      <c r="T1728" s="10" t="inlineStr"/>
    </row>
    <row r="1729">
      <c r="A1729" s="3" t="n">
        <v>46216</v>
      </c>
      <c r="B1729" s="4">
        <f>IF($A1729="","",TEXT($A1729,"mmm-yyyy"))</f>
        <v/>
      </c>
      <c r="C1729" s="4">
        <f>IF($A1729="","","W"&amp;WEEKNUM($A1729,2))</f>
        <v/>
      </c>
      <c r="D1729" s="4">
        <f>IF($A1729="","",TEXT($A1729,"ddd"))</f>
        <v/>
      </c>
      <c r="E1729" s="4" t="inlineStr">
        <is>
          <t>Maintenance</t>
        </is>
      </c>
      <c r="F1729" s="4">
        <f>IFERROR(INDEX(Tbl_KPIMaster[Category],MATCH($G1729,Tbl_KPIMaster[KPI],0)),"")</f>
        <v/>
      </c>
      <c r="G1729" s="4" t="inlineStr">
        <is>
          <t>Unplanned Downtime</t>
        </is>
      </c>
      <c r="H1729" s="4">
        <f>IFERROR(INDEX(Tbl_KPIMaster[Unit],MATCH($G1729,Tbl_KPIMaster[KPI],0)),"")</f>
        <v/>
      </c>
      <c r="I1729" s="5">
        <f>IFERROR(INDEX(Tbl_KPIMaster[Maximum Target],MATCH($G1729,Tbl_KPIMaster[KPI],0)),"")</f>
        <v/>
      </c>
      <c r="J1729" s="5" t="n">
        <v>0.28</v>
      </c>
      <c r="K1729" s="4">
        <f>IFERROR(INDEX(Tbl_KPIMaster[Tolerance],MATCH($G1729,Tbl_KPIMaster[KPI],0)),"")</f>
        <v/>
      </c>
      <c r="L1729" s="4">
        <f>IFERROR(INDEX(Tbl_KPIMaster[Owner],MATCH($G1729,Tbl_KPIMaster[KPI],0)),"")</f>
        <v/>
      </c>
      <c r="M1729" s="6" t="inlineStr">
        <is>
          <t>Manpower shortage</t>
        </is>
      </c>
      <c r="N1729" s="4" t="inlineStr"/>
      <c r="O1729" s="4" t="inlineStr">
        <is>
          <t>High</t>
        </is>
      </c>
      <c r="P1729" s="4" t="inlineStr">
        <is>
          <t>Closed</t>
        </is>
      </c>
      <c r="Q1729" s="5">
        <f>IFERROR(IF(INDEX(Tbl_KPIMaster[Direction],MATCH($G1729,Tbl_KPIMaster[KPI],0))="Lower is Better",IF($J1729=0,1,IF($I1729=0,0,$I1729/$J1729)),IF($I1729=0,1,$J1729/$I1729)),0)</f>
        <v/>
      </c>
      <c r="R1729" s="4">
        <f>IF(OR($I1729="",$J1729=""),"",$J1729-$I1729)</f>
        <v/>
      </c>
      <c r="S1729" s="4">
        <f>IFERROR(IF(INDEX(Tbl_KPIMaster[Direction],MATCH($G1729,Tbl_KPIMaster[KPI],0))="Lower is Better",IF($J1729&lt;=$I1729,"Green",IF($J1729&lt;=$I1729+IF($I1729=0,$K1729,$I1729*$K1729),"Amber","Red")),IF($J1729&gt;=$I1729,"Green",IF($J1729&gt;=$I1729-IF($I1729=0,$K1729,$I1729*$K1729),"Amber","Red"))),"")</f>
        <v/>
      </c>
      <c r="T1729" s="6" t="inlineStr"/>
    </row>
    <row r="1730">
      <c r="A1730" s="7" t="n">
        <v>46216</v>
      </c>
      <c r="B1730" s="8">
        <f>IF($A1730="","",TEXT($A1730,"mmm-yyyy"))</f>
        <v/>
      </c>
      <c r="C1730" s="8">
        <f>IF($A1730="","","W"&amp;WEEKNUM($A1730,2))</f>
        <v/>
      </c>
      <c r="D1730" s="8">
        <f>IF($A1730="","",TEXT($A1730,"ddd"))</f>
        <v/>
      </c>
      <c r="E1730" s="8" t="inlineStr">
        <is>
          <t>Maintenance</t>
        </is>
      </c>
      <c r="F1730" s="8">
        <f>IFERROR(INDEX(Tbl_KPIMaster[Category],MATCH($G1730,Tbl_KPIMaster[KPI],0)),"")</f>
        <v/>
      </c>
      <c r="G1730" s="8" t="inlineStr">
        <is>
          <t>PM Compliance %</t>
        </is>
      </c>
      <c r="H1730" s="8">
        <f>IFERROR(INDEX(Tbl_KPIMaster[Unit],MATCH($G1730,Tbl_KPIMaster[KPI],0)),"")</f>
        <v/>
      </c>
      <c r="I1730" s="9">
        <f>IFERROR(INDEX(Tbl_KPIMaster[Maximum Target],MATCH($G1730,Tbl_KPIMaster[KPI],0)),"")</f>
        <v/>
      </c>
      <c r="J1730" s="9" t="n">
        <v>1.1048</v>
      </c>
      <c r="K1730" s="8">
        <f>IFERROR(INDEX(Tbl_KPIMaster[Tolerance],MATCH($G1730,Tbl_KPIMaster[KPI],0)),"")</f>
        <v/>
      </c>
      <c r="L1730" s="8">
        <f>IFERROR(INDEX(Tbl_KPIMaster[Owner],MATCH($G1730,Tbl_KPIMaster[KPI],0)),"")</f>
        <v/>
      </c>
      <c r="M1730" s="10" t="inlineStr">
        <is>
          <t>Preventive check done</t>
        </is>
      </c>
      <c r="N1730" s="8" t="inlineStr">
        <is>
          <t>Engineering support needed</t>
        </is>
      </c>
      <c r="O1730" s="8" t="inlineStr">
        <is>
          <t>Low</t>
        </is>
      </c>
      <c r="P1730" s="8" t="inlineStr">
        <is>
          <t>Closed</t>
        </is>
      </c>
      <c r="Q1730" s="9">
        <f>IFERROR(IF(INDEX(Tbl_KPIMaster[Direction],MATCH($G1730,Tbl_KPIMaster[KPI],0))="Lower is Better",IF($J1730=0,1,IF($I1730=0,0,$I1730/$J1730)),IF($I1730=0,1,$J1730/$I1730)),0)</f>
        <v/>
      </c>
      <c r="R1730" s="8">
        <f>IF(OR($I1730="",$J1730=""),"",$J1730-$I1730)</f>
        <v/>
      </c>
      <c r="S1730" s="8">
        <f>IFERROR(IF(INDEX(Tbl_KPIMaster[Direction],MATCH($G1730,Tbl_KPIMaster[KPI],0))="Lower is Better",IF($J1730&lt;=$I1730,"Green",IF($J1730&lt;=$I1730+IF($I1730=0,$K1730,$I1730*$K1730),"Amber","Red")),IF($J1730&gt;=$I1730,"Green",IF($J1730&gt;=$I1730-IF($I1730=0,$K1730,$I1730*$K1730),"Amber","Red"))),"")</f>
        <v/>
      </c>
      <c r="T1730" s="10" t="inlineStr"/>
    </row>
    <row r="1731">
      <c r="A1731" s="3" t="n">
        <v>46216</v>
      </c>
      <c r="B1731" s="4">
        <f>IF($A1731="","",TEXT($A1731,"mmm-yyyy"))</f>
        <v/>
      </c>
      <c r="C1731" s="4">
        <f>IF($A1731="","","W"&amp;WEEKNUM($A1731,2))</f>
        <v/>
      </c>
      <c r="D1731" s="4">
        <f>IF($A1731="","",TEXT($A1731,"ddd"))</f>
        <v/>
      </c>
      <c r="E1731" s="4" t="inlineStr">
        <is>
          <t>Utilities</t>
        </is>
      </c>
      <c r="F1731" s="4">
        <f>IFERROR(INDEX(Tbl_KPIMaster[Category],MATCH($G1731,Tbl_KPIMaster[KPI],0)),"")</f>
        <v/>
      </c>
      <c r="G1731" s="4" t="inlineStr">
        <is>
          <t>Power Consumption</t>
        </is>
      </c>
      <c r="H1731" s="4">
        <f>IFERROR(INDEX(Tbl_KPIMaster[Unit],MATCH($G1731,Tbl_KPIMaster[KPI],0)),"")</f>
        <v/>
      </c>
      <c r="I1731" s="5">
        <f>IFERROR(INDEX(Tbl_KPIMaster[Maximum Target],MATCH($G1731,Tbl_KPIMaster[KPI],0)),"")</f>
        <v/>
      </c>
      <c r="J1731" s="5" t="n">
        <v>3867.98</v>
      </c>
      <c r="K1731" s="4">
        <f>IFERROR(INDEX(Tbl_KPIMaster[Tolerance],MATCH($G1731,Tbl_KPIMaster[KPI],0)),"")</f>
        <v/>
      </c>
      <c r="L1731" s="4">
        <f>IFERROR(INDEX(Tbl_KPIMaster[Owner],MATCH($G1731,Tbl_KPIMaster[KPI],0)),"")</f>
        <v/>
      </c>
      <c r="M1731" s="6" t="inlineStr">
        <is>
          <t>Equipment breakdown</t>
        </is>
      </c>
      <c r="N1731" s="4" t="inlineStr"/>
      <c r="O1731" s="4" t="inlineStr">
        <is>
          <t>Medium</t>
        </is>
      </c>
      <c r="P1731" s="4" t="inlineStr">
        <is>
          <t>Closed</t>
        </is>
      </c>
      <c r="Q1731" s="5">
        <f>IFERROR(IF(INDEX(Tbl_KPIMaster[Direction],MATCH($G1731,Tbl_KPIMaster[KPI],0))="Lower is Better",IF($J1731=0,1,IF($I1731=0,0,$I1731/$J1731)),IF($I1731=0,1,$J1731/$I1731)),0)</f>
        <v/>
      </c>
      <c r="R1731" s="4">
        <f>IF(OR($I1731="",$J1731=""),"",$J1731-$I1731)</f>
        <v/>
      </c>
      <c r="S1731" s="4">
        <f>IFERROR(IF(INDEX(Tbl_KPIMaster[Direction],MATCH($G1731,Tbl_KPIMaster[KPI],0))="Lower is Better",IF($J1731&lt;=$I1731,"Green",IF($J1731&lt;=$I1731+IF($I1731=0,$K1731,$I1731*$K1731),"Amber","Red")),IF($J1731&gt;=$I1731,"Green",IF($J1731&gt;=$I1731-IF($I1731=0,$K1731,$I1731*$K1731),"Amber","Red"))),"")</f>
        <v/>
      </c>
      <c r="T1731" s="6" t="inlineStr"/>
    </row>
    <row r="1732">
      <c r="A1732" s="7" t="n">
        <v>46216</v>
      </c>
      <c r="B1732" s="8">
        <f>IF($A1732="","",TEXT($A1732,"mmm-yyyy"))</f>
        <v/>
      </c>
      <c r="C1732" s="8">
        <f>IF($A1732="","","W"&amp;WEEKNUM($A1732,2))</f>
        <v/>
      </c>
      <c r="D1732" s="8">
        <f>IF($A1732="","",TEXT($A1732,"ddd"))</f>
        <v/>
      </c>
      <c r="E1732" s="8" t="inlineStr">
        <is>
          <t>Utilities</t>
        </is>
      </c>
      <c r="F1732" s="8">
        <f>IFERROR(INDEX(Tbl_KPIMaster[Category],MATCH($G1732,Tbl_KPIMaster[KPI],0)),"")</f>
        <v/>
      </c>
      <c r="G1732" s="8" t="inlineStr">
        <is>
          <t>Water Consumption</t>
        </is>
      </c>
      <c r="H1732" s="8">
        <f>IFERROR(INDEX(Tbl_KPIMaster[Unit],MATCH($G1732,Tbl_KPIMaster[KPI],0)),"")</f>
        <v/>
      </c>
      <c r="I1732" s="9">
        <f>IFERROR(INDEX(Tbl_KPIMaster[Maximum Target],MATCH($G1732,Tbl_KPIMaster[KPI],0)),"")</f>
        <v/>
      </c>
      <c r="J1732" s="9" t="n">
        <v>46.58</v>
      </c>
      <c r="K1732" s="8">
        <f>IFERROR(INDEX(Tbl_KPIMaster[Tolerance],MATCH($G1732,Tbl_KPIMaster[KPI],0)),"")</f>
        <v/>
      </c>
      <c r="L1732" s="8">
        <f>IFERROR(INDEX(Tbl_KPIMaster[Owner],MATCH($G1732,Tbl_KPIMaster[KPI],0)),"")</f>
        <v/>
      </c>
      <c r="M1732" s="10" t="inlineStr">
        <is>
          <t>Within normal range</t>
        </is>
      </c>
      <c r="N1732" s="8" t="inlineStr"/>
      <c r="O1732" s="8" t="inlineStr">
        <is>
          <t>Low</t>
        </is>
      </c>
      <c r="P1732" s="8" t="inlineStr">
        <is>
          <t>Open</t>
        </is>
      </c>
      <c r="Q1732" s="9">
        <f>IFERROR(IF(INDEX(Tbl_KPIMaster[Direction],MATCH($G1732,Tbl_KPIMaster[KPI],0))="Lower is Better",IF($J1732=0,1,IF($I1732=0,0,$I1732/$J1732)),IF($I1732=0,1,$J1732/$I1732)),0)</f>
        <v/>
      </c>
      <c r="R1732" s="8">
        <f>IF(OR($I1732="",$J1732=""),"",$J1732-$I1732)</f>
        <v/>
      </c>
      <c r="S1732" s="8">
        <f>IFERROR(IF(INDEX(Tbl_KPIMaster[Direction],MATCH($G1732,Tbl_KPIMaster[KPI],0))="Lower is Better",IF($J1732&lt;=$I1732,"Green",IF($J1732&lt;=$I1732+IF($I1732=0,$K1732,$I1732*$K1732),"Amber","Red")),IF($J1732&gt;=$I1732,"Green",IF($J1732&gt;=$I1732-IF($I1732=0,$K1732,$I1732*$K1732),"Amber","Red"))),"")</f>
        <v/>
      </c>
      <c r="T1732" s="10" t="inlineStr"/>
    </row>
    <row r="1733">
      <c r="A1733" s="3" t="n">
        <v>46216</v>
      </c>
      <c r="B1733" s="4">
        <f>IF($A1733="","",TEXT($A1733,"mmm-yyyy"))</f>
        <v/>
      </c>
      <c r="C1733" s="4">
        <f>IF($A1733="","","W"&amp;WEEKNUM($A1733,2))</f>
        <v/>
      </c>
      <c r="D1733" s="4">
        <f>IF($A1733="","",TEXT($A1733,"ddd"))</f>
        <v/>
      </c>
      <c r="E1733" s="4" t="inlineStr">
        <is>
          <t>Warehouse</t>
        </is>
      </c>
      <c r="F1733" s="4">
        <f>IFERROR(INDEX(Tbl_KPIMaster[Category],MATCH($G1733,Tbl_KPIMaster[KPI],0)),"")</f>
        <v/>
      </c>
      <c r="G1733" s="4" t="inlineStr">
        <is>
          <t>On-Time Dispatch %</t>
        </is>
      </c>
      <c r="H1733" s="4">
        <f>IFERROR(INDEX(Tbl_KPIMaster[Unit],MATCH($G1733,Tbl_KPIMaster[KPI],0)),"")</f>
        <v/>
      </c>
      <c r="I1733" s="5">
        <f>IFERROR(INDEX(Tbl_KPIMaster[Maximum Target],MATCH($G1733,Tbl_KPIMaster[KPI],0)),"")</f>
        <v/>
      </c>
      <c r="J1733" s="5" t="n">
        <v>1.1557</v>
      </c>
      <c r="K1733" s="4">
        <f>IFERROR(INDEX(Tbl_KPIMaster[Tolerance],MATCH($G1733,Tbl_KPIMaster[KPI],0)),"")</f>
        <v/>
      </c>
      <c r="L1733" s="4">
        <f>IFERROR(INDEX(Tbl_KPIMaster[Owner],MATCH($G1733,Tbl_KPIMaster[KPI],0)),"")</f>
        <v/>
      </c>
      <c r="M1733" s="6" t="inlineStr">
        <is>
          <t>Equipment breakdown</t>
        </is>
      </c>
      <c r="N1733" s="4" t="inlineStr"/>
      <c r="O1733" s="4" t="inlineStr">
        <is>
          <t>High</t>
        </is>
      </c>
      <c r="P1733" s="4" t="inlineStr">
        <is>
          <t>Closed</t>
        </is>
      </c>
      <c r="Q1733" s="5">
        <f>IFERROR(IF(INDEX(Tbl_KPIMaster[Direction],MATCH($G1733,Tbl_KPIMaster[KPI],0))="Lower is Better",IF($J1733=0,1,IF($I1733=0,0,$I1733/$J1733)),IF($I1733=0,1,$J1733/$I1733)),0)</f>
        <v/>
      </c>
      <c r="R1733" s="4">
        <f>IF(OR($I1733="",$J1733=""),"",$J1733-$I1733)</f>
        <v/>
      </c>
      <c r="S1733" s="4">
        <f>IFERROR(IF(INDEX(Tbl_KPIMaster[Direction],MATCH($G1733,Tbl_KPIMaster[KPI],0))="Lower is Better",IF($J1733&lt;=$I1733,"Green",IF($J1733&lt;=$I1733+IF($I1733=0,$K1733,$I1733*$K1733),"Amber","Red")),IF($J1733&gt;=$I1733,"Green",IF($J1733&gt;=$I1733-IF($I1733=0,$K1733,$I1733*$K1733),"Amber","Red"))),"")</f>
        <v/>
      </c>
      <c r="T1733" s="6" t="inlineStr"/>
    </row>
    <row r="1734">
      <c r="A1734" s="7" t="n">
        <v>46216</v>
      </c>
      <c r="B1734" s="8">
        <f>IF($A1734="","",TEXT($A1734,"mmm-yyyy"))</f>
        <v/>
      </c>
      <c r="C1734" s="8">
        <f>IF($A1734="","","W"&amp;WEEKNUM($A1734,2))</f>
        <v/>
      </c>
      <c r="D1734" s="8">
        <f>IF($A1734="","",TEXT($A1734,"ddd"))</f>
        <v/>
      </c>
      <c r="E1734" s="8" t="inlineStr">
        <is>
          <t>Warehouse</t>
        </is>
      </c>
      <c r="F1734" s="8">
        <f>IFERROR(INDEX(Tbl_KPIMaster[Category],MATCH($G1734,Tbl_KPIMaster[KPI],0)),"")</f>
        <v/>
      </c>
      <c r="G1734" s="8" t="inlineStr">
        <is>
          <t>Inventory Accuracy %</t>
        </is>
      </c>
      <c r="H1734" s="8">
        <f>IFERROR(INDEX(Tbl_KPIMaster[Unit],MATCH($G1734,Tbl_KPIMaster[KPI],0)),"")</f>
        <v/>
      </c>
      <c r="I1734" s="9">
        <f>IFERROR(INDEX(Tbl_KPIMaster[Maximum Target],MATCH($G1734,Tbl_KPIMaster[KPI],0)),"")</f>
        <v/>
      </c>
      <c r="J1734" s="9" t="n">
        <v>1.0122</v>
      </c>
      <c r="K1734" s="8">
        <f>IFERROR(INDEX(Tbl_KPIMaster[Tolerance],MATCH($G1734,Tbl_KPIMaster[KPI],0)),"")</f>
        <v/>
      </c>
      <c r="L1734" s="8">
        <f>IFERROR(INDEX(Tbl_KPIMaster[Owner],MATCH($G1734,Tbl_KPIMaster[KPI],0)),"")</f>
        <v/>
      </c>
      <c r="M1734" s="10" t="inlineStr">
        <is>
          <t>Process improvement in progress</t>
        </is>
      </c>
      <c r="N1734" s="8" t="inlineStr"/>
      <c r="O1734" s="8" t="inlineStr">
        <is>
          <t>High</t>
        </is>
      </c>
      <c r="P1734" s="8" t="inlineStr">
        <is>
          <t>In Progress</t>
        </is>
      </c>
      <c r="Q1734" s="9">
        <f>IFERROR(IF(INDEX(Tbl_KPIMaster[Direction],MATCH($G1734,Tbl_KPIMaster[KPI],0))="Lower is Better",IF($J1734=0,1,IF($I1734=0,0,$I1734/$J1734)),IF($I1734=0,1,$J1734/$I1734)),0)</f>
        <v/>
      </c>
      <c r="R1734" s="8">
        <f>IF(OR($I1734="",$J1734=""),"",$J1734-$I1734)</f>
        <v/>
      </c>
      <c r="S1734" s="8">
        <f>IFERROR(IF(INDEX(Tbl_KPIMaster[Direction],MATCH($G1734,Tbl_KPIMaster[KPI],0))="Lower is Better",IF($J1734&lt;=$I1734,"Green",IF($J1734&lt;=$I1734+IF($I1734=0,$K1734,$I1734*$K1734),"Amber","Red")),IF($J1734&gt;=$I1734,"Green",IF($J1734&gt;=$I1734-IF($I1734=0,$K1734,$I1734*$K1734),"Amber","Red"))),"")</f>
        <v/>
      </c>
      <c r="T1734" s="10" t="inlineStr"/>
    </row>
    <row r="1735">
      <c r="A1735" s="3" t="n">
        <v>46216</v>
      </c>
      <c r="B1735" s="4">
        <f>IF($A1735="","",TEXT($A1735,"mmm-yyyy"))</f>
        <v/>
      </c>
      <c r="C1735" s="4">
        <f>IF($A1735="","","W"&amp;WEEKNUM($A1735,2))</f>
        <v/>
      </c>
      <c r="D1735" s="4">
        <f>IF($A1735="","",TEXT($A1735,"ddd"))</f>
        <v/>
      </c>
      <c r="E1735" s="4" t="inlineStr">
        <is>
          <t>HR</t>
        </is>
      </c>
      <c r="F1735" s="4">
        <f>IFERROR(INDEX(Tbl_KPIMaster[Category],MATCH($G1735,Tbl_KPIMaster[KPI],0)),"")</f>
        <v/>
      </c>
      <c r="G1735" s="4" t="inlineStr">
        <is>
          <t>Absenteeism %</t>
        </is>
      </c>
      <c r="H1735" s="4">
        <f>IFERROR(INDEX(Tbl_KPIMaster[Unit],MATCH($G1735,Tbl_KPIMaster[KPI],0)),"")</f>
        <v/>
      </c>
      <c r="I1735" s="5">
        <f>IFERROR(INDEX(Tbl_KPIMaster[Maximum Target],MATCH($G1735,Tbl_KPIMaster[KPI],0)),"")</f>
        <v/>
      </c>
      <c r="J1735" s="5" t="n">
        <v>0.7667</v>
      </c>
      <c r="K1735" s="4">
        <f>IFERROR(INDEX(Tbl_KPIMaster[Tolerance],MATCH($G1735,Tbl_KPIMaster[KPI],0)),"")</f>
        <v/>
      </c>
      <c r="L1735" s="4">
        <f>IFERROR(INDEX(Tbl_KPIMaster[Owner],MATCH($G1735,Tbl_KPIMaster[KPI],0)),"")</f>
        <v/>
      </c>
      <c r="M1735" s="6" t="inlineStr">
        <is>
          <t>Within normal range</t>
        </is>
      </c>
      <c r="N1735" s="4" t="inlineStr"/>
      <c r="O1735" s="4" t="inlineStr">
        <is>
          <t>Medium</t>
        </is>
      </c>
      <c r="P1735" s="4" t="inlineStr">
        <is>
          <t>Closed</t>
        </is>
      </c>
      <c r="Q1735" s="5">
        <f>IFERROR(IF(INDEX(Tbl_KPIMaster[Direction],MATCH($G1735,Tbl_KPIMaster[KPI],0))="Lower is Better",IF($J1735=0,1,IF($I1735=0,0,$I1735/$J1735)),IF($I1735=0,1,$J1735/$I1735)),0)</f>
        <v/>
      </c>
      <c r="R1735" s="4">
        <f>IF(OR($I1735="",$J1735=""),"",$J1735-$I1735)</f>
        <v/>
      </c>
      <c r="S1735" s="4">
        <f>IFERROR(IF(INDEX(Tbl_KPIMaster[Direction],MATCH($G1735,Tbl_KPIMaster[KPI],0))="Lower is Better",IF($J1735&lt;=$I1735,"Green",IF($J1735&lt;=$I1735+IF($I1735=0,$K1735,$I1735*$K1735),"Amber","Red")),IF($J1735&gt;=$I1735,"Green",IF($J1735&gt;=$I1735-IF($I1735=0,$K1735,$I1735*$K1735),"Amber","Red"))),"")</f>
        <v/>
      </c>
      <c r="T1735" s="6" t="inlineStr"/>
    </row>
    <row r="1736">
      <c r="A1736" s="7" t="n">
        <v>46216</v>
      </c>
      <c r="B1736" s="8">
        <f>IF($A1736="","",TEXT($A1736,"mmm-yyyy"))</f>
        <v/>
      </c>
      <c r="C1736" s="8">
        <f>IF($A1736="","","W"&amp;WEEKNUM($A1736,2))</f>
        <v/>
      </c>
      <c r="D1736" s="8">
        <f>IF($A1736="","",TEXT($A1736,"ddd"))</f>
        <v/>
      </c>
      <c r="E1736" s="8" t="inlineStr">
        <is>
          <t>HR</t>
        </is>
      </c>
      <c r="F1736" s="8">
        <f>IFERROR(INDEX(Tbl_KPIMaster[Category],MATCH($G1736,Tbl_KPIMaster[KPI],0)),"")</f>
        <v/>
      </c>
      <c r="G1736" s="8" t="inlineStr">
        <is>
          <t>Training Hours</t>
        </is>
      </c>
      <c r="H1736" s="8">
        <f>IFERROR(INDEX(Tbl_KPIMaster[Unit],MATCH($G1736,Tbl_KPIMaster[KPI],0)),"")</f>
        <v/>
      </c>
      <c r="I1736" s="9">
        <f>IFERROR(INDEX(Tbl_KPIMaster[Maximum Target],MATCH($G1736,Tbl_KPIMaster[KPI],0)),"")</f>
        <v/>
      </c>
      <c r="J1736" s="9" t="n">
        <v>1.6</v>
      </c>
      <c r="K1736" s="8">
        <f>IFERROR(INDEX(Tbl_KPIMaster[Tolerance],MATCH($G1736,Tbl_KPIMaster[KPI],0)),"")</f>
        <v/>
      </c>
      <c r="L1736" s="8">
        <f>IFERROR(INDEX(Tbl_KPIMaster[Owner],MATCH($G1736,Tbl_KPIMaster[KPI],0)),"")</f>
        <v/>
      </c>
      <c r="M1736" s="10" t="inlineStr">
        <is>
          <t>Line changeover impact</t>
        </is>
      </c>
      <c r="N1736" s="8" t="inlineStr">
        <is>
          <t>Engineering support needed</t>
        </is>
      </c>
      <c r="O1736" s="8" t="inlineStr">
        <is>
          <t>Medium</t>
        </is>
      </c>
      <c r="P1736" s="8" t="inlineStr">
        <is>
          <t>Closed</t>
        </is>
      </c>
      <c r="Q1736" s="9">
        <f>IFERROR(IF(INDEX(Tbl_KPIMaster[Direction],MATCH($G1736,Tbl_KPIMaster[KPI],0))="Lower is Better",IF($J1736=0,1,IF($I1736=0,0,$I1736/$J1736)),IF($I1736=0,1,$J1736/$I1736)),0)</f>
        <v/>
      </c>
      <c r="R1736" s="8">
        <f>IF(OR($I1736="",$J1736=""),"",$J1736-$I1736)</f>
        <v/>
      </c>
      <c r="S1736" s="8">
        <f>IFERROR(IF(INDEX(Tbl_KPIMaster[Direction],MATCH($G1736,Tbl_KPIMaster[KPI],0))="Lower is Better",IF($J1736&lt;=$I1736,"Green",IF($J1736&lt;=$I1736+IF($I1736=0,$K1736,$I1736*$K1736),"Amber","Red")),IF($J1736&gt;=$I1736,"Green",IF($J1736&gt;=$I1736-IF($I1736=0,$K1736,$I1736*$K1736),"Amber","Red"))),"")</f>
        <v/>
      </c>
      <c r="T1736" s="10" t="inlineStr"/>
    </row>
    <row r="1737">
      <c r="A1737" s="3" t="n">
        <v>46216</v>
      </c>
      <c r="B1737" s="4">
        <f>IF($A1737="","",TEXT($A1737,"mmm-yyyy"))</f>
        <v/>
      </c>
      <c r="C1737" s="4">
        <f>IF($A1737="","","W"&amp;WEEKNUM($A1737,2))</f>
        <v/>
      </c>
      <c r="D1737" s="4">
        <f>IF($A1737="","",TEXT($A1737,"ddd"))</f>
        <v/>
      </c>
      <c r="E1737" s="4" t="inlineStr">
        <is>
          <t>Engineering</t>
        </is>
      </c>
      <c r="F1737" s="4">
        <f>IFERROR(INDEX(Tbl_KPIMaster[Category],MATCH($G1737,Tbl_KPIMaster[KPI],0)),"")</f>
        <v/>
      </c>
      <c r="G1737" s="4" t="inlineStr">
        <is>
          <t>Project Milestone Adherence %</t>
        </is>
      </c>
      <c r="H1737" s="4">
        <f>IFERROR(INDEX(Tbl_KPIMaster[Unit],MATCH($G1737,Tbl_KPIMaster[KPI],0)),"")</f>
        <v/>
      </c>
      <c r="I1737" s="5">
        <f>IFERROR(INDEX(Tbl_KPIMaster[Maximum Target],MATCH($G1737,Tbl_KPIMaster[KPI],0)),"")</f>
        <v/>
      </c>
      <c r="J1737" s="5" t="n">
        <v>1.0351</v>
      </c>
      <c r="K1737" s="4">
        <f>IFERROR(INDEX(Tbl_KPIMaster[Tolerance],MATCH($G1737,Tbl_KPIMaster[KPI],0)),"")</f>
        <v/>
      </c>
      <c r="L1737" s="4">
        <f>IFERROR(INDEX(Tbl_KPIMaster[Owner],MATCH($G1737,Tbl_KPIMaster[KPI],0)),"")</f>
        <v/>
      </c>
      <c r="M1737" s="6" t="inlineStr">
        <is>
          <t>Awaiting spares</t>
        </is>
      </c>
      <c r="N1737" s="4" t="inlineStr">
        <is>
          <t>Engineering support needed</t>
        </is>
      </c>
      <c r="O1737" s="4" t="inlineStr">
        <is>
          <t>Low</t>
        </is>
      </c>
      <c r="P1737" s="4" t="inlineStr">
        <is>
          <t>Open</t>
        </is>
      </c>
      <c r="Q1737" s="5">
        <f>IFERROR(IF(INDEX(Tbl_KPIMaster[Direction],MATCH($G1737,Tbl_KPIMaster[KPI],0))="Lower is Better",IF($J1737=0,1,IF($I1737=0,0,$I1737/$J1737)),IF($I1737=0,1,$J1737/$I1737)),0)</f>
        <v/>
      </c>
      <c r="R1737" s="4">
        <f>IF(OR($I1737="",$J1737=""),"",$J1737-$I1737)</f>
        <v/>
      </c>
      <c r="S1737" s="4">
        <f>IFERROR(IF(INDEX(Tbl_KPIMaster[Direction],MATCH($G1737,Tbl_KPIMaster[KPI],0))="Lower is Better",IF($J1737&lt;=$I1737,"Green",IF($J1737&lt;=$I1737+IF($I1737=0,$K1737,$I1737*$K1737),"Amber","Red")),IF($J1737&gt;=$I1737,"Green",IF($J1737&gt;=$I1737-IF($I1737=0,$K1737,$I1737*$K1737),"Amber","Red"))),"")</f>
        <v/>
      </c>
      <c r="T1737" s="6" t="inlineStr"/>
    </row>
    <row r="1738">
      <c r="A1738" s="7" t="n">
        <v>46216</v>
      </c>
      <c r="B1738" s="8">
        <f>IF($A1738="","",TEXT($A1738,"mmm-yyyy"))</f>
        <v/>
      </c>
      <c r="C1738" s="8">
        <f>IF($A1738="","","W"&amp;WEEKNUM($A1738,2))</f>
        <v/>
      </c>
      <c r="D1738" s="8">
        <f>IF($A1738="","",TEXT($A1738,"ddd"))</f>
        <v/>
      </c>
      <c r="E1738" s="8" t="inlineStr">
        <is>
          <t>Engineering</t>
        </is>
      </c>
      <c r="F1738" s="8">
        <f>IFERROR(INDEX(Tbl_KPIMaster[Category],MATCH($G1738,Tbl_KPIMaster[KPI],0)),"")</f>
        <v/>
      </c>
      <c r="G1738" s="8" t="inlineStr">
        <is>
          <t>Breakdown Resolution Time</t>
        </is>
      </c>
      <c r="H1738" s="8">
        <f>IFERROR(INDEX(Tbl_KPIMaster[Unit],MATCH($G1738,Tbl_KPIMaster[KPI],0)),"")</f>
        <v/>
      </c>
      <c r="I1738" s="9">
        <f>IFERROR(INDEX(Tbl_KPIMaster[Maximum Target],MATCH($G1738,Tbl_KPIMaster[KPI],0)),"")</f>
        <v/>
      </c>
      <c r="J1738" s="9" t="n">
        <v>0.11</v>
      </c>
      <c r="K1738" s="8">
        <f>IFERROR(INDEX(Tbl_KPIMaster[Tolerance],MATCH($G1738,Tbl_KPIMaster[KPI],0)),"")</f>
        <v/>
      </c>
      <c r="L1738" s="8">
        <f>IFERROR(INDEX(Tbl_KPIMaster[Owner],MATCH($G1738,Tbl_KPIMaster[KPI],0)),"")</f>
        <v/>
      </c>
      <c r="M1738" s="10" t="inlineStr">
        <is>
          <t>New operator training effect</t>
        </is>
      </c>
      <c r="N1738" s="8" t="inlineStr">
        <is>
          <t>Procurement follow-up</t>
        </is>
      </c>
      <c r="O1738" s="8" t="inlineStr">
        <is>
          <t>Low</t>
        </is>
      </c>
      <c r="P1738" s="8" t="inlineStr">
        <is>
          <t>Closed</t>
        </is>
      </c>
      <c r="Q1738" s="9">
        <f>IFERROR(IF(INDEX(Tbl_KPIMaster[Direction],MATCH($G1738,Tbl_KPIMaster[KPI],0))="Lower is Better",IF($J1738=0,1,IF($I1738=0,0,$I1738/$J1738)),IF($I1738=0,1,$J1738/$I1738)),0)</f>
        <v/>
      </c>
      <c r="R1738" s="8">
        <f>IF(OR($I1738="",$J1738=""),"",$J1738-$I1738)</f>
        <v/>
      </c>
      <c r="S1738" s="8">
        <f>IFERROR(IF(INDEX(Tbl_KPIMaster[Direction],MATCH($G1738,Tbl_KPIMaster[KPI],0))="Lower is Better",IF($J1738&lt;=$I1738,"Green",IF($J1738&lt;=$I1738+IF($I1738=0,$K1738,$I1738*$K1738),"Amber","Red")),IF($J1738&gt;=$I1738,"Green",IF($J1738&gt;=$I1738-IF($I1738=0,$K1738,$I1738*$K1738),"Amber","Red"))),"")</f>
        <v/>
      </c>
      <c r="T1738" s="10" t="inlineStr"/>
    </row>
    <row r="1739">
      <c r="A1739" s="3" t="n">
        <v>46216</v>
      </c>
      <c r="B1739" s="4">
        <f>IF($A1739="","",TEXT($A1739,"mmm-yyyy"))</f>
        <v/>
      </c>
      <c r="C1739" s="4">
        <f>IF($A1739="","","W"&amp;WEEKNUM($A1739,2))</f>
        <v/>
      </c>
      <c r="D1739" s="4">
        <f>IF($A1739="","",TEXT($A1739,"ddd"))</f>
        <v/>
      </c>
      <c r="E1739" s="4" t="inlineStr">
        <is>
          <t>Cost</t>
        </is>
      </c>
      <c r="F1739" s="4">
        <f>IFERROR(INDEX(Tbl_KPIMaster[Category],MATCH($G1739,Tbl_KPIMaster[KPI],0)),"")</f>
        <v/>
      </c>
      <c r="G1739" s="4" t="inlineStr">
        <is>
          <t>Cost per Unit</t>
        </is>
      </c>
      <c r="H1739" s="4">
        <f>IFERROR(INDEX(Tbl_KPIMaster[Unit],MATCH($G1739,Tbl_KPIMaster[KPI],0)),"")</f>
        <v/>
      </c>
      <c r="I1739" s="5">
        <f>IFERROR(INDEX(Tbl_KPIMaster[Maximum Target],MATCH($G1739,Tbl_KPIMaster[KPI],0)),"")</f>
        <v/>
      </c>
      <c r="J1739" s="5" t="n">
        <v>36.41</v>
      </c>
      <c r="K1739" s="4">
        <f>IFERROR(INDEX(Tbl_KPIMaster[Tolerance],MATCH($G1739,Tbl_KPIMaster[KPI],0)),"")</f>
        <v/>
      </c>
      <c r="L1739" s="4">
        <f>IFERROR(INDEX(Tbl_KPIMaster[Owner],MATCH($G1739,Tbl_KPIMaster[KPI],0)),"")</f>
        <v/>
      </c>
      <c r="M1739" s="6" t="inlineStr">
        <is>
          <t>New operator training effect</t>
        </is>
      </c>
      <c r="N1739" s="4" t="inlineStr">
        <is>
          <t>Engineering support needed</t>
        </is>
      </c>
      <c r="O1739" s="4" t="inlineStr">
        <is>
          <t>High</t>
        </is>
      </c>
      <c r="P1739" s="4" t="inlineStr">
        <is>
          <t>In Progress</t>
        </is>
      </c>
      <c r="Q1739" s="5">
        <f>IFERROR(IF(INDEX(Tbl_KPIMaster[Direction],MATCH($G1739,Tbl_KPIMaster[KPI],0))="Lower is Better",IF($J1739=0,1,IF($I1739=0,0,$I1739/$J1739)),IF($I1739=0,1,$J1739/$I1739)),0)</f>
        <v/>
      </c>
      <c r="R1739" s="4">
        <f>IF(OR($I1739="",$J1739=""),"",$J1739-$I1739)</f>
        <v/>
      </c>
      <c r="S1739" s="4">
        <f>IFERROR(IF(INDEX(Tbl_KPIMaster[Direction],MATCH($G1739,Tbl_KPIMaster[KPI],0))="Lower is Better",IF($J1739&lt;=$I1739,"Green",IF($J1739&lt;=$I1739+IF($I1739=0,$K1739,$I1739*$K1739),"Amber","Red")),IF($J1739&gt;=$I1739,"Green",IF($J1739&gt;=$I1739-IF($I1739=0,$K1739,$I1739*$K1739),"Amber","Red"))),"")</f>
        <v/>
      </c>
      <c r="T1739" s="6" t="inlineStr"/>
    </row>
    <row r="1740">
      <c r="A1740" s="7" t="n">
        <v>46216</v>
      </c>
      <c r="B1740" s="8">
        <f>IF($A1740="","",TEXT($A1740,"mmm-yyyy"))</f>
        <v/>
      </c>
      <c r="C1740" s="8">
        <f>IF($A1740="","","W"&amp;WEEKNUM($A1740,2))</f>
        <v/>
      </c>
      <c r="D1740" s="8">
        <f>IF($A1740="","",TEXT($A1740,"ddd"))</f>
        <v/>
      </c>
      <c r="E1740" s="8" t="inlineStr">
        <is>
          <t>Cost</t>
        </is>
      </c>
      <c r="F1740" s="8">
        <f>IFERROR(INDEX(Tbl_KPIMaster[Category],MATCH($G1740,Tbl_KPIMaster[KPI],0)),"")</f>
        <v/>
      </c>
      <c r="G1740" s="8" t="inlineStr">
        <is>
          <t>Budget Variance %</t>
        </is>
      </c>
      <c r="H1740" s="8">
        <f>IFERROR(INDEX(Tbl_KPIMaster[Unit],MATCH($G1740,Tbl_KPIMaster[KPI],0)),"")</f>
        <v/>
      </c>
      <c r="I1740" s="9">
        <f>IFERROR(INDEX(Tbl_KPIMaster[Maximum Target],MATCH($G1740,Tbl_KPIMaster[KPI],0)),"")</f>
        <v/>
      </c>
      <c r="J1740" s="9" t="n">
        <v>0</v>
      </c>
      <c r="K1740" s="8">
        <f>IFERROR(INDEX(Tbl_KPIMaster[Tolerance],MATCH($G1740,Tbl_KPIMaster[KPI],0)),"")</f>
        <v/>
      </c>
      <c r="L1740" s="8">
        <f>IFERROR(INDEX(Tbl_KPIMaster[Owner],MATCH($G1740,Tbl_KPIMaster[KPI],0)),"")</f>
        <v/>
      </c>
      <c r="M1740" s="10" t="inlineStr">
        <is>
          <t>Line changeover impact</t>
        </is>
      </c>
      <c r="N1740" s="8" t="inlineStr"/>
      <c r="O1740" s="8" t="inlineStr">
        <is>
          <t>High</t>
        </is>
      </c>
      <c r="P1740" s="8" t="inlineStr">
        <is>
          <t>Closed</t>
        </is>
      </c>
      <c r="Q1740" s="9">
        <f>IFERROR(IF(INDEX(Tbl_KPIMaster[Direction],MATCH($G1740,Tbl_KPIMaster[KPI],0))="Lower is Better",IF($J1740=0,1,IF($I1740=0,0,$I1740/$J1740)),IF($I1740=0,1,$J1740/$I1740)),0)</f>
        <v/>
      </c>
      <c r="R1740" s="8">
        <f>IF(OR($I1740="",$J1740=""),"",$J1740-$I1740)</f>
        <v/>
      </c>
      <c r="S1740" s="8">
        <f>IFERROR(IF(INDEX(Tbl_KPIMaster[Direction],MATCH($G1740,Tbl_KPIMaster[KPI],0))="Lower is Better",IF($J1740&lt;=$I1740,"Green",IF($J1740&lt;=$I1740+IF($I1740=0,$K1740,$I1740*$K1740),"Amber","Red")),IF($J1740&gt;=$I1740,"Green",IF($J1740&gt;=$I1740-IF($I1740=0,$K1740,$I1740*$K1740),"Amber","Red"))),"")</f>
        <v/>
      </c>
      <c r="T1740" s="10" t="inlineStr"/>
    </row>
    <row r="1741">
      <c r="A1741" s="3" t="n">
        <v>46216</v>
      </c>
      <c r="B1741" s="4">
        <f>IF($A1741="","",TEXT($A1741,"mmm-yyyy"))</f>
        <v/>
      </c>
      <c r="C1741" s="4">
        <f>IF($A1741="","","W"&amp;WEEKNUM($A1741,2))</f>
        <v/>
      </c>
      <c r="D1741" s="4">
        <f>IF($A1741="","",TEXT($A1741,"ddd"))</f>
        <v/>
      </c>
      <c r="E1741" s="4" t="inlineStr">
        <is>
          <t>Energy</t>
        </is>
      </c>
      <c r="F1741" s="4">
        <f>IFERROR(INDEX(Tbl_KPIMaster[Category],MATCH($G1741,Tbl_KPIMaster[KPI],0)),"")</f>
        <v/>
      </c>
      <c r="G1741" s="4" t="inlineStr">
        <is>
          <t>Energy Intensity (kWh/unit)</t>
        </is>
      </c>
      <c r="H1741" s="4">
        <f>IFERROR(INDEX(Tbl_KPIMaster[Unit],MATCH($G1741,Tbl_KPIMaster[KPI],0)),"")</f>
        <v/>
      </c>
      <c r="I1741" s="5">
        <f>IFERROR(INDEX(Tbl_KPIMaster[Maximum Target],MATCH($G1741,Tbl_KPIMaster[KPI],0)),"")</f>
        <v/>
      </c>
      <c r="J1741" s="5" t="n">
        <v>4.71</v>
      </c>
      <c r="K1741" s="4">
        <f>IFERROR(INDEX(Tbl_KPIMaster[Tolerance],MATCH($G1741,Tbl_KPIMaster[KPI],0)),"")</f>
        <v/>
      </c>
      <c r="L1741" s="4">
        <f>IFERROR(INDEX(Tbl_KPIMaster[Owner],MATCH($G1741,Tbl_KPIMaster[KPI],0)),"")</f>
        <v/>
      </c>
      <c r="M1741" s="6" t="inlineStr">
        <is>
          <t>Manpower shortage</t>
        </is>
      </c>
      <c r="N1741" s="4" t="inlineStr"/>
      <c r="O1741" s="4" t="inlineStr">
        <is>
          <t>High</t>
        </is>
      </c>
      <c r="P1741" s="4" t="inlineStr">
        <is>
          <t>Closed</t>
        </is>
      </c>
      <c r="Q1741" s="5">
        <f>IFERROR(IF(INDEX(Tbl_KPIMaster[Direction],MATCH($G1741,Tbl_KPIMaster[KPI],0))="Lower is Better",IF($J1741=0,1,IF($I1741=0,0,$I1741/$J1741)),IF($I1741=0,1,$J1741/$I1741)),0)</f>
        <v/>
      </c>
      <c r="R1741" s="4">
        <f>IF(OR($I1741="",$J1741=""),"",$J1741-$I1741)</f>
        <v/>
      </c>
      <c r="S1741" s="4">
        <f>IFERROR(IF(INDEX(Tbl_KPIMaster[Direction],MATCH($G1741,Tbl_KPIMaster[KPI],0))="Lower is Better",IF($J1741&lt;=$I1741,"Green",IF($J1741&lt;=$I1741+IF($I1741=0,$K1741,$I1741*$K1741),"Amber","Red")),IF($J1741&gt;=$I1741,"Green",IF($J1741&gt;=$I1741-IF($I1741=0,$K1741,$I1741*$K1741),"Amber","Red"))),"")</f>
        <v/>
      </c>
      <c r="T1741" s="6" t="inlineStr"/>
    </row>
    <row r="1742">
      <c r="A1742" s="7" t="n">
        <v>46216</v>
      </c>
      <c r="B1742" s="8">
        <f>IF($A1742="","",TEXT($A1742,"mmm-yyyy"))</f>
        <v/>
      </c>
      <c r="C1742" s="8">
        <f>IF($A1742="","","W"&amp;WEEKNUM($A1742,2))</f>
        <v/>
      </c>
      <c r="D1742" s="8">
        <f>IF($A1742="","",TEXT($A1742,"ddd"))</f>
        <v/>
      </c>
      <c r="E1742" s="8" t="inlineStr">
        <is>
          <t>Energy</t>
        </is>
      </c>
      <c r="F1742" s="8">
        <f>IFERROR(INDEX(Tbl_KPIMaster[Category],MATCH($G1742,Tbl_KPIMaster[KPI],0)),"")</f>
        <v/>
      </c>
      <c r="G1742" s="8" t="inlineStr">
        <is>
          <t>Renewable Energy Share %</t>
        </is>
      </c>
      <c r="H1742" s="8">
        <f>IFERROR(INDEX(Tbl_KPIMaster[Unit],MATCH($G1742,Tbl_KPIMaster[KPI],0)),"")</f>
        <v/>
      </c>
      <c r="I1742" s="9">
        <f>IFERROR(INDEX(Tbl_KPIMaster[Maximum Target],MATCH($G1742,Tbl_KPIMaster[KPI],0)),"")</f>
        <v/>
      </c>
      <c r="J1742" s="9" t="n">
        <v>0.2438</v>
      </c>
      <c r="K1742" s="8">
        <f>IFERROR(INDEX(Tbl_KPIMaster[Tolerance],MATCH($G1742,Tbl_KPIMaster[KPI],0)),"")</f>
        <v/>
      </c>
      <c r="L1742" s="8">
        <f>IFERROR(INDEX(Tbl_KPIMaster[Owner],MATCH($G1742,Tbl_KPIMaster[KPI],0)),"")</f>
        <v/>
      </c>
      <c r="M1742" s="10" t="inlineStr">
        <is>
          <t>Awaiting spares</t>
        </is>
      </c>
      <c r="N1742" s="8" t="inlineStr">
        <is>
          <t>Management approval pending</t>
        </is>
      </c>
      <c r="O1742" s="8" t="inlineStr">
        <is>
          <t>Medium</t>
        </is>
      </c>
      <c r="P1742" s="8" t="inlineStr">
        <is>
          <t>Closed</t>
        </is>
      </c>
      <c r="Q1742" s="9">
        <f>IFERROR(IF(INDEX(Tbl_KPIMaster[Direction],MATCH($G1742,Tbl_KPIMaster[KPI],0))="Lower is Better",IF($J1742=0,1,IF($I1742=0,0,$I1742/$J1742)),IF($I1742=0,1,$J1742/$I1742)),0)</f>
        <v/>
      </c>
      <c r="R1742" s="8">
        <f>IF(OR($I1742="",$J1742=""),"",$J1742-$I1742)</f>
        <v/>
      </c>
      <c r="S1742" s="8">
        <f>IFERROR(IF(INDEX(Tbl_KPIMaster[Direction],MATCH($G1742,Tbl_KPIMaster[KPI],0))="Lower is Better",IF($J1742&lt;=$I1742,"Green",IF($J1742&lt;=$I1742+IF($I1742=0,$K1742,$I1742*$K1742),"Amber","Red")),IF($J1742&gt;=$I1742,"Green",IF($J1742&gt;=$I1742-IF($I1742=0,$K1742,$I1742*$K1742),"Amber","Red"))),"")</f>
        <v/>
      </c>
      <c r="T1742" s="10" t="inlineStr"/>
    </row>
    <row r="1743">
      <c r="A1743" s="3" t="n">
        <v>46217</v>
      </c>
      <c r="B1743" s="4">
        <f>IF($A1743="","",TEXT($A1743,"mmm-yyyy"))</f>
        <v/>
      </c>
      <c r="C1743" s="4">
        <f>IF($A1743="","","W"&amp;WEEKNUM($A1743,2))</f>
        <v/>
      </c>
      <c r="D1743" s="4">
        <f>IF($A1743="","",TEXT($A1743,"ddd"))</f>
        <v/>
      </c>
      <c r="E1743" s="4" t="inlineStr">
        <is>
          <t>Safety</t>
        </is>
      </c>
      <c r="F1743" s="4">
        <f>IFERROR(INDEX(Tbl_KPIMaster[Category],MATCH($G1743,Tbl_KPIMaster[KPI],0)),"")</f>
        <v/>
      </c>
      <c r="G1743" s="4" t="inlineStr">
        <is>
          <t>Safety Incidents (LTI)</t>
        </is>
      </c>
      <c r="H1743" s="4">
        <f>IFERROR(INDEX(Tbl_KPIMaster[Unit],MATCH($G1743,Tbl_KPIMaster[KPI],0)),"")</f>
        <v/>
      </c>
      <c r="I1743" s="5">
        <f>IFERROR(INDEX(Tbl_KPIMaster[Maximum Target],MATCH($G1743,Tbl_KPIMaster[KPI],0)),"")</f>
        <v/>
      </c>
      <c r="J1743" s="5" t="n">
        <v>0</v>
      </c>
      <c r="K1743" s="4">
        <f>IFERROR(INDEX(Tbl_KPIMaster[Tolerance],MATCH($G1743,Tbl_KPIMaster[KPI],0)),"")</f>
        <v/>
      </c>
      <c r="L1743" s="4">
        <f>IFERROR(INDEX(Tbl_KPIMaster[Owner],MATCH($G1743,Tbl_KPIMaster[KPI],0)),"")</f>
        <v/>
      </c>
      <c r="M1743" s="6" t="inlineStr">
        <is>
          <t>Line changeover impact</t>
        </is>
      </c>
      <c r="N1743" s="4" t="inlineStr"/>
      <c r="O1743" s="4" t="inlineStr">
        <is>
          <t>Medium</t>
        </is>
      </c>
      <c r="P1743" s="4" t="inlineStr">
        <is>
          <t>In Progress</t>
        </is>
      </c>
      <c r="Q1743" s="5">
        <f>IFERROR(IF(INDEX(Tbl_KPIMaster[Direction],MATCH($G1743,Tbl_KPIMaster[KPI],0))="Lower is Better",IF($J1743=0,1,IF($I1743=0,0,$I1743/$J1743)),IF($I1743=0,1,$J1743/$I1743)),0)</f>
        <v/>
      </c>
      <c r="R1743" s="4">
        <f>IF(OR($I1743="",$J1743=""),"",$J1743-$I1743)</f>
        <v/>
      </c>
      <c r="S1743" s="4">
        <f>IFERROR(IF(INDEX(Tbl_KPIMaster[Direction],MATCH($G1743,Tbl_KPIMaster[KPI],0))="Lower is Better",IF($J1743&lt;=$I1743,"Green",IF($J1743&lt;=$I1743+IF($I1743=0,$K1743,$I1743*$K1743),"Amber","Red")),IF($J1743&gt;=$I1743,"Green",IF($J1743&gt;=$I1743-IF($I1743=0,$K1743,$I1743*$K1743),"Amber","Red"))),"")</f>
        <v/>
      </c>
      <c r="T1743" s="6" t="inlineStr"/>
    </row>
    <row r="1744">
      <c r="A1744" s="7" t="n">
        <v>46217</v>
      </c>
      <c r="B1744" s="8">
        <f>IF($A1744="","",TEXT($A1744,"mmm-yyyy"))</f>
        <v/>
      </c>
      <c r="C1744" s="8">
        <f>IF($A1744="","","W"&amp;WEEKNUM($A1744,2))</f>
        <v/>
      </c>
      <c r="D1744" s="8">
        <f>IF($A1744="","",TEXT($A1744,"ddd"))</f>
        <v/>
      </c>
      <c r="E1744" s="8" t="inlineStr">
        <is>
          <t>Safety</t>
        </is>
      </c>
      <c r="F1744" s="8">
        <f>IFERROR(INDEX(Tbl_KPIMaster[Category],MATCH($G1744,Tbl_KPIMaster[KPI],0)),"")</f>
        <v/>
      </c>
      <c r="G1744" s="8" t="inlineStr">
        <is>
          <t>Near Miss Reports</t>
        </is>
      </c>
      <c r="H1744" s="8">
        <f>IFERROR(INDEX(Tbl_KPIMaster[Unit],MATCH($G1744,Tbl_KPIMaster[KPI],0)),"")</f>
        <v/>
      </c>
      <c r="I1744" s="9">
        <f>IFERROR(INDEX(Tbl_KPIMaster[Maximum Target],MATCH($G1744,Tbl_KPIMaster[KPI],0)),"")</f>
        <v/>
      </c>
      <c r="J1744" s="9" t="n">
        <v>2</v>
      </c>
      <c r="K1744" s="8">
        <f>IFERROR(INDEX(Tbl_KPIMaster[Tolerance],MATCH($G1744,Tbl_KPIMaster[KPI],0)),"")</f>
        <v/>
      </c>
      <c r="L1744" s="8">
        <f>IFERROR(INDEX(Tbl_KPIMaster[Owner],MATCH($G1744,Tbl_KPIMaster[KPI],0)),"")</f>
        <v/>
      </c>
      <c r="M1744" s="10" t="inlineStr">
        <is>
          <t>Weather impact</t>
        </is>
      </c>
      <c r="N1744" s="8" t="inlineStr"/>
      <c r="O1744" s="8" t="inlineStr">
        <is>
          <t>High</t>
        </is>
      </c>
      <c r="P1744" s="8" t="inlineStr">
        <is>
          <t>In Progress</t>
        </is>
      </c>
      <c r="Q1744" s="9">
        <f>IFERROR(IF(INDEX(Tbl_KPIMaster[Direction],MATCH($G1744,Tbl_KPIMaster[KPI],0))="Lower is Better",IF($J1744=0,1,IF($I1744=0,0,$I1744/$J1744)),IF($I1744=0,1,$J1744/$I1744)),0)</f>
        <v/>
      </c>
      <c r="R1744" s="8">
        <f>IF(OR($I1744="",$J1744=""),"",$J1744-$I1744)</f>
        <v/>
      </c>
      <c r="S1744" s="8">
        <f>IFERROR(IF(INDEX(Tbl_KPIMaster[Direction],MATCH($G1744,Tbl_KPIMaster[KPI],0))="Lower is Better",IF($J1744&lt;=$I1744,"Green",IF($J1744&lt;=$I1744+IF($I1744=0,$K1744,$I1744*$K1744),"Amber","Red")),IF($J1744&gt;=$I1744,"Green",IF($J1744&gt;=$I1744-IF($I1744=0,$K1744,$I1744*$K1744),"Amber","Red"))),"")</f>
        <v/>
      </c>
      <c r="T1744" s="10" t="inlineStr"/>
    </row>
    <row r="1745">
      <c r="A1745" s="3" t="n">
        <v>46217</v>
      </c>
      <c r="B1745" s="4">
        <f>IF($A1745="","",TEXT($A1745,"mmm-yyyy"))</f>
        <v/>
      </c>
      <c r="C1745" s="4">
        <f>IF($A1745="","","W"&amp;WEEKNUM($A1745,2))</f>
        <v/>
      </c>
      <c r="D1745" s="4">
        <f>IF($A1745="","",TEXT($A1745,"ddd"))</f>
        <v/>
      </c>
      <c r="E1745" s="4" t="inlineStr">
        <is>
          <t>Production</t>
        </is>
      </c>
      <c r="F1745" s="4">
        <f>IFERROR(INDEX(Tbl_KPIMaster[Category],MATCH($G1745,Tbl_KPIMaster[KPI],0)),"")</f>
        <v/>
      </c>
      <c r="G1745" s="4" t="inlineStr">
        <is>
          <t>Production Output</t>
        </is>
      </c>
      <c r="H1745" s="4">
        <f>IFERROR(INDEX(Tbl_KPIMaster[Unit],MATCH($G1745,Tbl_KPIMaster[KPI],0)),"")</f>
        <v/>
      </c>
      <c r="I1745" s="5">
        <f>IFERROR(INDEX(Tbl_KPIMaster[Maximum Target],MATCH($G1745,Tbl_KPIMaster[KPI],0)),"")</f>
        <v/>
      </c>
      <c r="J1745" s="5" t="n">
        <v>897.99</v>
      </c>
      <c r="K1745" s="4">
        <f>IFERROR(INDEX(Tbl_KPIMaster[Tolerance],MATCH($G1745,Tbl_KPIMaster[KPI],0)),"")</f>
        <v/>
      </c>
      <c r="L1745" s="4">
        <f>IFERROR(INDEX(Tbl_KPIMaster[Owner],MATCH($G1745,Tbl_KPIMaster[KPI],0)),"")</f>
        <v/>
      </c>
      <c r="M1745" s="6" t="inlineStr">
        <is>
          <t>Preventive check done</t>
        </is>
      </c>
      <c r="N1745" s="4" t="inlineStr"/>
      <c r="O1745" s="4" t="inlineStr">
        <is>
          <t>Low</t>
        </is>
      </c>
      <c r="P1745" s="4" t="inlineStr">
        <is>
          <t>In Progress</t>
        </is>
      </c>
      <c r="Q1745" s="5">
        <f>IFERROR(IF(INDEX(Tbl_KPIMaster[Direction],MATCH($G1745,Tbl_KPIMaster[KPI],0))="Lower is Better",IF($J1745=0,1,IF($I1745=0,0,$I1745/$J1745)),IF($I1745=0,1,$J1745/$I1745)),0)</f>
        <v/>
      </c>
      <c r="R1745" s="4">
        <f>IF(OR($I1745="",$J1745=""),"",$J1745-$I1745)</f>
        <v/>
      </c>
      <c r="S1745" s="4">
        <f>IFERROR(IF(INDEX(Tbl_KPIMaster[Direction],MATCH($G1745,Tbl_KPIMaster[KPI],0))="Lower is Better",IF($J1745&lt;=$I1745,"Green",IF($J1745&lt;=$I1745+IF($I1745=0,$K1745,$I1745*$K1745),"Amber","Red")),IF($J1745&gt;=$I1745,"Green",IF($J1745&gt;=$I1745-IF($I1745=0,$K1745,$I1745*$K1745),"Amber","Red"))),"")</f>
        <v/>
      </c>
      <c r="T1745" s="6" t="inlineStr"/>
    </row>
    <row r="1746">
      <c r="A1746" s="7" t="n">
        <v>46217</v>
      </c>
      <c r="B1746" s="8">
        <f>IF($A1746="","",TEXT($A1746,"mmm-yyyy"))</f>
        <v/>
      </c>
      <c r="C1746" s="8">
        <f>IF($A1746="","","W"&amp;WEEKNUM($A1746,2))</f>
        <v/>
      </c>
      <c r="D1746" s="8">
        <f>IF($A1746="","",TEXT($A1746,"ddd"))</f>
        <v/>
      </c>
      <c r="E1746" s="8" t="inlineStr">
        <is>
          <t>Production</t>
        </is>
      </c>
      <c r="F1746" s="8">
        <f>IFERROR(INDEX(Tbl_KPIMaster[Category],MATCH($G1746,Tbl_KPIMaster[KPI],0)),"")</f>
        <v/>
      </c>
      <c r="G1746" s="8" t="inlineStr">
        <is>
          <t>OEE %</t>
        </is>
      </c>
      <c r="H1746" s="8">
        <f>IFERROR(INDEX(Tbl_KPIMaster[Unit],MATCH($G1746,Tbl_KPIMaster[KPI],0)),"")</f>
        <v/>
      </c>
      <c r="I1746" s="9">
        <f>IFERROR(INDEX(Tbl_KPIMaster[Maximum Target],MATCH($G1746,Tbl_KPIMaster[KPI],0)),"")</f>
        <v/>
      </c>
      <c r="J1746" s="9" t="n">
        <v>0.9762999999999999</v>
      </c>
      <c r="K1746" s="8">
        <f>IFERROR(INDEX(Tbl_KPIMaster[Tolerance],MATCH($G1746,Tbl_KPIMaster[KPI],0)),"")</f>
        <v/>
      </c>
      <c r="L1746" s="8">
        <f>IFERROR(INDEX(Tbl_KPIMaster[Owner],MATCH($G1746,Tbl_KPIMaster[KPI],0)),"")</f>
        <v/>
      </c>
      <c r="M1746" s="10" t="inlineStr">
        <is>
          <t>Line changeover impact</t>
        </is>
      </c>
      <c r="N1746" s="8" t="inlineStr"/>
      <c r="O1746" s="8" t="inlineStr">
        <is>
          <t>Low</t>
        </is>
      </c>
      <c r="P1746" s="8" t="inlineStr">
        <is>
          <t>Open</t>
        </is>
      </c>
      <c r="Q1746" s="9">
        <f>IFERROR(IF(INDEX(Tbl_KPIMaster[Direction],MATCH($G1746,Tbl_KPIMaster[KPI],0))="Lower is Better",IF($J1746=0,1,IF($I1746=0,0,$I1746/$J1746)),IF($I1746=0,1,$J1746/$I1746)),0)</f>
        <v/>
      </c>
      <c r="R1746" s="8">
        <f>IF(OR($I1746="",$J1746=""),"",$J1746-$I1746)</f>
        <v/>
      </c>
      <c r="S1746" s="8">
        <f>IFERROR(IF(INDEX(Tbl_KPIMaster[Direction],MATCH($G1746,Tbl_KPIMaster[KPI],0))="Lower is Better",IF($J1746&lt;=$I1746,"Green",IF($J1746&lt;=$I1746+IF($I1746=0,$K1746,$I1746*$K1746),"Amber","Red")),IF($J1746&gt;=$I1746,"Green",IF($J1746&gt;=$I1746-IF($I1746=0,$K1746,$I1746*$K1746),"Amber","Red"))),"")</f>
        <v/>
      </c>
      <c r="T1746" s="10" t="inlineStr"/>
    </row>
    <row r="1747">
      <c r="A1747" s="3" t="n">
        <v>46217</v>
      </c>
      <c r="B1747" s="4">
        <f>IF($A1747="","",TEXT($A1747,"mmm-yyyy"))</f>
        <v/>
      </c>
      <c r="C1747" s="4">
        <f>IF($A1747="","","W"&amp;WEEKNUM($A1747,2))</f>
        <v/>
      </c>
      <c r="D1747" s="4">
        <f>IF($A1747="","",TEXT($A1747,"ddd"))</f>
        <v/>
      </c>
      <c r="E1747" s="4" t="inlineStr">
        <is>
          <t>Quality</t>
        </is>
      </c>
      <c r="F1747" s="4">
        <f>IFERROR(INDEX(Tbl_KPIMaster[Category],MATCH($G1747,Tbl_KPIMaster[KPI],0)),"")</f>
        <v/>
      </c>
      <c r="G1747" s="4" t="inlineStr">
        <is>
          <t>Defect Rate %</t>
        </is>
      </c>
      <c r="H1747" s="4">
        <f>IFERROR(INDEX(Tbl_KPIMaster[Unit],MATCH($G1747,Tbl_KPIMaster[KPI],0)),"")</f>
        <v/>
      </c>
      <c r="I1747" s="5">
        <f>IFERROR(INDEX(Tbl_KPIMaster[Maximum Target],MATCH($G1747,Tbl_KPIMaster[KPI],0)),"")</f>
        <v/>
      </c>
      <c r="J1747" s="5" t="n">
        <v>0</v>
      </c>
      <c r="K1747" s="4">
        <f>IFERROR(INDEX(Tbl_KPIMaster[Tolerance],MATCH($G1747,Tbl_KPIMaster[KPI],0)),"")</f>
        <v/>
      </c>
      <c r="L1747" s="4">
        <f>IFERROR(INDEX(Tbl_KPIMaster[Owner],MATCH($G1747,Tbl_KPIMaster[KPI],0)),"")</f>
        <v/>
      </c>
      <c r="M1747" s="6" t="inlineStr">
        <is>
          <t>Process improvement in progress</t>
        </is>
      </c>
      <c r="N1747" s="4" t="inlineStr"/>
      <c r="O1747" s="4" t="inlineStr">
        <is>
          <t>Medium</t>
        </is>
      </c>
      <c r="P1747" s="4" t="inlineStr">
        <is>
          <t>In Progress</t>
        </is>
      </c>
      <c r="Q1747" s="5">
        <f>IFERROR(IF(INDEX(Tbl_KPIMaster[Direction],MATCH($G1747,Tbl_KPIMaster[KPI],0))="Lower is Better",IF($J1747=0,1,IF($I1747=0,0,$I1747/$J1747)),IF($I1747=0,1,$J1747/$I1747)),0)</f>
        <v/>
      </c>
      <c r="R1747" s="4">
        <f>IF(OR($I1747="",$J1747=""),"",$J1747-$I1747)</f>
        <v/>
      </c>
      <c r="S1747" s="4">
        <f>IFERROR(IF(INDEX(Tbl_KPIMaster[Direction],MATCH($G1747,Tbl_KPIMaster[KPI],0))="Lower is Better",IF($J1747&lt;=$I1747,"Green",IF($J1747&lt;=$I1747+IF($I1747=0,$K1747,$I1747*$K1747),"Amber","Red")),IF($J1747&gt;=$I1747,"Green",IF($J1747&gt;=$I1747-IF($I1747=0,$K1747,$I1747*$K1747),"Amber","Red"))),"")</f>
        <v/>
      </c>
      <c r="T1747" s="6" t="inlineStr"/>
    </row>
    <row r="1748">
      <c r="A1748" s="7" t="n">
        <v>46217</v>
      </c>
      <c r="B1748" s="8">
        <f>IF($A1748="","",TEXT($A1748,"mmm-yyyy"))</f>
        <v/>
      </c>
      <c r="C1748" s="8">
        <f>IF($A1748="","","W"&amp;WEEKNUM($A1748,2))</f>
        <v/>
      </c>
      <c r="D1748" s="8">
        <f>IF($A1748="","",TEXT($A1748,"ddd"))</f>
        <v/>
      </c>
      <c r="E1748" s="8" t="inlineStr">
        <is>
          <t>Quality</t>
        </is>
      </c>
      <c r="F1748" s="8">
        <f>IFERROR(INDEX(Tbl_KPIMaster[Category],MATCH($G1748,Tbl_KPIMaster[KPI],0)),"")</f>
        <v/>
      </c>
      <c r="G1748" s="8" t="inlineStr">
        <is>
          <t>Customer Complaints</t>
        </is>
      </c>
      <c r="H1748" s="8">
        <f>IFERROR(INDEX(Tbl_KPIMaster[Unit],MATCH($G1748,Tbl_KPIMaster[KPI],0)),"")</f>
        <v/>
      </c>
      <c r="I1748" s="9">
        <f>IFERROR(INDEX(Tbl_KPIMaster[Maximum Target],MATCH($G1748,Tbl_KPIMaster[KPI],0)),"")</f>
        <v/>
      </c>
      <c r="J1748" s="9" t="n">
        <v>3</v>
      </c>
      <c r="K1748" s="8">
        <f>IFERROR(INDEX(Tbl_KPIMaster[Tolerance],MATCH($G1748,Tbl_KPIMaster[KPI],0)),"")</f>
        <v/>
      </c>
      <c r="L1748" s="8">
        <f>IFERROR(INDEX(Tbl_KPIMaster[Owner],MATCH($G1748,Tbl_KPIMaster[KPI],0)),"")</f>
        <v/>
      </c>
      <c r="M1748" s="10" t="inlineStr">
        <is>
          <t>Equipment breakdown</t>
        </is>
      </c>
      <c r="N1748" s="8" t="inlineStr">
        <is>
          <t>Engineering support needed</t>
        </is>
      </c>
      <c r="O1748" s="8" t="inlineStr">
        <is>
          <t>Low</t>
        </is>
      </c>
      <c r="P1748" s="8" t="inlineStr">
        <is>
          <t>Closed</t>
        </is>
      </c>
      <c r="Q1748" s="9">
        <f>IFERROR(IF(INDEX(Tbl_KPIMaster[Direction],MATCH($G1748,Tbl_KPIMaster[KPI],0))="Lower is Better",IF($J1748=0,1,IF($I1748=0,0,$I1748/$J1748)),IF($I1748=0,1,$J1748/$I1748)),0)</f>
        <v/>
      </c>
      <c r="R1748" s="8">
        <f>IF(OR($I1748="",$J1748=""),"",$J1748-$I1748)</f>
        <v/>
      </c>
      <c r="S1748" s="8">
        <f>IFERROR(IF(INDEX(Tbl_KPIMaster[Direction],MATCH($G1748,Tbl_KPIMaster[KPI],0))="Lower is Better",IF($J1748&lt;=$I1748,"Green",IF($J1748&lt;=$I1748+IF($I1748=0,$K1748,$I1748*$K1748),"Amber","Red")),IF($J1748&gt;=$I1748,"Green",IF($J1748&gt;=$I1748-IF($I1748=0,$K1748,$I1748*$K1748),"Amber","Red"))),"")</f>
        <v/>
      </c>
      <c r="T1748" s="10" t="inlineStr"/>
    </row>
    <row r="1749">
      <c r="A1749" s="3" t="n">
        <v>46217</v>
      </c>
      <c r="B1749" s="4">
        <f>IF($A1749="","",TEXT($A1749,"mmm-yyyy"))</f>
        <v/>
      </c>
      <c r="C1749" s="4">
        <f>IF($A1749="","","W"&amp;WEEKNUM($A1749,2))</f>
        <v/>
      </c>
      <c r="D1749" s="4">
        <f>IF($A1749="","",TEXT($A1749,"ddd"))</f>
        <v/>
      </c>
      <c r="E1749" s="4" t="inlineStr">
        <is>
          <t>Maintenance</t>
        </is>
      </c>
      <c r="F1749" s="4">
        <f>IFERROR(INDEX(Tbl_KPIMaster[Category],MATCH($G1749,Tbl_KPIMaster[KPI],0)),"")</f>
        <v/>
      </c>
      <c r="G1749" s="4" t="inlineStr">
        <is>
          <t>Unplanned Downtime</t>
        </is>
      </c>
      <c r="H1749" s="4">
        <f>IFERROR(INDEX(Tbl_KPIMaster[Unit],MATCH($G1749,Tbl_KPIMaster[KPI],0)),"")</f>
        <v/>
      </c>
      <c r="I1749" s="5">
        <f>IFERROR(INDEX(Tbl_KPIMaster[Maximum Target],MATCH($G1749,Tbl_KPIMaster[KPI],0)),"")</f>
        <v/>
      </c>
      <c r="J1749" s="5" t="n">
        <v>0.54</v>
      </c>
      <c r="K1749" s="4">
        <f>IFERROR(INDEX(Tbl_KPIMaster[Tolerance],MATCH($G1749,Tbl_KPIMaster[KPI],0)),"")</f>
        <v/>
      </c>
      <c r="L1749" s="4">
        <f>IFERROR(INDEX(Tbl_KPIMaster[Owner],MATCH($G1749,Tbl_KPIMaster[KPI],0)),"")</f>
        <v/>
      </c>
      <c r="M1749" s="6" t="inlineStr">
        <is>
          <t>Vendor delay</t>
        </is>
      </c>
      <c r="N1749" s="4" t="inlineStr">
        <is>
          <t>Procurement follow-up</t>
        </is>
      </c>
      <c r="O1749" s="4" t="inlineStr">
        <is>
          <t>High</t>
        </is>
      </c>
      <c r="P1749" s="4" t="inlineStr">
        <is>
          <t>In Progress</t>
        </is>
      </c>
      <c r="Q1749" s="5">
        <f>IFERROR(IF(INDEX(Tbl_KPIMaster[Direction],MATCH($G1749,Tbl_KPIMaster[KPI],0))="Lower is Better",IF($J1749=0,1,IF($I1749=0,0,$I1749/$J1749)),IF($I1749=0,1,$J1749/$I1749)),0)</f>
        <v/>
      </c>
      <c r="R1749" s="4">
        <f>IF(OR($I1749="",$J1749=""),"",$J1749-$I1749)</f>
        <v/>
      </c>
      <c r="S1749" s="4">
        <f>IFERROR(IF(INDEX(Tbl_KPIMaster[Direction],MATCH($G1749,Tbl_KPIMaster[KPI],0))="Lower is Better",IF($J1749&lt;=$I1749,"Green",IF($J1749&lt;=$I1749+IF($I1749=0,$K1749,$I1749*$K1749),"Amber","Red")),IF($J1749&gt;=$I1749,"Green",IF($J1749&gt;=$I1749-IF($I1749=0,$K1749,$I1749*$K1749),"Amber","Red"))),"")</f>
        <v/>
      </c>
      <c r="T1749" s="6" t="inlineStr"/>
    </row>
    <row r="1750">
      <c r="A1750" s="7" t="n">
        <v>46217</v>
      </c>
      <c r="B1750" s="8">
        <f>IF($A1750="","",TEXT($A1750,"mmm-yyyy"))</f>
        <v/>
      </c>
      <c r="C1750" s="8">
        <f>IF($A1750="","","W"&amp;WEEKNUM($A1750,2))</f>
        <v/>
      </c>
      <c r="D1750" s="8">
        <f>IF($A1750="","",TEXT($A1750,"ddd"))</f>
        <v/>
      </c>
      <c r="E1750" s="8" t="inlineStr">
        <is>
          <t>Maintenance</t>
        </is>
      </c>
      <c r="F1750" s="8">
        <f>IFERROR(INDEX(Tbl_KPIMaster[Category],MATCH($G1750,Tbl_KPIMaster[KPI],0)),"")</f>
        <v/>
      </c>
      <c r="G1750" s="8" t="inlineStr">
        <is>
          <t>PM Compliance %</t>
        </is>
      </c>
      <c r="H1750" s="8">
        <f>IFERROR(INDEX(Tbl_KPIMaster[Unit],MATCH($G1750,Tbl_KPIMaster[KPI],0)),"")</f>
        <v/>
      </c>
      <c r="I1750" s="9">
        <f>IFERROR(INDEX(Tbl_KPIMaster[Maximum Target],MATCH($G1750,Tbl_KPIMaster[KPI],0)),"")</f>
        <v/>
      </c>
      <c r="J1750" s="9" t="n">
        <v>1.1945</v>
      </c>
      <c r="K1750" s="8">
        <f>IFERROR(INDEX(Tbl_KPIMaster[Tolerance],MATCH($G1750,Tbl_KPIMaster[KPI],0)),"")</f>
        <v/>
      </c>
      <c r="L1750" s="8">
        <f>IFERROR(INDEX(Tbl_KPIMaster[Owner],MATCH($G1750,Tbl_KPIMaster[KPI],0)),"")</f>
        <v/>
      </c>
      <c r="M1750" s="10" t="inlineStr">
        <is>
          <t>Process improvement in progress</t>
        </is>
      </c>
      <c r="N1750" s="8" t="inlineStr">
        <is>
          <t>Management approval pending</t>
        </is>
      </c>
      <c r="O1750" s="8" t="inlineStr">
        <is>
          <t>Low</t>
        </is>
      </c>
      <c r="P1750" s="8" t="inlineStr">
        <is>
          <t>Closed</t>
        </is>
      </c>
      <c r="Q1750" s="9">
        <f>IFERROR(IF(INDEX(Tbl_KPIMaster[Direction],MATCH($G1750,Tbl_KPIMaster[KPI],0))="Lower is Better",IF($J1750=0,1,IF($I1750=0,0,$I1750/$J1750)),IF($I1750=0,1,$J1750/$I1750)),0)</f>
        <v/>
      </c>
      <c r="R1750" s="8">
        <f>IF(OR($I1750="",$J1750=""),"",$J1750-$I1750)</f>
        <v/>
      </c>
      <c r="S1750" s="8">
        <f>IFERROR(IF(INDEX(Tbl_KPIMaster[Direction],MATCH($G1750,Tbl_KPIMaster[KPI],0))="Lower is Better",IF($J1750&lt;=$I1750,"Green",IF($J1750&lt;=$I1750+IF($I1750=0,$K1750,$I1750*$K1750),"Amber","Red")),IF($J1750&gt;=$I1750,"Green",IF($J1750&gt;=$I1750-IF($I1750=0,$K1750,$I1750*$K1750),"Amber","Red"))),"")</f>
        <v/>
      </c>
      <c r="T1750" s="10" t="inlineStr"/>
    </row>
    <row r="1751">
      <c r="A1751" s="3" t="n">
        <v>46217</v>
      </c>
      <c r="B1751" s="4">
        <f>IF($A1751="","",TEXT($A1751,"mmm-yyyy"))</f>
        <v/>
      </c>
      <c r="C1751" s="4">
        <f>IF($A1751="","","W"&amp;WEEKNUM($A1751,2))</f>
        <v/>
      </c>
      <c r="D1751" s="4">
        <f>IF($A1751="","",TEXT($A1751,"ddd"))</f>
        <v/>
      </c>
      <c r="E1751" s="4" t="inlineStr">
        <is>
          <t>Utilities</t>
        </is>
      </c>
      <c r="F1751" s="4">
        <f>IFERROR(INDEX(Tbl_KPIMaster[Category],MATCH($G1751,Tbl_KPIMaster[KPI],0)),"")</f>
        <v/>
      </c>
      <c r="G1751" s="4" t="inlineStr">
        <is>
          <t>Power Consumption</t>
        </is>
      </c>
      <c r="H1751" s="4">
        <f>IFERROR(INDEX(Tbl_KPIMaster[Unit],MATCH($G1751,Tbl_KPIMaster[KPI],0)),"")</f>
        <v/>
      </c>
      <c r="I1751" s="5">
        <f>IFERROR(INDEX(Tbl_KPIMaster[Maximum Target],MATCH($G1751,Tbl_KPIMaster[KPI],0)),"")</f>
        <v/>
      </c>
      <c r="J1751" s="5" t="n">
        <v>4497.72</v>
      </c>
      <c r="K1751" s="4">
        <f>IFERROR(INDEX(Tbl_KPIMaster[Tolerance],MATCH($G1751,Tbl_KPIMaster[KPI],0)),"")</f>
        <v/>
      </c>
      <c r="L1751" s="4">
        <f>IFERROR(INDEX(Tbl_KPIMaster[Owner],MATCH($G1751,Tbl_KPIMaster[KPI],0)),"")</f>
        <v/>
      </c>
      <c r="M1751" s="6" t="inlineStr">
        <is>
          <t>Weather impact</t>
        </is>
      </c>
      <c r="N1751" s="4" t="inlineStr"/>
      <c r="O1751" s="4" t="inlineStr">
        <is>
          <t>Medium</t>
        </is>
      </c>
      <c r="P1751" s="4" t="inlineStr">
        <is>
          <t>Open</t>
        </is>
      </c>
      <c r="Q1751" s="5">
        <f>IFERROR(IF(INDEX(Tbl_KPIMaster[Direction],MATCH($G1751,Tbl_KPIMaster[KPI],0))="Lower is Better",IF($J1751=0,1,IF($I1751=0,0,$I1751/$J1751)),IF($I1751=0,1,$J1751/$I1751)),0)</f>
        <v/>
      </c>
      <c r="R1751" s="4">
        <f>IF(OR($I1751="",$J1751=""),"",$J1751-$I1751)</f>
        <v/>
      </c>
      <c r="S1751" s="4">
        <f>IFERROR(IF(INDEX(Tbl_KPIMaster[Direction],MATCH($G1751,Tbl_KPIMaster[KPI],0))="Lower is Better",IF($J1751&lt;=$I1751,"Green",IF($J1751&lt;=$I1751+IF($I1751=0,$K1751,$I1751*$K1751),"Amber","Red")),IF($J1751&gt;=$I1751,"Green",IF($J1751&gt;=$I1751-IF($I1751=0,$K1751,$I1751*$K1751),"Amber","Red"))),"")</f>
        <v/>
      </c>
      <c r="T1751" s="6" t="inlineStr"/>
    </row>
    <row r="1752">
      <c r="A1752" s="7" t="n">
        <v>46217</v>
      </c>
      <c r="B1752" s="8">
        <f>IF($A1752="","",TEXT($A1752,"mmm-yyyy"))</f>
        <v/>
      </c>
      <c r="C1752" s="8">
        <f>IF($A1752="","","W"&amp;WEEKNUM($A1752,2))</f>
        <v/>
      </c>
      <c r="D1752" s="8">
        <f>IF($A1752="","",TEXT($A1752,"ddd"))</f>
        <v/>
      </c>
      <c r="E1752" s="8" t="inlineStr">
        <is>
          <t>Utilities</t>
        </is>
      </c>
      <c r="F1752" s="8">
        <f>IFERROR(INDEX(Tbl_KPIMaster[Category],MATCH($G1752,Tbl_KPIMaster[KPI],0)),"")</f>
        <v/>
      </c>
      <c r="G1752" s="8" t="inlineStr">
        <is>
          <t>Water Consumption</t>
        </is>
      </c>
      <c r="H1752" s="8">
        <f>IFERROR(INDEX(Tbl_KPIMaster[Unit],MATCH($G1752,Tbl_KPIMaster[KPI],0)),"")</f>
        <v/>
      </c>
      <c r="I1752" s="9">
        <f>IFERROR(INDEX(Tbl_KPIMaster[Maximum Target],MATCH($G1752,Tbl_KPIMaster[KPI],0)),"")</f>
        <v/>
      </c>
      <c r="J1752" s="9" t="n">
        <v>53.16</v>
      </c>
      <c r="K1752" s="8">
        <f>IFERROR(INDEX(Tbl_KPIMaster[Tolerance],MATCH($G1752,Tbl_KPIMaster[KPI],0)),"")</f>
        <v/>
      </c>
      <c r="L1752" s="8">
        <f>IFERROR(INDEX(Tbl_KPIMaster[Owner],MATCH($G1752,Tbl_KPIMaster[KPI],0)),"")</f>
        <v/>
      </c>
      <c r="M1752" s="10" t="inlineStr">
        <is>
          <t>Preventive check done</t>
        </is>
      </c>
      <c r="N1752" s="8" t="inlineStr"/>
      <c r="O1752" s="8" t="inlineStr">
        <is>
          <t>Medium</t>
        </is>
      </c>
      <c r="P1752" s="8" t="inlineStr">
        <is>
          <t>Closed</t>
        </is>
      </c>
      <c r="Q1752" s="9">
        <f>IFERROR(IF(INDEX(Tbl_KPIMaster[Direction],MATCH($G1752,Tbl_KPIMaster[KPI],0))="Lower is Better",IF($J1752=0,1,IF($I1752=0,0,$I1752/$J1752)),IF($I1752=0,1,$J1752/$I1752)),0)</f>
        <v/>
      </c>
      <c r="R1752" s="8">
        <f>IF(OR($I1752="",$J1752=""),"",$J1752-$I1752)</f>
        <v/>
      </c>
      <c r="S1752" s="8">
        <f>IFERROR(IF(INDEX(Tbl_KPIMaster[Direction],MATCH($G1752,Tbl_KPIMaster[KPI],0))="Lower is Better",IF($J1752&lt;=$I1752,"Green",IF($J1752&lt;=$I1752+IF($I1752=0,$K1752,$I1752*$K1752),"Amber","Red")),IF($J1752&gt;=$I1752,"Green",IF($J1752&gt;=$I1752-IF($I1752=0,$K1752,$I1752*$K1752),"Amber","Red"))),"")</f>
        <v/>
      </c>
      <c r="T1752" s="10" t="inlineStr"/>
    </row>
    <row r="1753">
      <c r="A1753" s="3" t="n">
        <v>46217</v>
      </c>
      <c r="B1753" s="4">
        <f>IF($A1753="","",TEXT($A1753,"mmm-yyyy"))</f>
        <v/>
      </c>
      <c r="C1753" s="4">
        <f>IF($A1753="","","W"&amp;WEEKNUM($A1753,2))</f>
        <v/>
      </c>
      <c r="D1753" s="4">
        <f>IF($A1753="","",TEXT($A1753,"ddd"))</f>
        <v/>
      </c>
      <c r="E1753" s="4" t="inlineStr">
        <is>
          <t>Warehouse</t>
        </is>
      </c>
      <c r="F1753" s="4">
        <f>IFERROR(INDEX(Tbl_KPIMaster[Category],MATCH($G1753,Tbl_KPIMaster[KPI],0)),"")</f>
        <v/>
      </c>
      <c r="G1753" s="4" t="inlineStr">
        <is>
          <t>On-Time Dispatch %</t>
        </is>
      </c>
      <c r="H1753" s="4">
        <f>IFERROR(INDEX(Tbl_KPIMaster[Unit],MATCH($G1753,Tbl_KPIMaster[KPI],0)),"")</f>
        <v/>
      </c>
      <c r="I1753" s="5">
        <f>IFERROR(INDEX(Tbl_KPIMaster[Maximum Target],MATCH($G1753,Tbl_KPIMaster[KPI],0)),"")</f>
        <v/>
      </c>
      <c r="J1753" s="5" t="n">
        <v>1.0593</v>
      </c>
      <c r="K1753" s="4">
        <f>IFERROR(INDEX(Tbl_KPIMaster[Tolerance],MATCH($G1753,Tbl_KPIMaster[KPI],0)),"")</f>
        <v/>
      </c>
      <c r="L1753" s="4">
        <f>IFERROR(INDEX(Tbl_KPIMaster[Owner],MATCH($G1753,Tbl_KPIMaster[KPI],0)),"")</f>
        <v/>
      </c>
      <c r="M1753" s="6" t="inlineStr">
        <is>
          <t>Line changeover impact</t>
        </is>
      </c>
      <c r="N1753" s="4" t="inlineStr"/>
      <c r="O1753" s="4" t="inlineStr">
        <is>
          <t>Medium</t>
        </is>
      </c>
      <c r="P1753" s="4" t="inlineStr">
        <is>
          <t>Open</t>
        </is>
      </c>
      <c r="Q1753" s="5">
        <f>IFERROR(IF(INDEX(Tbl_KPIMaster[Direction],MATCH($G1753,Tbl_KPIMaster[KPI],0))="Lower is Better",IF($J1753=0,1,IF($I1753=0,0,$I1753/$J1753)),IF($I1753=0,1,$J1753/$I1753)),0)</f>
        <v/>
      </c>
      <c r="R1753" s="4">
        <f>IF(OR($I1753="",$J1753=""),"",$J1753-$I1753)</f>
        <v/>
      </c>
      <c r="S1753" s="4">
        <f>IFERROR(IF(INDEX(Tbl_KPIMaster[Direction],MATCH($G1753,Tbl_KPIMaster[KPI],0))="Lower is Better",IF($J1753&lt;=$I1753,"Green",IF($J1753&lt;=$I1753+IF($I1753=0,$K1753,$I1753*$K1753),"Amber","Red")),IF($J1753&gt;=$I1753,"Green",IF($J1753&gt;=$I1753-IF($I1753=0,$K1753,$I1753*$K1753),"Amber","Red"))),"")</f>
        <v/>
      </c>
      <c r="T1753" s="6" t="inlineStr"/>
    </row>
    <row r="1754">
      <c r="A1754" s="7" t="n">
        <v>46217</v>
      </c>
      <c r="B1754" s="8">
        <f>IF($A1754="","",TEXT($A1754,"mmm-yyyy"))</f>
        <v/>
      </c>
      <c r="C1754" s="8">
        <f>IF($A1754="","","W"&amp;WEEKNUM($A1754,2))</f>
        <v/>
      </c>
      <c r="D1754" s="8">
        <f>IF($A1754="","",TEXT($A1754,"ddd"))</f>
        <v/>
      </c>
      <c r="E1754" s="8" t="inlineStr">
        <is>
          <t>Warehouse</t>
        </is>
      </c>
      <c r="F1754" s="8">
        <f>IFERROR(INDEX(Tbl_KPIMaster[Category],MATCH($G1754,Tbl_KPIMaster[KPI],0)),"")</f>
        <v/>
      </c>
      <c r="G1754" s="8" t="inlineStr">
        <is>
          <t>Inventory Accuracy %</t>
        </is>
      </c>
      <c r="H1754" s="8">
        <f>IFERROR(INDEX(Tbl_KPIMaster[Unit],MATCH($G1754,Tbl_KPIMaster[KPI],0)),"")</f>
        <v/>
      </c>
      <c r="I1754" s="9">
        <f>IFERROR(INDEX(Tbl_KPIMaster[Maximum Target],MATCH($G1754,Tbl_KPIMaster[KPI],0)),"")</f>
        <v/>
      </c>
      <c r="J1754" s="9" t="n">
        <v>1.006</v>
      </c>
      <c r="K1754" s="8">
        <f>IFERROR(INDEX(Tbl_KPIMaster[Tolerance],MATCH($G1754,Tbl_KPIMaster[KPI],0)),"")</f>
        <v/>
      </c>
      <c r="L1754" s="8">
        <f>IFERROR(INDEX(Tbl_KPIMaster[Owner],MATCH($G1754,Tbl_KPIMaster[KPI],0)),"")</f>
        <v/>
      </c>
      <c r="M1754" s="10" t="inlineStr">
        <is>
          <t>Awaiting spares</t>
        </is>
      </c>
      <c r="N1754" s="8" t="inlineStr">
        <is>
          <t>Procurement follow-up</t>
        </is>
      </c>
      <c r="O1754" s="8" t="inlineStr">
        <is>
          <t>High</t>
        </is>
      </c>
      <c r="P1754" s="8" t="inlineStr">
        <is>
          <t>Closed</t>
        </is>
      </c>
      <c r="Q1754" s="9">
        <f>IFERROR(IF(INDEX(Tbl_KPIMaster[Direction],MATCH($G1754,Tbl_KPIMaster[KPI],0))="Lower is Better",IF($J1754=0,1,IF($I1754=0,0,$I1754/$J1754)),IF($I1754=0,1,$J1754/$I1754)),0)</f>
        <v/>
      </c>
      <c r="R1754" s="8">
        <f>IF(OR($I1754="",$J1754=""),"",$J1754-$I1754)</f>
        <v/>
      </c>
      <c r="S1754" s="8">
        <f>IFERROR(IF(INDEX(Tbl_KPIMaster[Direction],MATCH($G1754,Tbl_KPIMaster[KPI],0))="Lower is Better",IF($J1754&lt;=$I1754,"Green",IF($J1754&lt;=$I1754+IF($I1754=0,$K1754,$I1754*$K1754),"Amber","Red")),IF($J1754&gt;=$I1754,"Green",IF($J1754&gt;=$I1754-IF($I1754=0,$K1754,$I1754*$K1754),"Amber","Red"))),"")</f>
        <v/>
      </c>
      <c r="T1754" s="10" t="inlineStr"/>
    </row>
    <row r="1755">
      <c r="A1755" s="3" t="n">
        <v>46217</v>
      </c>
      <c r="B1755" s="4">
        <f>IF($A1755="","",TEXT($A1755,"mmm-yyyy"))</f>
        <v/>
      </c>
      <c r="C1755" s="4">
        <f>IF($A1755="","","W"&amp;WEEKNUM($A1755,2))</f>
        <v/>
      </c>
      <c r="D1755" s="4">
        <f>IF($A1755="","",TEXT($A1755,"ddd"))</f>
        <v/>
      </c>
      <c r="E1755" s="4" t="inlineStr">
        <is>
          <t>HR</t>
        </is>
      </c>
      <c r="F1755" s="4">
        <f>IFERROR(INDEX(Tbl_KPIMaster[Category],MATCH($G1755,Tbl_KPIMaster[KPI],0)),"")</f>
        <v/>
      </c>
      <c r="G1755" s="4" t="inlineStr">
        <is>
          <t>Absenteeism %</t>
        </is>
      </c>
      <c r="H1755" s="4">
        <f>IFERROR(INDEX(Tbl_KPIMaster[Unit],MATCH($G1755,Tbl_KPIMaster[KPI],0)),"")</f>
        <v/>
      </c>
      <c r="I1755" s="5">
        <f>IFERROR(INDEX(Tbl_KPIMaster[Maximum Target],MATCH($G1755,Tbl_KPIMaster[KPI],0)),"")</f>
        <v/>
      </c>
      <c r="J1755" s="5" t="n">
        <v>0.0522</v>
      </c>
      <c r="K1755" s="4">
        <f>IFERROR(INDEX(Tbl_KPIMaster[Tolerance],MATCH($G1755,Tbl_KPIMaster[KPI],0)),"")</f>
        <v/>
      </c>
      <c r="L1755" s="4">
        <f>IFERROR(INDEX(Tbl_KPIMaster[Owner],MATCH($G1755,Tbl_KPIMaster[KPI],0)),"")</f>
        <v/>
      </c>
      <c r="M1755" s="6" t="inlineStr"/>
      <c r="N1755" s="4" t="inlineStr">
        <is>
          <t>Management approval pending</t>
        </is>
      </c>
      <c r="O1755" s="4" t="inlineStr">
        <is>
          <t>High</t>
        </is>
      </c>
      <c r="P1755" s="4" t="inlineStr">
        <is>
          <t>Open</t>
        </is>
      </c>
      <c r="Q1755" s="5">
        <f>IFERROR(IF(INDEX(Tbl_KPIMaster[Direction],MATCH($G1755,Tbl_KPIMaster[KPI],0))="Lower is Better",IF($J1755=0,1,IF($I1755=0,0,$I1755/$J1755)),IF($I1755=0,1,$J1755/$I1755)),0)</f>
        <v/>
      </c>
      <c r="R1755" s="4">
        <f>IF(OR($I1755="",$J1755=""),"",$J1755-$I1755)</f>
        <v/>
      </c>
      <c r="S1755" s="4">
        <f>IFERROR(IF(INDEX(Tbl_KPIMaster[Direction],MATCH($G1755,Tbl_KPIMaster[KPI],0))="Lower is Better",IF($J1755&lt;=$I1755,"Green",IF($J1755&lt;=$I1755+IF($I1755=0,$K1755,$I1755*$K1755),"Amber","Red")),IF($J1755&gt;=$I1755,"Green",IF($J1755&gt;=$I1755-IF($I1755=0,$K1755,$I1755*$K1755),"Amber","Red"))),"")</f>
        <v/>
      </c>
      <c r="T1755" s="6" t="inlineStr"/>
    </row>
    <row r="1756">
      <c r="A1756" s="7" t="n">
        <v>46217</v>
      </c>
      <c r="B1756" s="8">
        <f>IF($A1756="","",TEXT($A1756,"mmm-yyyy"))</f>
        <v/>
      </c>
      <c r="C1756" s="8">
        <f>IF($A1756="","","W"&amp;WEEKNUM($A1756,2))</f>
        <v/>
      </c>
      <c r="D1756" s="8">
        <f>IF($A1756="","",TEXT($A1756,"ddd"))</f>
        <v/>
      </c>
      <c r="E1756" s="8" t="inlineStr">
        <is>
          <t>HR</t>
        </is>
      </c>
      <c r="F1756" s="8">
        <f>IFERROR(INDEX(Tbl_KPIMaster[Category],MATCH($G1756,Tbl_KPIMaster[KPI],0)),"")</f>
        <v/>
      </c>
      <c r="G1756" s="8" t="inlineStr">
        <is>
          <t>Training Hours</t>
        </is>
      </c>
      <c r="H1756" s="8">
        <f>IFERROR(INDEX(Tbl_KPIMaster[Unit],MATCH($G1756,Tbl_KPIMaster[KPI],0)),"")</f>
        <v/>
      </c>
      <c r="I1756" s="9">
        <f>IFERROR(INDEX(Tbl_KPIMaster[Maximum Target],MATCH($G1756,Tbl_KPIMaster[KPI],0)),"")</f>
        <v/>
      </c>
      <c r="J1756" s="9" t="n">
        <v>2.26</v>
      </c>
      <c r="K1756" s="8">
        <f>IFERROR(INDEX(Tbl_KPIMaster[Tolerance],MATCH($G1756,Tbl_KPIMaster[KPI],0)),"")</f>
        <v/>
      </c>
      <c r="L1756" s="8">
        <f>IFERROR(INDEX(Tbl_KPIMaster[Owner],MATCH($G1756,Tbl_KPIMaster[KPI],0)),"")</f>
        <v/>
      </c>
      <c r="M1756" s="10" t="inlineStr">
        <is>
          <t>Line changeover impact</t>
        </is>
      </c>
      <c r="N1756" s="8" t="inlineStr">
        <is>
          <t>Engineering support needed</t>
        </is>
      </c>
      <c r="O1756" s="8" t="inlineStr">
        <is>
          <t>Low</t>
        </is>
      </c>
      <c r="P1756" s="8" t="inlineStr">
        <is>
          <t>Closed</t>
        </is>
      </c>
      <c r="Q1756" s="9">
        <f>IFERROR(IF(INDEX(Tbl_KPIMaster[Direction],MATCH($G1756,Tbl_KPIMaster[KPI],0))="Lower is Better",IF($J1756=0,1,IF($I1756=0,0,$I1756/$J1756)),IF($I1756=0,1,$J1756/$I1756)),0)</f>
        <v/>
      </c>
      <c r="R1756" s="8">
        <f>IF(OR($I1756="",$J1756=""),"",$J1756-$I1756)</f>
        <v/>
      </c>
      <c r="S1756" s="8">
        <f>IFERROR(IF(INDEX(Tbl_KPIMaster[Direction],MATCH($G1756,Tbl_KPIMaster[KPI],0))="Lower is Better",IF($J1756&lt;=$I1756,"Green",IF($J1756&lt;=$I1756+IF($I1756=0,$K1756,$I1756*$K1756),"Amber","Red")),IF($J1756&gt;=$I1756,"Green",IF($J1756&gt;=$I1756-IF($I1756=0,$K1756,$I1756*$K1756),"Amber","Red"))),"")</f>
        <v/>
      </c>
      <c r="T1756" s="10" t="inlineStr"/>
    </row>
    <row r="1757">
      <c r="A1757" s="3" t="n">
        <v>46217</v>
      </c>
      <c r="B1757" s="4">
        <f>IF($A1757="","",TEXT($A1757,"mmm-yyyy"))</f>
        <v/>
      </c>
      <c r="C1757" s="4">
        <f>IF($A1757="","","W"&amp;WEEKNUM($A1757,2))</f>
        <v/>
      </c>
      <c r="D1757" s="4">
        <f>IF($A1757="","",TEXT($A1757,"ddd"))</f>
        <v/>
      </c>
      <c r="E1757" s="4" t="inlineStr">
        <is>
          <t>Engineering</t>
        </is>
      </c>
      <c r="F1757" s="4">
        <f>IFERROR(INDEX(Tbl_KPIMaster[Category],MATCH($G1757,Tbl_KPIMaster[KPI],0)),"")</f>
        <v/>
      </c>
      <c r="G1757" s="4" t="inlineStr">
        <is>
          <t>Project Milestone Adherence %</t>
        </is>
      </c>
      <c r="H1757" s="4">
        <f>IFERROR(INDEX(Tbl_KPIMaster[Unit],MATCH($G1757,Tbl_KPIMaster[KPI],0)),"")</f>
        <v/>
      </c>
      <c r="I1757" s="5">
        <f>IFERROR(INDEX(Tbl_KPIMaster[Maximum Target],MATCH($G1757,Tbl_KPIMaster[KPI],0)),"")</f>
        <v/>
      </c>
      <c r="J1757" s="5" t="n">
        <v>1.027</v>
      </c>
      <c r="K1757" s="4">
        <f>IFERROR(INDEX(Tbl_KPIMaster[Tolerance],MATCH($G1757,Tbl_KPIMaster[KPI],0)),"")</f>
        <v/>
      </c>
      <c r="L1757" s="4">
        <f>IFERROR(INDEX(Tbl_KPIMaster[Owner],MATCH($G1757,Tbl_KPIMaster[KPI],0)),"")</f>
        <v/>
      </c>
      <c r="M1757" s="6" t="inlineStr">
        <is>
          <t>Manpower shortage</t>
        </is>
      </c>
      <c r="N1757" s="4" t="inlineStr">
        <is>
          <t>Engineering support needed</t>
        </is>
      </c>
      <c r="O1757" s="4" t="inlineStr">
        <is>
          <t>High</t>
        </is>
      </c>
      <c r="P1757" s="4" t="inlineStr">
        <is>
          <t>Closed</t>
        </is>
      </c>
      <c r="Q1757" s="5">
        <f>IFERROR(IF(INDEX(Tbl_KPIMaster[Direction],MATCH($G1757,Tbl_KPIMaster[KPI],0))="Lower is Better",IF($J1757=0,1,IF($I1757=0,0,$I1757/$J1757)),IF($I1757=0,1,$J1757/$I1757)),0)</f>
        <v/>
      </c>
      <c r="R1757" s="4">
        <f>IF(OR($I1757="",$J1757=""),"",$J1757-$I1757)</f>
        <v/>
      </c>
      <c r="S1757" s="4">
        <f>IFERROR(IF(INDEX(Tbl_KPIMaster[Direction],MATCH($G1757,Tbl_KPIMaster[KPI],0))="Lower is Better",IF($J1757&lt;=$I1757,"Green",IF($J1757&lt;=$I1757+IF($I1757=0,$K1757,$I1757*$K1757),"Amber","Red")),IF($J1757&gt;=$I1757,"Green",IF($J1757&gt;=$I1757-IF($I1757=0,$K1757,$I1757*$K1757),"Amber","Red"))),"")</f>
        <v/>
      </c>
      <c r="T1757" s="6" t="inlineStr"/>
    </row>
    <row r="1758">
      <c r="A1758" s="7" t="n">
        <v>46217</v>
      </c>
      <c r="B1758" s="8">
        <f>IF($A1758="","",TEXT($A1758,"mmm-yyyy"))</f>
        <v/>
      </c>
      <c r="C1758" s="8">
        <f>IF($A1758="","","W"&amp;WEEKNUM($A1758,2))</f>
        <v/>
      </c>
      <c r="D1758" s="8">
        <f>IF($A1758="","",TEXT($A1758,"ddd"))</f>
        <v/>
      </c>
      <c r="E1758" s="8" t="inlineStr">
        <is>
          <t>Engineering</t>
        </is>
      </c>
      <c r="F1758" s="8">
        <f>IFERROR(INDEX(Tbl_KPIMaster[Category],MATCH($G1758,Tbl_KPIMaster[KPI],0)),"")</f>
        <v/>
      </c>
      <c r="G1758" s="8" t="inlineStr">
        <is>
          <t>Breakdown Resolution Time</t>
        </is>
      </c>
      <c r="H1758" s="8">
        <f>IFERROR(INDEX(Tbl_KPIMaster[Unit],MATCH($G1758,Tbl_KPIMaster[KPI],0)),"")</f>
        <v/>
      </c>
      <c r="I1758" s="9">
        <f>IFERROR(INDEX(Tbl_KPIMaster[Maximum Target],MATCH($G1758,Tbl_KPIMaster[KPI],0)),"")</f>
        <v/>
      </c>
      <c r="J1758" s="9" t="n">
        <v>1.07</v>
      </c>
      <c r="K1758" s="8">
        <f>IFERROR(INDEX(Tbl_KPIMaster[Tolerance],MATCH($G1758,Tbl_KPIMaster[KPI],0)),"")</f>
        <v/>
      </c>
      <c r="L1758" s="8">
        <f>IFERROR(INDEX(Tbl_KPIMaster[Owner],MATCH($G1758,Tbl_KPIMaster[KPI],0)),"")</f>
        <v/>
      </c>
      <c r="M1758" s="10" t="inlineStr">
        <is>
          <t>Line changeover impact</t>
        </is>
      </c>
      <c r="N1758" s="8" t="inlineStr"/>
      <c r="O1758" s="8" t="inlineStr">
        <is>
          <t>Low</t>
        </is>
      </c>
      <c r="P1758" s="8" t="inlineStr">
        <is>
          <t>Closed</t>
        </is>
      </c>
      <c r="Q1758" s="9">
        <f>IFERROR(IF(INDEX(Tbl_KPIMaster[Direction],MATCH($G1758,Tbl_KPIMaster[KPI],0))="Lower is Better",IF($J1758=0,1,IF($I1758=0,0,$I1758/$J1758)),IF($I1758=0,1,$J1758/$I1758)),0)</f>
        <v/>
      </c>
      <c r="R1758" s="8">
        <f>IF(OR($I1758="",$J1758=""),"",$J1758-$I1758)</f>
        <v/>
      </c>
      <c r="S1758" s="8">
        <f>IFERROR(IF(INDEX(Tbl_KPIMaster[Direction],MATCH($G1758,Tbl_KPIMaster[KPI],0))="Lower is Better",IF($J1758&lt;=$I1758,"Green",IF($J1758&lt;=$I1758+IF($I1758=0,$K1758,$I1758*$K1758),"Amber","Red")),IF($J1758&gt;=$I1758,"Green",IF($J1758&gt;=$I1758-IF($I1758=0,$K1758,$I1758*$K1758),"Amber","Red"))),"")</f>
        <v/>
      </c>
      <c r="T1758" s="10" t="inlineStr"/>
    </row>
    <row r="1759">
      <c r="A1759" s="3" t="n">
        <v>46217</v>
      </c>
      <c r="B1759" s="4">
        <f>IF($A1759="","",TEXT($A1759,"mmm-yyyy"))</f>
        <v/>
      </c>
      <c r="C1759" s="4">
        <f>IF($A1759="","","W"&amp;WEEKNUM($A1759,2))</f>
        <v/>
      </c>
      <c r="D1759" s="4">
        <f>IF($A1759="","",TEXT($A1759,"ddd"))</f>
        <v/>
      </c>
      <c r="E1759" s="4" t="inlineStr">
        <is>
          <t>Cost</t>
        </is>
      </c>
      <c r="F1759" s="4">
        <f>IFERROR(INDEX(Tbl_KPIMaster[Category],MATCH($G1759,Tbl_KPIMaster[KPI],0)),"")</f>
        <v/>
      </c>
      <c r="G1759" s="4" t="inlineStr">
        <is>
          <t>Cost per Unit</t>
        </is>
      </c>
      <c r="H1759" s="4">
        <f>IFERROR(INDEX(Tbl_KPIMaster[Unit],MATCH($G1759,Tbl_KPIMaster[KPI],0)),"")</f>
        <v/>
      </c>
      <c r="I1759" s="5">
        <f>IFERROR(INDEX(Tbl_KPIMaster[Maximum Target],MATCH($G1759,Tbl_KPIMaster[KPI],0)),"")</f>
        <v/>
      </c>
      <c r="J1759" s="5" t="n">
        <v>38.73</v>
      </c>
      <c r="K1759" s="4">
        <f>IFERROR(INDEX(Tbl_KPIMaster[Tolerance],MATCH($G1759,Tbl_KPIMaster[KPI],0)),"")</f>
        <v/>
      </c>
      <c r="L1759" s="4">
        <f>IFERROR(INDEX(Tbl_KPIMaster[Owner],MATCH($G1759,Tbl_KPIMaster[KPI],0)),"")</f>
        <v/>
      </c>
      <c r="M1759" s="6" t="inlineStr">
        <is>
          <t>Weather impact</t>
        </is>
      </c>
      <c r="N1759" s="4" t="inlineStr">
        <is>
          <t>Procurement follow-up</t>
        </is>
      </c>
      <c r="O1759" s="4" t="inlineStr">
        <is>
          <t>High</t>
        </is>
      </c>
      <c r="P1759" s="4" t="inlineStr">
        <is>
          <t>Open</t>
        </is>
      </c>
      <c r="Q1759" s="5">
        <f>IFERROR(IF(INDEX(Tbl_KPIMaster[Direction],MATCH($G1759,Tbl_KPIMaster[KPI],0))="Lower is Better",IF($J1759=0,1,IF($I1759=0,0,$I1759/$J1759)),IF($I1759=0,1,$J1759/$I1759)),0)</f>
        <v/>
      </c>
      <c r="R1759" s="4">
        <f>IF(OR($I1759="",$J1759=""),"",$J1759-$I1759)</f>
        <v/>
      </c>
      <c r="S1759" s="4">
        <f>IFERROR(IF(INDEX(Tbl_KPIMaster[Direction],MATCH($G1759,Tbl_KPIMaster[KPI],0))="Lower is Better",IF($J1759&lt;=$I1759,"Green",IF($J1759&lt;=$I1759+IF($I1759=0,$K1759,$I1759*$K1759),"Amber","Red")),IF($J1759&gt;=$I1759,"Green",IF($J1759&gt;=$I1759-IF($I1759=0,$K1759,$I1759*$K1759),"Amber","Red"))),"")</f>
        <v/>
      </c>
      <c r="T1759" s="6" t="inlineStr"/>
    </row>
    <row r="1760">
      <c r="A1760" s="7" t="n">
        <v>46217</v>
      </c>
      <c r="B1760" s="8">
        <f>IF($A1760="","",TEXT($A1760,"mmm-yyyy"))</f>
        <v/>
      </c>
      <c r="C1760" s="8">
        <f>IF($A1760="","","W"&amp;WEEKNUM($A1760,2))</f>
        <v/>
      </c>
      <c r="D1760" s="8">
        <f>IF($A1760="","",TEXT($A1760,"ddd"))</f>
        <v/>
      </c>
      <c r="E1760" s="8" t="inlineStr">
        <is>
          <t>Cost</t>
        </is>
      </c>
      <c r="F1760" s="8">
        <f>IFERROR(INDEX(Tbl_KPIMaster[Category],MATCH($G1760,Tbl_KPIMaster[KPI],0)),"")</f>
        <v/>
      </c>
      <c r="G1760" s="8" t="inlineStr">
        <is>
          <t>Budget Variance %</t>
        </is>
      </c>
      <c r="H1760" s="8">
        <f>IFERROR(INDEX(Tbl_KPIMaster[Unit],MATCH($G1760,Tbl_KPIMaster[KPI],0)),"")</f>
        <v/>
      </c>
      <c r="I1760" s="9">
        <f>IFERROR(INDEX(Tbl_KPIMaster[Maximum Target],MATCH($G1760,Tbl_KPIMaster[KPI],0)),"")</f>
        <v/>
      </c>
      <c r="J1760" s="9" t="n">
        <v>0</v>
      </c>
      <c r="K1760" s="8">
        <f>IFERROR(INDEX(Tbl_KPIMaster[Tolerance],MATCH($G1760,Tbl_KPIMaster[KPI],0)),"")</f>
        <v/>
      </c>
      <c r="L1760" s="8">
        <f>IFERROR(INDEX(Tbl_KPIMaster[Owner],MATCH($G1760,Tbl_KPIMaster[KPI],0)),"")</f>
        <v/>
      </c>
      <c r="M1760" s="10" t="inlineStr">
        <is>
          <t>Preventive check done</t>
        </is>
      </c>
      <c r="N1760" s="8" t="inlineStr">
        <is>
          <t>Management approval pending</t>
        </is>
      </c>
      <c r="O1760" s="8" t="inlineStr">
        <is>
          <t>Low</t>
        </is>
      </c>
      <c r="P1760" s="8" t="inlineStr">
        <is>
          <t>Closed</t>
        </is>
      </c>
      <c r="Q1760" s="9">
        <f>IFERROR(IF(INDEX(Tbl_KPIMaster[Direction],MATCH($G1760,Tbl_KPIMaster[KPI],0))="Lower is Better",IF($J1760=0,1,IF($I1760=0,0,$I1760/$J1760)),IF($I1760=0,1,$J1760/$I1760)),0)</f>
        <v/>
      </c>
      <c r="R1760" s="8">
        <f>IF(OR($I1760="",$J1760=""),"",$J1760-$I1760)</f>
        <v/>
      </c>
      <c r="S1760" s="8">
        <f>IFERROR(IF(INDEX(Tbl_KPIMaster[Direction],MATCH($G1760,Tbl_KPIMaster[KPI],0))="Lower is Better",IF($J1760&lt;=$I1760,"Green",IF($J1760&lt;=$I1760+IF($I1760=0,$K1760,$I1760*$K1760),"Amber","Red")),IF($J1760&gt;=$I1760,"Green",IF($J1760&gt;=$I1760-IF($I1760=0,$K1760,$I1760*$K1760),"Amber","Red"))),"")</f>
        <v/>
      </c>
      <c r="T1760" s="10" t="inlineStr"/>
    </row>
    <row r="1761">
      <c r="A1761" s="3" t="n">
        <v>46217</v>
      </c>
      <c r="B1761" s="4">
        <f>IF($A1761="","",TEXT($A1761,"mmm-yyyy"))</f>
        <v/>
      </c>
      <c r="C1761" s="4">
        <f>IF($A1761="","","W"&amp;WEEKNUM($A1761,2))</f>
        <v/>
      </c>
      <c r="D1761" s="4">
        <f>IF($A1761="","",TEXT($A1761,"ddd"))</f>
        <v/>
      </c>
      <c r="E1761" s="4" t="inlineStr">
        <is>
          <t>Energy</t>
        </is>
      </c>
      <c r="F1761" s="4">
        <f>IFERROR(INDEX(Tbl_KPIMaster[Category],MATCH($G1761,Tbl_KPIMaster[KPI],0)),"")</f>
        <v/>
      </c>
      <c r="G1761" s="4" t="inlineStr">
        <is>
          <t>Energy Intensity (kWh/unit)</t>
        </is>
      </c>
      <c r="H1761" s="4">
        <f>IFERROR(INDEX(Tbl_KPIMaster[Unit],MATCH($G1761,Tbl_KPIMaster[KPI],0)),"")</f>
        <v/>
      </c>
      <c r="I1761" s="5">
        <f>IFERROR(INDEX(Tbl_KPIMaster[Maximum Target],MATCH($G1761,Tbl_KPIMaster[KPI],0)),"")</f>
        <v/>
      </c>
      <c r="J1761" s="5" t="n">
        <v>4.21</v>
      </c>
      <c r="K1761" s="4">
        <f>IFERROR(INDEX(Tbl_KPIMaster[Tolerance],MATCH($G1761,Tbl_KPIMaster[KPI],0)),"")</f>
        <v/>
      </c>
      <c r="L1761" s="4">
        <f>IFERROR(INDEX(Tbl_KPIMaster[Owner],MATCH($G1761,Tbl_KPIMaster[KPI],0)),"")</f>
        <v/>
      </c>
      <c r="M1761" s="6" t="inlineStr">
        <is>
          <t>Weather impact</t>
        </is>
      </c>
      <c r="N1761" s="4" t="inlineStr"/>
      <c r="O1761" s="4" t="inlineStr">
        <is>
          <t>High</t>
        </is>
      </c>
      <c r="P1761" s="4" t="inlineStr">
        <is>
          <t>Closed</t>
        </is>
      </c>
      <c r="Q1761" s="5">
        <f>IFERROR(IF(INDEX(Tbl_KPIMaster[Direction],MATCH($G1761,Tbl_KPIMaster[KPI],0))="Lower is Better",IF($J1761=0,1,IF($I1761=0,0,$I1761/$J1761)),IF($I1761=0,1,$J1761/$I1761)),0)</f>
        <v/>
      </c>
      <c r="R1761" s="4">
        <f>IF(OR($I1761="",$J1761=""),"",$J1761-$I1761)</f>
        <v/>
      </c>
      <c r="S1761" s="4">
        <f>IFERROR(IF(INDEX(Tbl_KPIMaster[Direction],MATCH($G1761,Tbl_KPIMaster[KPI],0))="Lower is Better",IF($J1761&lt;=$I1761,"Green",IF($J1761&lt;=$I1761+IF($I1761=0,$K1761,$I1761*$K1761),"Amber","Red")),IF($J1761&gt;=$I1761,"Green",IF($J1761&gt;=$I1761-IF($I1761=0,$K1761,$I1761*$K1761),"Amber","Red"))),"")</f>
        <v/>
      </c>
      <c r="T1761" s="6" t="inlineStr"/>
    </row>
    <row r="1762">
      <c r="A1762" s="7" t="n">
        <v>46217</v>
      </c>
      <c r="B1762" s="8">
        <f>IF($A1762="","",TEXT($A1762,"mmm-yyyy"))</f>
        <v/>
      </c>
      <c r="C1762" s="8">
        <f>IF($A1762="","","W"&amp;WEEKNUM($A1762,2))</f>
        <v/>
      </c>
      <c r="D1762" s="8">
        <f>IF($A1762="","",TEXT($A1762,"ddd"))</f>
        <v/>
      </c>
      <c r="E1762" s="8" t="inlineStr">
        <is>
          <t>Energy</t>
        </is>
      </c>
      <c r="F1762" s="8">
        <f>IFERROR(INDEX(Tbl_KPIMaster[Category],MATCH($G1762,Tbl_KPIMaster[KPI],0)),"")</f>
        <v/>
      </c>
      <c r="G1762" s="8" t="inlineStr">
        <is>
          <t>Renewable Energy Share %</t>
        </is>
      </c>
      <c r="H1762" s="8">
        <f>IFERROR(INDEX(Tbl_KPIMaster[Unit],MATCH($G1762,Tbl_KPIMaster[KPI],0)),"")</f>
        <v/>
      </c>
      <c r="I1762" s="9">
        <f>IFERROR(INDEX(Tbl_KPIMaster[Maximum Target],MATCH($G1762,Tbl_KPIMaster[KPI],0)),"")</f>
        <v/>
      </c>
      <c r="J1762" s="9" t="n">
        <v>0.25</v>
      </c>
      <c r="K1762" s="8">
        <f>IFERROR(INDEX(Tbl_KPIMaster[Tolerance],MATCH($G1762,Tbl_KPIMaster[KPI],0)),"")</f>
        <v/>
      </c>
      <c r="L1762" s="8">
        <f>IFERROR(INDEX(Tbl_KPIMaster[Owner],MATCH($G1762,Tbl_KPIMaster[KPI],0)),"")</f>
        <v/>
      </c>
      <c r="M1762" s="10" t="inlineStr">
        <is>
          <t>Awaiting spares</t>
        </is>
      </c>
      <c r="N1762" s="8" t="inlineStr">
        <is>
          <t>Engineering support needed</t>
        </is>
      </c>
      <c r="O1762" s="8" t="inlineStr">
        <is>
          <t>High</t>
        </is>
      </c>
      <c r="P1762" s="8" t="inlineStr">
        <is>
          <t>In Progress</t>
        </is>
      </c>
      <c r="Q1762" s="9">
        <f>IFERROR(IF(INDEX(Tbl_KPIMaster[Direction],MATCH($G1762,Tbl_KPIMaster[KPI],0))="Lower is Better",IF($J1762=0,1,IF($I1762=0,0,$I1762/$J1762)),IF($I1762=0,1,$J1762/$I1762)),0)</f>
        <v/>
      </c>
      <c r="R1762" s="8">
        <f>IF(OR($I1762="",$J1762=""),"",$J1762-$I1762)</f>
        <v/>
      </c>
      <c r="S1762" s="8">
        <f>IFERROR(IF(INDEX(Tbl_KPIMaster[Direction],MATCH($G1762,Tbl_KPIMaster[KPI],0))="Lower is Better",IF($J1762&lt;=$I1762,"Green",IF($J1762&lt;=$I1762+IF($I1762=0,$K1762,$I1762*$K1762),"Amber","Red")),IF($J1762&gt;=$I1762,"Green",IF($J1762&gt;=$I1762-IF($I1762=0,$K1762,$I1762*$K1762),"Amber","Red"))),"")</f>
        <v/>
      </c>
      <c r="T1762" s="10" t="inlineStr"/>
    </row>
    <row r="1763">
      <c r="A1763" s="3" t="n">
        <v>46218</v>
      </c>
      <c r="B1763" s="4">
        <f>IF($A1763="","",TEXT($A1763,"mmm-yyyy"))</f>
        <v/>
      </c>
      <c r="C1763" s="4">
        <f>IF($A1763="","","W"&amp;WEEKNUM($A1763,2))</f>
        <v/>
      </c>
      <c r="D1763" s="4">
        <f>IF($A1763="","",TEXT($A1763,"ddd"))</f>
        <v/>
      </c>
      <c r="E1763" s="4" t="inlineStr">
        <is>
          <t>Safety</t>
        </is>
      </c>
      <c r="F1763" s="4">
        <f>IFERROR(INDEX(Tbl_KPIMaster[Category],MATCH($G1763,Tbl_KPIMaster[KPI],0)),"")</f>
        <v/>
      </c>
      <c r="G1763" s="4" t="inlineStr">
        <is>
          <t>Safety Incidents (LTI)</t>
        </is>
      </c>
      <c r="H1763" s="4">
        <f>IFERROR(INDEX(Tbl_KPIMaster[Unit],MATCH($G1763,Tbl_KPIMaster[KPI],0)),"")</f>
        <v/>
      </c>
      <c r="I1763" s="5">
        <f>IFERROR(INDEX(Tbl_KPIMaster[Maximum Target],MATCH($G1763,Tbl_KPIMaster[KPI],0)),"")</f>
        <v/>
      </c>
      <c r="J1763" s="5" t="n">
        <v>0</v>
      </c>
      <c r="K1763" s="4">
        <f>IFERROR(INDEX(Tbl_KPIMaster[Tolerance],MATCH($G1763,Tbl_KPIMaster[KPI],0)),"")</f>
        <v/>
      </c>
      <c r="L1763" s="4">
        <f>IFERROR(INDEX(Tbl_KPIMaster[Owner],MATCH($G1763,Tbl_KPIMaster[KPI],0)),"")</f>
        <v/>
      </c>
      <c r="M1763" s="6" t="inlineStr">
        <is>
          <t>Weather impact</t>
        </is>
      </c>
      <c r="N1763" s="4" t="inlineStr"/>
      <c r="O1763" s="4" t="inlineStr">
        <is>
          <t>Medium</t>
        </is>
      </c>
      <c r="P1763" s="4" t="inlineStr">
        <is>
          <t>Closed</t>
        </is>
      </c>
      <c r="Q1763" s="5">
        <f>IFERROR(IF(INDEX(Tbl_KPIMaster[Direction],MATCH($G1763,Tbl_KPIMaster[KPI],0))="Lower is Better",IF($J1763=0,1,IF($I1763=0,0,$I1763/$J1763)),IF($I1763=0,1,$J1763/$I1763)),0)</f>
        <v/>
      </c>
      <c r="R1763" s="4">
        <f>IF(OR($I1763="",$J1763=""),"",$J1763-$I1763)</f>
        <v/>
      </c>
      <c r="S1763" s="4">
        <f>IFERROR(IF(INDEX(Tbl_KPIMaster[Direction],MATCH($G1763,Tbl_KPIMaster[KPI],0))="Lower is Better",IF($J1763&lt;=$I1763,"Green",IF($J1763&lt;=$I1763+IF($I1763=0,$K1763,$I1763*$K1763),"Amber","Red")),IF($J1763&gt;=$I1763,"Green",IF($J1763&gt;=$I1763-IF($I1763=0,$K1763,$I1763*$K1763),"Amber","Red"))),"")</f>
        <v/>
      </c>
      <c r="T1763" s="6" t="inlineStr"/>
    </row>
    <row r="1764">
      <c r="A1764" s="7" t="n">
        <v>46218</v>
      </c>
      <c r="B1764" s="8">
        <f>IF($A1764="","",TEXT($A1764,"mmm-yyyy"))</f>
        <v/>
      </c>
      <c r="C1764" s="8">
        <f>IF($A1764="","","W"&amp;WEEKNUM($A1764,2))</f>
        <v/>
      </c>
      <c r="D1764" s="8">
        <f>IF($A1764="","",TEXT($A1764,"ddd"))</f>
        <v/>
      </c>
      <c r="E1764" s="8" t="inlineStr">
        <is>
          <t>Safety</t>
        </is>
      </c>
      <c r="F1764" s="8">
        <f>IFERROR(INDEX(Tbl_KPIMaster[Category],MATCH($G1764,Tbl_KPIMaster[KPI],0)),"")</f>
        <v/>
      </c>
      <c r="G1764" s="8" t="inlineStr">
        <is>
          <t>Near Miss Reports</t>
        </is>
      </c>
      <c r="H1764" s="8">
        <f>IFERROR(INDEX(Tbl_KPIMaster[Unit],MATCH($G1764,Tbl_KPIMaster[KPI],0)),"")</f>
        <v/>
      </c>
      <c r="I1764" s="9">
        <f>IFERROR(INDEX(Tbl_KPIMaster[Maximum Target],MATCH($G1764,Tbl_KPIMaster[KPI],0)),"")</f>
        <v/>
      </c>
      <c r="J1764" s="9" t="n">
        <v>2</v>
      </c>
      <c r="K1764" s="8">
        <f>IFERROR(INDEX(Tbl_KPIMaster[Tolerance],MATCH($G1764,Tbl_KPIMaster[KPI],0)),"")</f>
        <v/>
      </c>
      <c r="L1764" s="8">
        <f>IFERROR(INDEX(Tbl_KPIMaster[Owner],MATCH($G1764,Tbl_KPIMaster[KPI],0)),"")</f>
        <v/>
      </c>
      <c r="M1764" s="10" t="inlineStr">
        <is>
          <t>Preventive check done</t>
        </is>
      </c>
      <c r="N1764" s="8" t="inlineStr">
        <is>
          <t>Engineering support needed</t>
        </is>
      </c>
      <c r="O1764" s="8" t="inlineStr">
        <is>
          <t>Low</t>
        </is>
      </c>
      <c r="P1764" s="8" t="inlineStr">
        <is>
          <t>Closed</t>
        </is>
      </c>
      <c r="Q1764" s="9">
        <f>IFERROR(IF(INDEX(Tbl_KPIMaster[Direction],MATCH($G1764,Tbl_KPIMaster[KPI],0))="Lower is Better",IF($J1764=0,1,IF($I1764=0,0,$I1764/$J1764)),IF($I1764=0,1,$J1764/$I1764)),0)</f>
        <v/>
      </c>
      <c r="R1764" s="8">
        <f>IF(OR($I1764="",$J1764=""),"",$J1764-$I1764)</f>
        <v/>
      </c>
      <c r="S1764" s="8">
        <f>IFERROR(IF(INDEX(Tbl_KPIMaster[Direction],MATCH($G1764,Tbl_KPIMaster[KPI],0))="Lower is Better",IF($J1764&lt;=$I1764,"Green",IF($J1764&lt;=$I1764+IF($I1764=0,$K1764,$I1764*$K1764),"Amber","Red")),IF($J1764&gt;=$I1764,"Green",IF($J1764&gt;=$I1764-IF($I1764=0,$K1764,$I1764*$K1764),"Amber","Red"))),"")</f>
        <v/>
      </c>
      <c r="T1764" s="10" t="inlineStr"/>
    </row>
    <row r="1765">
      <c r="A1765" s="3" t="n">
        <v>46218</v>
      </c>
      <c r="B1765" s="4">
        <f>IF($A1765="","",TEXT($A1765,"mmm-yyyy"))</f>
        <v/>
      </c>
      <c r="C1765" s="4">
        <f>IF($A1765="","","W"&amp;WEEKNUM($A1765,2))</f>
        <v/>
      </c>
      <c r="D1765" s="4">
        <f>IF($A1765="","",TEXT($A1765,"ddd"))</f>
        <v/>
      </c>
      <c r="E1765" s="4" t="inlineStr">
        <is>
          <t>Production</t>
        </is>
      </c>
      <c r="F1765" s="4">
        <f>IFERROR(INDEX(Tbl_KPIMaster[Category],MATCH($G1765,Tbl_KPIMaster[KPI],0)),"")</f>
        <v/>
      </c>
      <c r="G1765" s="4" t="inlineStr">
        <is>
          <t>Production Output</t>
        </is>
      </c>
      <c r="H1765" s="4">
        <f>IFERROR(INDEX(Tbl_KPIMaster[Unit],MATCH($G1765,Tbl_KPIMaster[KPI],0)),"")</f>
        <v/>
      </c>
      <c r="I1765" s="5">
        <f>IFERROR(INDEX(Tbl_KPIMaster[Maximum Target],MATCH($G1765,Tbl_KPIMaster[KPI],0)),"")</f>
        <v/>
      </c>
      <c r="J1765" s="5" t="n">
        <v>1108.53</v>
      </c>
      <c r="K1765" s="4">
        <f>IFERROR(INDEX(Tbl_KPIMaster[Tolerance],MATCH($G1765,Tbl_KPIMaster[KPI],0)),"")</f>
        <v/>
      </c>
      <c r="L1765" s="4">
        <f>IFERROR(INDEX(Tbl_KPIMaster[Owner],MATCH($G1765,Tbl_KPIMaster[KPI],0)),"")</f>
        <v/>
      </c>
      <c r="M1765" s="6" t="inlineStr">
        <is>
          <t>Equipment breakdown</t>
        </is>
      </c>
      <c r="N1765" s="4" t="inlineStr">
        <is>
          <t>Management approval pending</t>
        </is>
      </c>
      <c r="O1765" s="4" t="inlineStr">
        <is>
          <t>Low</t>
        </is>
      </c>
      <c r="P1765" s="4" t="inlineStr">
        <is>
          <t>Closed</t>
        </is>
      </c>
      <c r="Q1765" s="5">
        <f>IFERROR(IF(INDEX(Tbl_KPIMaster[Direction],MATCH($G1765,Tbl_KPIMaster[KPI],0))="Lower is Better",IF($J1765=0,1,IF($I1765=0,0,$I1765/$J1765)),IF($I1765=0,1,$J1765/$I1765)),0)</f>
        <v/>
      </c>
      <c r="R1765" s="4">
        <f>IF(OR($I1765="",$J1765=""),"",$J1765-$I1765)</f>
        <v/>
      </c>
      <c r="S1765" s="4">
        <f>IFERROR(IF(INDEX(Tbl_KPIMaster[Direction],MATCH($G1765,Tbl_KPIMaster[KPI],0))="Lower is Better",IF($J1765&lt;=$I1765,"Green",IF($J1765&lt;=$I1765+IF($I1765=0,$K1765,$I1765*$K1765),"Amber","Red")),IF($J1765&gt;=$I1765,"Green",IF($J1765&gt;=$I1765-IF($I1765=0,$K1765,$I1765*$K1765),"Amber","Red"))),"")</f>
        <v/>
      </c>
      <c r="T1765" s="6" t="inlineStr"/>
    </row>
    <row r="1766">
      <c r="A1766" s="7" t="n">
        <v>46218</v>
      </c>
      <c r="B1766" s="8">
        <f>IF($A1766="","",TEXT($A1766,"mmm-yyyy"))</f>
        <v/>
      </c>
      <c r="C1766" s="8">
        <f>IF($A1766="","","W"&amp;WEEKNUM($A1766,2))</f>
        <v/>
      </c>
      <c r="D1766" s="8">
        <f>IF($A1766="","",TEXT($A1766,"ddd"))</f>
        <v/>
      </c>
      <c r="E1766" s="8" t="inlineStr">
        <is>
          <t>Production</t>
        </is>
      </c>
      <c r="F1766" s="8">
        <f>IFERROR(INDEX(Tbl_KPIMaster[Category],MATCH($G1766,Tbl_KPIMaster[KPI],0)),"")</f>
        <v/>
      </c>
      <c r="G1766" s="8" t="inlineStr">
        <is>
          <t>OEE %</t>
        </is>
      </c>
      <c r="H1766" s="8">
        <f>IFERROR(INDEX(Tbl_KPIMaster[Unit],MATCH($G1766,Tbl_KPIMaster[KPI],0)),"")</f>
        <v/>
      </c>
      <c r="I1766" s="9">
        <f>IFERROR(INDEX(Tbl_KPIMaster[Maximum Target],MATCH($G1766,Tbl_KPIMaster[KPI],0)),"")</f>
        <v/>
      </c>
      <c r="J1766" s="9" t="n">
        <v>0.8203</v>
      </c>
      <c r="K1766" s="8">
        <f>IFERROR(INDEX(Tbl_KPIMaster[Tolerance],MATCH($G1766,Tbl_KPIMaster[KPI],0)),"")</f>
        <v/>
      </c>
      <c r="L1766" s="8">
        <f>IFERROR(INDEX(Tbl_KPIMaster[Owner],MATCH($G1766,Tbl_KPIMaster[KPI],0)),"")</f>
        <v/>
      </c>
      <c r="M1766" s="10" t="inlineStr">
        <is>
          <t>Line changeover impact</t>
        </is>
      </c>
      <c r="N1766" s="8" t="inlineStr">
        <is>
          <t>Management approval pending</t>
        </is>
      </c>
      <c r="O1766" s="8" t="inlineStr">
        <is>
          <t>Low</t>
        </is>
      </c>
      <c r="P1766" s="8" t="inlineStr">
        <is>
          <t>Closed</t>
        </is>
      </c>
      <c r="Q1766" s="9">
        <f>IFERROR(IF(INDEX(Tbl_KPIMaster[Direction],MATCH($G1766,Tbl_KPIMaster[KPI],0))="Lower is Better",IF($J1766=0,1,IF($I1766=0,0,$I1766/$J1766)),IF($I1766=0,1,$J1766/$I1766)),0)</f>
        <v/>
      </c>
      <c r="R1766" s="8">
        <f>IF(OR($I1766="",$J1766=""),"",$J1766-$I1766)</f>
        <v/>
      </c>
      <c r="S1766" s="8">
        <f>IFERROR(IF(INDEX(Tbl_KPIMaster[Direction],MATCH($G1766,Tbl_KPIMaster[KPI],0))="Lower is Better",IF($J1766&lt;=$I1766,"Green",IF($J1766&lt;=$I1766+IF($I1766=0,$K1766,$I1766*$K1766),"Amber","Red")),IF($J1766&gt;=$I1766,"Green",IF($J1766&gt;=$I1766-IF($I1766=0,$K1766,$I1766*$K1766),"Amber","Red"))),"")</f>
        <v/>
      </c>
      <c r="T1766" s="10" t="inlineStr"/>
    </row>
    <row r="1767">
      <c r="A1767" s="3" t="n">
        <v>46218</v>
      </c>
      <c r="B1767" s="4">
        <f>IF($A1767="","",TEXT($A1767,"mmm-yyyy"))</f>
        <v/>
      </c>
      <c r="C1767" s="4">
        <f>IF($A1767="","","W"&amp;WEEKNUM($A1767,2))</f>
        <v/>
      </c>
      <c r="D1767" s="4">
        <f>IF($A1767="","",TEXT($A1767,"ddd"))</f>
        <v/>
      </c>
      <c r="E1767" s="4" t="inlineStr">
        <is>
          <t>Quality</t>
        </is>
      </c>
      <c r="F1767" s="4">
        <f>IFERROR(INDEX(Tbl_KPIMaster[Category],MATCH($G1767,Tbl_KPIMaster[KPI],0)),"")</f>
        <v/>
      </c>
      <c r="G1767" s="4" t="inlineStr">
        <is>
          <t>Defect Rate %</t>
        </is>
      </c>
      <c r="H1767" s="4">
        <f>IFERROR(INDEX(Tbl_KPIMaster[Unit],MATCH($G1767,Tbl_KPIMaster[KPI],0)),"")</f>
        <v/>
      </c>
      <c r="I1767" s="5">
        <f>IFERROR(INDEX(Tbl_KPIMaster[Maximum Target],MATCH($G1767,Tbl_KPIMaster[KPI],0)),"")</f>
        <v/>
      </c>
      <c r="J1767" s="5" t="n">
        <v>0</v>
      </c>
      <c r="K1767" s="4">
        <f>IFERROR(INDEX(Tbl_KPIMaster[Tolerance],MATCH($G1767,Tbl_KPIMaster[KPI],0)),"")</f>
        <v/>
      </c>
      <c r="L1767" s="4">
        <f>IFERROR(INDEX(Tbl_KPIMaster[Owner],MATCH($G1767,Tbl_KPIMaster[KPI],0)),"")</f>
        <v/>
      </c>
      <c r="M1767" s="6" t="inlineStr">
        <is>
          <t>New operator training effect</t>
        </is>
      </c>
      <c r="N1767" s="4" t="inlineStr"/>
      <c r="O1767" s="4" t="inlineStr">
        <is>
          <t>Low</t>
        </is>
      </c>
      <c r="P1767" s="4" t="inlineStr">
        <is>
          <t>Closed</t>
        </is>
      </c>
      <c r="Q1767" s="5">
        <f>IFERROR(IF(INDEX(Tbl_KPIMaster[Direction],MATCH($G1767,Tbl_KPIMaster[KPI],0))="Lower is Better",IF($J1767=0,1,IF($I1767=0,0,$I1767/$J1767)),IF($I1767=0,1,$J1767/$I1767)),0)</f>
        <v/>
      </c>
      <c r="R1767" s="4">
        <f>IF(OR($I1767="",$J1767=""),"",$J1767-$I1767)</f>
        <v/>
      </c>
      <c r="S1767" s="4">
        <f>IFERROR(IF(INDEX(Tbl_KPIMaster[Direction],MATCH($G1767,Tbl_KPIMaster[KPI],0))="Lower is Better",IF($J1767&lt;=$I1767,"Green",IF($J1767&lt;=$I1767+IF($I1767=0,$K1767,$I1767*$K1767),"Amber","Red")),IF($J1767&gt;=$I1767,"Green",IF($J1767&gt;=$I1767-IF($I1767=0,$K1767,$I1767*$K1767),"Amber","Red"))),"")</f>
        <v/>
      </c>
      <c r="T1767" s="6" t="inlineStr"/>
    </row>
    <row r="1768">
      <c r="A1768" s="7" t="n">
        <v>46218</v>
      </c>
      <c r="B1768" s="8">
        <f>IF($A1768="","",TEXT($A1768,"mmm-yyyy"))</f>
        <v/>
      </c>
      <c r="C1768" s="8">
        <f>IF($A1768="","","W"&amp;WEEKNUM($A1768,2))</f>
        <v/>
      </c>
      <c r="D1768" s="8">
        <f>IF($A1768="","",TEXT($A1768,"ddd"))</f>
        <v/>
      </c>
      <c r="E1768" s="8" t="inlineStr">
        <is>
          <t>Quality</t>
        </is>
      </c>
      <c r="F1768" s="8">
        <f>IFERROR(INDEX(Tbl_KPIMaster[Category],MATCH($G1768,Tbl_KPIMaster[KPI],0)),"")</f>
        <v/>
      </c>
      <c r="G1768" s="8" t="inlineStr">
        <is>
          <t>Customer Complaints</t>
        </is>
      </c>
      <c r="H1768" s="8">
        <f>IFERROR(INDEX(Tbl_KPIMaster[Unit],MATCH($G1768,Tbl_KPIMaster[KPI],0)),"")</f>
        <v/>
      </c>
      <c r="I1768" s="9">
        <f>IFERROR(INDEX(Tbl_KPIMaster[Maximum Target],MATCH($G1768,Tbl_KPIMaster[KPI],0)),"")</f>
        <v/>
      </c>
      <c r="J1768" s="9" t="n">
        <v>0</v>
      </c>
      <c r="K1768" s="8">
        <f>IFERROR(INDEX(Tbl_KPIMaster[Tolerance],MATCH($G1768,Tbl_KPIMaster[KPI],0)),"")</f>
        <v/>
      </c>
      <c r="L1768" s="8">
        <f>IFERROR(INDEX(Tbl_KPIMaster[Owner],MATCH($G1768,Tbl_KPIMaster[KPI],0)),"")</f>
        <v/>
      </c>
      <c r="M1768" s="10" t="inlineStr">
        <is>
          <t>Weather impact</t>
        </is>
      </c>
      <c r="N1768" s="8" t="inlineStr">
        <is>
          <t>Engineering support needed</t>
        </is>
      </c>
      <c r="O1768" s="8" t="inlineStr">
        <is>
          <t>Low</t>
        </is>
      </c>
      <c r="P1768" s="8" t="inlineStr">
        <is>
          <t>Closed</t>
        </is>
      </c>
      <c r="Q1768" s="9">
        <f>IFERROR(IF(INDEX(Tbl_KPIMaster[Direction],MATCH($G1768,Tbl_KPIMaster[KPI],0))="Lower is Better",IF($J1768=0,1,IF($I1768=0,0,$I1768/$J1768)),IF($I1768=0,1,$J1768/$I1768)),0)</f>
        <v/>
      </c>
      <c r="R1768" s="8">
        <f>IF(OR($I1768="",$J1768=""),"",$J1768-$I1768)</f>
        <v/>
      </c>
      <c r="S1768" s="8">
        <f>IFERROR(IF(INDEX(Tbl_KPIMaster[Direction],MATCH($G1768,Tbl_KPIMaster[KPI],0))="Lower is Better",IF($J1768&lt;=$I1768,"Green",IF($J1768&lt;=$I1768+IF($I1768=0,$K1768,$I1768*$K1768),"Amber","Red")),IF($J1768&gt;=$I1768,"Green",IF($J1768&gt;=$I1768-IF($I1768=0,$K1768,$I1768*$K1768),"Amber","Red"))),"")</f>
        <v/>
      </c>
      <c r="T1768" s="10" t="inlineStr"/>
    </row>
    <row r="1769">
      <c r="A1769" s="3" t="n">
        <v>46218</v>
      </c>
      <c r="B1769" s="4">
        <f>IF($A1769="","",TEXT($A1769,"mmm-yyyy"))</f>
        <v/>
      </c>
      <c r="C1769" s="4">
        <f>IF($A1769="","","W"&amp;WEEKNUM($A1769,2))</f>
        <v/>
      </c>
      <c r="D1769" s="4">
        <f>IF($A1769="","",TEXT($A1769,"ddd"))</f>
        <v/>
      </c>
      <c r="E1769" s="4" t="inlineStr">
        <is>
          <t>Maintenance</t>
        </is>
      </c>
      <c r="F1769" s="4">
        <f>IFERROR(INDEX(Tbl_KPIMaster[Category],MATCH($G1769,Tbl_KPIMaster[KPI],0)),"")</f>
        <v/>
      </c>
      <c r="G1769" s="4" t="inlineStr">
        <is>
          <t>Unplanned Downtime</t>
        </is>
      </c>
      <c r="H1769" s="4">
        <f>IFERROR(INDEX(Tbl_KPIMaster[Unit],MATCH($G1769,Tbl_KPIMaster[KPI],0)),"")</f>
        <v/>
      </c>
      <c r="I1769" s="5">
        <f>IFERROR(INDEX(Tbl_KPIMaster[Maximum Target],MATCH($G1769,Tbl_KPIMaster[KPI],0)),"")</f>
        <v/>
      </c>
      <c r="J1769" s="5" t="n">
        <v>0</v>
      </c>
      <c r="K1769" s="4">
        <f>IFERROR(INDEX(Tbl_KPIMaster[Tolerance],MATCH($G1769,Tbl_KPIMaster[KPI],0)),"")</f>
        <v/>
      </c>
      <c r="L1769" s="4">
        <f>IFERROR(INDEX(Tbl_KPIMaster[Owner],MATCH($G1769,Tbl_KPIMaster[KPI],0)),"")</f>
        <v/>
      </c>
      <c r="M1769" s="6" t="inlineStr">
        <is>
          <t>Weather impact</t>
        </is>
      </c>
      <c r="N1769" s="4" t="inlineStr"/>
      <c r="O1769" s="4" t="inlineStr">
        <is>
          <t>Low</t>
        </is>
      </c>
      <c r="P1769" s="4" t="inlineStr">
        <is>
          <t>Closed</t>
        </is>
      </c>
      <c r="Q1769" s="5">
        <f>IFERROR(IF(INDEX(Tbl_KPIMaster[Direction],MATCH($G1769,Tbl_KPIMaster[KPI],0))="Lower is Better",IF($J1769=0,1,IF($I1769=0,0,$I1769/$J1769)),IF($I1769=0,1,$J1769/$I1769)),0)</f>
        <v/>
      </c>
      <c r="R1769" s="4">
        <f>IF(OR($I1769="",$J1769=""),"",$J1769-$I1769)</f>
        <v/>
      </c>
      <c r="S1769" s="4">
        <f>IFERROR(IF(INDEX(Tbl_KPIMaster[Direction],MATCH($G1769,Tbl_KPIMaster[KPI],0))="Lower is Better",IF($J1769&lt;=$I1769,"Green",IF($J1769&lt;=$I1769+IF($I1769=0,$K1769,$I1769*$K1769),"Amber","Red")),IF($J1769&gt;=$I1769,"Green",IF($J1769&gt;=$I1769-IF($I1769=0,$K1769,$I1769*$K1769),"Amber","Red"))),"")</f>
        <v/>
      </c>
      <c r="T1769" s="6" t="inlineStr"/>
    </row>
    <row r="1770">
      <c r="A1770" s="7" t="n">
        <v>46218</v>
      </c>
      <c r="B1770" s="8">
        <f>IF($A1770="","",TEXT($A1770,"mmm-yyyy"))</f>
        <v/>
      </c>
      <c r="C1770" s="8">
        <f>IF($A1770="","","W"&amp;WEEKNUM($A1770,2))</f>
        <v/>
      </c>
      <c r="D1770" s="8">
        <f>IF($A1770="","",TEXT($A1770,"ddd"))</f>
        <v/>
      </c>
      <c r="E1770" s="8" t="inlineStr">
        <is>
          <t>Maintenance</t>
        </is>
      </c>
      <c r="F1770" s="8">
        <f>IFERROR(INDEX(Tbl_KPIMaster[Category],MATCH($G1770,Tbl_KPIMaster[KPI],0)),"")</f>
        <v/>
      </c>
      <c r="G1770" s="8" t="inlineStr">
        <is>
          <t>PM Compliance %</t>
        </is>
      </c>
      <c r="H1770" s="8">
        <f>IFERROR(INDEX(Tbl_KPIMaster[Unit],MATCH($G1770,Tbl_KPIMaster[KPI],0)),"")</f>
        <v/>
      </c>
      <c r="I1770" s="9">
        <f>IFERROR(INDEX(Tbl_KPIMaster[Maximum Target],MATCH($G1770,Tbl_KPIMaster[KPI],0)),"")</f>
        <v/>
      </c>
      <c r="J1770" s="9" t="n">
        <v>0.8411</v>
      </c>
      <c r="K1770" s="8">
        <f>IFERROR(INDEX(Tbl_KPIMaster[Tolerance],MATCH($G1770,Tbl_KPIMaster[KPI],0)),"")</f>
        <v/>
      </c>
      <c r="L1770" s="8">
        <f>IFERROR(INDEX(Tbl_KPIMaster[Owner],MATCH($G1770,Tbl_KPIMaster[KPI],0)),"")</f>
        <v/>
      </c>
      <c r="M1770" s="10" t="inlineStr">
        <is>
          <t>Process improvement in progress</t>
        </is>
      </c>
      <c r="N1770" s="8" t="inlineStr">
        <is>
          <t>Procurement follow-up</t>
        </is>
      </c>
      <c r="O1770" s="8" t="inlineStr">
        <is>
          <t>Low</t>
        </is>
      </c>
      <c r="P1770" s="8" t="inlineStr">
        <is>
          <t>Closed</t>
        </is>
      </c>
      <c r="Q1770" s="9">
        <f>IFERROR(IF(INDEX(Tbl_KPIMaster[Direction],MATCH($G1770,Tbl_KPIMaster[KPI],0))="Lower is Better",IF($J1770=0,1,IF($I1770=0,0,$I1770/$J1770)),IF($I1770=0,1,$J1770/$I1770)),0)</f>
        <v/>
      </c>
      <c r="R1770" s="8">
        <f>IF(OR($I1770="",$J1770=""),"",$J1770-$I1770)</f>
        <v/>
      </c>
      <c r="S1770" s="8">
        <f>IFERROR(IF(INDEX(Tbl_KPIMaster[Direction],MATCH($G1770,Tbl_KPIMaster[KPI],0))="Lower is Better",IF($J1770&lt;=$I1770,"Green",IF($J1770&lt;=$I1770+IF($I1770=0,$K1770,$I1770*$K1770),"Amber","Red")),IF($J1770&gt;=$I1770,"Green",IF($J1770&gt;=$I1770-IF($I1770=0,$K1770,$I1770*$K1770),"Amber","Red"))),"")</f>
        <v/>
      </c>
      <c r="T1770" s="10" t="inlineStr"/>
    </row>
    <row r="1771">
      <c r="A1771" s="3" t="n">
        <v>46218</v>
      </c>
      <c r="B1771" s="4">
        <f>IF($A1771="","",TEXT($A1771,"mmm-yyyy"))</f>
        <v/>
      </c>
      <c r="C1771" s="4">
        <f>IF($A1771="","","W"&amp;WEEKNUM($A1771,2))</f>
        <v/>
      </c>
      <c r="D1771" s="4">
        <f>IF($A1771="","",TEXT($A1771,"ddd"))</f>
        <v/>
      </c>
      <c r="E1771" s="4" t="inlineStr">
        <is>
          <t>Utilities</t>
        </is>
      </c>
      <c r="F1771" s="4">
        <f>IFERROR(INDEX(Tbl_KPIMaster[Category],MATCH($G1771,Tbl_KPIMaster[KPI],0)),"")</f>
        <v/>
      </c>
      <c r="G1771" s="4" t="inlineStr">
        <is>
          <t>Power Consumption</t>
        </is>
      </c>
      <c r="H1771" s="4">
        <f>IFERROR(INDEX(Tbl_KPIMaster[Unit],MATCH($G1771,Tbl_KPIMaster[KPI],0)),"")</f>
        <v/>
      </c>
      <c r="I1771" s="5">
        <f>IFERROR(INDEX(Tbl_KPIMaster[Maximum Target],MATCH($G1771,Tbl_KPIMaster[KPI],0)),"")</f>
        <v/>
      </c>
      <c r="J1771" s="5" t="n">
        <v>4077.46</v>
      </c>
      <c r="K1771" s="4">
        <f>IFERROR(INDEX(Tbl_KPIMaster[Tolerance],MATCH($G1771,Tbl_KPIMaster[KPI],0)),"")</f>
        <v/>
      </c>
      <c r="L1771" s="4">
        <f>IFERROR(INDEX(Tbl_KPIMaster[Owner],MATCH($G1771,Tbl_KPIMaster[KPI],0)),"")</f>
        <v/>
      </c>
      <c r="M1771" s="6" t="inlineStr">
        <is>
          <t>New operator training effect</t>
        </is>
      </c>
      <c r="N1771" s="4" t="inlineStr"/>
      <c r="O1771" s="4" t="inlineStr">
        <is>
          <t>Low</t>
        </is>
      </c>
      <c r="P1771" s="4" t="inlineStr">
        <is>
          <t>Closed</t>
        </is>
      </c>
      <c r="Q1771" s="5">
        <f>IFERROR(IF(INDEX(Tbl_KPIMaster[Direction],MATCH($G1771,Tbl_KPIMaster[KPI],0))="Lower is Better",IF($J1771=0,1,IF($I1771=0,0,$I1771/$J1771)),IF($I1771=0,1,$J1771/$I1771)),0)</f>
        <v/>
      </c>
      <c r="R1771" s="4">
        <f>IF(OR($I1771="",$J1771=""),"",$J1771-$I1771)</f>
        <v/>
      </c>
      <c r="S1771" s="4">
        <f>IFERROR(IF(INDEX(Tbl_KPIMaster[Direction],MATCH($G1771,Tbl_KPIMaster[KPI],0))="Lower is Better",IF($J1771&lt;=$I1771,"Green",IF($J1771&lt;=$I1771+IF($I1771=0,$K1771,$I1771*$K1771),"Amber","Red")),IF($J1771&gt;=$I1771,"Green",IF($J1771&gt;=$I1771-IF($I1771=0,$K1771,$I1771*$K1771),"Amber","Red"))),"")</f>
        <v/>
      </c>
      <c r="T1771" s="6" t="inlineStr"/>
    </row>
    <row r="1772">
      <c r="A1772" s="7" t="n">
        <v>46218</v>
      </c>
      <c r="B1772" s="8">
        <f>IF($A1772="","",TEXT($A1772,"mmm-yyyy"))</f>
        <v/>
      </c>
      <c r="C1772" s="8">
        <f>IF($A1772="","","W"&amp;WEEKNUM($A1772,2))</f>
        <v/>
      </c>
      <c r="D1772" s="8">
        <f>IF($A1772="","",TEXT($A1772,"ddd"))</f>
        <v/>
      </c>
      <c r="E1772" s="8" t="inlineStr">
        <is>
          <t>Utilities</t>
        </is>
      </c>
      <c r="F1772" s="8">
        <f>IFERROR(INDEX(Tbl_KPIMaster[Category],MATCH($G1772,Tbl_KPIMaster[KPI],0)),"")</f>
        <v/>
      </c>
      <c r="G1772" s="8" t="inlineStr">
        <is>
          <t>Water Consumption</t>
        </is>
      </c>
      <c r="H1772" s="8">
        <f>IFERROR(INDEX(Tbl_KPIMaster[Unit],MATCH($G1772,Tbl_KPIMaster[KPI],0)),"")</f>
        <v/>
      </c>
      <c r="I1772" s="9">
        <f>IFERROR(INDEX(Tbl_KPIMaster[Maximum Target],MATCH($G1772,Tbl_KPIMaster[KPI],0)),"")</f>
        <v/>
      </c>
      <c r="J1772" s="9" t="n">
        <v>55.4</v>
      </c>
      <c r="K1772" s="8">
        <f>IFERROR(INDEX(Tbl_KPIMaster[Tolerance],MATCH($G1772,Tbl_KPIMaster[KPI],0)),"")</f>
        <v/>
      </c>
      <c r="L1772" s="8">
        <f>IFERROR(INDEX(Tbl_KPIMaster[Owner],MATCH($G1772,Tbl_KPIMaster[KPI],0)),"")</f>
        <v/>
      </c>
      <c r="M1772" s="10" t="inlineStr">
        <is>
          <t>Process improvement in progress</t>
        </is>
      </c>
      <c r="N1772" s="8" t="inlineStr">
        <is>
          <t>Management approval pending</t>
        </is>
      </c>
      <c r="O1772" s="8" t="inlineStr">
        <is>
          <t>High</t>
        </is>
      </c>
      <c r="P1772" s="8" t="inlineStr">
        <is>
          <t>Closed</t>
        </is>
      </c>
      <c r="Q1772" s="9">
        <f>IFERROR(IF(INDEX(Tbl_KPIMaster[Direction],MATCH($G1772,Tbl_KPIMaster[KPI],0))="Lower is Better",IF($J1772=0,1,IF($I1772=0,0,$I1772/$J1772)),IF($I1772=0,1,$J1772/$I1772)),0)</f>
        <v/>
      </c>
      <c r="R1772" s="8">
        <f>IF(OR($I1772="",$J1772=""),"",$J1772-$I1772)</f>
        <v/>
      </c>
      <c r="S1772" s="8">
        <f>IFERROR(IF(INDEX(Tbl_KPIMaster[Direction],MATCH($G1772,Tbl_KPIMaster[KPI],0))="Lower is Better",IF($J1772&lt;=$I1772,"Green",IF($J1772&lt;=$I1772+IF($I1772=0,$K1772,$I1772*$K1772),"Amber","Red")),IF($J1772&gt;=$I1772,"Green",IF($J1772&gt;=$I1772-IF($I1772=0,$K1772,$I1772*$K1772),"Amber","Red"))),"")</f>
        <v/>
      </c>
      <c r="T1772" s="10" t="inlineStr"/>
    </row>
    <row r="1773">
      <c r="A1773" s="3" t="n">
        <v>46218</v>
      </c>
      <c r="B1773" s="4">
        <f>IF($A1773="","",TEXT($A1773,"mmm-yyyy"))</f>
        <v/>
      </c>
      <c r="C1773" s="4">
        <f>IF($A1773="","","W"&amp;WEEKNUM($A1773,2))</f>
        <v/>
      </c>
      <c r="D1773" s="4">
        <f>IF($A1773="","",TEXT($A1773,"ddd"))</f>
        <v/>
      </c>
      <c r="E1773" s="4" t="inlineStr">
        <is>
          <t>Warehouse</t>
        </is>
      </c>
      <c r="F1773" s="4">
        <f>IFERROR(INDEX(Tbl_KPIMaster[Category],MATCH($G1773,Tbl_KPIMaster[KPI],0)),"")</f>
        <v/>
      </c>
      <c r="G1773" s="4" t="inlineStr">
        <is>
          <t>On-Time Dispatch %</t>
        </is>
      </c>
      <c r="H1773" s="4">
        <f>IFERROR(INDEX(Tbl_KPIMaster[Unit],MATCH($G1773,Tbl_KPIMaster[KPI],0)),"")</f>
        <v/>
      </c>
      <c r="I1773" s="5">
        <f>IFERROR(INDEX(Tbl_KPIMaster[Maximum Target],MATCH($G1773,Tbl_KPIMaster[KPI],0)),"")</f>
        <v/>
      </c>
      <c r="J1773" s="5" t="n">
        <v>0.9427</v>
      </c>
      <c r="K1773" s="4">
        <f>IFERROR(INDEX(Tbl_KPIMaster[Tolerance],MATCH($G1773,Tbl_KPIMaster[KPI],0)),"")</f>
        <v/>
      </c>
      <c r="L1773" s="4">
        <f>IFERROR(INDEX(Tbl_KPIMaster[Owner],MATCH($G1773,Tbl_KPIMaster[KPI],0)),"")</f>
        <v/>
      </c>
      <c r="M1773" s="6" t="inlineStr">
        <is>
          <t>Manpower shortage</t>
        </is>
      </c>
      <c r="N1773" s="4" t="inlineStr">
        <is>
          <t>Engineering support needed</t>
        </is>
      </c>
      <c r="O1773" s="4" t="inlineStr">
        <is>
          <t>Low</t>
        </is>
      </c>
      <c r="P1773" s="4" t="inlineStr">
        <is>
          <t>Closed</t>
        </is>
      </c>
      <c r="Q1773" s="5">
        <f>IFERROR(IF(INDEX(Tbl_KPIMaster[Direction],MATCH($G1773,Tbl_KPIMaster[KPI],0))="Lower is Better",IF($J1773=0,1,IF($I1773=0,0,$I1773/$J1773)),IF($I1773=0,1,$J1773/$I1773)),0)</f>
        <v/>
      </c>
      <c r="R1773" s="4">
        <f>IF(OR($I1773="",$J1773=""),"",$J1773-$I1773)</f>
        <v/>
      </c>
      <c r="S1773" s="4">
        <f>IFERROR(IF(INDEX(Tbl_KPIMaster[Direction],MATCH($G1773,Tbl_KPIMaster[KPI],0))="Lower is Better",IF($J1773&lt;=$I1773,"Green",IF($J1773&lt;=$I1773+IF($I1773=0,$K1773,$I1773*$K1773),"Amber","Red")),IF($J1773&gt;=$I1773,"Green",IF($J1773&gt;=$I1773-IF($I1773=0,$K1773,$I1773*$K1773),"Amber","Red"))),"")</f>
        <v/>
      </c>
      <c r="T1773" s="6" t="inlineStr"/>
    </row>
    <row r="1774">
      <c r="A1774" s="7" t="n">
        <v>46218</v>
      </c>
      <c r="B1774" s="8">
        <f>IF($A1774="","",TEXT($A1774,"mmm-yyyy"))</f>
        <v/>
      </c>
      <c r="C1774" s="8">
        <f>IF($A1774="","","W"&amp;WEEKNUM($A1774,2))</f>
        <v/>
      </c>
      <c r="D1774" s="8">
        <f>IF($A1774="","",TEXT($A1774,"ddd"))</f>
        <v/>
      </c>
      <c r="E1774" s="8" t="inlineStr">
        <is>
          <t>Warehouse</t>
        </is>
      </c>
      <c r="F1774" s="8">
        <f>IFERROR(INDEX(Tbl_KPIMaster[Category],MATCH($G1774,Tbl_KPIMaster[KPI],0)),"")</f>
        <v/>
      </c>
      <c r="G1774" s="8" t="inlineStr">
        <is>
          <t>Inventory Accuracy %</t>
        </is>
      </c>
      <c r="H1774" s="8">
        <f>IFERROR(INDEX(Tbl_KPIMaster[Unit],MATCH($G1774,Tbl_KPIMaster[KPI],0)),"")</f>
        <v/>
      </c>
      <c r="I1774" s="9">
        <f>IFERROR(INDEX(Tbl_KPIMaster[Maximum Target],MATCH($G1774,Tbl_KPIMaster[KPI],0)),"")</f>
        <v/>
      </c>
      <c r="J1774" s="9" t="n">
        <v>1.1179</v>
      </c>
      <c r="K1774" s="8">
        <f>IFERROR(INDEX(Tbl_KPIMaster[Tolerance],MATCH($G1774,Tbl_KPIMaster[KPI],0)),"")</f>
        <v/>
      </c>
      <c r="L1774" s="8">
        <f>IFERROR(INDEX(Tbl_KPIMaster[Owner],MATCH($G1774,Tbl_KPIMaster[KPI],0)),"")</f>
        <v/>
      </c>
      <c r="M1774" s="10" t="inlineStr">
        <is>
          <t>Equipment breakdown</t>
        </is>
      </c>
      <c r="N1774" s="8" t="inlineStr">
        <is>
          <t>Engineering support needed</t>
        </is>
      </c>
      <c r="O1774" s="8" t="inlineStr">
        <is>
          <t>Medium</t>
        </is>
      </c>
      <c r="P1774" s="8" t="inlineStr">
        <is>
          <t>Closed</t>
        </is>
      </c>
      <c r="Q1774" s="9">
        <f>IFERROR(IF(INDEX(Tbl_KPIMaster[Direction],MATCH($G1774,Tbl_KPIMaster[KPI],0))="Lower is Better",IF($J1774=0,1,IF($I1774=0,0,$I1774/$J1774)),IF($I1774=0,1,$J1774/$I1774)),0)</f>
        <v/>
      </c>
      <c r="R1774" s="8">
        <f>IF(OR($I1774="",$J1774=""),"",$J1774-$I1774)</f>
        <v/>
      </c>
      <c r="S1774" s="8">
        <f>IFERROR(IF(INDEX(Tbl_KPIMaster[Direction],MATCH($G1774,Tbl_KPIMaster[KPI],0))="Lower is Better",IF($J1774&lt;=$I1774,"Green",IF($J1774&lt;=$I1774+IF($I1774=0,$K1774,$I1774*$K1774),"Amber","Red")),IF($J1774&gt;=$I1774,"Green",IF($J1774&gt;=$I1774-IF($I1774=0,$K1774,$I1774*$K1774),"Amber","Red"))),"")</f>
        <v/>
      </c>
      <c r="T1774" s="10" t="inlineStr"/>
    </row>
    <row r="1775">
      <c r="A1775" s="3" t="n">
        <v>46218</v>
      </c>
      <c r="B1775" s="4">
        <f>IF($A1775="","",TEXT($A1775,"mmm-yyyy"))</f>
        <v/>
      </c>
      <c r="C1775" s="4">
        <f>IF($A1775="","","W"&amp;WEEKNUM($A1775,2))</f>
        <v/>
      </c>
      <c r="D1775" s="4">
        <f>IF($A1775="","",TEXT($A1775,"ddd"))</f>
        <v/>
      </c>
      <c r="E1775" s="4" t="inlineStr">
        <is>
          <t>HR</t>
        </is>
      </c>
      <c r="F1775" s="4">
        <f>IFERROR(INDEX(Tbl_KPIMaster[Category],MATCH($G1775,Tbl_KPIMaster[KPI],0)),"")</f>
        <v/>
      </c>
      <c r="G1775" s="4" t="inlineStr">
        <is>
          <t>Absenteeism %</t>
        </is>
      </c>
      <c r="H1775" s="4">
        <f>IFERROR(INDEX(Tbl_KPIMaster[Unit],MATCH($G1775,Tbl_KPIMaster[KPI],0)),"")</f>
        <v/>
      </c>
      <c r="I1775" s="5">
        <f>IFERROR(INDEX(Tbl_KPIMaster[Maximum Target],MATCH($G1775,Tbl_KPIMaster[KPI],0)),"")</f>
        <v/>
      </c>
      <c r="J1775" s="5" t="n">
        <v>0.3532</v>
      </c>
      <c r="K1775" s="4">
        <f>IFERROR(INDEX(Tbl_KPIMaster[Tolerance],MATCH($G1775,Tbl_KPIMaster[KPI],0)),"")</f>
        <v/>
      </c>
      <c r="L1775" s="4">
        <f>IFERROR(INDEX(Tbl_KPIMaster[Owner],MATCH($G1775,Tbl_KPIMaster[KPI],0)),"")</f>
        <v/>
      </c>
      <c r="M1775" s="6" t="inlineStr">
        <is>
          <t>Within normal range</t>
        </is>
      </c>
      <c r="N1775" s="4" t="inlineStr">
        <is>
          <t>Management approval pending</t>
        </is>
      </c>
      <c r="O1775" s="4" t="inlineStr">
        <is>
          <t>Low</t>
        </is>
      </c>
      <c r="P1775" s="4" t="inlineStr">
        <is>
          <t>Closed</t>
        </is>
      </c>
      <c r="Q1775" s="5">
        <f>IFERROR(IF(INDEX(Tbl_KPIMaster[Direction],MATCH($G1775,Tbl_KPIMaster[KPI],0))="Lower is Better",IF($J1775=0,1,IF($I1775=0,0,$I1775/$J1775)),IF($I1775=0,1,$J1775/$I1775)),0)</f>
        <v/>
      </c>
      <c r="R1775" s="4">
        <f>IF(OR($I1775="",$J1775=""),"",$J1775-$I1775)</f>
        <v/>
      </c>
      <c r="S1775" s="4">
        <f>IFERROR(IF(INDEX(Tbl_KPIMaster[Direction],MATCH($G1775,Tbl_KPIMaster[KPI],0))="Lower is Better",IF($J1775&lt;=$I1775,"Green",IF($J1775&lt;=$I1775+IF($I1775=0,$K1775,$I1775*$K1775),"Amber","Red")),IF($J1775&gt;=$I1775,"Green",IF($J1775&gt;=$I1775-IF($I1775=0,$K1775,$I1775*$K1775),"Amber","Red"))),"")</f>
        <v/>
      </c>
      <c r="T1775" s="6" t="inlineStr"/>
    </row>
    <row r="1776">
      <c r="A1776" s="7" t="n">
        <v>46218</v>
      </c>
      <c r="B1776" s="8">
        <f>IF($A1776="","",TEXT($A1776,"mmm-yyyy"))</f>
        <v/>
      </c>
      <c r="C1776" s="8">
        <f>IF($A1776="","","W"&amp;WEEKNUM($A1776,2))</f>
        <v/>
      </c>
      <c r="D1776" s="8">
        <f>IF($A1776="","",TEXT($A1776,"ddd"))</f>
        <v/>
      </c>
      <c r="E1776" s="8" t="inlineStr">
        <is>
          <t>HR</t>
        </is>
      </c>
      <c r="F1776" s="8">
        <f>IFERROR(INDEX(Tbl_KPIMaster[Category],MATCH($G1776,Tbl_KPIMaster[KPI],0)),"")</f>
        <v/>
      </c>
      <c r="G1776" s="8" t="inlineStr">
        <is>
          <t>Training Hours</t>
        </is>
      </c>
      <c r="H1776" s="8">
        <f>IFERROR(INDEX(Tbl_KPIMaster[Unit],MATCH($G1776,Tbl_KPIMaster[KPI],0)),"")</f>
        <v/>
      </c>
      <c r="I1776" s="9">
        <f>IFERROR(INDEX(Tbl_KPIMaster[Maximum Target],MATCH($G1776,Tbl_KPIMaster[KPI],0)),"")</f>
        <v/>
      </c>
      <c r="J1776" s="9" t="n">
        <v>2.11</v>
      </c>
      <c r="K1776" s="8">
        <f>IFERROR(INDEX(Tbl_KPIMaster[Tolerance],MATCH($G1776,Tbl_KPIMaster[KPI],0)),"")</f>
        <v/>
      </c>
      <c r="L1776" s="8">
        <f>IFERROR(INDEX(Tbl_KPIMaster[Owner],MATCH($G1776,Tbl_KPIMaster[KPI],0)),"")</f>
        <v/>
      </c>
      <c r="M1776" s="10" t="inlineStr">
        <is>
          <t>Line changeover impact</t>
        </is>
      </c>
      <c r="N1776" s="8" t="inlineStr"/>
      <c r="O1776" s="8" t="inlineStr">
        <is>
          <t>High</t>
        </is>
      </c>
      <c r="P1776" s="8" t="inlineStr">
        <is>
          <t>Closed</t>
        </is>
      </c>
      <c r="Q1776" s="9">
        <f>IFERROR(IF(INDEX(Tbl_KPIMaster[Direction],MATCH($G1776,Tbl_KPIMaster[KPI],0))="Lower is Better",IF($J1776=0,1,IF($I1776=0,0,$I1776/$J1776)),IF($I1776=0,1,$J1776/$I1776)),0)</f>
        <v/>
      </c>
      <c r="R1776" s="8">
        <f>IF(OR($I1776="",$J1776=""),"",$J1776-$I1776)</f>
        <v/>
      </c>
      <c r="S1776" s="8">
        <f>IFERROR(IF(INDEX(Tbl_KPIMaster[Direction],MATCH($G1776,Tbl_KPIMaster[KPI],0))="Lower is Better",IF($J1776&lt;=$I1776,"Green",IF($J1776&lt;=$I1776+IF($I1776=0,$K1776,$I1776*$K1776),"Amber","Red")),IF($J1776&gt;=$I1776,"Green",IF($J1776&gt;=$I1776-IF($I1776=0,$K1776,$I1776*$K1776),"Amber","Red"))),"")</f>
        <v/>
      </c>
      <c r="T1776" s="10" t="inlineStr"/>
    </row>
    <row r="1777">
      <c r="A1777" s="3" t="n">
        <v>46218</v>
      </c>
      <c r="B1777" s="4">
        <f>IF($A1777="","",TEXT($A1777,"mmm-yyyy"))</f>
        <v/>
      </c>
      <c r="C1777" s="4">
        <f>IF($A1777="","","W"&amp;WEEKNUM($A1777,2))</f>
        <v/>
      </c>
      <c r="D1777" s="4">
        <f>IF($A1777="","",TEXT($A1777,"ddd"))</f>
        <v/>
      </c>
      <c r="E1777" s="4" t="inlineStr">
        <is>
          <t>Engineering</t>
        </is>
      </c>
      <c r="F1777" s="4">
        <f>IFERROR(INDEX(Tbl_KPIMaster[Category],MATCH($G1777,Tbl_KPIMaster[KPI],0)),"")</f>
        <v/>
      </c>
      <c r="G1777" s="4" t="inlineStr">
        <is>
          <t>Project Milestone Adherence %</t>
        </is>
      </c>
      <c r="H1777" s="4">
        <f>IFERROR(INDEX(Tbl_KPIMaster[Unit],MATCH($G1777,Tbl_KPIMaster[KPI],0)),"")</f>
        <v/>
      </c>
      <c r="I1777" s="5">
        <f>IFERROR(INDEX(Tbl_KPIMaster[Maximum Target],MATCH($G1777,Tbl_KPIMaster[KPI],0)),"")</f>
        <v/>
      </c>
      <c r="J1777" s="5" t="n">
        <v>1.0726</v>
      </c>
      <c r="K1777" s="4">
        <f>IFERROR(INDEX(Tbl_KPIMaster[Tolerance],MATCH($G1777,Tbl_KPIMaster[KPI],0)),"")</f>
        <v/>
      </c>
      <c r="L1777" s="4">
        <f>IFERROR(INDEX(Tbl_KPIMaster[Owner],MATCH($G1777,Tbl_KPIMaster[KPI],0)),"")</f>
        <v/>
      </c>
      <c r="M1777" s="6" t="inlineStr">
        <is>
          <t>Manpower shortage</t>
        </is>
      </c>
      <c r="N1777" s="4" t="inlineStr"/>
      <c r="O1777" s="4" t="inlineStr">
        <is>
          <t>Medium</t>
        </is>
      </c>
      <c r="P1777" s="4" t="inlineStr">
        <is>
          <t>Closed</t>
        </is>
      </c>
      <c r="Q1777" s="5">
        <f>IFERROR(IF(INDEX(Tbl_KPIMaster[Direction],MATCH($G1777,Tbl_KPIMaster[KPI],0))="Lower is Better",IF($J1777=0,1,IF($I1777=0,0,$I1777/$J1777)),IF($I1777=0,1,$J1777/$I1777)),0)</f>
        <v/>
      </c>
      <c r="R1777" s="4">
        <f>IF(OR($I1777="",$J1777=""),"",$J1777-$I1777)</f>
        <v/>
      </c>
      <c r="S1777" s="4">
        <f>IFERROR(IF(INDEX(Tbl_KPIMaster[Direction],MATCH($G1777,Tbl_KPIMaster[KPI],0))="Lower is Better",IF($J1777&lt;=$I1777,"Green",IF($J1777&lt;=$I1777+IF($I1777=0,$K1777,$I1777*$K1777),"Amber","Red")),IF($J1777&gt;=$I1777,"Green",IF($J1777&gt;=$I1777-IF($I1777=0,$K1777,$I1777*$K1777),"Amber","Red"))),"")</f>
        <v/>
      </c>
      <c r="T1777" s="6" t="inlineStr"/>
    </row>
    <row r="1778">
      <c r="A1778" s="7" t="n">
        <v>46218</v>
      </c>
      <c r="B1778" s="8">
        <f>IF($A1778="","",TEXT($A1778,"mmm-yyyy"))</f>
        <v/>
      </c>
      <c r="C1778" s="8">
        <f>IF($A1778="","","W"&amp;WEEKNUM($A1778,2))</f>
        <v/>
      </c>
      <c r="D1778" s="8">
        <f>IF($A1778="","",TEXT($A1778,"ddd"))</f>
        <v/>
      </c>
      <c r="E1778" s="8" t="inlineStr">
        <is>
          <t>Engineering</t>
        </is>
      </c>
      <c r="F1778" s="8">
        <f>IFERROR(INDEX(Tbl_KPIMaster[Category],MATCH($G1778,Tbl_KPIMaster[KPI],0)),"")</f>
        <v/>
      </c>
      <c r="G1778" s="8" t="inlineStr">
        <is>
          <t>Breakdown Resolution Time</t>
        </is>
      </c>
      <c r="H1778" s="8">
        <f>IFERROR(INDEX(Tbl_KPIMaster[Unit],MATCH($G1778,Tbl_KPIMaster[KPI],0)),"")</f>
        <v/>
      </c>
      <c r="I1778" s="9">
        <f>IFERROR(INDEX(Tbl_KPIMaster[Maximum Target],MATCH($G1778,Tbl_KPIMaster[KPI],0)),"")</f>
        <v/>
      </c>
      <c r="J1778" s="9" t="n">
        <v>0.43</v>
      </c>
      <c r="K1778" s="8">
        <f>IFERROR(INDEX(Tbl_KPIMaster[Tolerance],MATCH($G1778,Tbl_KPIMaster[KPI],0)),"")</f>
        <v/>
      </c>
      <c r="L1778" s="8">
        <f>IFERROR(INDEX(Tbl_KPIMaster[Owner],MATCH($G1778,Tbl_KPIMaster[KPI],0)),"")</f>
        <v/>
      </c>
      <c r="M1778" s="10" t="inlineStr">
        <is>
          <t>Equipment breakdown</t>
        </is>
      </c>
      <c r="N1778" s="8" t="inlineStr">
        <is>
          <t>Management approval pending</t>
        </is>
      </c>
      <c r="O1778" s="8" t="inlineStr">
        <is>
          <t>Medium</t>
        </is>
      </c>
      <c r="P1778" s="8" t="inlineStr">
        <is>
          <t>Closed</t>
        </is>
      </c>
      <c r="Q1778" s="9">
        <f>IFERROR(IF(INDEX(Tbl_KPIMaster[Direction],MATCH($G1778,Tbl_KPIMaster[KPI],0))="Lower is Better",IF($J1778=0,1,IF($I1778=0,0,$I1778/$J1778)),IF($I1778=0,1,$J1778/$I1778)),0)</f>
        <v/>
      </c>
      <c r="R1778" s="8">
        <f>IF(OR($I1778="",$J1778=""),"",$J1778-$I1778)</f>
        <v/>
      </c>
      <c r="S1778" s="8">
        <f>IFERROR(IF(INDEX(Tbl_KPIMaster[Direction],MATCH($G1778,Tbl_KPIMaster[KPI],0))="Lower is Better",IF($J1778&lt;=$I1778,"Green",IF($J1778&lt;=$I1778+IF($I1778=0,$K1778,$I1778*$K1778),"Amber","Red")),IF($J1778&gt;=$I1778,"Green",IF($J1778&gt;=$I1778-IF($I1778=0,$K1778,$I1778*$K1778),"Amber","Red"))),"")</f>
        <v/>
      </c>
      <c r="T1778" s="10" t="inlineStr"/>
    </row>
    <row r="1779">
      <c r="A1779" s="3" t="n">
        <v>46218</v>
      </c>
      <c r="B1779" s="4">
        <f>IF($A1779="","",TEXT($A1779,"mmm-yyyy"))</f>
        <v/>
      </c>
      <c r="C1779" s="4">
        <f>IF($A1779="","","W"&amp;WEEKNUM($A1779,2))</f>
        <v/>
      </c>
      <c r="D1779" s="4">
        <f>IF($A1779="","",TEXT($A1779,"ddd"))</f>
        <v/>
      </c>
      <c r="E1779" s="4" t="inlineStr">
        <is>
          <t>Cost</t>
        </is>
      </c>
      <c r="F1779" s="4">
        <f>IFERROR(INDEX(Tbl_KPIMaster[Category],MATCH($G1779,Tbl_KPIMaster[KPI],0)),"")</f>
        <v/>
      </c>
      <c r="G1779" s="4" t="inlineStr">
        <is>
          <t>Cost per Unit</t>
        </is>
      </c>
      <c r="H1779" s="4">
        <f>IFERROR(INDEX(Tbl_KPIMaster[Unit],MATCH($G1779,Tbl_KPIMaster[KPI],0)),"")</f>
        <v/>
      </c>
      <c r="I1779" s="5">
        <f>IFERROR(INDEX(Tbl_KPIMaster[Maximum Target],MATCH($G1779,Tbl_KPIMaster[KPI],0)),"")</f>
        <v/>
      </c>
      <c r="J1779" s="5" t="n">
        <v>35.85</v>
      </c>
      <c r="K1779" s="4">
        <f>IFERROR(INDEX(Tbl_KPIMaster[Tolerance],MATCH($G1779,Tbl_KPIMaster[KPI],0)),"")</f>
        <v/>
      </c>
      <c r="L1779" s="4">
        <f>IFERROR(INDEX(Tbl_KPIMaster[Owner],MATCH($G1779,Tbl_KPIMaster[KPI],0)),"")</f>
        <v/>
      </c>
      <c r="M1779" s="6" t="inlineStr">
        <is>
          <t>Line changeover impact</t>
        </is>
      </c>
      <c r="N1779" s="4" t="inlineStr"/>
      <c r="O1779" s="4" t="inlineStr">
        <is>
          <t>Medium</t>
        </is>
      </c>
      <c r="P1779" s="4" t="inlineStr">
        <is>
          <t>In Progress</t>
        </is>
      </c>
      <c r="Q1779" s="5">
        <f>IFERROR(IF(INDEX(Tbl_KPIMaster[Direction],MATCH($G1779,Tbl_KPIMaster[KPI],0))="Lower is Better",IF($J1779=0,1,IF($I1779=0,0,$I1779/$J1779)),IF($I1779=0,1,$J1779/$I1779)),0)</f>
        <v/>
      </c>
      <c r="R1779" s="4">
        <f>IF(OR($I1779="",$J1779=""),"",$J1779-$I1779)</f>
        <v/>
      </c>
      <c r="S1779" s="4">
        <f>IFERROR(IF(INDEX(Tbl_KPIMaster[Direction],MATCH($G1779,Tbl_KPIMaster[KPI],0))="Lower is Better",IF($J1779&lt;=$I1779,"Green",IF($J1779&lt;=$I1779+IF($I1779=0,$K1779,$I1779*$K1779),"Amber","Red")),IF($J1779&gt;=$I1779,"Green",IF($J1779&gt;=$I1779-IF($I1779=0,$K1779,$I1779*$K1779),"Amber","Red"))),"")</f>
        <v/>
      </c>
      <c r="T1779" s="6" t="inlineStr"/>
    </row>
    <row r="1780">
      <c r="A1780" s="7" t="n">
        <v>46218</v>
      </c>
      <c r="B1780" s="8">
        <f>IF($A1780="","",TEXT($A1780,"mmm-yyyy"))</f>
        <v/>
      </c>
      <c r="C1780" s="8">
        <f>IF($A1780="","","W"&amp;WEEKNUM($A1780,2))</f>
        <v/>
      </c>
      <c r="D1780" s="8">
        <f>IF($A1780="","",TEXT($A1780,"ddd"))</f>
        <v/>
      </c>
      <c r="E1780" s="8" t="inlineStr">
        <is>
          <t>Cost</t>
        </is>
      </c>
      <c r="F1780" s="8">
        <f>IFERROR(INDEX(Tbl_KPIMaster[Category],MATCH($G1780,Tbl_KPIMaster[KPI],0)),"")</f>
        <v/>
      </c>
      <c r="G1780" s="8" t="inlineStr">
        <is>
          <t>Budget Variance %</t>
        </is>
      </c>
      <c r="H1780" s="8">
        <f>IFERROR(INDEX(Tbl_KPIMaster[Unit],MATCH($G1780,Tbl_KPIMaster[KPI],0)),"")</f>
        <v/>
      </c>
      <c r="I1780" s="9">
        <f>IFERROR(INDEX(Tbl_KPIMaster[Maximum Target],MATCH($G1780,Tbl_KPIMaster[KPI],0)),"")</f>
        <v/>
      </c>
      <c r="J1780" s="9" t="n">
        <v>0.3444</v>
      </c>
      <c r="K1780" s="8">
        <f>IFERROR(INDEX(Tbl_KPIMaster[Tolerance],MATCH($G1780,Tbl_KPIMaster[KPI],0)),"")</f>
        <v/>
      </c>
      <c r="L1780" s="8">
        <f>IFERROR(INDEX(Tbl_KPIMaster[Owner],MATCH($G1780,Tbl_KPIMaster[KPI],0)),"")</f>
        <v/>
      </c>
      <c r="M1780" s="10" t="inlineStr">
        <is>
          <t>Preventive check done</t>
        </is>
      </c>
      <c r="N1780" s="8" t="inlineStr">
        <is>
          <t>Engineering support needed</t>
        </is>
      </c>
      <c r="O1780" s="8" t="inlineStr">
        <is>
          <t>Low</t>
        </is>
      </c>
      <c r="P1780" s="8" t="inlineStr">
        <is>
          <t>Open</t>
        </is>
      </c>
      <c r="Q1780" s="9">
        <f>IFERROR(IF(INDEX(Tbl_KPIMaster[Direction],MATCH($G1780,Tbl_KPIMaster[KPI],0))="Lower is Better",IF($J1780=0,1,IF($I1780=0,0,$I1780/$J1780)),IF($I1780=0,1,$J1780/$I1780)),0)</f>
        <v/>
      </c>
      <c r="R1780" s="8">
        <f>IF(OR($I1780="",$J1780=""),"",$J1780-$I1780)</f>
        <v/>
      </c>
      <c r="S1780" s="8">
        <f>IFERROR(IF(INDEX(Tbl_KPIMaster[Direction],MATCH($G1780,Tbl_KPIMaster[KPI],0))="Lower is Better",IF($J1780&lt;=$I1780,"Green",IF($J1780&lt;=$I1780+IF($I1780=0,$K1780,$I1780*$K1780),"Amber","Red")),IF($J1780&gt;=$I1780,"Green",IF($J1780&gt;=$I1780-IF($I1780=0,$K1780,$I1780*$K1780),"Amber","Red"))),"")</f>
        <v/>
      </c>
      <c r="T1780" s="10" t="inlineStr"/>
    </row>
    <row r="1781">
      <c r="A1781" s="3" t="n">
        <v>46218</v>
      </c>
      <c r="B1781" s="4">
        <f>IF($A1781="","",TEXT($A1781,"mmm-yyyy"))</f>
        <v/>
      </c>
      <c r="C1781" s="4">
        <f>IF($A1781="","","W"&amp;WEEKNUM($A1781,2))</f>
        <v/>
      </c>
      <c r="D1781" s="4">
        <f>IF($A1781="","",TEXT($A1781,"ddd"))</f>
        <v/>
      </c>
      <c r="E1781" s="4" t="inlineStr">
        <is>
          <t>Energy</t>
        </is>
      </c>
      <c r="F1781" s="4">
        <f>IFERROR(INDEX(Tbl_KPIMaster[Category],MATCH($G1781,Tbl_KPIMaster[KPI],0)),"")</f>
        <v/>
      </c>
      <c r="G1781" s="4" t="inlineStr">
        <is>
          <t>Energy Intensity (kWh/unit)</t>
        </is>
      </c>
      <c r="H1781" s="4">
        <f>IFERROR(INDEX(Tbl_KPIMaster[Unit],MATCH($G1781,Tbl_KPIMaster[KPI],0)),"")</f>
        <v/>
      </c>
      <c r="I1781" s="5">
        <f>IFERROR(INDEX(Tbl_KPIMaster[Maximum Target],MATCH($G1781,Tbl_KPIMaster[KPI],0)),"")</f>
        <v/>
      </c>
      <c r="J1781" s="5" t="n">
        <v>4.39</v>
      </c>
      <c r="K1781" s="4">
        <f>IFERROR(INDEX(Tbl_KPIMaster[Tolerance],MATCH($G1781,Tbl_KPIMaster[KPI],0)),"")</f>
        <v/>
      </c>
      <c r="L1781" s="4">
        <f>IFERROR(INDEX(Tbl_KPIMaster[Owner],MATCH($G1781,Tbl_KPIMaster[KPI],0)),"")</f>
        <v/>
      </c>
      <c r="M1781" s="6" t="inlineStr">
        <is>
          <t>Awaiting spares</t>
        </is>
      </c>
      <c r="N1781" s="4" t="inlineStr">
        <is>
          <t>Management approval pending</t>
        </is>
      </c>
      <c r="O1781" s="4" t="inlineStr">
        <is>
          <t>Low</t>
        </is>
      </c>
      <c r="P1781" s="4" t="inlineStr">
        <is>
          <t>Closed</t>
        </is>
      </c>
      <c r="Q1781" s="5">
        <f>IFERROR(IF(INDEX(Tbl_KPIMaster[Direction],MATCH($G1781,Tbl_KPIMaster[KPI],0))="Lower is Better",IF($J1781=0,1,IF($I1781=0,0,$I1781/$J1781)),IF($I1781=0,1,$J1781/$I1781)),0)</f>
        <v/>
      </c>
      <c r="R1781" s="4">
        <f>IF(OR($I1781="",$J1781=""),"",$J1781-$I1781)</f>
        <v/>
      </c>
      <c r="S1781" s="4">
        <f>IFERROR(IF(INDEX(Tbl_KPIMaster[Direction],MATCH($G1781,Tbl_KPIMaster[KPI],0))="Lower is Better",IF($J1781&lt;=$I1781,"Green",IF($J1781&lt;=$I1781+IF($I1781=0,$K1781,$I1781*$K1781),"Amber","Red")),IF($J1781&gt;=$I1781,"Green",IF($J1781&gt;=$I1781-IF($I1781=0,$K1781,$I1781*$K1781),"Amber","Red"))),"")</f>
        <v/>
      </c>
      <c r="T1781" s="6" t="inlineStr"/>
    </row>
    <row r="1782">
      <c r="A1782" s="7" t="n">
        <v>46218</v>
      </c>
      <c r="B1782" s="8">
        <f>IF($A1782="","",TEXT($A1782,"mmm-yyyy"))</f>
        <v/>
      </c>
      <c r="C1782" s="8">
        <f>IF($A1782="","","W"&amp;WEEKNUM($A1782,2))</f>
        <v/>
      </c>
      <c r="D1782" s="8">
        <f>IF($A1782="","",TEXT($A1782,"ddd"))</f>
        <v/>
      </c>
      <c r="E1782" s="8" t="inlineStr">
        <is>
          <t>Energy</t>
        </is>
      </c>
      <c r="F1782" s="8">
        <f>IFERROR(INDEX(Tbl_KPIMaster[Category],MATCH($G1782,Tbl_KPIMaster[KPI],0)),"")</f>
        <v/>
      </c>
      <c r="G1782" s="8" t="inlineStr">
        <is>
          <t>Renewable Energy Share %</t>
        </is>
      </c>
      <c r="H1782" s="8">
        <f>IFERROR(INDEX(Tbl_KPIMaster[Unit],MATCH($G1782,Tbl_KPIMaster[KPI],0)),"")</f>
        <v/>
      </c>
      <c r="I1782" s="9">
        <f>IFERROR(INDEX(Tbl_KPIMaster[Maximum Target],MATCH($G1782,Tbl_KPIMaster[KPI],0)),"")</f>
        <v/>
      </c>
      <c r="J1782" s="9" t="n">
        <v>0.2694</v>
      </c>
      <c r="K1782" s="8">
        <f>IFERROR(INDEX(Tbl_KPIMaster[Tolerance],MATCH($G1782,Tbl_KPIMaster[KPI],0)),"")</f>
        <v/>
      </c>
      <c r="L1782" s="8">
        <f>IFERROR(INDEX(Tbl_KPIMaster[Owner],MATCH($G1782,Tbl_KPIMaster[KPI],0)),"")</f>
        <v/>
      </c>
      <c r="M1782" s="10" t="inlineStr">
        <is>
          <t>Within normal range</t>
        </is>
      </c>
      <c r="N1782" s="8" t="inlineStr"/>
      <c r="O1782" s="8" t="inlineStr">
        <is>
          <t>Low</t>
        </is>
      </c>
      <c r="P1782" s="8" t="inlineStr">
        <is>
          <t>In Progress</t>
        </is>
      </c>
      <c r="Q1782" s="9">
        <f>IFERROR(IF(INDEX(Tbl_KPIMaster[Direction],MATCH($G1782,Tbl_KPIMaster[KPI],0))="Lower is Better",IF($J1782=0,1,IF($I1782=0,0,$I1782/$J1782)),IF($I1782=0,1,$J1782/$I1782)),0)</f>
        <v/>
      </c>
      <c r="R1782" s="8">
        <f>IF(OR($I1782="",$J1782=""),"",$J1782-$I1782)</f>
        <v/>
      </c>
      <c r="S1782" s="8">
        <f>IFERROR(IF(INDEX(Tbl_KPIMaster[Direction],MATCH($G1782,Tbl_KPIMaster[KPI],0))="Lower is Better",IF($J1782&lt;=$I1782,"Green",IF($J1782&lt;=$I1782+IF($I1782=0,$K1782,$I1782*$K1782),"Amber","Red")),IF($J1782&gt;=$I1782,"Green",IF($J1782&gt;=$I1782-IF($I1782=0,$K1782,$I1782*$K1782),"Amber","Red"))),"")</f>
        <v/>
      </c>
      <c r="T1782" s="10" t="inlineStr"/>
    </row>
    <row r="1783">
      <c r="A1783" s="3" t="n">
        <v>46219</v>
      </c>
      <c r="B1783" s="4">
        <f>IF($A1783="","",TEXT($A1783,"mmm-yyyy"))</f>
        <v/>
      </c>
      <c r="C1783" s="4">
        <f>IF($A1783="","","W"&amp;WEEKNUM($A1783,2))</f>
        <v/>
      </c>
      <c r="D1783" s="4">
        <f>IF($A1783="","",TEXT($A1783,"ddd"))</f>
        <v/>
      </c>
      <c r="E1783" s="4" t="inlineStr">
        <is>
          <t>Safety</t>
        </is>
      </c>
      <c r="F1783" s="4">
        <f>IFERROR(INDEX(Tbl_KPIMaster[Category],MATCH($G1783,Tbl_KPIMaster[KPI],0)),"")</f>
        <v/>
      </c>
      <c r="G1783" s="4" t="inlineStr">
        <is>
          <t>Safety Incidents (LTI)</t>
        </is>
      </c>
      <c r="H1783" s="4">
        <f>IFERROR(INDEX(Tbl_KPIMaster[Unit],MATCH($G1783,Tbl_KPIMaster[KPI],0)),"")</f>
        <v/>
      </c>
      <c r="I1783" s="5">
        <f>IFERROR(INDEX(Tbl_KPIMaster[Maximum Target],MATCH($G1783,Tbl_KPIMaster[KPI],0)),"")</f>
        <v/>
      </c>
      <c r="J1783" s="5" t="n">
        <v>0</v>
      </c>
      <c r="K1783" s="4">
        <f>IFERROR(INDEX(Tbl_KPIMaster[Tolerance],MATCH($G1783,Tbl_KPIMaster[KPI],0)),"")</f>
        <v/>
      </c>
      <c r="L1783" s="4">
        <f>IFERROR(INDEX(Tbl_KPIMaster[Owner],MATCH($G1783,Tbl_KPIMaster[KPI],0)),"")</f>
        <v/>
      </c>
      <c r="M1783" s="6" t="inlineStr">
        <is>
          <t>Equipment breakdown</t>
        </is>
      </c>
      <c r="N1783" s="4" t="inlineStr">
        <is>
          <t>Engineering support needed</t>
        </is>
      </c>
      <c r="O1783" s="4" t="inlineStr">
        <is>
          <t>Medium</t>
        </is>
      </c>
      <c r="P1783" s="4" t="inlineStr">
        <is>
          <t>In Progress</t>
        </is>
      </c>
      <c r="Q1783" s="5">
        <f>IFERROR(IF(INDEX(Tbl_KPIMaster[Direction],MATCH($G1783,Tbl_KPIMaster[KPI],0))="Lower is Better",IF($J1783=0,1,IF($I1783=0,0,$I1783/$J1783)),IF($I1783=0,1,$J1783/$I1783)),0)</f>
        <v/>
      </c>
      <c r="R1783" s="4">
        <f>IF(OR($I1783="",$J1783=""),"",$J1783-$I1783)</f>
        <v/>
      </c>
      <c r="S1783" s="4">
        <f>IFERROR(IF(INDEX(Tbl_KPIMaster[Direction],MATCH($G1783,Tbl_KPIMaster[KPI],0))="Lower is Better",IF($J1783&lt;=$I1783,"Green",IF($J1783&lt;=$I1783+IF($I1783=0,$K1783,$I1783*$K1783),"Amber","Red")),IF($J1783&gt;=$I1783,"Green",IF($J1783&gt;=$I1783-IF($I1783=0,$K1783,$I1783*$K1783),"Amber","Red"))),"")</f>
        <v/>
      </c>
      <c r="T1783" s="6" t="inlineStr"/>
    </row>
    <row r="1784">
      <c r="A1784" s="7" t="n">
        <v>46219</v>
      </c>
      <c r="B1784" s="8">
        <f>IF($A1784="","",TEXT($A1784,"mmm-yyyy"))</f>
        <v/>
      </c>
      <c r="C1784" s="8">
        <f>IF($A1784="","","W"&amp;WEEKNUM($A1784,2))</f>
        <v/>
      </c>
      <c r="D1784" s="8">
        <f>IF($A1784="","",TEXT($A1784,"ddd"))</f>
        <v/>
      </c>
      <c r="E1784" s="8" t="inlineStr">
        <is>
          <t>Safety</t>
        </is>
      </c>
      <c r="F1784" s="8">
        <f>IFERROR(INDEX(Tbl_KPIMaster[Category],MATCH($G1784,Tbl_KPIMaster[KPI],0)),"")</f>
        <v/>
      </c>
      <c r="G1784" s="8" t="inlineStr">
        <is>
          <t>Near Miss Reports</t>
        </is>
      </c>
      <c r="H1784" s="8">
        <f>IFERROR(INDEX(Tbl_KPIMaster[Unit],MATCH($G1784,Tbl_KPIMaster[KPI],0)),"")</f>
        <v/>
      </c>
      <c r="I1784" s="9">
        <f>IFERROR(INDEX(Tbl_KPIMaster[Maximum Target],MATCH($G1784,Tbl_KPIMaster[KPI],0)),"")</f>
        <v/>
      </c>
      <c r="J1784" s="9" t="n">
        <v>2</v>
      </c>
      <c r="K1784" s="8">
        <f>IFERROR(INDEX(Tbl_KPIMaster[Tolerance],MATCH($G1784,Tbl_KPIMaster[KPI],0)),"")</f>
        <v/>
      </c>
      <c r="L1784" s="8">
        <f>IFERROR(INDEX(Tbl_KPIMaster[Owner],MATCH($G1784,Tbl_KPIMaster[KPI],0)),"")</f>
        <v/>
      </c>
      <c r="M1784" s="10" t="inlineStr">
        <is>
          <t>Manpower shortage</t>
        </is>
      </c>
      <c r="N1784" s="8" t="inlineStr"/>
      <c r="O1784" s="8" t="inlineStr">
        <is>
          <t>Low</t>
        </is>
      </c>
      <c r="P1784" s="8" t="inlineStr">
        <is>
          <t>Closed</t>
        </is>
      </c>
      <c r="Q1784" s="9">
        <f>IFERROR(IF(INDEX(Tbl_KPIMaster[Direction],MATCH($G1784,Tbl_KPIMaster[KPI],0))="Lower is Better",IF($J1784=0,1,IF($I1784=0,0,$I1784/$J1784)),IF($I1784=0,1,$J1784/$I1784)),0)</f>
        <v/>
      </c>
      <c r="R1784" s="8">
        <f>IF(OR($I1784="",$J1784=""),"",$J1784-$I1784)</f>
        <v/>
      </c>
      <c r="S1784" s="8">
        <f>IFERROR(IF(INDEX(Tbl_KPIMaster[Direction],MATCH($G1784,Tbl_KPIMaster[KPI],0))="Lower is Better",IF($J1784&lt;=$I1784,"Green",IF($J1784&lt;=$I1784+IF($I1784=0,$K1784,$I1784*$K1784),"Amber","Red")),IF($J1784&gt;=$I1784,"Green",IF($J1784&gt;=$I1784-IF($I1784=0,$K1784,$I1784*$K1784),"Amber","Red"))),"")</f>
        <v/>
      </c>
      <c r="T1784" s="10" t="inlineStr"/>
    </row>
    <row r="1785">
      <c r="A1785" s="3" t="n">
        <v>46219</v>
      </c>
      <c r="B1785" s="4">
        <f>IF($A1785="","",TEXT($A1785,"mmm-yyyy"))</f>
        <v/>
      </c>
      <c r="C1785" s="4">
        <f>IF($A1785="","","W"&amp;WEEKNUM($A1785,2))</f>
        <v/>
      </c>
      <c r="D1785" s="4">
        <f>IF($A1785="","",TEXT($A1785,"ddd"))</f>
        <v/>
      </c>
      <c r="E1785" s="4" t="inlineStr">
        <is>
          <t>Production</t>
        </is>
      </c>
      <c r="F1785" s="4">
        <f>IFERROR(INDEX(Tbl_KPIMaster[Category],MATCH($G1785,Tbl_KPIMaster[KPI],0)),"")</f>
        <v/>
      </c>
      <c r="G1785" s="4" t="inlineStr">
        <is>
          <t>Production Output</t>
        </is>
      </c>
      <c r="H1785" s="4">
        <f>IFERROR(INDEX(Tbl_KPIMaster[Unit],MATCH($G1785,Tbl_KPIMaster[KPI],0)),"")</f>
        <v/>
      </c>
      <c r="I1785" s="5">
        <f>IFERROR(INDEX(Tbl_KPIMaster[Maximum Target],MATCH($G1785,Tbl_KPIMaster[KPI],0)),"")</f>
        <v/>
      </c>
      <c r="J1785" s="5" t="n">
        <v>1062.1</v>
      </c>
      <c r="K1785" s="4">
        <f>IFERROR(INDEX(Tbl_KPIMaster[Tolerance],MATCH($G1785,Tbl_KPIMaster[KPI],0)),"")</f>
        <v/>
      </c>
      <c r="L1785" s="4">
        <f>IFERROR(INDEX(Tbl_KPIMaster[Owner],MATCH($G1785,Tbl_KPIMaster[KPI],0)),"")</f>
        <v/>
      </c>
      <c r="M1785" s="6" t="inlineStr">
        <is>
          <t>Vendor delay</t>
        </is>
      </c>
      <c r="N1785" s="4" t="inlineStr"/>
      <c r="O1785" s="4" t="inlineStr">
        <is>
          <t>High</t>
        </is>
      </c>
      <c r="P1785" s="4" t="inlineStr">
        <is>
          <t>Closed</t>
        </is>
      </c>
      <c r="Q1785" s="5">
        <f>IFERROR(IF(INDEX(Tbl_KPIMaster[Direction],MATCH($G1785,Tbl_KPIMaster[KPI],0))="Lower is Better",IF($J1785=0,1,IF($I1785=0,0,$I1785/$J1785)),IF($I1785=0,1,$J1785/$I1785)),0)</f>
        <v/>
      </c>
      <c r="R1785" s="4">
        <f>IF(OR($I1785="",$J1785=""),"",$J1785-$I1785)</f>
        <v/>
      </c>
      <c r="S1785" s="4">
        <f>IFERROR(IF(INDEX(Tbl_KPIMaster[Direction],MATCH($G1785,Tbl_KPIMaster[KPI],0))="Lower is Better",IF($J1785&lt;=$I1785,"Green",IF($J1785&lt;=$I1785+IF($I1785=0,$K1785,$I1785*$K1785),"Amber","Red")),IF($J1785&gt;=$I1785,"Green",IF($J1785&gt;=$I1785-IF($I1785=0,$K1785,$I1785*$K1785),"Amber","Red"))),"")</f>
        <v/>
      </c>
      <c r="T1785" s="6" t="inlineStr"/>
    </row>
    <row r="1786">
      <c r="A1786" s="7" t="n">
        <v>46219</v>
      </c>
      <c r="B1786" s="8">
        <f>IF($A1786="","",TEXT($A1786,"mmm-yyyy"))</f>
        <v/>
      </c>
      <c r="C1786" s="8">
        <f>IF($A1786="","","W"&amp;WEEKNUM($A1786,2))</f>
        <v/>
      </c>
      <c r="D1786" s="8">
        <f>IF($A1786="","",TEXT($A1786,"ddd"))</f>
        <v/>
      </c>
      <c r="E1786" s="8" t="inlineStr">
        <is>
          <t>Production</t>
        </is>
      </c>
      <c r="F1786" s="8">
        <f>IFERROR(INDEX(Tbl_KPIMaster[Category],MATCH($G1786,Tbl_KPIMaster[KPI],0)),"")</f>
        <v/>
      </c>
      <c r="G1786" s="8" t="inlineStr">
        <is>
          <t>OEE %</t>
        </is>
      </c>
      <c r="H1786" s="8">
        <f>IFERROR(INDEX(Tbl_KPIMaster[Unit],MATCH($G1786,Tbl_KPIMaster[KPI],0)),"")</f>
        <v/>
      </c>
      <c r="I1786" s="9">
        <f>IFERROR(INDEX(Tbl_KPIMaster[Maximum Target],MATCH($G1786,Tbl_KPIMaster[KPI],0)),"")</f>
        <v/>
      </c>
      <c r="J1786" s="9" t="n">
        <v>0.8351</v>
      </c>
      <c r="K1786" s="8">
        <f>IFERROR(INDEX(Tbl_KPIMaster[Tolerance],MATCH($G1786,Tbl_KPIMaster[KPI],0)),"")</f>
        <v/>
      </c>
      <c r="L1786" s="8">
        <f>IFERROR(INDEX(Tbl_KPIMaster[Owner],MATCH($G1786,Tbl_KPIMaster[KPI],0)),"")</f>
        <v/>
      </c>
      <c r="M1786" s="10" t="inlineStr">
        <is>
          <t>Within normal range</t>
        </is>
      </c>
      <c r="N1786" s="8" t="inlineStr">
        <is>
          <t>Management approval pending</t>
        </is>
      </c>
      <c r="O1786" s="8" t="inlineStr">
        <is>
          <t>Low</t>
        </is>
      </c>
      <c r="P1786" s="8" t="inlineStr">
        <is>
          <t>Closed</t>
        </is>
      </c>
      <c r="Q1786" s="9">
        <f>IFERROR(IF(INDEX(Tbl_KPIMaster[Direction],MATCH($G1786,Tbl_KPIMaster[KPI],0))="Lower is Better",IF($J1786=0,1,IF($I1786=0,0,$I1786/$J1786)),IF($I1786=0,1,$J1786/$I1786)),0)</f>
        <v/>
      </c>
      <c r="R1786" s="8">
        <f>IF(OR($I1786="",$J1786=""),"",$J1786-$I1786)</f>
        <v/>
      </c>
      <c r="S1786" s="8">
        <f>IFERROR(IF(INDEX(Tbl_KPIMaster[Direction],MATCH($G1786,Tbl_KPIMaster[KPI],0))="Lower is Better",IF($J1786&lt;=$I1786,"Green",IF($J1786&lt;=$I1786+IF($I1786=0,$K1786,$I1786*$K1786),"Amber","Red")),IF($J1786&gt;=$I1786,"Green",IF($J1786&gt;=$I1786-IF($I1786=0,$K1786,$I1786*$K1786),"Amber","Red"))),"")</f>
        <v/>
      </c>
      <c r="T1786" s="10" t="inlineStr"/>
    </row>
    <row r="1787">
      <c r="A1787" s="3" t="n">
        <v>46219</v>
      </c>
      <c r="B1787" s="4">
        <f>IF($A1787="","",TEXT($A1787,"mmm-yyyy"))</f>
        <v/>
      </c>
      <c r="C1787" s="4">
        <f>IF($A1787="","","W"&amp;WEEKNUM($A1787,2))</f>
        <v/>
      </c>
      <c r="D1787" s="4">
        <f>IF($A1787="","",TEXT($A1787,"ddd"))</f>
        <v/>
      </c>
      <c r="E1787" s="4" t="inlineStr">
        <is>
          <t>Quality</t>
        </is>
      </c>
      <c r="F1787" s="4">
        <f>IFERROR(INDEX(Tbl_KPIMaster[Category],MATCH($G1787,Tbl_KPIMaster[KPI],0)),"")</f>
        <v/>
      </c>
      <c r="G1787" s="4" t="inlineStr">
        <is>
          <t>Defect Rate %</t>
        </is>
      </c>
      <c r="H1787" s="4">
        <f>IFERROR(INDEX(Tbl_KPIMaster[Unit],MATCH($G1787,Tbl_KPIMaster[KPI],0)),"")</f>
        <v/>
      </c>
      <c r="I1787" s="5">
        <f>IFERROR(INDEX(Tbl_KPIMaster[Maximum Target],MATCH($G1787,Tbl_KPIMaster[KPI],0)),"")</f>
        <v/>
      </c>
      <c r="J1787" s="5" t="n">
        <v>1.116</v>
      </c>
      <c r="K1787" s="4">
        <f>IFERROR(INDEX(Tbl_KPIMaster[Tolerance],MATCH($G1787,Tbl_KPIMaster[KPI],0)),"")</f>
        <v/>
      </c>
      <c r="L1787" s="4">
        <f>IFERROR(INDEX(Tbl_KPIMaster[Owner],MATCH($G1787,Tbl_KPIMaster[KPI],0)),"")</f>
        <v/>
      </c>
      <c r="M1787" s="6" t="inlineStr">
        <is>
          <t>Vendor delay</t>
        </is>
      </c>
      <c r="N1787" s="4" t="inlineStr"/>
      <c r="O1787" s="4" t="inlineStr">
        <is>
          <t>High</t>
        </is>
      </c>
      <c r="P1787" s="4" t="inlineStr">
        <is>
          <t>Closed</t>
        </is>
      </c>
      <c r="Q1787" s="5">
        <f>IFERROR(IF(INDEX(Tbl_KPIMaster[Direction],MATCH($G1787,Tbl_KPIMaster[KPI],0))="Lower is Better",IF($J1787=0,1,IF($I1787=0,0,$I1787/$J1787)),IF($I1787=0,1,$J1787/$I1787)),0)</f>
        <v/>
      </c>
      <c r="R1787" s="4">
        <f>IF(OR($I1787="",$J1787=""),"",$J1787-$I1787)</f>
        <v/>
      </c>
      <c r="S1787" s="4">
        <f>IFERROR(IF(INDEX(Tbl_KPIMaster[Direction],MATCH($G1787,Tbl_KPIMaster[KPI],0))="Lower is Better",IF($J1787&lt;=$I1787,"Green",IF($J1787&lt;=$I1787+IF($I1787=0,$K1787,$I1787*$K1787),"Amber","Red")),IF($J1787&gt;=$I1787,"Green",IF($J1787&gt;=$I1787-IF($I1787=0,$K1787,$I1787*$K1787),"Amber","Red"))),"")</f>
        <v/>
      </c>
      <c r="T1787" s="6" t="inlineStr"/>
    </row>
    <row r="1788">
      <c r="A1788" s="7" t="n">
        <v>46219</v>
      </c>
      <c r="B1788" s="8">
        <f>IF($A1788="","",TEXT($A1788,"mmm-yyyy"))</f>
        <v/>
      </c>
      <c r="C1788" s="8">
        <f>IF($A1788="","","W"&amp;WEEKNUM($A1788,2))</f>
        <v/>
      </c>
      <c r="D1788" s="8">
        <f>IF($A1788="","",TEXT($A1788,"ddd"))</f>
        <v/>
      </c>
      <c r="E1788" s="8" t="inlineStr">
        <is>
          <t>Quality</t>
        </is>
      </c>
      <c r="F1788" s="8">
        <f>IFERROR(INDEX(Tbl_KPIMaster[Category],MATCH($G1788,Tbl_KPIMaster[KPI],0)),"")</f>
        <v/>
      </c>
      <c r="G1788" s="8" t="inlineStr">
        <is>
          <t>Customer Complaints</t>
        </is>
      </c>
      <c r="H1788" s="8">
        <f>IFERROR(INDEX(Tbl_KPIMaster[Unit],MATCH($G1788,Tbl_KPIMaster[KPI],0)),"")</f>
        <v/>
      </c>
      <c r="I1788" s="9">
        <f>IFERROR(INDEX(Tbl_KPIMaster[Maximum Target],MATCH($G1788,Tbl_KPIMaster[KPI],0)),"")</f>
        <v/>
      </c>
      <c r="J1788" s="9" t="n">
        <v>1</v>
      </c>
      <c r="K1788" s="8">
        <f>IFERROR(INDEX(Tbl_KPIMaster[Tolerance],MATCH($G1788,Tbl_KPIMaster[KPI],0)),"")</f>
        <v/>
      </c>
      <c r="L1788" s="8">
        <f>IFERROR(INDEX(Tbl_KPIMaster[Owner],MATCH($G1788,Tbl_KPIMaster[KPI],0)),"")</f>
        <v/>
      </c>
      <c r="M1788" s="10" t="inlineStr">
        <is>
          <t>Within normal range</t>
        </is>
      </c>
      <c r="N1788" s="8" t="inlineStr">
        <is>
          <t>Procurement follow-up</t>
        </is>
      </c>
      <c r="O1788" s="8" t="inlineStr">
        <is>
          <t>Low</t>
        </is>
      </c>
      <c r="P1788" s="8" t="inlineStr">
        <is>
          <t>Closed</t>
        </is>
      </c>
      <c r="Q1788" s="9">
        <f>IFERROR(IF(INDEX(Tbl_KPIMaster[Direction],MATCH($G1788,Tbl_KPIMaster[KPI],0))="Lower is Better",IF($J1788=0,1,IF($I1788=0,0,$I1788/$J1788)),IF($I1788=0,1,$J1788/$I1788)),0)</f>
        <v/>
      </c>
      <c r="R1788" s="8">
        <f>IF(OR($I1788="",$J1788=""),"",$J1788-$I1788)</f>
        <v/>
      </c>
      <c r="S1788" s="8">
        <f>IFERROR(IF(INDEX(Tbl_KPIMaster[Direction],MATCH($G1788,Tbl_KPIMaster[KPI],0))="Lower is Better",IF($J1788&lt;=$I1788,"Green",IF($J1788&lt;=$I1788+IF($I1788=0,$K1788,$I1788*$K1788),"Amber","Red")),IF($J1788&gt;=$I1788,"Green",IF($J1788&gt;=$I1788-IF($I1788=0,$K1788,$I1788*$K1788),"Amber","Red"))),"")</f>
        <v/>
      </c>
      <c r="T1788" s="10" t="inlineStr"/>
    </row>
    <row r="1789">
      <c r="A1789" s="3" t="n">
        <v>46219</v>
      </c>
      <c r="B1789" s="4">
        <f>IF($A1789="","",TEXT($A1789,"mmm-yyyy"))</f>
        <v/>
      </c>
      <c r="C1789" s="4">
        <f>IF($A1789="","","W"&amp;WEEKNUM($A1789,2))</f>
        <v/>
      </c>
      <c r="D1789" s="4">
        <f>IF($A1789="","",TEXT($A1789,"ddd"))</f>
        <v/>
      </c>
      <c r="E1789" s="4" t="inlineStr">
        <is>
          <t>Maintenance</t>
        </is>
      </c>
      <c r="F1789" s="4">
        <f>IFERROR(INDEX(Tbl_KPIMaster[Category],MATCH($G1789,Tbl_KPIMaster[KPI],0)),"")</f>
        <v/>
      </c>
      <c r="G1789" s="4" t="inlineStr">
        <is>
          <t>Unplanned Downtime</t>
        </is>
      </c>
      <c r="H1789" s="4">
        <f>IFERROR(INDEX(Tbl_KPIMaster[Unit],MATCH($G1789,Tbl_KPIMaster[KPI],0)),"")</f>
        <v/>
      </c>
      <c r="I1789" s="5">
        <f>IFERROR(INDEX(Tbl_KPIMaster[Maximum Target],MATCH($G1789,Tbl_KPIMaster[KPI],0)),"")</f>
        <v/>
      </c>
      <c r="J1789" s="5" t="n">
        <v>0</v>
      </c>
      <c r="K1789" s="4">
        <f>IFERROR(INDEX(Tbl_KPIMaster[Tolerance],MATCH($G1789,Tbl_KPIMaster[KPI],0)),"")</f>
        <v/>
      </c>
      <c r="L1789" s="4">
        <f>IFERROR(INDEX(Tbl_KPIMaster[Owner],MATCH($G1789,Tbl_KPIMaster[KPI],0)),"")</f>
        <v/>
      </c>
      <c r="M1789" s="6" t="inlineStr">
        <is>
          <t>Within normal range</t>
        </is>
      </c>
      <c r="N1789" s="4" t="inlineStr">
        <is>
          <t>Engineering support needed</t>
        </is>
      </c>
      <c r="O1789" s="4" t="inlineStr">
        <is>
          <t>High</t>
        </is>
      </c>
      <c r="P1789" s="4" t="inlineStr">
        <is>
          <t>Closed</t>
        </is>
      </c>
      <c r="Q1789" s="5">
        <f>IFERROR(IF(INDEX(Tbl_KPIMaster[Direction],MATCH($G1789,Tbl_KPIMaster[KPI],0))="Lower is Better",IF($J1789=0,1,IF($I1789=0,0,$I1789/$J1789)),IF($I1789=0,1,$J1789/$I1789)),0)</f>
        <v/>
      </c>
      <c r="R1789" s="4">
        <f>IF(OR($I1789="",$J1789=""),"",$J1789-$I1789)</f>
        <v/>
      </c>
      <c r="S1789" s="4">
        <f>IFERROR(IF(INDEX(Tbl_KPIMaster[Direction],MATCH($G1789,Tbl_KPIMaster[KPI],0))="Lower is Better",IF($J1789&lt;=$I1789,"Green",IF($J1789&lt;=$I1789+IF($I1789=0,$K1789,$I1789*$K1789),"Amber","Red")),IF($J1789&gt;=$I1789,"Green",IF($J1789&gt;=$I1789-IF($I1789=0,$K1789,$I1789*$K1789),"Amber","Red"))),"")</f>
        <v/>
      </c>
      <c r="T1789" s="6" t="inlineStr"/>
    </row>
    <row r="1790">
      <c r="A1790" s="7" t="n">
        <v>46219</v>
      </c>
      <c r="B1790" s="8">
        <f>IF($A1790="","",TEXT($A1790,"mmm-yyyy"))</f>
        <v/>
      </c>
      <c r="C1790" s="8">
        <f>IF($A1790="","","W"&amp;WEEKNUM($A1790,2))</f>
        <v/>
      </c>
      <c r="D1790" s="8">
        <f>IF($A1790="","",TEXT($A1790,"ddd"))</f>
        <v/>
      </c>
      <c r="E1790" s="8" t="inlineStr">
        <is>
          <t>Maintenance</t>
        </is>
      </c>
      <c r="F1790" s="8">
        <f>IFERROR(INDEX(Tbl_KPIMaster[Category],MATCH($G1790,Tbl_KPIMaster[KPI],0)),"")</f>
        <v/>
      </c>
      <c r="G1790" s="8" t="inlineStr">
        <is>
          <t>PM Compliance %</t>
        </is>
      </c>
      <c r="H1790" s="8">
        <f>IFERROR(INDEX(Tbl_KPIMaster[Unit],MATCH($G1790,Tbl_KPIMaster[KPI],0)),"")</f>
        <v/>
      </c>
      <c r="I1790" s="9">
        <f>IFERROR(INDEX(Tbl_KPIMaster[Maximum Target],MATCH($G1790,Tbl_KPIMaster[KPI],0)),"")</f>
        <v/>
      </c>
      <c r="J1790" s="9" t="n">
        <v>0.9858</v>
      </c>
      <c r="K1790" s="8">
        <f>IFERROR(INDEX(Tbl_KPIMaster[Tolerance],MATCH($G1790,Tbl_KPIMaster[KPI],0)),"")</f>
        <v/>
      </c>
      <c r="L1790" s="8">
        <f>IFERROR(INDEX(Tbl_KPIMaster[Owner],MATCH($G1790,Tbl_KPIMaster[KPI],0)),"")</f>
        <v/>
      </c>
      <c r="M1790" s="10" t="inlineStr">
        <is>
          <t>Within normal range</t>
        </is>
      </c>
      <c r="N1790" s="8" t="inlineStr"/>
      <c r="O1790" s="8" t="inlineStr">
        <is>
          <t>Medium</t>
        </is>
      </c>
      <c r="P1790" s="8" t="inlineStr">
        <is>
          <t>In Progress</t>
        </is>
      </c>
      <c r="Q1790" s="9">
        <f>IFERROR(IF(INDEX(Tbl_KPIMaster[Direction],MATCH($G1790,Tbl_KPIMaster[KPI],0))="Lower is Better",IF($J1790=0,1,IF($I1790=0,0,$I1790/$J1790)),IF($I1790=0,1,$J1790/$I1790)),0)</f>
        <v/>
      </c>
      <c r="R1790" s="8">
        <f>IF(OR($I1790="",$J1790=""),"",$J1790-$I1790)</f>
        <v/>
      </c>
      <c r="S1790" s="8">
        <f>IFERROR(IF(INDEX(Tbl_KPIMaster[Direction],MATCH($G1790,Tbl_KPIMaster[KPI],0))="Lower is Better",IF($J1790&lt;=$I1790,"Green",IF($J1790&lt;=$I1790+IF($I1790=0,$K1790,$I1790*$K1790),"Amber","Red")),IF($J1790&gt;=$I1790,"Green",IF($J1790&gt;=$I1790-IF($I1790=0,$K1790,$I1790*$K1790),"Amber","Red"))),"")</f>
        <v/>
      </c>
      <c r="T1790" s="10" t="inlineStr"/>
    </row>
    <row r="1791">
      <c r="A1791" s="3" t="n">
        <v>46219</v>
      </c>
      <c r="B1791" s="4">
        <f>IF($A1791="","",TEXT($A1791,"mmm-yyyy"))</f>
        <v/>
      </c>
      <c r="C1791" s="4">
        <f>IF($A1791="","","W"&amp;WEEKNUM($A1791,2))</f>
        <v/>
      </c>
      <c r="D1791" s="4">
        <f>IF($A1791="","",TEXT($A1791,"ddd"))</f>
        <v/>
      </c>
      <c r="E1791" s="4" t="inlineStr">
        <is>
          <t>Utilities</t>
        </is>
      </c>
      <c r="F1791" s="4">
        <f>IFERROR(INDEX(Tbl_KPIMaster[Category],MATCH($G1791,Tbl_KPIMaster[KPI],0)),"")</f>
        <v/>
      </c>
      <c r="G1791" s="4" t="inlineStr">
        <is>
          <t>Power Consumption</t>
        </is>
      </c>
      <c r="H1791" s="4">
        <f>IFERROR(INDEX(Tbl_KPIMaster[Unit],MATCH($G1791,Tbl_KPIMaster[KPI],0)),"")</f>
        <v/>
      </c>
      <c r="I1791" s="5">
        <f>IFERROR(INDEX(Tbl_KPIMaster[Maximum Target],MATCH($G1791,Tbl_KPIMaster[KPI],0)),"")</f>
        <v/>
      </c>
      <c r="J1791" s="5" t="n">
        <v>3969.24</v>
      </c>
      <c r="K1791" s="4">
        <f>IFERROR(INDEX(Tbl_KPIMaster[Tolerance],MATCH($G1791,Tbl_KPIMaster[KPI],0)),"")</f>
        <v/>
      </c>
      <c r="L1791" s="4">
        <f>IFERROR(INDEX(Tbl_KPIMaster[Owner],MATCH($G1791,Tbl_KPIMaster[KPI],0)),"")</f>
        <v/>
      </c>
      <c r="M1791" s="6" t="inlineStr">
        <is>
          <t>Manpower shortage</t>
        </is>
      </c>
      <c r="N1791" s="4" t="inlineStr">
        <is>
          <t>Procurement follow-up</t>
        </is>
      </c>
      <c r="O1791" s="4" t="inlineStr">
        <is>
          <t>Medium</t>
        </is>
      </c>
      <c r="P1791" s="4" t="inlineStr">
        <is>
          <t>Open</t>
        </is>
      </c>
      <c r="Q1791" s="5">
        <f>IFERROR(IF(INDEX(Tbl_KPIMaster[Direction],MATCH($G1791,Tbl_KPIMaster[KPI],0))="Lower is Better",IF($J1791=0,1,IF($I1791=0,0,$I1791/$J1791)),IF($I1791=0,1,$J1791/$I1791)),0)</f>
        <v/>
      </c>
      <c r="R1791" s="4">
        <f>IF(OR($I1791="",$J1791=""),"",$J1791-$I1791)</f>
        <v/>
      </c>
      <c r="S1791" s="4">
        <f>IFERROR(IF(INDEX(Tbl_KPIMaster[Direction],MATCH($G1791,Tbl_KPIMaster[KPI],0))="Lower is Better",IF($J1791&lt;=$I1791,"Green",IF($J1791&lt;=$I1791+IF($I1791=0,$K1791,$I1791*$K1791),"Amber","Red")),IF($J1791&gt;=$I1791,"Green",IF($J1791&gt;=$I1791-IF($I1791=0,$K1791,$I1791*$K1791),"Amber","Red"))),"")</f>
        <v/>
      </c>
      <c r="T1791" s="6" t="inlineStr"/>
    </row>
    <row r="1792">
      <c r="A1792" s="7" t="n">
        <v>46219</v>
      </c>
      <c r="B1792" s="8">
        <f>IF($A1792="","",TEXT($A1792,"mmm-yyyy"))</f>
        <v/>
      </c>
      <c r="C1792" s="8">
        <f>IF($A1792="","","W"&amp;WEEKNUM($A1792,2))</f>
        <v/>
      </c>
      <c r="D1792" s="8">
        <f>IF($A1792="","",TEXT($A1792,"ddd"))</f>
        <v/>
      </c>
      <c r="E1792" s="8" t="inlineStr">
        <is>
          <t>Utilities</t>
        </is>
      </c>
      <c r="F1792" s="8">
        <f>IFERROR(INDEX(Tbl_KPIMaster[Category],MATCH($G1792,Tbl_KPIMaster[KPI],0)),"")</f>
        <v/>
      </c>
      <c r="G1792" s="8" t="inlineStr">
        <is>
          <t>Water Consumption</t>
        </is>
      </c>
      <c r="H1792" s="8">
        <f>IFERROR(INDEX(Tbl_KPIMaster[Unit],MATCH($G1792,Tbl_KPIMaster[KPI],0)),"")</f>
        <v/>
      </c>
      <c r="I1792" s="9">
        <f>IFERROR(INDEX(Tbl_KPIMaster[Maximum Target],MATCH($G1792,Tbl_KPIMaster[KPI],0)),"")</f>
        <v/>
      </c>
      <c r="J1792" s="9" t="n">
        <v>46.88</v>
      </c>
      <c r="K1792" s="8">
        <f>IFERROR(INDEX(Tbl_KPIMaster[Tolerance],MATCH($G1792,Tbl_KPIMaster[KPI],0)),"")</f>
        <v/>
      </c>
      <c r="L1792" s="8">
        <f>IFERROR(INDEX(Tbl_KPIMaster[Owner],MATCH($G1792,Tbl_KPIMaster[KPI],0)),"")</f>
        <v/>
      </c>
      <c r="M1792" s="10" t="inlineStr">
        <is>
          <t>Line changeover impact</t>
        </is>
      </c>
      <c r="N1792" s="8" t="inlineStr"/>
      <c r="O1792" s="8" t="inlineStr">
        <is>
          <t>Low</t>
        </is>
      </c>
      <c r="P1792" s="8" t="inlineStr">
        <is>
          <t>Open</t>
        </is>
      </c>
      <c r="Q1792" s="9">
        <f>IFERROR(IF(INDEX(Tbl_KPIMaster[Direction],MATCH($G1792,Tbl_KPIMaster[KPI],0))="Lower is Better",IF($J1792=0,1,IF($I1792=0,0,$I1792/$J1792)),IF($I1792=0,1,$J1792/$I1792)),0)</f>
        <v/>
      </c>
      <c r="R1792" s="8">
        <f>IF(OR($I1792="",$J1792=""),"",$J1792-$I1792)</f>
        <v/>
      </c>
      <c r="S1792" s="8">
        <f>IFERROR(IF(INDEX(Tbl_KPIMaster[Direction],MATCH($G1792,Tbl_KPIMaster[KPI],0))="Lower is Better",IF($J1792&lt;=$I1792,"Green",IF($J1792&lt;=$I1792+IF($I1792=0,$K1792,$I1792*$K1792),"Amber","Red")),IF($J1792&gt;=$I1792,"Green",IF($J1792&gt;=$I1792-IF($I1792=0,$K1792,$I1792*$K1792),"Amber","Red"))),"")</f>
        <v/>
      </c>
      <c r="T1792" s="10" t="inlineStr"/>
    </row>
    <row r="1793">
      <c r="A1793" s="3" t="n">
        <v>46219</v>
      </c>
      <c r="B1793" s="4">
        <f>IF($A1793="","",TEXT($A1793,"mmm-yyyy"))</f>
        <v/>
      </c>
      <c r="C1793" s="4">
        <f>IF($A1793="","","W"&amp;WEEKNUM($A1793,2))</f>
        <v/>
      </c>
      <c r="D1793" s="4">
        <f>IF($A1793="","",TEXT($A1793,"ddd"))</f>
        <v/>
      </c>
      <c r="E1793" s="4" t="inlineStr">
        <is>
          <t>Warehouse</t>
        </is>
      </c>
      <c r="F1793" s="4">
        <f>IFERROR(INDEX(Tbl_KPIMaster[Category],MATCH($G1793,Tbl_KPIMaster[KPI],0)),"")</f>
        <v/>
      </c>
      <c r="G1793" s="4" t="inlineStr">
        <is>
          <t>On-Time Dispatch %</t>
        </is>
      </c>
      <c r="H1793" s="4">
        <f>IFERROR(INDEX(Tbl_KPIMaster[Unit],MATCH($G1793,Tbl_KPIMaster[KPI],0)),"")</f>
        <v/>
      </c>
      <c r="I1793" s="5">
        <f>IFERROR(INDEX(Tbl_KPIMaster[Maximum Target],MATCH($G1793,Tbl_KPIMaster[KPI],0)),"")</f>
        <v/>
      </c>
      <c r="J1793" s="5" t="n">
        <v>1.0831</v>
      </c>
      <c r="K1793" s="4">
        <f>IFERROR(INDEX(Tbl_KPIMaster[Tolerance],MATCH($G1793,Tbl_KPIMaster[KPI],0)),"")</f>
        <v/>
      </c>
      <c r="L1793" s="4">
        <f>IFERROR(INDEX(Tbl_KPIMaster[Owner],MATCH($G1793,Tbl_KPIMaster[KPI],0)),"")</f>
        <v/>
      </c>
      <c r="M1793" s="6" t="inlineStr">
        <is>
          <t>New operator training effect</t>
        </is>
      </c>
      <c r="N1793" s="4" t="inlineStr">
        <is>
          <t>Engineering support needed</t>
        </is>
      </c>
      <c r="O1793" s="4" t="inlineStr">
        <is>
          <t>Medium</t>
        </is>
      </c>
      <c r="P1793" s="4" t="inlineStr">
        <is>
          <t>In Progress</t>
        </is>
      </c>
      <c r="Q1793" s="5">
        <f>IFERROR(IF(INDEX(Tbl_KPIMaster[Direction],MATCH($G1793,Tbl_KPIMaster[KPI],0))="Lower is Better",IF($J1793=0,1,IF($I1793=0,0,$I1793/$J1793)),IF($I1793=0,1,$J1793/$I1793)),0)</f>
        <v/>
      </c>
      <c r="R1793" s="4">
        <f>IF(OR($I1793="",$J1793=""),"",$J1793-$I1793)</f>
        <v/>
      </c>
      <c r="S1793" s="4">
        <f>IFERROR(IF(INDEX(Tbl_KPIMaster[Direction],MATCH($G1793,Tbl_KPIMaster[KPI],0))="Lower is Better",IF($J1793&lt;=$I1793,"Green",IF($J1793&lt;=$I1793+IF($I1793=0,$K1793,$I1793*$K1793),"Amber","Red")),IF($J1793&gt;=$I1793,"Green",IF($J1793&gt;=$I1793-IF($I1793=0,$K1793,$I1793*$K1793),"Amber","Red"))),"")</f>
        <v/>
      </c>
      <c r="T1793" s="6" t="inlineStr"/>
    </row>
    <row r="1794">
      <c r="A1794" s="7" t="n">
        <v>46219</v>
      </c>
      <c r="B1794" s="8">
        <f>IF($A1794="","",TEXT($A1794,"mmm-yyyy"))</f>
        <v/>
      </c>
      <c r="C1794" s="8">
        <f>IF($A1794="","","W"&amp;WEEKNUM($A1794,2))</f>
        <v/>
      </c>
      <c r="D1794" s="8">
        <f>IF($A1794="","",TEXT($A1794,"ddd"))</f>
        <v/>
      </c>
      <c r="E1794" s="8" t="inlineStr">
        <is>
          <t>Warehouse</t>
        </is>
      </c>
      <c r="F1794" s="8">
        <f>IFERROR(INDEX(Tbl_KPIMaster[Category],MATCH($G1794,Tbl_KPIMaster[KPI],0)),"")</f>
        <v/>
      </c>
      <c r="G1794" s="8" t="inlineStr">
        <is>
          <t>Inventory Accuracy %</t>
        </is>
      </c>
      <c r="H1794" s="8">
        <f>IFERROR(INDEX(Tbl_KPIMaster[Unit],MATCH($G1794,Tbl_KPIMaster[KPI],0)),"")</f>
        <v/>
      </c>
      <c r="I1794" s="9">
        <f>IFERROR(INDEX(Tbl_KPIMaster[Maximum Target],MATCH($G1794,Tbl_KPIMaster[KPI],0)),"")</f>
        <v/>
      </c>
      <c r="J1794" s="9" t="n">
        <v>0.8864</v>
      </c>
      <c r="K1794" s="8">
        <f>IFERROR(INDEX(Tbl_KPIMaster[Tolerance],MATCH($G1794,Tbl_KPIMaster[KPI],0)),"")</f>
        <v/>
      </c>
      <c r="L1794" s="8">
        <f>IFERROR(INDEX(Tbl_KPIMaster[Owner],MATCH($G1794,Tbl_KPIMaster[KPI],0)),"")</f>
        <v/>
      </c>
      <c r="M1794" s="10" t="inlineStr">
        <is>
          <t>Preventive check done</t>
        </is>
      </c>
      <c r="N1794" s="8" t="inlineStr">
        <is>
          <t>Management approval pending</t>
        </is>
      </c>
      <c r="O1794" s="8" t="inlineStr">
        <is>
          <t>Low</t>
        </is>
      </c>
      <c r="P1794" s="8" t="inlineStr">
        <is>
          <t>Closed</t>
        </is>
      </c>
      <c r="Q1794" s="9">
        <f>IFERROR(IF(INDEX(Tbl_KPIMaster[Direction],MATCH($G1794,Tbl_KPIMaster[KPI],0))="Lower is Better",IF($J1794=0,1,IF($I1794=0,0,$I1794/$J1794)),IF($I1794=0,1,$J1794/$I1794)),0)</f>
        <v/>
      </c>
      <c r="R1794" s="8">
        <f>IF(OR($I1794="",$J1794=""),"",$J1794-$I1794)</f>
        <v/>
      </c>
      <c r="S1794" s="8">
        <f>IFERROR(IF(INDEX(Tbl_KPIMaster[Direction],MATCH($G1794,Tbl_KPIMaster[KPI],0))="Lower is Better",IF($J1794&lt;=$I1794,"Green",IF($J1794&lt;=$I1794+IF($I1794=0,$K1794,$I1794*$K1794),"Amber","Red")),IF($J1794&gt;=$I1794,"Green",IF($J1794&gt;=$I1794-IF($I1794=0,$K1794,$I1794*$K1794),"Amber","Red"))),"")</f>
        <v/>
      </c>
      <c r="T1794" s="10" t="inlineStr"/>
    </row>
    <row r="1795">
      <c r="A1795" s="3" t="n">
        <v>46219</v>
      </c>
      <c r="B1795" s="4">
        <f>IF($A1795="","",TEXT($A1795,"mmm-yyyy"))</f>
        <v/>
      </c>
      <c r="C1795" s="4">
        <f>IF($A1795="","","W"&amp;WEEKNUM($A1795,2))</f>
        <v/>
      </c>
      <c r="D1795" s="4">
        <f>IF($A1795="","",TEXT($A1795,"ddd"))</f>
        <v/>
      </c>
      <c r="E1795" s="4" t="inlineStr">
        <is>
          <t>HR</t>
        </is>
      </c>
      <c r="F1795" s="4">
        <f>IFERROR(INDEX(Tbl_KPIMaster[Category],MATCH($G1795,Tbl_KPIMaster[KPI],0)),"")</f>
        <v/>
      </c>
      <c r="G1795" s="4" t="inlineStr">
        <is>
          <t>Absenteeism %</t>
        </is>
      </c>
      <c r="H1795" s="4">
        <f>IFERROR(INDEX(Tbl_KPIMaster[Unit],MATCH($G1795,Tbl_KPIMaster[KPI],0)),"")</f>
        <v/>
      </c>
      <c r="I1795" s="5">
        <f>IFERROR(INDEX(Tbl_KPIMaster[Maximum Target],MATCH($G1795,Tbl_KPIMaster[KPI],0)),"")</f>
        <v/>
      </c>
      <c r="J1795" s="5" t="n">
        <v>0.7321</v>
      </c>
      <c r="K1795" s="4">
        <f>IFERROR(INDEX(Tbl_KPIMaster[Tolerance],MATCH($G1795,Tbl_KPIMaster[KPI],0)),"")</f>
        <v/>
      </c>
      <c r="L1795" s="4">
        <f>IFERROR(INDEX(Tbl_KPIMaster[Owner],MATCH($G1795,Tbl_KPIMaster[KPI],0)),"")</f>
        <v/>
      </c>
      <c r="M1795" s="6" t="inlineStr">
        <is>
          <t>Within normal range</t>
        </is>
      </c>
      <c r="N1795" s="4" t="inlineStr"/>
      <c r="O1795" s="4" t="inlineStr">
        <is>
          <t>Low</t>
        </is>
      </c>
      <c r="P1795" s="4" t="inlineStr">
        <is>
          <t>Closed</t>
        </is>
      </c>
      <c r="Q1795" s="5">
        <f>IFERROR(IF(INDEX(Tbl_KPIMaster[Direction],MATCH($G1795,Tbl_KPIMaster[KPI],0))="Lower is Better",IF($J1795=0,1,IF($I1795=0,0,$I1795/$J1795)),IF($I1795=0,1,$J1795/$I1795)),0)</f>
        <v/>
      </c>
      <c r="R1795" s="4">
        <f>IF(OR($I1795="",$J1795=""),"",$J1795-$I1795)</f>
        <v/>
      </c>
      <c r="S1795" s="4">
        <f>IFERROR(IF(INDEX(Tbl_KPIMaster[Direction],MATCH($G1795,Tbl_KPIMaster[KPI],0))="Lower is Better",IF($J1795&lt;=$I1795,"Green",IF($J1795&lt;=$I1795+IF($I1795=0,$K1795,$I1795*$K1795),"Amber","Red")),IF($J1795&gt;=$I1795,"Green",IF($J1795&gt;=$I1795-IF($I1795=0,$K1795,$I1795*$K1795),"Amber","Red"))),"")</f>
        <v/>
      </c>
      <c r="T1795" s="6" t="inlineStr"/>
    </row>
    <row r="1796">
      <c r="A1796" s="7" t="n">
        <v>46219</v>
      </c>
      <c r="B1796" s="8">
        <f>IF($A1796="","",TEXT($A1796,"mmm-yyyy"))</f>
        <v/>
      </c>
      <c r="C1796" s="8">
        <f>IF($A1796="","","W"&amp;WEEKNUM($A1796,2))</f>
        <v/>
      </c>
      <c r="D1796" s="8">
        <f>IF($A1796="","",TEXT($A1796,"ddd"))</f>
        <v/>
      </c>
      <c r="E1796" s="8" t="inlineStr">
        <is>
          <t>HR</t>
        </is>
      </c>
      <c r="F1796" s="8">
        <f>IFERROR(INDEX(Tbl_KPIMaster[Category],MATCH($G1796,Tbl_KPIMaster[KPI],0)),"")</f>
        <v/>
      </c>
      <c r="G1796" s="8" t="inlineStr">
        <is>
          <t>Training Hours</t>
        </is>
      </c>
      <c r="H1796" s="8">
        <f>IFERROR(INDEX(Tbl_KPIMaster[Unit],MATCH($G1796,Tbl_KPIMaster[KPI],0)),"")</f>
        <v/>
      </c>
      <c r="I1796" s="9">
        <f>IFERROR(INDEX(Tbl_KPIMaster[Maximum Target],MATCH($G1796,Tbl_KPIMaster[KPI],0)),"")</f>
        <v/>
      </c>
      <c r="J1796" s="9" t="n">
        <v>1.79</v>
      </c>
      <c r="K1796" s="8">
        <f>IFERROR(INDEX(Tbl_KPIMaster[Tolerance],MATCH($G1796,Tbl_KPIMaster[KPI],0)),"")</f>
        <v/>
      </c>
      <c r="L1796" s="8">
        <f>IFERROR(INDEX(Tbl_KPIMaster[Owner],MATCH($G1796,Tbl_KPIMaster[KPI],0)),"")</f>
        <v/>
      </c>
      <c r="M1796" s="10" t="inlineStr">
        <is>
          <t>Weather impact</t>
        </is>
      </c>
      <c r="N1796" s="8" t="inlineStr">
        <is>
          <t>Management approval pending</t>
        </is>
      </c>
      <c r="O1796" s="8" t="inlineStr">
        <is>
          <t>High</t>
        </is>
      </c>
      <c r="P1796" s="8" t="inlineStr">
        <is>
          <t>In Progress</t>
        </is>
      </c>
      <c r="Q1796" s="9">
        <f>IFERROR(IF(INDEX(Tbl_KPIMaster[Direction],MATCH($G1796,Tbl_KPIMaster[KPI],0))="Lower is Better",IF($J1796=0,1,IF($I1796=0,0,$I1796/$J1796)),IF($I1796=0,1,$J1796/$I1796)),0)</f>
        <v/>
      </c>
      <c r="R1796" s="8">
        <f>IF(OR($I1796="",$J1796=""),"",$J1796-$I1796)</f>
        <v/>
      </c>
      <c r="S1796" s="8">
        <f>IFERROR(IF(INDEX(Tbl_KPIMaster[Direction],MATCH($G1796,Tbl_KPIMaster[KPI],0))="Lower is Better",IF($J1796&lt;=$I1796,"Green",IF($J1796&lt;=$I1796+IF($I1796=0,$K1796,$I1796*$K1796),"Amber","Red")),IF($J1796&gt;=$I1796,"Green",IF($J1796&gt;=$I1796-IF($I1796=0,$K1796,$I1796*$K1796),"Amber","Red"))),"")</f>
        <v/>
      </c>
      <c r="T1796" s="10" t="inlineStr"/>
    </row>
    <row r="1797">
      <c r="A1797" s="3" t="n">
        <v>46219</v>
      </c>
      <c r="B1797" s="4">
        <f>IF($A1797="","",TEXT($A1797,"mmm-yyyy"))</f>
        <v/>
      </c>
      <c r="C1797" s="4">
        <f>IF($A1797="","","W"&amp;WEEKNUM($A1797,2))</f>
        <v/>
      </c>
      <c r="D1797" s="4">
        <f>IF($A1797="","",TEXT($A1797,"ddd"))</f>
        <v/>
      </c>
      <c r="E1797" s="4" t="inlineStr">
        <is>
          <t>Engineering</t>
        </is>
      </c>
      <c r="F1797" s="4">
        <f>IFERROR(INDEX(Tbl_KPIMaster[Category],MATCH($G1797,Tbl_KPIMaster[KPI],0)),"")</f>
        <v/>
      </c>
      <c r="G1797" s="4" t="inlineStr">
        <is>
          <t>Project Milestone Adherence %</t>
        </is>
      </c>
      <c r="H1797" s="4">
        <f>IFERROR(INDEX(Tbl_KPIMaster[Unit],MATCH($G1797,Tbl_KPIMaster[KPI],0)),"")</f>
        <v/>
      </c>
      <c r="I1797" s="5">
        <f>IFERROR(INDEX(Tbl_KPIMaster[Maximum Target],MATCH($G1797,Tbl_KPIMaster[KPI],0)),"")</f>
        <v/>
      </c>
      <c r="J1797" s="5" t="n">
        <v>1.073</v>
      </c>
      <c r="K1797" s="4">
        <f>IFERROR(INDEX(Tbl_KPIMaster[Tolerance],MATCH($G1797,Tbl_KPIMaster[KPI],0)),"")</f>
        <v/>
      </c>
      <c r="L1797" s="4">
        <f>IFERROR(INDEX(Tbl_KPIMaster[Owner],MATCH($G1797,Tbl_KPIMaster[KPI],0)),"")</f>
        <v/>
      </c>
      <c r="M1797" s="6" t="inlineStr">
        <is>
          <t>Equipment breakdown</t>
        </is>
      </c>
      <c r="N1797" s="4" t="inlineStr">
        <is>
          <t>Engineering support needed</t>
        </is>
      </c>
      <c r="O1797" s="4" t="inlineStr">
        <is>
          <t>Low</t>
        </is>
      </c>
      <c r="P1797" s="4" t="inlineStr">
        <is>
          <t>Open</t>
        </is>
      </c>
      <c r="Q1797" s="5">
        <f>IFERROR(IF(INDEX(Tbl_KPIMaster[Direction],MATCH($G1797,Tbl_KPIMaster[KPI],0))="Lower is Better",IF($J1797=0,1,IF($I1797=0,0,$I1797/$J1797)),IF($I1797=0,1,$J1797/$I1797)),0)</f>
        <v/>
      </c>
      <c r="R1797" s="4">
        <f>IF(OR($I1797="",$J1797=""),"",$J1797-$I1797)</f>
        <v/>
      </c>
      <c r="S1797" s="4">
        <f>IFERROR(IF(INDEX(Tbl_KPIMaster[Direction],MATCH($G1797,Tbl_KPIMaster[KPI],0))="Lower is Better",IF($J1797&lt;=$I1797,"Green",IF($J1797&lt;=$I1797+IF($I1797=0,$K1797,$I1797*$K1797),"Amber","Red")),IF($J1797&gt;=$I1797,"Green",IF($J1797&gt;=$I1797-IF($I1797=0,$K1797,$I1797*$K1797),"Amber","Red"))),"")</f>
        <v/>
      </c>
      <c r="T1797" s="6" t="inlineStr"/>
    </row>
    <row r="1798">
      <c r="A1798" s="7" t="n">
        <v>46219</v>
      </c>
      <c r="B1798" s="8">
        <f>IF($A1798="","",TEXT($A1798,"mmm-yyyy"))</f>
        <v/>
      </c>
      <c r="C1798" s="8">
        <f>IF($A1798="","","W"&amp;WEEKNUM($A1798,2))</f>
        <v/>
      </c>
      <c r="D1798" s="8">
        <f>IF($A1798="","",TEXT($A1798,"ddd"))</f>
        <v/>
      </c>
      <c r="E1798" s="8" t="inlineStr">
        <is>
          <t>Engineering</t>
        </is>
      </c>
      <c r="F1798" s="8">
        <f>IFERROR(INDEX(Tbl_KPIMaster[Category],MATCH($G1798,Tbl_KPIMaster[KPI],0)),"")</f>
        <v/>
      </c>
      <c r="G1798" s="8" t="inlineStr">
        <is>
          <t>Breakdown Resolution Time</t>
        </is>
      </c>
      <c r="H1798" s="8">
        <f>IFERROR(INDEX(Tbl_KPIMaster[Unit],MATCH($G1798,Tbl_KPIMaster[KPI],0)),"")</f>
        <v/>
      </c>
      <c r="I1798" s="9">
        <f>IFERROR(INDEX(Tbl_KPIMaster[Maximum Target],MATCH($G1798,Tbl_KPIMaster[KPI],0)),"")</f>
        <v/>
      </c>
      <c r="J1798" s="9" t="n">
        <v>0</v>
      </c>
      <c r="K1798" s="8">
        <f>IFERROR(INDEX(Tbl_KPIMaster[Tolerance],MATCH($G1798,Tbl_KPIMaster[KPI],0)),"")</f>
        <v/>
      </c>
      <c r="L1798" s="8">
        <f>IFERROR(INDEX(Tbl_KPIMaster[Owner],MATCH($G1798,Tbl_KPIMaster[KPI],0)),"")</f>
        <v/>
      </c>
      <c r="M1798" s="10" t="inlineStr"/>
      <c r="N1798" s="8" t="inlineStr"/>
      <c r="O1798" s="8" t="inlineStr">
        <is>
          <t>Low</t>
        </is>
      </c>
      <c r="P1798" s="8" t="inlineStr">
        <is>
          <t>Closed</t>
        </is>
      </c>
      <c r="Q1798" s="9">
        <f>IFERROR(IF(INDEX(Tbl_KPIMaster[Direction],MATCH($G1798,Tbl_KPIMaster[KPI],0))="Lower is Better",IF($J1798=0,1,IF($I1798=0,0,$I1798/$J1798)),IF($I1798=0,1,$J1798/$I1798)),0)</f>
        <v/>
      </c>
      <c r="R1798" s="8">
        <f>IF(OR($I1798="",$J1798=""),"",$J1798-$I1798)</f>
        <v/>
      </c>
      <c r="S1798" s="8">
        <f>IFERROR(IF(INDEX(Tbl_KPIMaster[Direction],MATCH($G1798,Tbl_KPIMaster[KPI],0))="Lower is Better",IF($J1798&lt;=$I1798,"Green",IF($J1798&lt;=$I1798+IF($I1798=0,$K1798,$I1798*$K1798),"Amber","Red")),IF($J1798&gt;=$I1798,"Green",IF($J1798&gt;=$I1798-IF($I1798=0,$K1798,$I1798*$K1798),"Amber","Red"))),"")</f>
        <v/>
      </c>
      <c r="T1798" s="10" t="inlineStr"/>
    </row>
    <row r="1799">
      <c r="A1799" s="3" t="n">
        <v>46219</v>
      </c>
      <c r="B1799" s="4">
        <f>IF($A1799="","",TEXT($A1799,"mmm-yyyy"))</f>
        <v/>
      </c>
      <c r="C1799" s="4">
        <f>IF($A1799="","","W"&amp;WEEKNUM($A1799,2))</f>
        <v/>
      </c>
      <c r="D1799" s="4">
        <f>IF($A1799="","",TEXT($A1799,"ddd"))</f>
        <v/>
      </c>
      <c r="E1799" s="4" t="inlineStr">
        <is>
          <t>Cost</t>
        </is>
      </c>
      <c r="F1799" s="4">
        <f>IFERROR(INDEX(Tbl_KPIMaster[Category],MATCH($G1799,Tbl_KPIMaster[KPI],0)),"")</f>
        <v/>
      </c>
      <c r="G1799" s="4" t="inlineStr">
        <is>
          <t>Cost per Unit</t>
        </is>
      </c>
      <c r="H1799" s="4">
        <f>IFERROR(INDEX(Tbl_KPIMaster[Unit],MATCH($G1799,Tbl_KPIMaster[KPI],0)),"")</f>
        <v/>
      </c>
      <c r="I1799" s="5">
        <f>IFERROR(INDEX(Tbl_KPIMaster[Maximum Target],MATCH($G1799,Tbl_KPIMaster[KPI],0)),"")</f>
        <v/>
      </c>
      <c r="J1799" s="5" t="n">
        <v>37.54</v>
      </c>
      <c r="K1799" s="4">
        <f>IFERROR(INDEX(Tbl_KPIMaster[Tolerance],MATCH($G1799,Tbl_KPIMaster[KPI],0)),"")</f>
        <v/>
      </c>
      <c r="L1799" s="4">
        <f>IFERROR(INDEX(Tbl_KPIMaster[Owner],MATCH($G1799,Tbl_KPIMaster[KPI],0)),"")</f>
        <v/>
      </c>
      <c r="M1799" s="6" t="inlineStr">
        <is>
          <t>Manpower shortage</t>
        </is>
      </c>
      <c r="N1799" s="4" t="inlineStr">
        <is>
          <t>Management approval pending</t>
        </is>
      </c>
      <c r="O1799" s="4" t="inlineStr">
        <is>
          <t>High</t>
        </is>
      </c>
      <c r="P1799" s="4" t="inlineStr">
        <is>
          <t>Closed</t>
        </is>
      </c>
      <c r="Q1799" s="5">
        <f>IFERROR(IF(INDEX(Tbl_KPIMaster[Direction],MATCH($G1799,Tbl_KPIMaster[KPI],0))="Lower is Better",IF($J1799=0,1,IF($I1799=0,0,$I1799/$J1799)),IF($I1799=0,1,$J1799/$I1799)),0)</f>
        <v/>
      </c>
      <c r="R1799" s="4">
        <f>IF(OR($I1799="",$J1799=""),"",$J1799-$I1799)</f>
        <v/>
      </c>
      <c r="S1799" s="4">
        <f>IFERROR(IF(INDEX(Tbl_KPIMaster[Direction],MATCH($G1799,Tbl_KPIMaster[KPI],0))="Lower is Better",IF($J1799&lt;=$I1799,"Green",IF($J1799&lt;=$I1799+IF($I1799=0,$K1799,$I1799*$K1799),"Amber","Red")),IF($J1799&gt;=$I1799,"Green",IF($J1799&gt;=$I1799-IF($I1799=0,$K1799,$I1799*$K1799),"Amber","Red"))),"")</f>
        <v/>
      </c>
      <c r="T1799" s="6" t="inlineStr"/>
    </row>
    <row r="1800">
      <c r="A1800" s="7" t="n">
        <v>46219</v>
      </c>
      <c r="B1800" s="8">
        <f>IF($A1800="","",TEXT($A1800,"mmm-yyyy"))</f>
        <v/>
      </c>
      <c r="C1800" s="8">
        <f>IF($A1800="","","W"&amp;WEEKNUM($A1800,2))</f>
        <v/>
      </c>
      <c r="D1800" s="8">
        <f>IF($A1800="","",TEXT($A1800,"ddd"))</f>
        <v/>
      </c>
      <c r="E1800" s="8" t="inlineStr">
        <is>
          <t>Cost</t>
        </is>
      </c>
      <c r="F1800" s="8">
        <f>IFERROR(INDEX(Tbl_KPIMaster[Category],MATCH($G1800,Tbl_KPIMaster[KPI],0)),"")</f>
        <v/>
      </c>
      <c r="G1800" s="8" t="inlineStr">
        <is>
          <t>Budget Variance %</t>
        </is>
      </c>
      <c r="H1800" s="8">
        <f>IFERROR(INDEX(Tbl_KPIMaster[Unit],MATCH($G1800,Tbl_KPIMaster[KPI],0)),"")</f>
        <v/>
      </c>
      <c r="I1800" s="9">
        <f>IFERROR(INDEX(Tbl_KPIMaster[Maximum Target],MATCH($G1800,Tbl_KPIMaster[KPI],0)),"")</f>
        <v/>
      </c>
      <c r="J1800" s="9" t="n">
        <v>0</v>
      </c>
      <c r="K1800" s="8">
        <f>IFERROR(INDEX(Tbl_KPIMaster[Tolerance],MATCH($G1800,Tbl_KPIMaster[KPI],0)),"")</f>
        <v/>
      </c>
      <c r="L1800" s="8">
        <f>IFERROR(INDEX(Tbl_KPIMaster[Owner],MATCH($G1800,Tbl_KPIMaster[KPI],0)),"")</f>
        <v/>
      </c>
      <c r="M1800" s="10" t="inlineStr">
        <is>
          <t>Within normal range</t>
        </is>
      </c>
      <c r="N1800" s="8" t="inlineStr"/>
      <c r="O1800" s="8" t="inlineStr">
        <is>
          <t>Medium</t>
        </is>
      </c>
      <c r="P1800" s="8" t="inlineStr">
        <is>
          <t>Open</t>
        </is>
      </c>
      <c r="Q1800" s="9">
        <f>IFERROR(IF(INDEX(Tbl_KPIMaster[Direction],MATCH($G1800,Tbl_KPIMaster[KPI],0))="Lower is Better",IF($J1800=0,1,IF($I1800=0,0,$I1800/$J1800)),IF($I1800=0,1,$J1800/$I1800)),0)</f>
        <v/>
      </c>
      <c r="R1800" s="8">
        <f>IF(OR($I1800="",$J1800=""),"",$J1800-$I1800)</f>
        <v/>
      </c>
      <c r="S1800" s="8">
        <f>IFERROR(IF(INDEX(Tbl_KPIMaster[Direction],MATCH($G1800,Tbl_KPIMaster[KPI],0))="Lower is Better",IF($J1800&lt;=$I1800,"Green",IF($J1800&lt;=$I1800+IF($I1800=0,$K1800,$I1800*$K1800),"Amber","Red")),IF($J1800&gt;=$I1800,"Green",IF($J1800&gt;=$I1800-IF($I1800=0,$K1800,$I1800*$K1800),"Amber","Red"))),"")</f>
        <v/>
      </c>
      <c r="T1800" s="10" t="inlineStr"/>
    </row>
    <row r="1801">
      <c r="A1801" s="3" t="n">
        <v>46219</v>
      </c>
      <c r="B1801" s="4">
        <f>IF($A1801="","",TEXT($A1801,"mmm-yyyy"))</f>
        <v/>
      </c>
      <c r="C1801" s="4">
        <f>IF($A1801="","","W"&amp;WEEKNUM($A1801,2))</f>
        <v/>
      </c>
      <c r="D1801" s="4">
        <f>IF($A1801="","",TEXT($A1801,"ddd"))</f>
        <v/>
      </c>
      <c r="E1801" s="4" t="inlineStr">
        <is>
          <t>Energy</t>
        </is>
      </c>
      <c r="F1801" s="4">
        <f>IFERROR(INDEX(Tbl_KPIMaster[Category],MATCH($G1801,Tbl_KPIMaster[KPI],0)),"")</f>
        <v/>
      </c>
      <c r="G1801" s="4" t="inlineStr">
        <is>
          <t>Energy Intensity (kWh/unit)</t>
        </is>
      </c>
      <c r="H1801" s="4">
        <f>IFERROR(INDEX(Tbl_KPIMaster[Unit],MATCH($G1801,Tbl_KPIMaster[KPI],0)),"")</f>
        <v/>
      </c>
      <c r="I1801" s="5">
        <f>IFERROR(INDEX(Tbl_KPIMaster[Maximum Target],MATCH($G1801,Tbl_KPIMaster[KPI],0)),"")</f>
        <v/>
      </c>
      <c r="J1801" s="5" t="n">
        <v>4.49</v>
      </c>
      <c r="K1801" s="4">
        <f>IFERROR(INDEX(Tbl_KPIMaster[Tolerance],MATCH($G1801,Tbl_KPIMaster[KPI],0)),"")</f>
        <v/>
      </c>
      <c r="L1801" s="4">
        <f>IFERROR(INDEX(Tbl_KPIMaster[Owner],MATCH($G1801,Tbl_KPIMaster[KPI],0)),"")</f>
        <v/>
      </c>
      <c r="M1801" s="6" t="inlineStr">
        <is>
          <t>Process improvement in progress</t>
        </is>
      </c>
      <c r="N1801" s="4" t="inlineStr"/>
      <c r="O1801" s="4" t="inlineStr">
        <is>
          <t>Low</t>
        </is>
      </c>
      <c r="P1801" s="4" t="inlineStr">
        <is>
          <t>Closed</t>
        </is>
      </c>
      <c r="Q1801" s="5">
        <f>IFERROR(IF(INDEX(Tbl_KPIMaster[Direction],MATCH($G1801,Tbl_KPIMaster[KPI],0))="Lower is Better",IF($J1801=0,1,IF($I1801=0,0,$I1801/$J1801)),IF($I1801=0,1,$J1801/$I1801)),0)</f>
        <v/>
      </c>
      <c r="R1801" s="4">
        <f>IF(OR($I1801="",$J1801=""),"",$J1801-$I1801)</f>
        <v/>
      </c>
      <c r="S1801" s="4">
        <f>IFERROR(IF(INDEX(Tbl_KPIMaster[Direction],MATCH($G1801,Tbl_KPIMaster[KPI],0))="Lower is Better",IF($J1801&lt;=$I1801,"Green",IF($J1801&lt;=$I1801+IF($I1801=0,$K1801,$I1801*$K1801),"Amber","Red")),IF($J1801&gt;=$I1801,"Green",IF($J1801&gt;=$I1801-IF($I1801=0,$K1801,$I1801*$K1801),"Amber","Red"))),"")</f>
        <v/>
      </c>
      <c r="T1801" s="6" t="inlineStr"/>
    </row>
    <row r="1802">
      <c r="A1802" s="7" t="n">
        <v>46219</v>
      </c>
      <c r="B1802" s="8">
        <f>IF($A1802="","",TEXT($A1802,"mmm-yyyy"))</f>
        <v/>
      </c>
      <c r="C1802" s="8">
        <f>IF($A1802="","","W"&amp;WEEKNUM($A1802,2))</f>
        <v/>
      </c>
      <c r="D1802" s="8">
        <f>IF($A1802="","",TEXT($A1802,"ddd"))</f>
        <v/>
      </c>
      <c r="E1802" s="8" t="inlineStr">
        <is>
          <t>Energy</t>
        </is>
      </c>
      <c r="F1802" s="8">
        <f>IFERROR(INDEX(Tbl_KPIMaster[Category],MATCH($G1802,Tbl_KPIMaster[KPI],0)),"")</f>
        <v/>
      </c>
      <c r="G1802" s="8" t="inlineStr">
        <is>
          <t>Renewable Energy Share %</t>
        </is>
      </c>
      <c r="H1802" s="8">
        <f>IFERROR(INDEX(Tbl_KPIMaster[Unit],MATCH($G1802,Tbl_KPIMaster[KPI],0)),"")</f>
        <v/>
      </c>
      <c r="I1802" s="9">
        <f>IFERROR(INDEX(Tbl_KPIMaster[Maximum Target],MATCH($G1802,Tbl_KPIMaster[KPI],0)),"")</f>
        <v/>
      </c>
      <c r="J1802" s="9" t="n">
        <v>0.2137</v>
      </c>
      <c r="K1802" s="8">
        <f>IFERROR(INDEX(Tbl_KPIMaster[Tolerance],MATCH($G1802,Tbl_KPIMaster[KPI],0)),"")</f>
        <v/>
      </c>
      <c r="L1802" s="8">
        <f>IFERROR(INDEX(Tbl_KPIMaster[Owner],MATCH($G1802,Tbl_KPIMaster[KPI],0)),"")</f>
        <v/>
      </c>
      <c r="M1802" s="10" t="inlineStr">
        <is>
          <t>Process improvement in progress</t>
        </is>
      </c>
      <c r="N1802" s="8" t="inlineStr">
        <is>
          <t>Management approval pending</t>
        </is>
      </c>
      <c r="O1802" s="8" t="inlineStr">
        <is>
          <t>Low</t>
        </is>
      </c>
      <c r="P1802" s="8" t="inlineStr">
        <is>
          <t>Closed</t>
        </is>
      </c>
      <c r="Q1802" s="9">
        <f>IFERROR(IF(INDEX(Tbl_KPIMaster[Direction],MATCH($G1802,Tbl_KPIMaster[KPI],0))="Lower is Better",IF($J1802=0,1,IF($I1802=0,0,$I1802/$J1802)),IF($I1802=0,1,$J1802/$I1802)),0)</f>
        <v/>
      </c>
      <c r="R1802" s="8">
        <f>IF(OR($I1802="",$J1802=""),"",$J1802-$I1802)</f>
        <v/>
      </c>
      <c r="S1802" s="8">
        <f>IFERROR(IF(INDEX(Tbl_KPIMaster[Direction],MATCH($G1802,Tbl_KPIMaster[KPI],0))="Lower is Better",IF($J1802&lt;=$I1802,"Green",IF($J1802&lt;=$I1802+IF($I1802=0,$K1802,$I1802*$K1802),"Amber","Red")),IF($J1802&gt;=$I1802,"Green",IF($J1802&gt;=$I1802-IF($I1802=0,$K1802,$I1802*$K1802),"Amber","Red"))),"")</f>
        <v/>
      </c>
      <c r="T1802" s="10" t="inlineStr"/>
    </row>
    <row r="1803">
      <c r="A1803" s="4" t="n"/>
      <c r="B1803" s="4">
        <f>IF($A1803="","",TEXT($A1803,"mmm-yyyy"))</f>
        <v/>
      </c>
      <c r="C1803" s="4">
        <f>IF($A1803="","","W"&amp;WEEKNUM($A1803,2))</f>
        <v/>
      </c>
      <c r="D1803" s="4">
        <f>IF($A1803="","",TEXT($A1803,"ddd"))</f>
        <v/>
      </c>
      <c r="E1803" s="4" t="n"/>
      <c r="F1803" s="4">
        <f>IFERROR(INDEX(Tbl_KPIMaster[Category],MATCH($G1803,Tbl_KPIMaster[KPI],0)),"")</f>
        <v/>
      </c>
      <c r="G1803" s="4" t="n"/>
      <c r="H1803" s="4">
        <f>IFERROR(INDEX(Tbl_KPIMaster[Unit],MATCH($G1803,Tbl_KPIMaster[KPI],0)),"")</f>
        <v/>
      </c>
      <c r="I1803" s="4">
        <f>IFERROR(INDEX(Tbl_KPIMaster[Maximum Target],MATCH($G1803,Tbl_KPIMaster[KPI],0)),"")</f>
        <v/>
      </c>
      <c r="J1803" s="4" t="n"/>
      <c r="K1803" s="4">
        <f>IFERROR(INDEX(Tbl_KPIMaster[Tolerance],MATCH($G1803,Tbl_KPIMaster[KPI],0)),"")</f>
        <v/>
      </c>
      <c r="L1803" s="4">
        <f>IFERROR(INDEX(Tbl_KPIMaster[Owner],MATCH($G1803,Tbl_KPIMaster[KPI],0)),"")</f>
        <v/>
      </c>
      <c r="M1803" s="6" t="n"/>
      <c r="N1803" s="4" t="n"/>
      <c r="O1803" s="4" t="n"/>
      <c r="P1803" s="4" t="n"/>
      <c r="Q1803" s="5">
        <f>IFERROR(IF(INDEX(Tbl_KPIMaster[Direction],MATCH($G1803,Tbl_KPIMaster[KPI],0))="Lower is Better",IF($J1803=0,1,IF($I1803=0,0,$I1803/$J1803)),IF($I1803=0,1,$J1803/$I1803)),0)</f>
        <v/>
      </c>
      <c r="R1803" s="4">
        <f>IF(OR($I1803="",$J1803=""),"",$J1803-$I1803)</f>
        <v/>
      </c>
      <c r="S1803" s="4">
        <f>IFERROR(IF(INDEX(Tbl_KPIMaster[Direction],MATCH($G1803,Tbl_KPIMaster[KPI],0))="Lower is Better",IF($J1803&lt;=$I1803,"Green",IF($J1803&lt;=$I1803+IF($I1803=0,$K1803,$I1803*$K1803),"Amber","Red")),IF($J1803&gt;=$I1803,"Green",IF($J1803&gt;=$I1803-IF($I1803=0,$K1803,$I1803*$K1803),"Amber","Red"))),"")</f>
        <v/>
      </c>
      <c r="T1803" s="6" t="n"/>
    </row>
    <row r="1804">
      <c r="A1804" s="8" t="n"/>
      <c r="B1804" s="8">
        <f>IF($A1804="","",TEXT($A1804,"mmm-yyyy"))</f>
        <v/>
      </c>
      <c r="C1804" s="8">
        <f>IF($A1804="","","W"&amp;WEEKNUM($A1804,2))</f>
        <v/>
      </c>
      <c r="D1804" s="8">
        <f>IF($A1804="","",TEXT($A1804,"ddd"))</f>
        <v/>
      </c>
      <c r="E1804" s="8" t="n"/>
      <c r="F1804" s="8">
        <f>IFERROR(INDEX(Tbl_KPIMaster[Category],MATCH($G1804,Tbl_KPIMaster[KPI],0)),"")</f>
        <v/>
      </c>
      <c r="G1804" s="8" t="n"/>
      <c r="H1804" s="8">
        <f>IFERROR(INDEX(Tbl_KPIMaster[Unit],MATCH($G1804,Tbl_KPIMaster[KPI],0)),"")</f>
        <v/>
      </c>
      <c r="I1804" s="8">
        <f>IFERROR(INDEX(Tbl_KPIMaster[Maximum Target],MATCH($G1804,Tbl_KPIMaster[KPI],0)),"")</f>
        <v/>
      </c>
      <c r="J1804" s="8" t="n"/>
      <c r="K1804" s="8">
        <f>IFERROR(INDEX(Tbl_KPIMaster[Tolerance],MATCH($G1804,Tbl_KPIMaster[KPI],0)),"")</f>
        <v/>
      </c>
      <c r="L1804" s="8">
        <f>IFERROR(INDEX(Tbl_KPIMaster[Owner],MATCH($G1804,Tbl_KPIMaster[KPI],0)),"")</f>
        <v/>
      </c>
      <c r="M1804" s="10" t="n"/>
      <c r="N1804" s="8" t="n"/>
      <c r="O1804" s="8" t="n"/>
      <c r="P1804" s="8" t="n"/>
      <c r="Q1804" s="9">
        <f>IFERROR(IF(INDEX(Tbl_KPIMaster[Direction],MATCH($G1804,Tbl_KPIMaster[KPI],0))="Lower is Better",IF($J1804=0,1,IF($I1804=0,0,$I1804/$J1804)),IF($I1804=0,1,$J1804/$I1804)),0)</f>
        <v/>
      </c>
      <c r="R1804" s="8">
        <f>IF(OR($I1804="",$J1804=""),"",$J1804-$I1804)</f>
        <v/>
      </c>
      <c r="S1804" s="8">
        <f>IFERROR(IF(INDEX(Tbl_KPIMaster[Direction],MATCH($G1804,Tbl_KPIMaster[KPI],0))="Lower is Better",IF($J1804&lt;=$I1804,"Green",IF($J1804&lt;=$I1804+IF($I1804=0,$K1804,$I1804*$K1804),"Amber","Red")),IF($J1804&gt;=$I1804,"Green",IF($J1804&gt;=$I1804-IF($I1804=0,$K1804,$I1804*$K1804),"Amber","Red"))),"")</f>
        <v/>
      </c>
      <c r="T1804" s="10" t="n"/>
    </row>
    <row r="1805">
      <c r="A1805" s="4" t="n"/>
      <c r="B1805" s="4">
        <f>IF($A1805="","",TEXT($A1805,"mmm-yyyy"))</f>
        <v/>
      </c>
      <c r="C1805" s="4">
        <f>IF($A1805="","","W"&amp;WEEKNUM($A1805,2))</f>
        <v/>
      </c>
      <c r="D1805" s="4">
        <f>IF($A1805="","",TEXT($A1805,"ddd"))</f>
        <v/>
      </c>
      <c r="E1805" s="4" t="n"/>
      <c r="F1805" s="4">
        <f>IFERROR(INDEX(Tbl_KPIMaster[Category],MATCH($G1805,Tbl_KPIMaster[KPI],0)),"")</f>
        <v/>
      </c>
      <c r="G1805" s="4" t="n"/>
      <c r="H1805" s="4">
        <f>IFERROR(INDEX(Tbl_KPIMaster[Unit],MATCH($G1805,Tbl_KPIMaster[KPI],0)),"")</f>
        <v/>
      </c>
      <c r="I1805" s="4">
        <f>IFERROR(INDEX(Tbl_KPIMaster[Maximum Target],MATCH($G1805,Tbl_KPIMaster[KPI],0)),"")</f>
        <v/>
      </c>
      <c r="J1805" s="4" t="n"/>
      <c r="K1805" s="4">
        <f>IFERROR(INDEX(Tbl_KPIMaster[Tolerance],MATCH($G1805,Tbl_KPIMaster[KPI],0)),"")</f>
        <v/>
      </c>
      <c r="L1805" s="4">
        <f>IFERROR(INDEX(Tbl_KPIMaster[Owner],MATCH($G1805,Tbl_KPIMaster[KPI],0)),"")</f>
        <v/>
      </c>
      <c r="M1805" s="6" t="n"/>
      <c r="N1805" s="4" t="n"/>
      <c r="O1805" s="4" t="n"/>
      <c r="P1805" s="4" t="n"/>
      <c r="Q1805" s="5">
        <f>IFERROR(IF(INDEX(Tbl_KPIMaster[Direction],MATCH($G1805,Tbl_KPIMaster[KPI],0))="Lower is Better",IF($J1805=0,1,IF($I1805=0,0,$I1805/$J1805)),IF($I1805=0,1,$J1805/$I1805)),0)</f>
        <v/>
      </c>
      <c r="R1805" s="4">
        <f>IF(OR($I1805="",$J1805=""),"",$J1805-$I1805)</f>
        <v/>
      </c>
      <c r="S1805" s="4">
        <f>IFERROR(IF(INDEX(Tbl_KPIMaster[Direction],MATCH($G1805,Tbl_KPIMaster[KPI],0))="Lower is Better",IF($J1805&lt;=$I1805,"Green",IF($J1805&lt;=$I1805+IF($I1805=0,$K1805,$I1805*$K1805),"Amber","Red")),IF($J1805&gt;=$I1805,"Green",IF($J1805&gt;=$I1805-IF($I1805=0,$K1805,$I1805*$K1805),"Amber","Red"))),"")</f>
        <v/>
      </c>
      <c r="T1805" s="6" t="n"/>
    </row>
    <row r="1806">
      <c r="A1806" s="8" t="n"/>
      <c r="B1806" s="8">
        <f>IF($A1806="","",TEXT($A1806,"mmm-yyyy"))</f>
        <v/>
      </c>
      <c r="C1806" s="8">
        <f>IF($A1806="","","W"&amp;WEEKNUM($A1806,2))</f>
        <v/>
      </c>
      <c r="D1806" s="8">
        <f>IF($A1806="","",TEXT($A1806,"ddd"))</f>
        <v/>
      </c>
      <c r="E1806" s="8" t="n"/>
      <c r="F1806" s="8">
        <f>IFERROR(INDEX(Tbl_KPIMaster[Category],MATCH($G1806,Tbl_KPIMaster[KPI],0)),"")</f>
        <v/>
      </c>
      <c r="G1806" s="8" t="n"/>
      <c r="H1806" s="8">
        <f>IFERROR(INDEX(Tbl_KPIMaster[Unit],MATCH($G1806,Tbl_KPIMaster[KPI],0)),"")</f>
        <v/>
      </c>
      <c r="I1806" s="8">
        <f>IFERROR(INDEX(Tbl_KPIMaster[Maximum Target],MATCH($G1806,Tbl_KPIMaster[KPI],0)),"")</f>
        <v/>
      </c>
      <c r="J1806" s="8" t="n"/>
      <c r="K1806" s="8">
        <f>IFERROR(INDEX(Tbl_KPIMaster[Tolerance],MATCH($G1806,Tbl_KPIMaster[KPI],0)),"")</f>
        <v/>
      </c>
      <c r="L1806" s="8">
        <f>IFERROR(INDEX(Tbl_KPIMaster[Owner],MATCH($G1806,Tbl_KPIMaster[KPI],0)),"")</f>
        <v/>
      </c>
      <c r="M1806" s="10" t="n"/>
      <c r="N1806" s="8" t="n"/>
      <c r="O1806" s="8" t="n"/>
      <c r="P1806" s="8" t="n"/>
      <c r="Q1806" s="9">
        <f>IFERROR(IF(INDEX(Tbl_KPIMaster[Direction],MATCH($G1806,Tbl_KPIMaster[KPI],0))="Lower is Better",IF($J1806=0,1,IF($I1806=0,0,$I1806/$J1806)),IF($I1806=0,1,$J1806/$I1806)),0)</f>
        <v/>
      </c>
      <c r="R1806" s="8">
        <f>IF(OR($I1806="",$J1806=""),"",$J1806-$I1806)</f>
        <v/>
      </c>
      <c r="S1806" s="8">
        <f>IFERROR(IF(INDEX(Tbl_KPIMaster[Direction],MATCH($G1806,Tbl_KPIMaster[KPI],0))="Lower is Better",IF($J1806&lt;=$I1806,"Green",IF($J1806&lt;=$I1806+IF($I1806=0,$K1806,$I1806*$K1806),"Amber","Red")),IF($J1806&gt;=$I1806,"Green",IF($J1806&gt;=$I1806-IF($I1806=0,$K1806,$I1806*$K1806),"Amber","Red"))),"")</f>
        <v/>
      </c>
      <c r="T1806" s="10" t="n"/>
    </row>
    <row r="1807">
      <c r="A1807" s="4" t="n"/>
      <c r="B1807" s="4">
        <f>IF($A1807="","",TEXT($A1807,"mmm-yyyy"))</f>
        <v/>
      </c>
      <c r="C1807" s="4">
        <f>IF($A1807="","","W"&amp;WEEKNUM($A1807,2))</f>
        <v/>
      </c>
      <c r="D1807" s="4">
        <f>IF($A1807="","",TEXT($A1807,"ddd"))</f>
        <v/>
      </c>
      <c r="E1807" s="4" t="n"/>
      <c r="F1807" s="4">
        <f>IFERROR(INDEX(Tbl_KPIMaster[Category],MATCH($G1807,Tbl_KPIMaster[KPI],0)),"")</f>
        <v/>
      </c>
      <c r="G1807" s="4" t="n"/>
      <c r="H1807" s="4">
        <f>IFERROR(INDEX(Tbl_KPIMaster[Unit],MATCH($G1807,Tbl_KPIMaster[KPI],0)),"")</f>
        <v/>
      </c>
      <c r="I1807" s="4">
        <f>IFERROR(INDEX(Tbl_KPIMaster[Maximum Target],MATCH($G1807,Tbl_KPIMaster[KPI],0)),"")</f>
        <v/>
      </c>
      <c r="J1807" s="4" t="n"/>
      <c r="K1807" s="4">
        <f>IFERROR(INDEX(Tbl_KPIMaster[Tolerance],MATCH($G1807,Tbl_KPIMaster[KPI],0)),"")</f>
        <v/>
      </c>
      <c r="L1807" s="4">
        <f>IFERROR(INDEX(Tbl_KPIMaster[Owner],MATCH($G1807,Tbl_KPIMaster[KPI],0)),"")</f>
        <v/>
      </c>
      <c r="M1807" s="6" t="n"/>
      <c r="N1807" s="4" t="n"/>
      <c r="O1807" s="4" t="n"/>
      <c r="P1807" s="4" t="n"/>
      <c r="Q1807" s="5">
        <f>IFERROR(IF(INDEX(Tbl_KPIMaster[Direction],MATCH($G1807,Tbl_KPIMaster[KPI],0))="Lower is Better",IF($J1807=0,1,IF($I1807=0,0,$I1807/$J1807)),IF($I1807=0,1,$J1807/$I1807)),0)</f>
        <v/>
      </c>
      <c r="R1807" s="4">
        <f>IF(OR($I1807="",$J1807=""),"",$J1807-$I1807)</f>
        <v/>
      </c>
      <c r="S1807" s="4">
        <f>IFERROR(IF(INDEX(Tbl_KPIMaster[Direction],MATCH($G1807,Tbl_KPIMaster[KPI],0))="Lower is Better",IF($J1807&lt;=$I1807,"Green",IF($J1807&lt;=$I1807+IF($I1807=0,$K1807,$I1807*$K1807),"Amber","Red")),IF($J1807&gt;=$I1807,"Green",IF($J1807&gt;=$I1807-IF($I1807=0,$K1807,$I1807*$K1807),"Amber","Red"))),"")</f>
        <v/>
      </c>
      <c r="T1807" s="6" t="n"/>
    </row>
    <row r="1808">
      <c r="A1808" s="8" t="n"/>
      <c r="B1808" s="8">
        <f>IF($A1808="","",TEXT($A1808,"mmm-yyyy"))</f>
        <v/>
      </c>
      <c r="C1808" s="8">
        <f>IF($A1808="","","W"&amp;WEEKNUM($A1808,2))</f>
        <v/>
      </c>
      <c r="D1808" s="8">
        <f>IF($A1808="","",TEXT($A1808,"ddd"))</f>
        <v/>
      </c>
      <c r="E1808" s="8" t="n"/>
      <c r="F1808" s="8">
        <f>IFERROR(INDEX(Tbl_KPIMaster[Category],MATCH($G1808,Tbl_KPIMaster[KPI],0)),"")</f>
        <v/>
      </c>
      <c r="G1808" s="8" t="n"/>
      <c r="H1808" s="8">
        <f>IFERROR(INDEX(Tbl_KPIMaster[Unit],MATCH($G1808,Tbl_KPIMaster[KPI],0)),"")</f>
        <v/>
      </c>
      <c r="I1808" s="8">
        <f>IFERROR(INDEX(Tbl_KPIMaster[Maximum Target],MATCH($G1808,Tbl_KPIMaster[KPI],0)),"")</f>
        <v/>
      </c>
      <c r="J1808" s="8" t="n"/>
      <c r="K1808" s="8">
        <f>IFERROR(INDEX(Tbl_KPIMaster[Tolerance],MATCH($G1808,Tbl_KPIMaster[KPI],0)),"")</f>
        <v/>
      </c>
      <c r="L1808" s="8">
        <f>IFERROR(INDEX(Tbl_KPIMaster[Owner],MATCH($G1808,Tbl_KPIMaster[KPI],0)),"")</f>
        <v/>
      </c>
      <c r="M1808" s="10" t="n"/>
      <c r="N1808" s="8" t="n"/>
      <c r="O1808" s="8" t="n"/>
      <c r="P1808" s="8" t="n"/>
      <c r="Q1808" s="9">
        <f>IFERROR(IF(INDEX(Tbl_KPIMaster[Direction],MATCH($G1808,Tbl_KPIMaster[KPI],0))="Lower is Better",IF($J1808=0,1,IF($I1808=0,0,$I1808/$J1808)),IF($I1808=0,1,$J1808/$I1808)),0)</f>
        <v/>
      </c>
      <c r="R1808" s="8">
        <f>IF(OR($I1808="",$J1808=""),"",$J1808-$I1808)</f>
        <v/>
      </c>
      <c r="S1808" s="8">
        <f>IFERROR(IF(INDEX(Tbl_KPIMaster[Direction],MATCH($G1808,Tbl_KPIMaster[KPI],0))="Lower is Better",IF($J1808&lt;=$I1808,"Green",IF($J1808&lt;=$I1808+IF($I1808=0,$K1808,$I1808*$K1808),"Amber","Red")),IF($J1808&gt;=$I1808,"Green",IF($J1808&gt;=$I1808-IF($I1808=0,$K1808,$I1808*$K1808),"Amber","Red"))),"")</f>
        <v/>
      </c>
      <c r="T1808" s="10" t="n"/>
    </row>
    <row r="1809">
      <c r="A1809" s="4" t="n"/>
      <c r="B1809" s="4">
        <f>IF($A1809="","",TEXT($A1809,"mmm-yyyy"))</f>
        <v/>
      </c>
      <c r="C1809" s="4">
        <f>IF($A1809="","","W"&amp;WEEKNUM($A1809,2))</f>
        <v/>
      </c>
      <c r="D1809" s="4">
        <f>IF($A1809="","",TEXT($A1809,"ddd"))</f>
        <v/>
      </c>
      <c r="E1809" s="4" t="n"/>
      <c r="F1809" s="4">
        <f>IFERROR(INDEX(Tbl_KPIMaster[Category],MATCH($G1809,Tbl_KPIMaster[KPI],0)),"")</f>
        <v/>
      </c>
      <c r="G1809" s="4" t="n"/>
      <c r="H1809" s="4">
        <f>IFERROR(INDEX(Tbl_KPIMaster[Unit],MATCH($G1809,Tbl_KPIMaster[KPI],0)),"")</f>
        <v/>
      </c>
      <c r="I1809" s="4">
        <f>IFERROR(INDEX(Tbl_KPIMaster[Maximum Target],MATCH($G1809,Tbl_KPIMaster[KPI],0)),"")</f>
        <v/>
      </c>
      <c r="J1809" s="4" t="n"/>
      <c r="K1809" s="4">
        <f>IFERROR(INDEX(Tbl_KPIMaster[Tolerance],MATCH($G1809,Tbl_KPIMaster[KPI],0)),"")</f>
        <v/>
      </c>
      <c r="L1809" s="4">
        <f>IFERROR(INDEX(Tbl_KPIMaster[Owner],MATCH($G1809,Tbl_KPIMaster[KPI],0)),"")</f>
        <v/>
      </c>
      <c r="M1809" s="6" t="n"/>
      <c r="N1809" s="4" t="n"/>
      <c r="O1809" s="4" t="n"/>
      <c r="P1809" s="4" t="n"/>
      <c r="Q1809" s="5">
        <f>IFERROR(IF(INDEX(Tbl_KPIMaster[Direction],MATCH($G1809,Tbl_KPIMaster[KPI],0))="Lower is Better",IF($J1809=0,1,IF($I1809=0,0,$I1809/$J1809)),IF($I1809=0,1,$J1809/$I1809)),0)</f>
        <v/>
      </c>
      <c r="R1809" s="4">
        <f>IF(OR($I1809="",$J1809=""),"",$J1809-$I1809)</f>
        <v/>
      </c>
      <c r="S1809" s="4">
        <f>IFERROR(IF(INDEX(Tbl_KPIMaster[Direction],MATCH($G1809,Tbl_KPIMaster[KPI],0))="Lower is Better",IF($J1809&lt;=$I1809,"Green",IF($J1809&lt;=$I1809+IF($I1809=0,$K1809,$I1809*$K1809),"Amber","Red")),IF($J1809&gt;=$I1809,"Green",IF($J1809&gt;=$I1809-IF($I1809=0,$K1809,$I1809*$K1809),"Amber","Red"))),"")</f>
        <v/>
      </c>
      <c r="T1809" s="6" t="n"/>
    </row>
    <row r="1810">
      <c r="A1810" s="8" t="n"/>
      <c r="B1810" s="8">
        <f>IF($A1810="","",TEXT($A1810,"mmm-yyyy"))</f>
        <v/>
      </c>
      <c r="C1810" s="8">
        <f>IF($A1810="","","W"&amp;WEEKNUM($A1810,2))</f>
        <v/>
      </c>
      <c r="D1810" s="8">
        <f>IF($A1810="","",TEXT($A1810,"ddd"))</f>
        <v/>
      </c>
      <c r="E1810" s="8" t="n"/>
      <c r="F1810" s="8">
        <f>IFERROR(INDEX(Tbl_KPIMaster[Category],MATCH($G1810,Tbl_KPIMaster[KPI],0)),"")</f>
        <v/>
      </c>
      <c r="G1810" s="8" t="n"/>
      <c r="H1810" s="8">
        <f>IFERROR(INDEX(Tbl_KPIMaster[Unit],MATCH($G1810,Tbl_KPIMaster[KPI],0)),"")</f>
        <v/>
      </c>
      <c r="I1810" s="8">
        <f>IFERROR(INDEX(Tbl_KPIMaster[Maximum Target],MATCH($G1810,Tbl_KPIMaster[KPI],0)),"")</f>
        <v/>
      </c>
      <c r="J1810" s="8" t="n"/>
      <c r="K1810" s="8">
        <f>IFERROR(INDEX(Tbl_KPIMaster[Tolerance],MATCH($G1810,Tbl_KPIMaster[KPI],0)),"")</f>
        <v/>
      </c>
      <c r="L1810" s="8">
        <f>IFERROR(INDEX(Tbl_KPIMaster[Owner],MATCH($G1810,Tbl_KPIMaster[KPI],0)),"")</f>
        <v/>
      </c>
      <c r="M1810" s="10" t="n"/>
      <c r="N1810" s="8" t="n"/>
      <c r="O1810" s="8" t="n"/>
      <c r="P1810" s="8" t="n"/>
      <c r="Q1810" s="9">
        <f>IFERROR(IF(INDEX(Tbl_KPIMaster[Direction],MATCH($G1810,Tbl_KPIMaster[KPI],0))="Lower is Better",IF($J1810=0,1,IF($I1810=0,0,$I1810/$J1810)),IF($I1810=0,1,$J1810/$I1810)),0)</f>
        <v/>
      </c>
      <c r="R1810" s="8">
        <f>IF(OR($I1810="",$J1810=""),"",$J1810-$I1810)</f>
        <v/>
      </c>
      <c r="S1810" s="8">
        <f>IFERROR(IF(INDEX(Tbl_KPIMaster[Direction],MATCH($G1810,Tbl_KPIMaster[KPI],0))="Lower is Better",IF($J1810&lt;=$I1810,"Green",IF($J1810&lt;=$I1810+IF($I1810=0,$K1810,$I1810*$K1810),"Amber","Red")),IF($J1810&gt;=$I1810,"Green",IF($J1810&gt;=$I1810-IF($I1810=0,$K1810,$I1810*$K1810),"Amber","Red"))),"")</f>
        <v/>
      </c>
      <c r="T1810" s="10" t="n"/>
    </row>
    <row r="1811">
      <c r="A1811" s="4" t="n"/>
      <c r="B1811" s="4">
        <f>IF($A1811="","",TEXT($A1811,"mmm-yyyy"))</f>
        <v/>
      </c>
      <c r="C1811" s="4">
        <f>IF($A1811="","","W"&amp;WEEKNUM($A1811,2))</f>
        <v/>
      </c>
      <c r="D1811" s="4">
        <f>IF($A1811="","",TEXT($A1811,"ddd"))</f>
        <v/>
      </c>
      <c r="E1811" s="4" t="n"/>
      <c r="F1811" s="4">
        <f>IFERROR(INDEX(Tbl_KPIMaster[Category],MATCH($G1811,Tbl_KPIMaster[KPI],0)),"")</f>
        <v/>
      </c>
      <c r="G1811" s="4" t="n"/>
      <c r="H1811" s="4">
        <f>IFERROR(INDEX(Tbl_KPIMaster[Unit],MATCH($G1811,Tbl_KPIMaster[KPI],0)),"")</f>
        <v/>
      </c>
      <c r="I1811" s="4">
        <f>IFERROR(INDEX(Tbl_KPIMaster[Maximum Target],MATCH($G1811,Tbl_KPIMaster[KPI],0)),"")</f>
        <v/>
      </c>
      <c r="J1811" s="4" t="n"/>
      <c r="K1811" s="4">
        <f>IFERROR(INDEX(Tbl_KPIMaster[Tolerance],MATCH($G1811,Tbl_KPIMaster[KPI],0)),"")</f>
        <v/>
      </c>
      <c r="L1811" s="4">
        <f>IFERROR(INDEX(Tbl_KPIMaster[Owner],MATCH($G1811,Tbl_KPIMaster[KPI],0)),"")</f>
        <v/>
      </c>
      <c r="M1811" s="6" t="n"/>
      <c r="N1811" s="4" t="n"/>
      <c r="O1811" s="4" t="n"/>
      <c r="P1811" s="4" t="n"/>
      <c r="Q1811" s="5">
        <f>IFERROR(IF(INDEX(Tbl_KPIMaster[Direction],MATCH($G1811,Tbl_KPIMaster[KPI],0))="Lower is Better",IF($J1811=0,1,IF($I1811=0,0,$I1811/$J1811)),IF($I1811=0,1,$J1811/$I1811)),0)</f>
        <v/>
      </c>
      <c r="R1811" s="4">
        <f>IF(OR($I1811="",$J1811=""),"",$J1811-$I1811)</f>
        <v/>
      </c>
      <c r="S1811" s="4">
        <f>IFERROR(IF(INDEX(Tbl_KPIMaster[Direction],MATCH($G1811,Tbl_KPIMaster[KPI],0))="Lower is Better",IF($J1811&lt;=$I1811,"Green",IF($J1811&lt;=$I1811+IF($I1811=0,$K1811,$I1811*$K1811),"Amber","Red")),IF($J1811&gt;=$I1811,"Green",IF($J1811&gt;=$I1811-IF($I1811=0,$K1811,$I1811*$K1811),"Amber","Red"))),"")</f>
        <v/>
      </c>
      <c r="T1811" s="6" t="n"/>
    </row>
    <row r="1812">
      <c r="A1812" s="8" t="n"/>
      <c r="B1812" s="8">
        <f>IF($A1812="","",TEXT($A1812,"mmm-yyyy"))</f>
        <v/>
      </c>
      <c r="C1812" s="8">
        <f>IF($A1812="","","W"&amp;WEEKNUM($A1812,2))</f>
        <v/>
      </c>
      <c r="D1812" s="8">
        <f>IF($A1812="","",TEXT($A1812,"ddd"))</f>
        <v/>
      </c>
      <c r="E1812" s="8" t="n"/>
      <c r="F1812" s="8">
        <f>IFERROR(INDEX(Tbl_KPIMaster[Category],MATCH($G1812,Tbl_KPIMaster[KPI],0)),"")</f>
        <v/>
      </c>
      <c r="G1812" s="8" t="n"/>
      <c r="H1812" s="8">
        <f>IFERROR(INDEX(Tbl_KPIMaster[Unit],MATCH($G1812,Tbl_KPIMaster[KPI],0)),"")</f>
        <v/>
      </c>
      <c r="I1812" s="8">
        <f>IFERROR(INDEX(Tbl_KPIMaster[Maximum Target],MATCH($G1812,Tbl_KPIMaster[KPI],0)),"")</f>
        <v/>
      </c>
      <c r="J1812" s="8" t="n"/>
      <c r="K1812" s="8">
        <f>IFERROR(INDEX(Tbl_KPIMaster[Tolerance],MATCH($G1812,Tbl_KPIMaster[KPI],0)),"")</f>
        <v/>
      </c>
      <c r="L1812" s="8">
        <f>IFERROR(INDEX(Tbl_KPIMaster[Owner],MATCH($G1812,Tbl_KPIMaster[KPI],0)),"")</f>
        <v/>
      </c>
      <c r="M1812" s="10" t="n"/>
      <c r="N1812" s="8" t="n"/>
      <c r="O1812" s="8" t="n"/>
      <c r="P1812" s="8" t="n"/>
      <c r="Q1812" s="9">
        <f>IFERROR(IF(INDEX(Tbl_KPIMaster[Direction],MATCH($G1812,Tbl_KPIMaster[KPI],0))="Lower is Better",IF($J1812=0,1,IF($I1812=0,0,$I1812/$J1812)),IF($I1812=0,1,$J1812/$I1812)),0)</f>
        <v/>
      </c>
      <c r="R1812" s="8">
        <f>IF(OR($I1812="",$J1812=""),"",$J1812-$I1812)</f>
        <v/>
      </c>
      <c r="S1812" s="8">
        <f>IFERROR(IF(INDEX(Tbl_KPIMaster[Direction],MATCH($G1812,Tbl_KPIMaster[KPI],0))="Lower is Better",IF($J1812&lt;=$I1812,"Green",IF($J1812&lt;=$I1812+IF($I1812=0,$K1812,$I1812*$K1812),"Amber","Red")),IF($J1812&gt;=$I1812,"Green",IF($J1812&gt;=$I1812-IF($I1812=0,$K1812,$I1812*$K1812),"Amber","Red"))),"")</f>
        <v/>
      </c>
      <c r="T1812" s="10" t="n"/>
    </row>
    <row r="1813">
      <c r="A1813" s="4" t="n"/>
      <c r="B1813" s="4">
        <f>IF($A1813="","",TEXT($A1813,"mmm-yyyy"))</f>
        <v/>
      </c>
      <c r="C1813" s="4">
        <f>IF($A1813="","","W"&amp;WEEKNUM($A1813,2))</f>
        <v/>
      </c>
      <c r="D1813" s="4">
        <f>IF($A1813="","",TEXT($A1813,"ddd"))</f>
        <v/>
      </c>
      <c r="E1813" s="4" t="n"/>
      <c r="F1813" s="4">
        <f>IFERROR(INDEX(Tbl_KPIMaster[Category],MATCH($G1813,Tbl_KPIMaster[KPI],0)),"")</f>
        <v/>
      </c>
      <c r="G1813" s="4" t="n"/>
      <c r="H1813" s="4">
        <f>IFERROR(INDEX(Tbl_KPIMaster[Unit],MATCH($G1813,Tbl_KPIMaster[KPI],0)),"")</f>
        <v/>
      </c>
      <c r="I1813" s="4">
        <f>IFERROR(INDEX(Tbl_KPIMaster[Maximum Target],MATCH($G1813,Tbl_KPIMaster[KPI],0)),"")</f>
        <v/>
      </c>
      <c r="J1813" s="4" t="n"/>
      <c r="K1813" s="4">
        <f>IFERROR(INDEX(Tbl_KPIMaster[Tolerance],MATCH($G1813,Tbl_KPIMaster[KPI],0)),"")</f>
        <v/>
      </c>
      <c r="L1813" s="4">
        <f>IFERROR(INDEX(Tbl_KPIMaster[Owner],MATCH($G1813,Tbl_KPIMaster[KPI],0)),"")</f>
        <v/>
      </c>
      <c r="M1813" s="6" t="n"/>
      <c r="N1813" s="4" t="n"/>
      <c r="O1813" s="4" t="n"/>
      <c r="P1813" s="4" t="n"/>
      <c r="Q1813" s="5">
        <f>IFERROR(IF(INDEX(Tbl_KPIMaster[Direction],MATCH($G1813,Tbl_KPIMaster[KPI],0))="Lower is Better",IF($J1813=0,1,IF($I1813=0,0,$I1813/$J1813)),IF($I1813=0,1,$J1813/$I1813)),0)</f>
        <v/>
      </c>
      <c r="R1813" s="4">
        <f>IF(OR($I1813="",$J1813=""),"",$J1813-$I1813)</f>
        <v/>
      </c>
      <c r="S1813" s="4">
        <f>IFERROR(IF(INDEX(Tbl_KPIMaster[Direction],MATCH($G1813,Tbl_KPIMaster[KPI],0))="Lower is Better",IF($J1813&lt;=$I1813,"Green",IF($J1813&lt;=$I1813+IF($I1813=0,$K1813,$I1813*$K1813),"Amber","Red")),IF($J1813&gt;=$I1813,"Green",IF($J1813&gt;=$I1813-IF($I1813=0,$K1813,$I1813*$K1813),"Amber","Red"))),"")</f>
        <v/>
      </c>
      <c r="T1813" s="6" t="n"/>
    </row>
    <row r="1814">
      <c r="A1814" s="8" t="n"/>
      <c r="B1814" s="8">
        <f>IF($A1814="","",TEXT($A1814,"mmm-yyyy"))</f>
        <v/>
      </c>
      <c r="C1814" s="8">
        <f>IF($A1814="","","W"&amp;WEEKNUM($A1814,2))</f>
        <v/>
      </c>
      <c r="D1814" s="8">
        <f>IF($A1814="","",TEXT($A1814,"ddd"))</f>
        <v/>
      </c>
      <c r="E1814" s="8" t="n"/>
      <c r="F1814" s="8">
        <f>IFERROR(INDEX(Tbl_KPIMaster[Category],MATCH($G1814,Tbl_KPIMaster[KPI],0)),"")</f>
        <v/>
      </c>
      <c r="G1814" s="8" t="n"/>
      <c r="H1814" s="8">
        <f>IFERROR(INDEX(Tbl_KPIMaster[Unit],MATCH($G1814,Tbl_KPIMaster[KPI],0)),"")</f>
        <v/>
      </c>
      <c r="I1814" s="8">
        <f>IFERROR(INDEX(Tbl_KPIMaster[Maximum Target],MATCH($G1814,Tbl_KPIMaster[KPI],0)),"")</f>
        <v/>
      </c>
      <c r="J1814" s="8" t="n"/>
      <c r="K1814" s="8">
        <f>IFERROR(INDEX(Tbl_KPIMaster[Tolerance],MATCH($G1814,Tbl_KPIMaster[KPI],0)),"")</f>
        <v/>
      </c>
      <c r="L1814" s="8">
        <f>IFERROR(INDEX(Tbl_KPIMaster[Owner],MATCH($G1814,Tbl_KPIMaster[KPI],0)),"")</f>
        <v/>
      </c>
      <c r="M1814" s="10" t="n"/>
      <c r="N1814" s="8" t="n"/>
      <c r="O1814" s="8" t="n"/>
      <c r="P1814" s="8" t="n"/>
      <c r="Q1814" s="9">
        <f>IFERROR(IF(INDEX(Tbl_KPIMaster[Direction],MATCH($G1814,Tbl_KPIMaster[KPI],0))="Lower is Better",IF($J1814=0,1,IF($I1814=0,0,$I1814/$J1814)),IF($I1814=0,1,$J1814/$I1814)),0)</f>
        <v/>
      </c>
      <c r="R1814" s="8">
        <f>IF(OR($I1814="",$J1814=""),"",$J1814-$I1814)</f>
        <v/>
      </c>
      <c r="S1814" s="8">
        <f>IFERROR(IF(INDEX(Tbl_KPIMaster[Direction],MATCH($G1814,Tbl_KPIMaster[KPI],0))="Lower is Better",IF($J1814&lt;=$I1814,"Green",IF($J1814&lt;=$I1814+IF($I1814=0,$K1814,$I1814*$K1814),"Amber","Red")),IF($J1814&gt;=$I1814,"Green",IF($J1814&gt;=$I1814-IF($I1814=0,$K1814,$I1814*$K1814),"Amber","Red"))),"")</f>
        <v/>
      </c>
      <c r="T1814" s="10" t="n"/>
    </row>
    <row r="1815">
      <c r="A1815" s="4" t="n"/>
      <c r="B1815" s="4">
        <f>IF($A1815="","",TEXT($A1815,"mmm-yyyy"))</f>
        <v/>
      </c>
      <c r="C1815" s="4">
        <f>IF($A1815="","","W"&amp;WEEKNUM($A1815,2))</f>
        <v/>
      </c>
      <c r="D1815" s="4">
        <f>IF($A1815="","",TEXT($A1815,"ddd"))</f>
        <v/>
      </c>
      <c r="E1815" s="4" t="n"/>
      <c r="F1815" s="4">
        <f>IFERROR(INDEX(Tbl_KPIMaster[Category],MATCH($G1815,Tbl_KPIMaster[KPI],0)),"")</f>
        <v/>
      </c>
      <c r="G1815" s="4" t="n"/>
      <c r="H1815" s="4">
        <f>IFERROR(INDEX(Tbl_KPIMaster[Unit],MATCH($G1815,Tbl_KPIMaster[KPI],0)),"")</f>
        <v/>
      </c>
      <c r="I1815" s="4">
        <f>IFERROR(INDEX(Tbl_KPIMaster[Maximum Target],MATCH($G1815,Tbl_KPIMaster[KPI],0)),"")</f>
        <v/>
      </c>
      <c r="J1815" s="4" t="n"/>
      <c r="K1815" s="4">
        <f>IFERROR(INDEX(Tbl_KPIMaster[Tolerance],MATCH($G1815,Tbl_KPIMaster[KPI],0)),"")</f>
        <v/>
      </c>
      <c r="L1815" s="4">
        <f>IFERROR(INDEX(Tbl_KPIMaster[Owner],MATCH($G1815,Tbl_KPIMaster[KPI],0)),"")</f>
        <v/>
      </c>
      <c r="M1815" s="6" t="n"/>
      <c r="N1815" s="4" t="n"/>
      <c r="O1815" s="4" t="n"/>
      <c r="P1815" s="4" t="n"/>
      <c r="Q1815" s="5">
        <f>IFERROR(IF(INDEX(Tbl_KPIMaster[Direction],MATCH($G1815,Tbl_KPIMaster[KPI],0))="Lower is Better",IF($J1815=0,1,IF($I1815=0,0,$I1815/$J1815)),IF($I1815=0,1,$J1815/$I1815)),0)</f>
        <v/>
      </c>
      <c r="R1815" s="4">
        <f>IF(OR($I1815="",$J1815=""),"",$J1815-$I1815)</f>
        <v/>
      </c>
      <c r="S1815" s="4">
        <f>IFERROR(IF(INDEX(Tbl_KPIMaster[Direction],MATCH($G1815,Tbl_KPIMaster[KPI],0))="Lower is Better",IF($J1815&lt;=$I1815,"Green",IF($J1815&lt;=$I1815+IF($I1815=0,$K1815,$I1815*$K1815),"Amber","Red")),IF($J1815&gt;=$I1815,"Green",IF($J1815&gt;=$I1815-IF($I1815=0,$K1815,$I1815*$K1815),"Amber","Red"))),"")</f>
        <v/>
      </c>
      <c r="T1815" s="6" t="n"/>
    </row>
    <row r="1816">
      <c r="A1816" s="8" t="n"/>
      <c r="B1816" s="8">
        <f>IF($A1816="","",TEXT($A1816,"mmm-yyyy"))</f>
        <v/>
      </c>
      <c r="C1816" s="8">
        <f>IF($A1816="","","W"&amp;WEEKNUM($A1816,2))</f>
        <v/>
      </c>
      <c r="D1816" s="8">
        <f>IF($A1816="","",TEXT($A1816,"ddd"))</f>
        <v/>
      </c>
      <c r="E1816" s="8" t="n"/>
      <c r="F1816" s="8">
        <f>IFERROR(INDEX(Tbl_KPIMaster[Category],MATCH($G1816,Tbl_KPIMaster[KPI],0)),"")</f>
        <v/>
      </c>
      <c r="G1816" s="8" t="n"/>
      <c r="H1816" s="8">
        <f>IFERROR(INDEX(Tbl_KPIMaster[Unit],MATCH($G1816,Tbl_KPIMaster[KPI],0)),"")</f>
        <v/>
      </c>
      <c r="I1816" s="8">
        <f>IFERROR(INDEX(Tbl_KPIMaster[Maximum Target],MATCH($G1816,Tbl_KPIMaster[KPI],0)),"")</f>
        <v/>
      </c>
      <c r="J1816" s="8" t="n"/>
      <c r="K1816" s="8">
        <f>IFERROR(INDEX(Tbl_KPIMaster[Tolerance],MATCH($G1816,Tbl_KPIMaster[KPI],0)),"")</f>
        <v/>
      </c>
      <c r="L1816" s="8">
        <f>IFERROR(INDEX(Tbl_KPIMaster[Owner],MATCH($G1816,Tbl_KPIMaster[KPI],0)),"")</f>
        <v/>
      </c>
      <c r="M1816" s="10" t="n"/>
      <c r="N1816" s="8" t="n"/>
      <c r="O1816" s="8" t="n"/>
      <c r="P1816" s="8" t="n"/>
      <c r="Q1816" s="9">
        <f>IFERROR(IF(INDEX(Tbl_KPIMaster[Direction],MATCH($G1816,Tbl_KPIMaster[KPI],0))="Lower is Better",IF($J1816=0,1,IF($I1816=0,0,$I1816/$J1816)),IF($I1816=0,1,$J1816/$I1816)),0)</f>
        <v/>
      </c>
      <c r="R1816" s="8">
        <f>IF(OR($I1816="",$J1816=""),"",$J1816-$I1816)</f>
        <v/>
      </c>
      <c r="S1816" s="8">
        <f>IFERROR(IF(INDEX(Tbl_KPIMaster[Direction],MATCH($G1816,Tbl_KPIMaster[KPI],0))="Lower is Better",IF($J1816&lt;=$I1816,"Green",IF($J1816&lt;=$I1816+IF($I1816=0,$K1816,$I1816*$K1816),"Amber","Red")),IF($J1816&gt;=$I1816,"Green",IF($J1816&gt;=$I1816-IF($I1816=0,$K1816,$I1816*$K1816),"Amber","Red"))),"")</f>
        <v/>
      </c>
      <c r="T1816" s="10" t="n"/>
    </row>
    <row r="1817">
      <c r="A1817" s="4" t="n"/>
      <c r="B1817" s="4">
        <f>IF($A1817="","",TEXT($A1817,"mmm-yyyy"))</f>
        <v/>
      </c>
      <c r="C1817" s="4">
        <f>IF($A1817="","","W"&amp;WEEKNUM($A1817,2))</f>
        <v/>
      </c>
      <c r="D1817" s="4">
        <f>IF($A1817="","",TEXT($A1817,"ddd"))</f>
        <v/>
      </c>
      <c r="E1817" s="4" t="n"/>
      <c r="F1817" s="4">
        <f>IFERROR(INDEX(Tbl_KPIMaster[Category],MATCH($G1817,Tbl_KPIMaster[KPI],0)),"")</f>
        <v/>
      </c>
      <c r="G1817" s="4" t="n"/>
      <c r="H1817" s="4">
        <f>IFERROR(INDEX(Tbl_KPIMaster[Unit],MATCH($G1817,Tbl_KPIMaster[KPI],0)),"")</f>
        <v/>
      </c>
      <c r="I1817" s="4">
        <f>IFERROR(INDEX(Tbl_KPIMaster[Maximum Target],MATCH($G1817,Tbl_KPIMaster[KPI],0)),"")</f>
        <v/>
      </c>
      <c r="J1817" s="4" t="n"/>
      <c r="K1817" s="4">
        <f>IFERROR(INDEX(Tbl_KPIMaster[Tolerance],MATCH($G1817,Tbl_KPIMaster[KPI],0)),"")</f>
        <v/>
      </c>
      <c r="L1817" s="4">
        <f>IFERROR(INDEX(Tbl_KPIMaster[Owner],MATCH($G1817,Tbl_KPIMaster[KPI],0)),"")</f>
        <v/>
      </c>
      <c r="M1817" s="6" t="n"/>
      <c r="N1817" s="4" t="n"/>
      <c r="O1817" s="4" t="n"/>
      <c r="P1817" s="4" t="n"/>
      <c r="Q1817" s="5">
        <f>IFERROR(IF(INDEX(Tbl_KPIMaster[Direction],MATCH($G1817,Tbl_KPIMaster[KPI],0))="Lower is Better",IF($J1817=0,1,IF($I1817=0,0,$I1817/$J1817)),IF($I1817=0,1,$J1817/$I1817)),0)</f>
        <v/>
      </c>
      <c r="R1817" s="4">
        <f>IF(OR($I1817="",$J1817=""),"",$J1817-$I1817)</f>
        <v/>
      </c>
      <c r="S1817" s="4">
        <f>IFERROR(IF(INDEX(Tbl_KPIMaster[Direction],MATCH($G1817,Tbl_KPIMaster[KPI],0))="Lower is Better",IF($J1817&lt;=$I1817,"Green",IF($J1817&lt;=$I1817+IF($I1817=0,$K1817,$I1817*$K1817),"Amber","Red")),IF($J1817&gt;=$I1817,"Green",IF($J1817&gt;=$I1817-IF($I1817=0,$K1817,$I1817*$K1817),"Amber","Red"))),"")</f>
        <v/>
      </c>
      <c r="T1817" s="6" t="n"/>
    </row>
    <row r="1818">
      <c r="A1818" s="8" t="n"/>
      <c r="B1818" s="8">
        <f>IF($A1818="","",TEXT($A1818,"mmm-yyyy"))</f>
        <v/>
      </c>
      <c r="C1818" s="8">
        <f>IF($A1818="","","W"&amp;WEEKNUM($A1818,2))</f>
        <v/>
      </c>
      <c r="D1818" s="8">
        <f>IF($A1818="","",TEXT($A1818,"ddd"))</f>
        <v/>
      </c>
      <c r="E1818" s="8" t="n"/>
      <c r="F1818" s="8">
        <f>IFERROR(INDEX(Tbl_KPIMaster[Category],MATCH($G1818,Tbl_KPIMaster[KPI],0)),"")</f>
        <v/>
      </c>
      <c r="G1818" s="8" t="n"/>
      <c r="H1818" s="8">
        <f>IFERROR(INDEX(Tbl_KPIMaster[Unit],MATCH($G1818,Tbl_KPIMaster[KPI],0)),"")</f>
        <v/>
      </c>
      <c r="I1818" s="8">
        <f>IFERROR(INDEX(Tbl_KPIMaster[Maximum Target],MATCH($G1818,Tbl_KPIMaster[KPI],0)),"")</f>
        <v/>
      </c>
      <c r="J1818" s="8" t="n"/>
      <c r="K1818" s="8">
        <f>IFERROR(INDEX(Tbl_KPIMaster[Tolerance],MATCH($G1818,Tbl_KPIMaster[KPI],0)),"")</f>
        <v/>
      </c>
      <c r="L1818" s="8">
        <f>IFERROR(INDEX(Tbl_KPIMaster[Owner],MATCH($G1818,Tbl_KPIMaster[KPI],0)),"")</f>
        <v/>
      </c>
      <c r="M1818" s="10" t="n"/>
      <c r="N1818" s="8" t="n"/>
      <c r="O1818" s="8" t="n"/>
      <c r="P1818" s="8" t="n"/>
      <c r="Q1818" s="9">
        <f>IFERROR(IF(INDEX(Tbl_KPIMaster[Direction],MATCH($G1818,Tbl_KPIMaster[KPI],0))="Lower is Better",IF($J1818=0,1,IF($I1818=0,0,$I1818/$J1818)),IF($I1818=0,1,$J1818/$I1818)),0)</f>
        <v/>
      </c>
      <c r="R1818" s="8">
        <f>IF(OR($I1818="",$J1818=""),"",$J1818-$I1818)</f>
        <v/>
      </c>
      <c r="S1818" s="8">
        <f>IFERROR(IF(INDEX(Tbl_KPIMaster[Direction],MATCH($G1818,Tbl_KPIMaster[KPI],0))="Lower is Better",IF($J1818&lt;=$I1818,"Green",IF($J1818&lt;=$I1818+IF($I1818=0,$K1818,$I1818*$K1818),"Amber","Red")),IF($J1818&gt;=$I1818,"Green",IF($J1818&gt;=$I1818-IF($I1818=0,$K1818,$I1818*$K1818),"Amber","Red"))),"")</f>
        <v/>
      </c>
      <c r="T1818" s="10" t="n"/>
    </row>
    <row r="1819">
      <c r="A1819" s="4" t="n"/>
      <c r="B1819" s="4">
        <f>IF($A1819="","",TEXT($A1819,"mmm-yyyy"))</f>
        <v/>
      </c>
      <c r="C1819" s="4">
        <f>IF($A1819="","","W"&amp;WEEKNUM($A1819,2))</f>
        <v/>
      </c>
      <c r="D1819" s="4">
        <f>IF($A1819="","",TEXT($A1819,"ddd"))</f>
        <v/>
      </c>
      <c r="E1819" s="4" t="n"/>
      <c r="F1819" s="4">
        <f>IFERROR(INDEX(Tbl_KPIMaster[Category],MATCH($G1819,Tbl_KPIMaster[KPI],0)),"")</f>
        <v/>
      </c>
      <c r="G1819" s="4" t="n"/>
      <c r="H1819" s="4">
        <f>IFERROR(INDEX(Tbl_KPIMaster[Unit],MATCH($G1819,Tbl_KPIMaster[KPI],0)),"")</f>
        <v/>
      </c>
      <c r="I1819" s="4">
        <f>IFERROR(INDEX(Tbl_KPIMaster[Maximum Target],MATCH($G1819,Tbl_KPIMaster[KPI],0)),"")</f>
        <v/>
      </c>
      <c r="J1819" s="4" t="n"/>
      <c r="K1819" s="4">
        <f>IFERROR(INDEX(Tbl_KPIMaster[Tolerance],MATCH($G1819,Tbl_KPIMaster[KPI],0)),"")</f>
        <v/>
      </c>
      <c r="L1819" s="4">
        <f>IFERROR(INDEX(Tbl_KPIMaster[Owner],MATCH($G1819,Tbl_KPIMaster[KPI],0)),"")</f>
        <v/>
      </c>
      <c r="M1819" s="6" t="n"/>
      <c r="N1819" s="4" t="n"/>
      <c r="O1819" s="4" t="n"/>
      <c r="P1819" s="4" t="n"/>
      <c r="Q1819" s="5">
        <f>IFERROR(IF(INDEX(Tbl_KPIMaster[Direction],MATCH($G1819,Tbl_KPIMaster[KPI],0))="Lower is Better",IF($J1819=0,1,IF($I1819=0,0,$I1819/$J1819)),IF($I1819=0,1,$J1819/$I1819)),0)</f>
        <v/>
      </c>
      <c r="R1819" s="4">
        <f>IF(OR($I1819="",$J1819=""),"",$J1819-$I1819)</f>
        <v/>
      </c>
      <c r="S1819" s="4">
        <f>IFERROR(IF(INDEX(Tbl_KPIMaster[Direction],MATCH($G1819,Tbl_KPIMaster[KPI],0))="Lower is Better",IF($J1819&lt;=$I1819,"Green",IF($J1819&lt;=$I1819+IF($I1819=0,$K1819,$I1819*$K1819),"Amber","Red")),IF($J1819&gt;=$I1819,"Green",IF($J1819&gt;=$I1819-IF($I1819=0,$K1819,$I1819*$K1819),"Amber","Red"))),"")</f>
        <v/>
      </c>
      <c r="T1819" s="6" t="n"/>
    </row>
    <row r="1820">
      <c r="A1820" s="8" t="n"/>
      <c r="B1820" s="8">
        <f>IF($A1820="","",TEXT($A1820,"mmm-yyyy"))</f>
        <v/>
      </c>
      <c r="C1820" s="8">
        <f>IF($A1820="","","W"&amp;WEEKNUM($A1820,2))</f>
        <v/>
      </c>
      <c r="D1820" s="8">
        <f>IF($A1820="","",TEXT($A1820,"ddd"))</f>
        <v/>
      </c>
      <c r="E1820" s="8" t="n"/>
      <c r="F1820" s="8">
        <f>IFERROR(INDEX(Tbl_KPIMaster[Category],MATCH($G1820,Tbl_KPIMaster[KPI],0)),"")</f>
        <v/>
      </c>
      <c r="G1820" s="8" t="n"/>
      <c r="H1820" s="8">
        <f>IFERROR(INDEX(Tbl_KPIMaster[Unit],MATCH($G1820,Tbl_KPIMaster[KPI],0)),"")</f>
        <v/>
      </c>
      <c r="I1820" s="8">
        <f>IFERROR(INDEX(Tbl_KPIMaster[Maximum Target],MATCH($G1820,Tbl_KPIMaster[KPI],0)),"")</f>
        <v/>
      </c>
      <c r="J1820" s="8" t="n"/>
      <c r="K1820" s="8">
        <f>IFERROR(INDEX(Tbl_KPIMaster[Tolerance],MATCH($G1820,Tbl_KPIMaster[KPI],0)),"")</f>
        <v/>
      </c>
      <c r="L1820" s="8">
        <f>IFERROR(INDEX(Tbl_KPIMaster[Owner],MATCH($G1820,Tbl_KPIMaster[KPI],0)),"")</f>
        <v/>
      </c>
      <c r="M1820" s="10" t="n"/>
      <c r="N1820" s="8" t="n"/>
      <c r="O1820" s="8" t="n"/>
      <c r="P1820" s="8" t="n"/>
      <c r="Q1820" s="9">
        <f>IFERROR(IF(INDEX(Tbl_KPIMaster[Direction],MATCH($G1820,Tbl_KPIMaster[KPI],0))="Lower is Better",IF($J1820=0,1,IF($I1820=0,0,$I1820/$J1820)),IF($I1820=0,1,$J1820/$I1820)),0)</f>
        <v/>
      </c>
      <c r="R1820" s="8">
        <f>IF(OR($I1820="",$J1820=""),"",$J1820-$I1820)</f>
        <v/>
      </c>
      <c r="S1820" s="8">
        <f>IFERROR(IF(INDEX(Tbl_KPIMaster[Direction],MATCH($G1820,Tbl_KPIMaster[KPI],0))="Lower is Better",IF($J1820&lt;=$I1820,"Green",IF($J1820&lt;=$I1820+IF($I1820=0,$K1820,$I1820*$K1820),"Amber","Red")),IF($J1820&gt;=$I1820,"Green",IF($J1820&gt;=$I1820-IF($I1820=0,$K1820,$I1820*$K1820),"Amber","Red"))),"")</f>
        <v/>
      </c>
      <c r="T1820" s="10" t="n"/>
    </row>
    <row r="1821">
      <c r="A1821" s="4" t="n"/>
      <c r="B1821" s="4">
        <f>IF($A1821="","",TEXT($A1821,"mmm-yyyy"))</f>
        <v/>
      </c>
      <c r="C1821" s="4">
        <f>IF($A1821="","","W"&amp;WEEKNUM($A1821,2))</f>
        <v/>
      </c>
      <c r="D1821" s="4">
        <f>IF($A1821="","",TEXT($A1821,"ddd"))</f>
        <v/>
      </c>
      <c r="E1821" s="4" t="n"/>
      <c r="F1821" s="4">
        <f>IFERROR(INDEX(Tbl_KPIMaster[Category],MATCH($G1821,Tbl_KPIMaster[KPI],0)),"")</f>
        <v/>
      </c>
      <c r="G1821" s="4" t="n"/>
      <c r="H1821" s="4">
        <f>IFERROR(INDEX(Tbl_KPIMaster[Unit],MATCH($G1821,Tbl_KPIMaster[KPI],0)),"")</f>
        <v/>
      </c>
      <c r="I1821" s="4">
        <f>IFERROR(INDEX(Tbl_KPIMaster[Maximum Target],MATCH($G1821,Tbl_KPIMaster[KPI],0)),"")</f>
        <v/>
      </c>
      <c r="J1821" s="4" t="n"/>
      <c r="K1821" s="4">
        <f>IFERROR(INDEX(Tbl_KPIMaster[Tolerance],MATCH($G1821,Tbl_KPIMaster[KPI],0)),"")</f>
        <v/>
      </c>
      <c r="L1821" s="4">
        <f>IFERROR(INDEX(Tbl_KPIMaster[Owner],MATCH($G1821,Tbl_KPIMaster[KPI],0)),"")</f>
        <v/>
      </c>
      <c r="M1821" s="6" t="n"/>
      <c r="N1821" s="4" t="n"/>
      <c r="O1821" s="4" t="n"/>
      <c r="P1821" s="4" t="n"/>
      <c r="Q1821" s="5">
        <f>IFERROR(IF(INDEX(Tbl_KPIMaster[Direction],MATCH($G1821,Tbl_KPIMaster[KPI],0))="Lower is Better",IF($J1821=0,1,IF($I1821=0,0,$I1821/$J1821)),IF($I1821=0,1,$J1821/$I1821)),0)</f>
        <v/>
      </c>
      <c r="R1821" s="4">
        <f>IF(OR($I1821="",$J1821=""),"",$J1821-$I1821)</f>
        <v/>
      </c>
      <c r="S1821" s="4">
        <f>IFERROR(IF(INDEX(Tbl_KPIMaster[Direction],MATCH($G1821,Tbl_KPIMaster[KPI],0))="Lower is Better",IF($J1821&lt;=$I1821,"Green",IF($J1821&lt;=$I1821+IF($I1821=0,$K1821,$I1821*$K1821),"Amber","Red")),IF($J1821&gt;=$I1821,"Green",IF($J1821&gt;=$I1821-IF($I1821=0,$K1821,$I1821*$K1821),"Amber","Red"))),"")</f>
        <v/>
      </c>
      <c r="T1821" s="6" t="n"/>
    </row>
    <row r="1822">
      <c r="A1822" s="8" t="n"/>
      <c r="B1822" s="8">
        <f>IF($A1822="","",TEXT($A1822,"mmm-yyyy"))</f>
        <v/>
      </c>
      <c r="C1822" s="8">
        <f>IF($A1822="","","W"&amp;WEEKNUM($A1822,2))</f>
        <v/>
      </c>
      <c r="D1822" s="8">
        <f>IF($A1822="","",TEXT($A1822,"ddd"))</f>
        <v/>
      </c>
      <c r="E1822" s="8" t="n"/>
      <c r="F1822" s="8">
        <f>IFERROR(INDEX(Tbl_KPIMaster[Category],MATCH($G1822,Tbl_KPIMaster[KPI],0)),"")</f>
        <v/>
      </c>
      <c r="G1822" s="8" t="n"/>
      <c r="H1822" s="8">
        <f>IFERROR(INDEX(Tbl_KPIMaster[Unit],MATCH($G1822,Tbl_KPIMaster[KPI],0)),"")</f>
        <v/>
      </c>
      <c r="I1822" s="8">
        <f>IFERROR(INDEX(Tbl_KPIMaster[Maximum Target],MATCH($G1822,Tbl_KPIMaster[KPI],0)),"")</f>
        <v/>
      </c>
      <c r="J1822" s="8" t="n"/>
      <c r="K1822" s="8">
        <f>IFERROR(INDEX(Tbl_KPIMaster[Tolerance],MATCH($G1822,Tbl_KPIMaster[KPI],0)),"")</f>
        <v/>
      </c>
      <c r="L1822" s="8">
        <f>IFERROR(INDEX(Tbl_KPIMaster[Owner],MATCH($G1822,Tbl_KPIMaster[KPI],0)),"")</f>
        <v/>
      </c>
      <c r="M1822" s="10" t="n"/>
      <c r="N1822" s="8" t="n"/>
      <c r="O1822" s="8" t="n"/>
      <c r="P1822" s="8" t="n"/>
      <c r="Q1822" s="9">
        <f>IFERROR(IF(INDEX(Tbl_KPIMaster[Direction],MATCH($G1822,Tbl_KPIMaster[KPI],0))="Lower is Better",IF($J1822=0,1,IF($I1822=0,0,$I1822/$J1822)),IF($I1822=0,1,$J1822/$I1822)),0)</f>
        <v/>
      </c>
      <c r="R1822" s="8">
        <f>IF(OR($I1822="",$J1822=""),"",$J1822-$I1822)</f>
        <v/>
      </c>
      <c r="S1822" s="8">
        <f>IFERROR(IF(INDEX(Tbl_KPIMaster[Direction],MATCH($G1822,Tbl_KPIMaster[KPI],0))="Lower is Better",IF($J1822&lt;=$I1822,"Green",IF($J1822&lt;=$I1822+IF($I1822=0,$K1822,$I1822*$K1822),"Amber","Red")),IF($J1822&gt;=$I1822,"Green",IF($J1822&gt;=$I1822-IF($I1822=0,$K1822,$I1822*$K1822),"Amber","Red"))),"")</f>
        <v/>
      </c>
      <c r="T1822" s="10" t="n"/>
    </row>
    <row r="1823">
      <c r="A1823" s="4" t="n"/>
      <c r="B1823" s="4">
        <f>IF($A1823="","",TEXT($A1823,"mmm-yyyy"))</f>
        <v/>
      </c>
      <c r="C1823" s="4">
        <f>IF($A1823="","","W"&amp;WEEKNUM($A1823,2))</f>
        <v/>
      </c>
      <c r="D1823" s="4">
        <f>IF($A1823="","",TEXT($A1823,"ddd"))</f>
        <v/>
      </c>
      <c r="E1823" s="4" t="n"/>
      <c r="F1823" s="4">
        <f>IFERROR(INDEX(Tbl_KPIMaster[Category],MATCH($G1823,Tbl_KPIMaster[KPI],0)),"")</f>
        <v/>
      </c>
      <c r="G1823" s="4" t="n"/>
      <c r="H1823" s="4">
        <f>IFERROR(INDEX(Tbl_KPIMaster[Unit],MATCH($G1823,Tbl_KPIMaster[KPI],0)),"")</f>
        <v/>
      </c>
      <c r="I1823" s="4">
        <f>IFERROR(INDEX(Tbl_KPIMaster[Maximum Target],MATCH($G1823,Tbl_KPIMaster[KPI],0)),"")</f>
        <v/>
      </c>
      <c r="J1823" s="4" t="n"/>
      <c r="K1823" s="4">
        <f>IFERROR(INDEX(Tbl_KPIMaster[Tolerance],MATCH($G1823,Tbl_KPIMaster[KPI],0)),"")</f>
        <v/>
      </c>
      <c r="L1823" s="4">
        <f>IFERROR(INDEX(Tbl_KPIMaster[Owner],MATCH($G1823,Tbl_KPIMaster[KPI],0)),"")</f>
        <v/>
      </c>
      <c r="M1823" s="6" t="n"/>
      <c r="N1823" s="4" t="n"/>
      <c r="O1823" s="4" t="n"/>
      <c r="P1823" s="4" t="n"/>
      <c r="Q1823" s="5">
        <f>IFERROR(IF(INDEX(Tbl_KPIMaster[Direction],MATCH($G1823,Tbl_KPIMaster[KPI],0))="Lower is Better",IF($J1823=0,1,IF($I1823=0,0,$I1823/$J1823)),IF($I1823=0,1,$J1823/$I1823)),0)</f>
        <v/>
      </c>
      <c r="R1823" s="4">
        <f>IF(OR($I1823="",$J1823=""),"",$J1823-$I1823)</f>
        <v/>
      </c>
      <c r="S1823" s="4">
        <f>IFERROR(IF(INDEX(Tbl_KPIMaster[Direction],MATCH($G1823,Tbl_KPIMaster[KPI],0))="Lower is Better",IF($J1823&lt;=$I1823,"Green",IF($J1823&lt;=$I1823+IF($I1823=0,$K1823,$I1823*$K1823),"Amber","Red")),IF($J1823&gt;=$I1823,"Green",IF($J1823&gt;=$I1823-IF($I1823=0,$K1823,$I1823*$K1823),"Amber","Red"))),"")</f>
        <v/>
      </c>
      <c r="T1823" s="6" t="n"/>
    </row>
    <row r="1824">
      <c r="A1824" s="8" t="n"/>
      <c r="B1824" s="8">
        <f>IF($A1824="","",TEXT($A1824,"mmm-yyyy"))</f>
        <v/>
      </c>
      <c r="C1824" s="8">
        <f>IF($A1824="","","W"&amp;WEEKNUM($A1824,2))</f>
        <v/>
      </c>
      <c r="D1824" s="8">
        <f>IF($A1824="","",TEXT($A1824,"ddd"))</f>
        <v/>
      </c>
      <c r="E1824" s="8" t="n"/>
      <c r="F1824" s="8">
        <f>IFERROR(INDEX(Tbl_KPIMaster[Category],MATCH($G1824,Tbl_KPIMaster[KPI],0)),"")</f>
        <v/>
      </c>
      <c r="G1824" s="8" t="n"/>
      <c r="H1824" s="8">
        <f>IFERROR(INDEX(Tbl_KPIMaster[Unit],MATCH($G1824,Tbl_KPIMaster[KPI],0)),"")</f>
        <v/>
      </c>
      <c r="I1824" s="8">
        <f>IFERROR(INDEX(Tbl_KPIMaster[Maximum Target],MATCH($G1824,Tbl_KPIMaster[KPI],0)),"")</f>
        <v/>
      </c>
      <c r="J1824" s="8" t="n"/>
      <c r="K1824" s="8">
        <f>IFERROR(INDEX(Tbl_KPIMaster[Tolerance],MATCH($G1824,Tbl_KPIMaster[KPI],0)),"")</f>
        <v/>
      </c>
      <c r="L1824" s="8">
        <f>IFERROR(INDEX(Tbl_KPIMaster[Owner],MATCH($G1824,Tbl_KPIMaster[KPI],0)),"")</f>
        <v/>
      </c>
      <c r="M1824" s="10" t="n"/>
      <c r="N1824" s="8" t="n"/>
      <c r="O1824" s="8" t="n"/>
      <c r="P1824" s="8" t="n"/>
      <c r="Q1824" s="9">
        <f>IFERROR(IF(INDEX(Tbl_KPIMaster[Direction],MATCH($G1824,Tbl_KPIMaster[KPI],0))="Lower is Better",IF($J1824=0,1,IF($I1824=0,0,$I1824/$J1824)),IF($I1824=0,1,$J1824/$I1824)),0)</f>
        <v/>
      </c>
      <c r="R1824" s="8">
        <f>IF(OR($I1824="",$J1824=""),"",$J1824-$I1824)</f>
        <v/>
      </c>
      <c r="S1824" s="8">
        <f>IFERROR(IF(INDEX(Tbl_KPIMaster[Direction],MATCH($G1824,Tbl_KPIMaster[KPI],0))="Lower is Better",IF($J1824&lt;=$I1824,"Green",IF($J1824&lt;=$I1824+IF($I1824=0,$K1824,$I1824*$K1824),"Amber","Red")),IF($J1824&gt;=$I1824,"Green",IF($J1824&gt;=$I1824-IF($I1824=0,$K1824,$I1824*$K1824),"Amber","Red"))),"")</f>
        <v/>
      </c>
      <c r="T1824" s="10" t="n"/>
    </row>
    <row r="1825">
      <c r="A1825" s="4" t="n"/>
      <c r="B1825" s="4">
        <f>IF($A1825="","",TEXT($A1825,"mmm-yyyy"))</f>
        <v/>
      </c>
      <c r="C1825" s="4">
        <f>IF($A1825="","","W"&amp;WEEKNUM($A1825,2))</f>
        <v/>
      </c>
      <c r="D1825" s="4">
        <f>IF($A1825="","",TEXT($A1825,"ddd"))</f>
        <v/>
      </c>
      <c r="E1825" s="4" t="n"/>
      <c r="F1825" s="4">
        <f>IFERROR(INDEX(Tbl_KPIMaster[Category],MATCH($G1825,Tbl_KPIMaster[KPI],0)),"")</f>
        <v/>
      </c>
      <c r="G1825" s="4" t="n"/>
      <c r="H1825" s="4">
        <f>IFERROR(INDEX(Tbl_KPIMaster[Unit],MATCH($G1825,Tbl_KPIMaster[KPI],0)),"")</f>
        <v/>
      </c>
      <c r="I1825" s="4">
        <f>IFERROR(INDEX(Tbl_KPIMaster[Maximum Target],MATCH($G1825,Tbl_KPIMaster[KPI],0)),"")</f>
        <v/>
      </c>
      <c r="J1825" s="4" t="n"/>
      <c r="K1825" s="4">
        <f>IFERROR(INDEX(Tbl_KPIMaster[Tolerance],MATCH($G1825,Tbl_KPIMaster[KPI],0)),"")</f>
        <v/>
      </c>
      <c r="L1825" s="4">
        <f>IFERROR(INDEX(Tbl_KPIMaster[Owner],MATCH($G1825,Tbl_KPIMaster[KPI],0)),"")</f>
        <v/>
      </c>
      <c r="M1825" s="6" t="n"/>
      <c r="N1825" s="4" t="n"/>
      <c r="O1825" s="4" t="n"/>
      <c r="P1825" s="4" t="n"/>
      <c r="Q1825" s="5">
        <f>IFERROR(IF(INDEX(Tbl_KPIMaster[Direction],MATCH($G1825,Tbl_KPIMaster[KPI],0))="Lower is Better",IF($J1825=0,1,IF($I1825=0,0,$I1825/$J1825)),IF($I1825=0,1,$J1825/$I1825)),0)</f>
        <v/>
      </c>
      <c r="R1825" s="4">
        <f>IF(OR($I1825="",$J1825=""),"",$J1825-$I1825)</f>
        <v/>
      </c>
      <c r="S1825" s="4">
        <f>IFERROR(IF(INDEX(Tbl_KPIMaster[Direction],MATCH($G1825,Tbl_KPIMaster[KPI],0))="Lower is Better",IF($J1825&lt;=$I1825,"Green",IF($J1825&lt;=$I1825+IF($I1825=0,$K1825,$I1825*$K1825),"Amber","Red")),IF($J1825&gt;=$I1825,"Green",IF($J1825&gt;=$I1825-IF($I1825=0,$K1825,$I1825*$K1825),"Amber","Red"))),"")</f>
        <v/>
      </c>
      <c r="T1825" s="6" t="n"/>
    </row>
    <row r="1826">
      <c r="A1826" s="8" t="n"/>
      <c r="B1826" s="8">
        <f>IF($A1826="","",TEXT($A1826,"mmm-yyyy"))</f>
        <v/>
      </c>
      <c r="C1826" s="8">
        <f>IF($A1826="","","W"&amp;WEEKNUM($A1826,2))</f>
        <v/>
      </c>
      <c r="D1826" s="8">
        <f>IF($A1826="","",TEXT($A1826,"ddd"))</f>
        <v/>
      </c>
      <c r="E1826" s="8" t="n"/>
      <c r="F1826" s="8">
        <f>IFERROR(INDEX(Tbl_KPIMaster[Category],MATCH($G1826,Tbl_KPIMaster[KPI],0)),"")</f>
        <v/>
      </c>
      <c r="G1826" s="8" t="n"/>
      <c r="H1826" s="8">
        <f>IFERROR(INDEX(Tbl_KPIMaster[Unit],MATCH($G1826,Tbl_KPIMaster[KPI],0)),"")</f>
        <v/>
      </c>
      <c r="I1826" s="8">
        <f>IFERROR(INDEX(Tbl_KPIMaster[Maximum Target],MATCH($G1826,Tbl_KPIMaster[KPI],0)),"")</f>
        <v/>
      </c>
      <c r="J1826" s="8" t="n"/>
      <c r="K1826" s="8">
        <f>IFERROR(INDEX(Tbl_KPIMaster[Tolerance],MATCH($G1826,Tbl_KPIMaster[KPI],0)),"")</f>
        <v/>
      </c>
      <c r="L1826" s="8">
        <f>IFERROR(INDEX(Tbl_KPIMaster[Owner],MATCH($G1826,Tbl_KPIMaster[KPI],0)),"")</f>
        <v/>
      </c>
      <c r="M1826" s="10" t="n"/>
      <c r="N1826" s="8" t="n"/>
      <c r="O1826" s="8" t="n"/>
      <c r="P1826" s="8" t="n"/>
      <c r="Q1826" s="9">
        <f>IFERROR(IF(INDEX(Tbl_KPIMaster[Direction],MATCH($G1826,Tbl_KPIMaster[KPI],0))="Lower is Better",IF($J1826=0,1,IF($I1826=0,0,$I1826/$J1826)),IF($I1826=0,1,$J1826/$I1826)),0)</f>
        <v/>
      </c>
      <c r="R1826" s="8">
        <f>IF(OR($I1826="",$J1826=""),"",$J1826-$I1826)</f>
        <v/>
      </c>
      <c r="S1826" s="8">
        <f>IFERROR(IF(INDEX(Tbl_KPIMaster[Direction],MATCH($G1826,Tbl_KPIMaster[KPI],0))="Lower is Better",IF($J1826&lt;=$I1826,"Green",IF($J1826&lt;=$I1826+IF($I1826=0,$K1826,$I1826*$K1826),"Amber","Red")),IF($J1826&gt;=$I1826,"Green",IF($J1826&gt;=$I1826-IF($I1826=0,$K1826,$I1826*$K1826),"Amber","Red"))),"")</f>
        <v/>
      </c>
      <c r="T1826" s="10" t="n"/>
    </row>
    <row r="1827">
      <c r="A1827" s="4" t="n"/>
      <c r="B1827" s="4">
        <f>IF($A1827="","",TEXT($A1827,"mmm-yyyy"))</f>
        <v/>
      </c>
      <c r="C1827" s="4">
        <f>IF($A1827="","","W"&amp;WEEKNUM($A1827,2))</f>
        <v/>
      </c>
      <c r="D1827" s="4">
        <f>IF($A1827="","",TEXT($A1827,"ddd"))</f>
        <v/>
      </c>
      <c r="E1827" s="4" t="n"/>
      <c r="F1827" s="4">
        <f>IFERROR(INDEX(Tbl_KPIMaster[Category],MATCH($G1827,Tbl_KPIMaster[KPI],0)),"")</f>
        <v/>
      </c>
      <c r="G1827" s="4" t="n"/>
      <c r="H1827" s="4">
        <f>IFERROR(INDEX(Tbl_KPIMaster[Unit],MATCH($G1827,Tbl_KPIMaster[KPI],0)),"")</f>
        <v/>
      </c>
      <c r="I1827" s="4">
        <f>IFERROR(INDEX(Tbl_KPIMaster[Maximum Target],MATCH($G1827,Tbl_KPIMaster[KPI],0)),"")</f>
        <v/>
      </c>
      <c r="J1827" s="4" t="n"/>
      <c r="K1827" s="4">
        <f>IFERROR(INDEX(Tbl_KPIMaster[Tolerance],MATCH($G1827,Tbl_KPIMaster[KPI],0)),"")</f>
        <v/>
      </c>
      <c r="L1827" s="4">
        <f>IFERROR(INDEX(Tbl_KPIMaster[Owner],MATCH($G1827,Tbl_KPIMaster[KPI],0)),"")</f>
        <v/>
      </c>
      <c r="M1827" s="6" t="n"/>
      <c r="N1827" s="4" t="n"/>
      <c r="O1827" s="4" t="n"/>
      <c r="P1827" s="4" t="n"/>
      <c r="Q1827" s="5">
        <f>IFERROR(IF(INDEX(Tbl_KPIMaster[Direction],MATCH($G1827,Tbl_KPIMaster[KPI],0))="Lower is Better",IF($J1827=0,1,IF($I1827=0,0,$I1827/$J1827)),IF($I1827=0,1,$J1827/$I1827)),0)</f>
        <v/>
      </c>
      <c r="R1827" s="4">
        <f>IF(OR($I1827="",$J1827=""),"",$J1827-$I1827)</f>
        <v/>
      </c>
      <c r="S1827" s="4">
        <f>IFERROR(IF(INDEX(Tbl_KPIMaster[Direction],MATCH($G1827,Tbl_KPIMaster[KPI],0))="Lower is Better",IF($J1827&lt;=$I1827,"Green",IF($J1827&lt;=$I1827+IF($I1827=0,$K1827,$I1827*$K1827),"Amber","Red")),IF($J1827&gt;=$I1827,"Green",IF($J1827&gt;=$I1827-IF($I1827=0,$K1827,$I1827*$K1827),"Amber","Red"))),"")</f>
        <v/>
      </c>
      <c r="T1827" s="6" t="n"/>
    </row>
    <row r="1828">
      <c r="A1828" s="8" t="n"/>
      <c r="B1828" s="8">
        <f>IF($A1828="","",TEXT($A1828,"mmm-yyyy"))</f>
        <v/>
      </c>
      <c r="C1828" s="8">
        <f>IF($A1828="","","W"&amp;WEEKNUM($A1828,2))</f>
        <v/>
      </c>
      <c r="D1828" s="8">
        <f>IF($A1828="","",TEXT($A1828,"ddd"))</f>
        <v/>
      </c>
      <c r="E1828" s="8" t="n"/>
      <c r="F1828" s="8">
        <f>IFERROR(INDEX(Tbl_KPIMaster[Category],MATCH($G1828,Tbl_KPIMaster[KPI],0)),"")</f>
        <v/>
      </c>
      <c r="G1828" s="8" t="n"/>
      <c r="H1828" s="8">
        <f>IFERROR(INDEX(Tbl_KPIMaster[Unit],MATCH($G1828,Tbl_KPIMaster[KPI],0)),"")</f>
        <v/>
      </c>
      <c r="I1828" s="8">
        <f>IFERROR(INDEX(Tbl_KPIMaster[Maximum Target],MATCH($G1828,Tbl_KPIMaster[KPI],0)),"")</f>
        <v/>
      </c>
      <c r="J1828" s="8" t="n"/>
      <c r="K1828" s="8">
        <f>IFERROR(INDEX(Tbl_KPIMaster[Tolerance],MATCH($G1828,Tbl_KPIMaster[KPI],0)),"")</f>
        <v/>
      </c>
      <c r="L1828" s="8">
        <f>IFERROR(INDEX(Tbl_KPIMaster[Owner],MATCH($G1828,Tbl_KPIMaster[KPI],0)),"")</f>
        <v/>
      </c>
      <c r="M1828" s="10" t="n"/>
      <c r="N1828" s="8" t="n"/>
      <c r="O1828" s="8" t="n"/>
      <c r="P1828" s="8" t="n"/>
      <c r="Q1828" s="9">
        <f>IFERROR(IF(INDEX(Tbl_KPIMaster[Direction],MATCH($G1828,Tbl_KPIMaster[KPI],0))="Lower is Better",IF($J1828=0,1,IF($I1828=0,0,$I1828/$J1828)),IF($I1828=0,1,$J1828/$I1828)),0)</f>
        <v/>
      </c>
      <c r="R1828" s="8">
        <f>IF(OR($I1828="",$J1828=""),"",$J1828-$I1828)</f>
        <v/>
      </c>
      <c r="S1828" s="8">
        <f>IFERROR(IF(INDEX(Tbl_KPIMaster[Direction],MATCH($G1828,Tbl_KPIMaster[KPI],0))="Lower is Better",IF($J1828&lt;=$I1828,"Green",IF($J1828&lt;=$I1828+IF($I1828=0,$K1828,$I1828*$K1828),"Amber","Red")),IF($J1828&gt;=$I1828,"Green",IF($J1828&gt;=$I1828-IF($I1828=0,$K1828,$I1828*$K1828),"Amber","Red"))),"")</f>
        <v/>
      </c>
      <c r="T1828" s="10" t="n"/>
    </row>
    <row r="1829">
      <c r="A1829" s="4" t="n"/>
      <c r="B1829" s="4">
        <f>IF($A1829="","",TEXT($A1829,"mmm-yyyy"))</f>
        <v/>
      </c>
      <c r="C1829" s="4">
        <f>IF($A1829="","","W"&amp;WEEKNUM($A1829,2))</f>
        <v/>
      </c>
      <c r="D1829" s="4">
        <f>IF($A1829="","",TEXT($A1829,"ddd"))</f>
        <v/>
      </c>
      <c r="E1829" s="4" t="n"/>
      <c r="F1829" s="4">
        <f>IFERROR(INDEX(Tbl_KPIMaster[Category],MATCH($G1829,Tbl_KPIMaster[KPI],0)),"")</f>
        <v/>
      </c>
      <c r="G1829" s="4" t="n"/>
      <c r="H1829" s="4">
        <f>IFERROR(INDEX(Tbl_KPIMaster[Unit],MATCH($G1829,Tbl_KPIMaster[KPI],0)),"")</f>
        <v/>
      </c>
      <c r="I1829" s="4">
        <f>IFERROR(INDEX(Tbl_KPIMaster[Maximum Target],MATCH($G1829,Tbl_KPIMaster[KPI],0)),"")</f>
        <v/>
      </c>
      <c r="J1829" s="4" t="n"/>
      <c r="K1829" s="4">
        <f>IFERROR(INDEX(Tbl_KPIMaster[Tolerance],MATCH($G1829,Tbl_KPIMaster[KPI],0)),"")</f>
        <v/>
      </c>
      <c r="L1829" s="4">
        <f>IFERROR(INDEX(Tbl_KPIMaster[Owner],MATCH($G1829,Tbl_KPIMaster[KPI],0)),"")</f>
        <v/>
      </c>
      <c r="M1829" s="6" t="n"/>
      <c r="N1829" s="4" t="n"/>
      <c r="O1829" s="4" t="n"/>
      <c r="P1829" s="4" t="n"/>
      <c r="Q1829" s="5">
        <f>IFERROR(IF(INDEX(Tbl_KPIMaster[Direction],MATCH($G1829,Tbl_KPIMaster[KPI],0))="Lower is Better",IF($J1829=0,1,IF($I1829=0,0,$I1829/$J1829)),IF($I1829=0,1,$J1829/$I1829)),0)</f>
        <v/>
      </c>
      <c r="R1829" s="4">
        <f>IF(OR($I1829="",$J1829=""),"",$J1829-$I1829)</f>
        <v/>
      </c>
      <c r="S1829" s="4">
        <f>IFERROR(IF(INDEX(Tbl_KPIMaster[Direction],MATCH($G1829,Tbl_KPIMaster[KPI],0))="Lower is Better",IF($J1829&lt;=$I1829,"Green",IF($J1829&lt;=$I1829+IF($I1829=0,$K1829,$I1829*$K1829),"Amber","Red")),IF($J1829&gt;=$I1829,"Green",IF($J1829&gt;=$I1829-IF($I1829=0,$K1829,$I1829*$K1829),"Amber","Red"))),"")</f>
        <v/>
      </c>
      <c r="T1829" s="6" t="n"/>
    </row>
    <row r="1830">
      <c r="A1830" s="8" t="n"/>
      <c r="B1830" s="8">
        <f>IF($A1830="","",TEXT($A1830,"mmm-yyyy"))</f>
        <v/>
      </c>
      <c r="C1830" s="8">
        <f>IF($A1830="","","W"&amp;WEEKNUM($A1830,2))</f>
        <v/>
      </c>
      <c r="D1830" s="8">
        <f>IF($A1830="","",TEXT($A1830,"ddd"))</f>
        <v/>
      </c>
      <c r="E1830" s="8" t="n"/>
      <c r="F1830" s="8">
        <f>IFERROR(INDEX(Tbl_KPIMaster[Category],MATCH($G1830,Tbl_KPIMaster[KPI],0)),"")</f>
        <v/>
      </c>
      <c r="G1830" s="8" t="n"/>
      <c r="H1830" s="8">
        <f>IFERROR(INDEX(Tbl_KPIMaster[Unit],MATCH($G1830,Tbl_KPIMaster[KPI],0)),"")</f>
        <v/>
      </c>
      <c r="I1830" s="8">
        <f>IFERROR(INDEX(Tbl_KPIMaster[Maximum Target],MATCH($G1830,Tbl_KPIMaster[KPI],0)),"")</f>
        <v/>
      </c>
      <c r="J1830" s="8" t="n"/>
      <c r="K1830" s="8">
        <f>IFERROR(INDEX(Tbl_KPIMaster[Tolerance],MATCH($G1830,Tbl_KPIMaster[KPI],0)),"")</f>
        <v/>
      </c>
      <c r="L1830" s="8">
        <f>IFERROR(INDEX(Tbl_KPIMaster[Owner],MATCH($G1830,Tbl_KPIMaster[KPI],0)),"")</f>
        <v/>
      </c>
      <c r="M1830" s="10" t="n"/>
      <c r="N1830" s="8" t="n"/>
      <c r="O1830" s="8" t="n"/>
      <c r="P1830" s="8" t="n"/>
      <c r="Q1830" s="9">
        <f>IFERROR(IF(INDEX(Tbl_KPIMaster[Direction],MATCH($G1830,Tbl_KPIMaster[KPI],0))="Lower is Better",IF($J1830=0,1,IF($I1830=0,0,$I1830/$J1830)),IF($I1830=0,1,$J1830/$I1830)),0)</f>
        <v/>
      </c>
      <c r="R1830" s="8">
        <f>IF(OR($I1830="",$J1830=""),"",$J1830-$I1830)</f>
        <v/>
      </c>
      <c r="S1830" s="8">
        <f>IFERROR(IF(INDEX(Tbl_KPIMaster[Direction],MATCH($G1830,Tbl_KPIMaster[KPI],0))="Lower is Better",IF($J1830&lt;=$I1830,"Green",IF($J1830&lt;=$I1830+IF($I1830=0,$K1830,$I1830*$K1830),"Amber","Red")),IF($J1830&gt;=$I1830,"Green",IF($J1830&gt;=$I1830-IF($I1830=0,$K1830,$I1830*$K1830),"Amber","Red"))),"")</f>
        <v/>
      </c>
      <c r="T1830" s="10" t="n"/>
    </row>
    <row r="1831">
      <c r="A1831" s="4" t="n"/>
      <c r="B1831" s="4">
        <f>IF($A1831="","",TEXT($A1831,"mmm-yyyy"))</f>
        <v/>
      </c>
      <c r="C1831" s="4">
        <f>IF($A1831="","","W"&amp;WEEKNUM($A1831,2))</f>
        <v/>
      </c>
      <c r="D1831" s="4">
        <f>IF($A1831="","",TEXT($A1831,"ddd"))</f>
        <v/>
      </c>
      <c r="E1831" s="4" t="n"/>
      <c r="F1831" s="4">
        <f>IFERROR(INDEX(Tbl_KPIMaster[Category],MATCH($G1831,Tbl_KPIMaster[KPI],0)),"")</f>
        <v/>
      </c>
      <c r="G1831" s="4" t="n"/>
      <c r="H1831" s="4">
        <f>IFERROR(INDEX(Tbl_KPIMaster[Unit],MATCH($G1831,Tbl_KPIMaster[KPI],0)),"")</f>
        <v/>
      </c>
      <c r="I1831" s="4">
        <f>IFERROR(INDEX(Tbl_KPIMaster[Maximum Target],MATCH($G1831,Tbl_KPIMaster[KPI],0)),"")</f>
        <v/>
      </c>
      <c r="J1831" s="4" t="n"/>
      <c r="K1831" s="4">
        <f>IFERROR(INDEX(Tbl_KPIMaster[Tolerance],MATCH($G1831,Tbl_KPIMaster[KPI],0)),"")</f>
        <v/>
      </c>
      <c r="L1831" s="4">
        <f>IFERROR(INDEX(Tbl_KPIMaster[Owner],MATCH($G1831,Tbl_KPIMaster[KPI],0)),"")</f>
        <v/>
      </c>
      <c r="M1831" s="6" t="n"/>
      <c r="N1831" s="4" t="n"/>
      <c r="O1831" s="4" t="n"/>
      <c r="P1831" s="4" t="n"/>
      <c r="Q1831" s="5">
        <f>IFERROR(IF(INDEX(Tbl_KPIMaster[Direction],MATCH($G1831,Tbl_KPIMaster[KPI],0))="Lower is Better",IF($J1831=0,1,IF($I1831=0,0,$I1831/$J1831)),IF($I1831=0,1,$J1831/$I1831)),0)</f>
        <v/>
      </c>
      <c r="R1831" s="4">
        <f>IF(OR($I1831="",$J1831=""),"",$J1831-$I1831)</f>
        <v/>
      </c>
      <c r="S1831" s="4">
        <f>IFERROR(IF(INDEX(Tbl_KPIMaster[Direction],MATCH($G1831,Tbl_KPIMaster[KPI],0))="Lower is Better",IF($J1831&lt;=$I1831,"Green",IF($J1831&lt;=$I1831+IF($I1831=0,$K1831,$I1831*$K1831),"Amber","Red")),IF($J1831&gt;=$I1831,"Green",IF($J1831&gt;=$I1831-IF($I1831=0,$K1831,$I1831*$K1831),"Amber","Red"))),"")</f>
        <v/>
      </c>
      <c r="T1831" s="6" t="n"/>
    </row>
    <row r="1832">
      <c r="A1832" s="8" t="n"/>
      <c r="B1832" s="8">
        <f>IF($A1832="","",TEXT($A1832,"mmm-yyyy"))</f>
        <v/>
      </c>
      <c r="C1832" s="8">
        <f>IF($A1832="","","W"&amp;WEEKNUM($A1832,2))</f>
        <v/>
      </c>
      <c r="D1832" s="8">
        <f>IF($A1832="","",TEXT($A1832,"ddd"))</f>
        <v/>
      </c>
      <c r="E1832" s="8" t="n"/>
      <c r="F1832" s="8">
        <f>IFERROR(INDEX(Tbl_KPIMaster[Category],MATCH($G1832,Tbl_KPIMaster[KPI],0)),"")</f>
        <v/>
      </c>
      <c r="G1832" s="8" t="n"/>
      <c r="H1832" s="8">
        <f>IFERROR(INDEX(Tbl_KPIMaster[Unit],MATCH($G1832,Tbl_KPIMaster[KPI],0)),"")</f>
        <v/>
      </c>
      <c r="I1832" s="8">
        <f>IFERROR(INDEX(Tbl_KPIMaster[Maximum Target],MATCH($G1832,Tbl_KPIMaster[KPI],0)),"")</f>
        <v/>
      </c>
      <c r="J1832" s="8" t="n"/>
      <c r="K1832" s="8">
        <f>IFERROR(INDEX(Tbl_KPIMaster[Tolerance],MATCH($G1832,Tbl_KPIMaster[KPI],0)),"")</f>
        <v/>
      </c>
      <c r="L1832" s="8">
        <f>IFERROR(INDEX(Tbl_KPIMaster[Owner],MATCH($G1832,Tbl_KPIMaster[KPI],0)),"")</f>
        <v/>
      </c>
      <c r="M1832" s="10" t="n"/>
      <c r="N1832" s="8" t="n"/>
      <c r="O1832" s="8" t="n"/>
      <c r="P1832" s="8" t="n"/>
      <c r="Q1832" s="9">
        <f>IFERROR(IF(INDEX(Tbl_KPIMaster[Direction],MATCH($G1832,Tbl_KPIMaster[KPI],0))="Lower is Better",IF($J1832=0,1,IF($I1832=0,0,$I1832/$J1832)),IF($I1832=0,1,$J1832/$I1832)),0)</f>
        <v/>
      </c>
      <c r="R1832" s="8">
        <f>IF(OR($I1832="",$J1832=""),"",$J1832-$I1832)</f>
        <v/>
      </c>
      <c r="S1832" s="8">
        <f>IFERROR(IF(INDEX(Tbl_KPIMaster[Direction],MATCH($G1832,Tbl_KPIMaster[KPI],0))="Lower is Better",IF($J1832&lt;=$I1832,"Green",IF($J1832&lt;=$I1832+IF($I1832=0,$K1832,$I1832*$K1832),"Amber","Red")),IF($J1832&gt;=$I1832,"Green",IF($J1832&gt;=$I1832-IF($I1832=0,$K1832,$I1832*$K1832),"Amber","Red"))),"")</f>
        <v/>
      </c>
      <c r="T1832" s="10" t="n"/>
    </row>
    <row r="1833">
      <c r="A1833" s="4" t="n"/>
      <c r="B1833" s="4">
        <f>IF($A1833="","",TEXT($A1833,"mmm-yyyy"))</f>
        <v/>
      </c>
      <c r="C1833" s="4">
        <f>IF($A1833="","","W"&amp;WEEKNUM($A1833,2))</f>
        <v/>
      </c>
      <c r="D1833" s="4">
        <f>IF($A1833="","",TEXT($A1833,"ddd"))</f>
        <v/>
      </c>
      <c r="E1833" s="4" t="n"/>
      <c r="F1833" s="4">
        <f>IFERROR(INDEX(Tbl_KPIMaster[Category],MATCH($G1833,Tbl_KPIMaster[KPI],0)),"")</f>
        <v/>
      </c>
      <c r="G1833" s="4" t="n"/>
      <c r="H1833" s="4">
        <f>IFERROR(INDEX(Tbl_KPIMaster[Unit],MATCH($G1833,Tbl_KPIMaster[KPI],0)),"")</f>
        <v/>
      </c>
      <c r="I1833" s="4">
        <f>IFERROR(INDEX(Tbl_KPIMaster[Maximum Target],MATCH($G1833,Tbl_KPIMaster[KPI],0)),"")</f>
        <v/>
      </c>
      <c r="J1833" s="4" t="n"/>
      <c r="K1833" s="4">
        <f>IFERROR(INDEX(Tbl_KPIMaster[Tolerance],MATCH($G1833,Tbl_KPIMaster[KPI],0)),"")</f>
        <v/>
      </c>
      <c r="L1833" s="4">
        <f>IFERROR(INDEX(Tbl_KPIMaster[Owner],MATCH($G1833,Tbl_KPIMaster[KPI],0)),"")</f>
        <v/>
      </c>
      <c r="M1833" s="6" t="n"/>
      <c r="N1833" s="4" t="n"/>
      <c r="O1833" s="4" t="n"/>
      <c r="P1833" s="4" t="n"/>
      <c r="Q1833" s="5">
        <f>IFERROR(IF(INDEX(Tbl_KPIMaster[Direction],MATCH($G1833,Tbl_KPIMaster[KPI],0))="Lower is Better",IF($J1833=0,1,IF($I1833=0,0,$I1833/$J1833)),IF($I1833=0,1,$J1833/$I1833)),0)</f>
        <v/>
      </c>
      <c r="R1833" s="4">
        <f>IF(OR($I1833="",$J1833=""),"",$J1833-$I1833)</f>
        <v/>
      </c>
      <c r="S1833" s="4">
        <f>IFERROR(IF(INDEX(Tbl_KPIMaster[Direction],MATCH($G1833,Tbl_KPIMaster[KPI],0))="Lower is Better",IF($J1833&lt;=$I1833,"Green",IF($J1833&lt;=$I1833+IF($I1833=0,$K1833,$I1833*$K1833),"Amber","Red")),IF($J1833&gt;=$I1833,"Green",IF($J1833&gt;=$I1833-IF($I1833=0,$K1833,$I1833*$K1833),"Amber","Red"))),"")</f>
        <v/>
      </c>
      <c r="T1833" s="6" t="n"/>
    </row>
    <row r="1834">
      <c r="A1834" s="8" t="n"/>
      <c r="B1834" s="8">
        <f>IF($A1834="","",TEXT($A1834,"mmm-yyyy"))</f>
        <v/>
      </c>
      <c r="C1834" s="8">
        <f>IF($A1834="","","W"&amp;WEEKNUM($A1834,2))</f>
        <v/>
      </c>
      <c r="D1834" s="8">
        <f>IF($A1834="","",TEXT($A1834,"ddd"))</f>
        <v/>
      </c>
      <c r="E1834" s="8" t="n"/>
      <c r="F1834" s="8">
        <f>IFERROR(INDEX(Tbl_KPIMaster[Category],MATCH($G1834,Tbl_KPIMaster[KPI],0)),"")</f>
        <v/>
      </c>
      <c r="G1834" s="8" t="n"/>
      <c r="H1834" s="8">
        <f>IFERROR(INDEX(Tbl_KPIMaster[Unit],MATCH($G1834,Tbl_KPIMaster[KPI],0)),"")</f>
        <v/>
      </c>
      <c r="I1834" s="8">
        <f>IFERROR(INDEX(Tbl_KPIMaster[Maximum Target],MATCH($G1834,Tbl_KPIMaster[KPI],0)),"")</f>
        <v/>
      </c>
      <c r="J1834" s="8" t="n"/>
      <c r="K1834" s="8">
        <f>IFERROR(INDEX(Tbl_KPIMaster[Tolerance],MATCH($G1834,Tbl_KPIMaster[KPI],0)),"")</f>
        <v/>
      </c>
      <c r="L1834" s="8">
        <f>IFERROR(INDEX(Tbl_KPIMaster[Owner],MATCH($G1834,Tbl_KPIMaster[KPI],0)),"")</f>
        <v/>
      </c>
      <c r="M1834" s="10" t="n"/>
      <c r="N1834" s="8" t="n"/>
      <c r="O1834" s="8" t="n"/>
      <c r="P1834" s="8" t="n"/>
      <c r="Q1834" s="9">
        <f>IFERROR(IF(INDEX(Tbl_KPIMaster[Direction],MATCH($G1834,Tbl_KPIMaster[KPI],0))="Lower is Better",IF($J1834=0,1,IF($I1834=0,0,$I1834/$J1834)),IF($I1834=0,1,$J1834/$I1834)),0)</f>
        <v/>
      </c>
      <c r="R1834" s="8">
        <f>IF(OR($I1834="",$J1834=""),"",$J1834-$I1834)</f>
        <v/>
      </c>
      <c r="S1834" s="8">
        <f>IFERROR(IF(INDEX(Tbl_KPIMaster[Direction],MATCH($G1834,Tbl_KPIMaster[KPI],0))="Lower is Better",IF($J1834&lt;=$I1834,"Green",IF($J1834&lt;=$I1834+IF($I1834=0,$K1834,$I1834*$K1834),"Amber","Red")),IF($J1834&gt;=$I1834,"Green",IF($J1834&gt;=$I1834-IF($I1834=0,$K1834,$I1834*$K1834),"Amber","Red"))),"")</f>
        <v/>
      </c>
      <c r="T1834" s="10" t="n"/>
    </row>
    <row r="1835">
      <c r="A1835" s="4" t="n"/>
      <c r="B1835" s="4">
        <f>IF($A1835="","",TEXT($A1835,"mmm-yyyy"))</f>
        <v/>
      </c>
      <c r="C1835" s="4">
        <f>IF($A1835="","","W"&amp;WEEKNUM($A1835,2))</f>
        <v/>
      </c>
      <c r="D1835" s="4">
        <f>IF($A1835="","",TEXT($A1835,"ddd"))</f>
        <v/>
      </c>
      <c r="E1835" s="4" t="n"/>
      <c r="F1835" s="4">
        <f>IFERROR(INDEX(Tbl_KPIMaster[Category],MATCH($G1835,Tbl_KPIMaster[KPI],0)),"")</f>
        <v/>
      </c>
      <c r="G1835" s="4" t="n"/>
      <c r="H1835" s="4">
        <f>IFERROR(INDEX(Tbl_KPIMaster[Unit],MATCH($G1835,Tbl_KPIMaster[KPI],0)),"")</f>
        <v/>
      </c>
      <c r="I1835" s="4">
        <f>IFERROR(INDEX(Tbl_KPIMaster[Maximum Target],MATCH($G1835,Tbl_KPIMaster[KPI],0)),"")</f>
        <v/>
      </c>
      <c r="J1835" s="4" t="n"/>
      <c r="K1835" s="4">
        <f>IFERROR(INDEX(Tbl_KPIMaster[Tolerance],MATCH($G1835,Tbl_KPIMaster[KPI],0)),"")</f>
        <v/>
      </c>
      <c r="L1835" s="4">
        <f>IFERROR(INDEX(Tbl_KPIMaster[Owner],MATCH($G1835,Tbl_KPIMaster[KPI],0)),"")</f>
        <v/>
      </c>
      <c r="M1835" s="6" t="n"/>
      <c r="N1835" s="4" t="n"/>
      <c r="O1835" s="4" t="n"/>
      <c r="P1835" s="4" t="n"/>
      <c r="Q1835" s="5">
        <f>IFERROR(IF(INDEX(Tbl_KPIMaster[Direction],MATCH($G1835,Tbl_KPIMaster[KPI],0))="Lower is Better",IF($J1835=0,1,IF($I1835=0,0,$I1835/$J1835)),IF($I1835=0,1,$J1835/$I1835)),0)</f>
        <v/>
      </c>
      <c r="R1835" s="4">
        <f>IF(OR($I1835="",$J1835=""),"",$J1835-$I1835)</f>
        <v/>
      </c>
      <c r="S1835" s="4">
        <f>IFERROR(IF(INDEX(Tbl_KPIMaster[Direction],MATCH($G1835,Tbl_KPIMaster[KPI],0))="Lower is Better",IF($J1835&lt;=$I1835,"Green",IF($J1835&lt;=$I1835+IF($I1835=0,$K1835,$I1835*$K1835),"Amber","Red")),IF($J1835&gt;=$I1835,"Green",IF($J1835&gt;=$I1835-IF($I1835=0,$K1835,$I1835*$K1835),"Amber","Red"))),"")</f>
        <v/>
      </c>
      <c r="T1835" s="6" t="n"/>
    </row>
    <row r="1836">
      <c r="A1836" s="8" t="n"/>
      <c r="B1836" s="8">
        <f>IF($A1836="","",TEXT($A1836,"mmm-yyyy"))</f>
        <v/>
      </c>
      <c r="C1836" s="8">
        <f>IF($A1836="","","W"&amp;WEEKNUM($A1836,2))</f>
        <v/>
      </c>
      <c r="D1836" s="8">
        <f>IF($A1836="","",TEXT($A1836,"ddd"))</f>
        <v/>
      </c>
      <c r="E1836" s="8" t="n"/>
      <c r="F1836" s="8">
        <f>IFERROR(INDEX(Tbl_KPIMaster[Category],MATCH($G1836,Tbl_KPIMaster[KPI],0)),"")</f>
        <v/>
      </c>
      <c r="G1836" s="8" t="n"/>
      <c r="H1836" s="8">
        <f>IFERROR(INDEX(Tbl_KPIMaster[Unit],MATCH($G1836,Tbl_KPIMaster[KPI],0)),"")</f>
        <v/>
      </c>
      <c r="I1836" s="8">
        <f>IFERROR(INDEX(Tbl_KPIMaster[Maximum Target],MATCH($G1836,Tbl_KPIMaster[KPI],0)),"")</f>
        <v/>
      </c>
      <c r="J1836" s="8" t="n"/>
      <c r="K1836" s="8">
        <f>IFERROR(INDEX(Tbl_KPIMaster[Tolerance],MATCH($G1836,Tbl_KPIMaster[KPI],0)),"")</f>
        <v/>
      </c>
      <c r="L1836" s="8">
        <f>IFERROR(INDEX(Tbl_KPIMaster[Owner],MATCH($G1836,Tbl_KPIMaster[KPI],0)),"")</f>
        <v/>
      </c>
      <c r="M1836" s="10" t="n"/>
      <c r="N1836" s="8" t="n"/>
      <c r="O1836" s="8" t="n"/>
      <c r="P1836" s="8" t="n"/>
      <c r="Q1836" s="9">
        <f>IFERROR(IF(INDEX(Tbl_KPIMaster[Direction],MATCH($G1836,Tbl_KPIMaster[KPI],0))="Lower is Better",IF($J1836=0,1,IF($I1836=0,0,$I1836/$J1836)),IF($I1836=0,1,$J1836/$I1836)),0)</f>
        <v/>
      </c>
      <c r="R1836" s="8">
        <f>IF(OR($I1836="",$J1836=""),"",$J1836-$I1836)</f>
        <v/>
      </c>
      <c r="S1836" s="8">
        <f>IFERROR(IF(INDEX(Tbl_KPIMaster[Direction],MATCH($G1836,Tbl_KPIMaster[KPI],0))="Lower is Better",IF($J1836&lt;=$I1836,"Green",IF($J1836&lt;=$I1836+IF($I1836=0,$K1836,$I1836*$K1836),"Amber","Red")),IF($J1836&gt;=$I1836,"Green",IF($J1836&gt;=$I1836-IF($I1836=0,$K1836,$I1836*$K1836),"Amber","Red"))),"")</f>
        <v/>
      </c>
      <c r="T1836" s="10" t="n"/>
    </row>
    <row r="1837">
      <c r="A1837" s="4" t="n"/>
      <c r="B1837" s="4">
        <f>IF($A1837="","",TEXT($A1837,"mmm-yyyy"))</f>
        <v/>
      </c>
      <c r="C1837" s="4">
        <f>IF($A1837="","","W"&amp;WEEKNUM($A1837,2))</f>
        <v/>
      </c>
      <c r="D1837" s="4">
        <f>IF($A1837="","",TEXT($A1837,"ddd"))</f>
        <v/>
      </c>
      <c r="E1837" s="4" t="n"/>
      <c r="F1837" s="4">
        <f>IFERROR(INDEX(Tbl_KPIMaster[Category],MATCH($G1837,Tbl_KPIMaster[KPI],0)),"")</f>
        <v/>
      </c>
      <c r="G1837" s="4" t="n"/>
      <c r="H1837" s="4">
        <f>IFERROR(INDEX(Tbl_KPIMaster[Unit],MATCH($G1837,Tbl_KPIMaster[KPI],0)),"")</f>
        <v/>
      </c>
      <c r="I1837" s="4">
        <f>IFERROR(INDEX(Tbl_KPIMaster[Maximum Target],MATCH($G1837,Tbl_KPIMaster[KPI],0)),"")</f>
        <v/>
      </c>
      <c r="J1837" s="4" t="n"/>
      <c r="K1837" s="4">
        <f>IFERROR(INDEX(Tbl_KPIMaster[Tolerance],MATCH($G1837,Tbl_KPIMaster[KPI],0)),"")</f>
        <v/>
      </c>
      <c r="L1837" s="4">
        <f>IFERROR(INDEX(Tbl_KPIMaster[Owner],MATCH($G1837,Tbl_KPIMaster[KPI],0)),"")</f>
        <v/>
      </c>
      <c r="M1837" s="6" t="n"/>
      <c r="N1837" s="4" t="n"/>
      <c r="O1837" s="4" t="n"/>
      <c r="P1837" s="4" t="n"/>
      <c r="Q1837" s="5">
        <f>IFERROR(IF(INDEX(Tbl_KPIMaster[Direction],MATCH($G1837,Tbl_KPIMaster[KPI],0))="Lower is Better",IF($J1837=0,1,IF($I1837=0,0,$I1837/$J1837)),IF($I1837=0,1,$J1837/$I1837)),0)</f>
        <v/>
      </c>
      <c r="R1837" s="4">
        <f>IF(OR($I1837="",$J1837=""),"",$J1837-$I1837)</f>
        <v/>
      </c>
      <c r="S1837" s="4">
        <f>IFERROR(IF(INDEX(Tbl_KPIMaster[Direction],MATCH($G1837,Tbl_KPIMaster[KPI],0))="Lower is Better",IF($J1837&lt;=$I1837,"Green",IF($J1837&lt;=$I1837+IF($I1837=0,$K1837,$I1837*$K1837),"Amber","Red")),IF($J1837&gt;=$I1837,"Green",IF($J1837&gt;=$I1837-IF($I1837=0,$K1837,$I1837*$K1837),"Amber","Red"))),"")</f>
        <v/>
      </c>
      <c r="T1837" s="6" t="n"/>
    </row>
    <row r="1838">
      <c r="A1838" s="8" t="n"/>
      <c r="B1838" s="8">
        <f>IF($A1838="","",TEXT($A1838,"mmm-yyyy"))</f>
        <v/>
      </c>
      <c r="C1838" s="8">
        <f>IF($A1838="","","W"&amp;WEEKNUM($A1838,2))</f>
        <v/>
      </c>
      <c r="D1838" s="8">
        <f>IF($A1838="","",TEXT($A1838,"ddd"))</f>
        <v/>
      </c>
      <c r="E1838" s="8" t="n"/>
      <c r="F1838" s="8">
        <f>IFERROR(INDEX(Tbl_KPIMaster[Category],MATCH($G1838,Tbl_KPIMaster[KPI],0)),"")</f>
        <v/>
      </c>
      <c r="G1838" s="8" t="n"/>
      <c r="H1838" s="8">
        <f>IFERROR(INDEX(Tbl_KPIMaster[Unit],MATCH($G1838,Tbl_KPIMaster[KPI],0)),"")</f>
        <v/>
      </c>
      <c r="I1838" s="8">
        <f>IFERROR(INDEX(Tbl_KPIMaster[Maximum Target],MATCH($G1838,Tbl_KPIMaster[KPI],0)),"")</f>
        <v/>
      </c>
      <c r="J1838" s="8" t="n"/>
      <c r="K1838" s="8">
        <f>IFERROR(INDEX(Tbl_KPIMaster[Tolerance],MATCH($G1838,Tbl_KPIMaster[KPI],0)),"")</f>
        <v/>
      </c>
      <c r="L1838" s="8">
        <f>IFERROR(INDEX(Tbl_KPIMaster[Owner],MATCH($G1838,Tbl_KPIMaster[KPI],0)),"")</f>
        <v/>
      </c>
      <c r="M1838" s="10" t="n"/>
      <c r="N1838" s="8" t="n"/>
      <c r="O1838" s="8" t="n"/>
      <c r="P1838" s="8" t="n"/>
      <c r="Q1838" s="9">
        <f>IFERROR(IF(INDEX(Tbl_KPIMaster[Direction],MATCH($G1838,Tbl_KPIMaster[KPI],0))="Lower is Better",IF($J1838=0,1,IF($I1838=0,0,$I1838/$J1838)),IF($I1838=0,1,$J1838/$I1838)),0)</f>
        <v/>
      </c>
      <c r="R1838" s="8">
        <f>IF(OR($I1838="",$J1838=""),"",$J1838-$I1838)</f>
        <v/>
      </c>
      <c r="S1838" s="8">
        <f>IFERROR(IF(INDEX(Tbl_KPIMaster[Direction],MATCH($G1838,Tbl_KPIMaster[KPI],0))="Lower is Better",IF($J1838&lt;=$I1838,"Green",IF($J1838&lt;=$I1838+IF($I1838=0,$K1838,$I1838*$K1838),"Amber","Red")),IF($J1838&gt;=$I1838,"Green",IF($J1838&gt;=$I1838-IF($I1838=0,$K1838,$I1838*$K1838),"Amber","Red"))),"")</f>
        <v/>
      </c>
      <c r="T1838" s="10" t="n"/>
    </row>
    <row r="1839">
      <c r="A1839" s="4" t="n"/>
      <c r="B1839" s="4">
        <f>IF($A1839="","",TEXT($A1839,"mmm-yyyy"))</f>
        <v/>
      </c>
      <c r="C1839" s="4">
        <f>IF($A1839="","","W"&amp;WEEKNUM($A1839,2))</f>
        <v/>
      </c>
      <c r="D1839" s="4">
        <f>IF($A1839="","",TEXT($A1839,"ddd"))</f>
        <v/>
      </c>
      <c r="E1839" s="4" t="n"/>
      <c r="F1839" s="4">
        <f>IFERROR(INDEX(Tbl_KPIMaster[Category],MATCH($G1839,Tbl_KPIMaster[KPI],0)),"")</f>
        <v/>
      </c>
      <c r="G1839" s="4" t="n"/>
      <c r="H1839" s="4">
        <f>IFERROR(INDEX(Tbl_KPIMaster[Unit],MATCH($G1839,Tbl_KPIMaster[KPI],0)),"")</f>
        <v/>
      </c>
      <c r="I1839" s="4">
        <f>IFERROR(INDEX(Tbl_KPIMaster[Maximum Target],MATCH($G1839,Tbl_KPIMaster[KPI],0)),"")</f>
        <v/>
      </c>
      <c r="J1839" s="4" t="n"/>
      <c r="K1839" s="4">
        <f>IFERROR(INDEX(Tbl_KPIMaster[Tolerance],MATCH($G1839,Tbl_KPIMaster[KPI],0)),"")</f>
        <v/>
      </c>
      <c r="L1839" s="4">
        <f>IFERROR(INDEX(Tbl_KPIMaster[Owner],MATCH($G1839,Tbl_KPIMaster[KPI],0)),"")</f>
        <v/>
      </c>
      <c r="M1839" s="6" t="n"/>
      <c r="N1839" s="4" t="n"/>
      <c r="O1839" s="4" t="n"/>
      <c r="P1839" s="4" t="n"/>
      <c r="Q1839" s="5">
        <f>IFERROR(IF(INDEX(Tbl_KPIMaster[Direction],MATCH($G1839,Tbl_KPIMaster[KPI],0))="Lower is Better",IF($J1839=0,1,IF($I1839=0,0,$I1839/$J1839)),IF($I1839=0,1,$J1839/$I1839)),0)</f>
        <v/>
      </c>
      <c r="R1839" s="4">
        <f>IF(OR($I1839="",$J1839=""),"",$J1839-$I1839)</f>
        <v/>
      </c>
      <c r="S1839" s="4">
        <f>IFERROR(IF(INDEX(Tbl_KPIMaster[Direction],MATCH($G1839,Tbl_KPIMaster[KPI],0))="Lower is Better",IF($J1839&lt;=$I1839,"Green",IF($J1839&lt;=$I1839+IF($I1839=0,$K1839,$I1839*$K1839),"Amber","Red")),IF($J1839&gt;=$I1839,"Green",IF($J1839&gt;=$I1839-IF($I1839=0,$K1839,$I1839*$K1839),"Amber","Red"))),"")</f>
        <v/>
      </c>
      <c r="T1839" s="6" t="n"/>
    </row>
    <row r="1840">
      <c r="A1840" s="8" t="n"/>
      <c r="B1840" s="8">
        <f>IF($A1840="","",TEXT($A1840,"mmm-yyyy"))</f>
        <v/>
      </c>
      <c r="C1840" s="8">
        <f>IF($A1840="","","W"&amp;WEEKNUM($A1840,2))</f>
        <v/>
      </c>
      <c r="D1840" s="8">
        <f>IF($A1840="","",TEXT($A1840,"ddd"))</f>
        <v/>
      </c>
      <c r="E1840" s="8" t="n"/>
      <c r="F1840" s="8">
        <f>IFERROR(INDEX(Tbl_KPIMaster[Category],MATCH($G1840,Tbl_KPIMaster[KPI],0)),"")</f>
        <v/>
      </c>
      <c r="G1840" s="8" t="n"/>
      <c r="H1840" s="8">
        <f>IFERROR(INDEX(Tbl_KPIMaster[Unit],MATCH($G1840,Tbl_KPIMaster[KPI],0)),"")</f>
        <v/>
      </c>
      <c r="I1840" s="8">
        <f>IFERROR(INDEX(Tbl_KPIMaster[Maximum Target],MATCH($G1840,Tbl_KPIMaster[KPI],0)),"")</f>
        <v/>
      </c>
      <c r="J1840" s="8" t="n"/>
      <c r="K1840" s="8">
        <f>IFERROR(INDEX(Tbl_KPIMaster[Tolerance],MATCH($G1840,Tbl_KPIMaster[KPI],0)),"")</f>
        <v/>
      </c>
      <c r="L1840" s="8">
        <f>IFERROR(INDEX(Tbl_KPIMaster[Owner],MATCH($G1840,Tbl_KPIMaster[KPI],0)),"")</f>
        <v/>
      </c>
      <c r="M1840" s="10" t="n"/>
      <c r="N1840" s="8" t="n"/>
      <c r="O1840" s="8" t="n"/>
      <c r="P1840" s="8" t="n"/>
      <c r="Q1840" s="9">
        <f>IFERROR(IF(INDEX(Tbl_KPIMaster[Direction],MATCH($G1840,Tbl_KPIMaster[KPI],0))="Lower is Better",IF($J1840=0,1,IF($I1840=0,0,$I1840/$J1840)),IF($I1840=0,1,$J1840/$I1840)),0)</f>
        <v/>
      </c>
      <c r="R1840" s="8">
        <f>IF(OR($I1840="",$J1840=""),"",$J1840-$I1840)</f>
        <v/>
      </c>
      <c r="S1840" s="8">
        <f>IFERROR(IF(INDEX(Tbl_KPIMaster[Direction],MATCH($G1840,Tbl_KPIMaster[KPI],0))="Lower is Better",IF($J1840&lt;=$I1840,"Green",IF($J1840&lt;=$I1840+IF($I1840=0,$K1840,$I1840*$K1840),"Amber","Red")),IF($J1840&gt;=$I1840,"Green",IF($J1840&gt;=$I1840-IF($I1840=0,$K1840,$I1840*$K1840),"Amber","Red"))),"")</f>
        <v/>
      </c>
      <c r="T1840" s="10" t="n"/>
    </row>
    <row r="1841">
      <c r="A1841" s="4" t="n"/>
      <c r="B1841" s="4">
        <f>IF($A1841="","",TEXT($A1841,"mmm-yyyy"))</f>
        <v/>
      </c>
      <c r="C1841" s="4">
        <f>IF($A1841="","","W"&amp;WEEKNUM($A1841,2))</f>
        <v/>
      </c>
      <c r="D1841" s="4">
        <f>IF($A1841="","",TEXT($A1841,"ddd"))</f>
        <v/>
      </c>
      <c r="E1841" s="4" t="n"/>
      <c r="F1841" s="4">
        <f>IFERROR(INDEX(Tbl_KPIMaster[Category],MATCH($G1841,Tbl_KPIMaster[KPI],0)),"")</f>
        <v/>
      </c>
      <c r="G1841" s="4" t="n"/>
      <c r="H1841" s="4">
        <f>IFERROR(INDEX(Tbl_KPIMaster[Unit],MATCH($G1841,Tbl_KPIMaster[KPI],0)),"")</f>
        <v/>
      </c>
      <c r="I1841" s="4">
        <f>IFERROR(INDEX(Tbl_KPIMaster[Maximum Target],MATCH($G1841,Tbl_KPIMaster[KPI],0)),"")</f>
        <v/>
      </c>
      <c r="J1841" s="4" t="n"/>
      <c r="K1841" s="4">
        <f>IFERROR(INDEX(Tbl_KPIMaster[Tolerance],MATCH($G1841,Tbl_KPIMaster[KPI],0)),"")</f>
        <v/>
      </c>
      <c r="L1841" s="4">
        <f>IFERROR(INDEX(Tbl_KPIMaster[Owner],MATCH($G1841,Tbl_KPIMaster[KPI],0)),"")</f>
        <v/>
      </c>
      <c r="M1841" s="6" t="n"/>
      <c r="N1841" s="4" t="n"/>
      <c r="O1841" s="4" t="n"/>
      <c r="P1841" s="4" t="n"/>
      <c r="Q1841" s="5">
        <f>IFERROR(IF(INDEX(Tbl_KPIMaster[Direction],MATCH($G1841,Tbl_KPIMaster[KPI],0))="Lower is Better",IF($J1841=0,1,IF($I1841=0,0,$I1841/$J1841)),IF($I1841=0,1,$J1841/$I1841)),0)</f>
        <v/>
      </c>
      <c r="R1841" s="4">
        <f>IF(OR($I1841="",$J1841=""),"",$J1841-$I1841)</f>
        <v/>
      </c>
      <c r="S1841" s="4">
        <f>IFERROR(IF(INDEX(Tbl_KPIMaster[Direction],MATCH($G1841,Tbl_KPIMaster[KPI],0))="Lower is Better",IF($J1841&lt;=$I1841,"Green",IF($J1841&lt;=$I1841+IF($I1841=0,$K1841,$I1841*$K1841),"Amber","Red")),IF($J1841&gt;=$I1841,"Green",IF($J1841&gt;=$I1841-IF($I1841=0,$K1841,$I1841*$K1841),"Amber","Red"))),"")</f>
        <v/>
      </c>
      <c r="T1841" s="6" t="n"/>
    </row>
    <row r="1842">
      <c r="A1842" s="8" t="n"/>
      <c r="B1842" s="8">
        <f>IF($A1842="","",TEXT($A1842,"mmm-yyyy"))</f>
        <v/>
      </c>
      <c r="C1842" s="8">
        <f>IF($A1842="","","W"&amp;WEEKNUM($A1842,2))</f>
        <v/>
      </c>
      <c r="D1842" s="8">
        <f>IF($A1842="","",TEXT($A1842,"ddd"))</f>
        <v/>
      </c>
      <c r="E1842" s="8" t="n"/>
      <c r="F1842" s="8">
        <f>IFERROR(INDEX(Tbl_KPIMaster[Category],MATCH($G1842,Tbl_KPIMaster[KPI],0)),"")</f>
        <v/>
      </c>
      <c r="G1842" s="8" t="n"/>
      <c r="H1842" s="8">
        <f>IFERROR(INDEX(Tbl_KPIMaster[Unit],MATCH($G1842,Tbl_KPIMaster[KPI],0)),"")</f>
        <v/>
      </c>
      <c r="I1842" s="8">
        <f>IFERROR(INDEX(Tbl_KPIMaster[Maximum Target],MATCH($G1842,Tbl_KPIMaster[KPI],0)),"")</f>
        <v/>
      </c>
      <c r="J1842" s="8" t="n"/>
      <c r="K1842" s="8">
        <f>IFERROR(INDEX(Tbl_KPIMaster[Tolerance],MATCH($G1842,Tbl_KPIMaster[KPI],0)),"")</f>
        <v/>
      </c>
      <c r="L1842" s="8">
        <f>IFERROR(INDEX(Tbl_KPIMaster[Owner],MATCH($G1842,Tbl_KPIMaster[KPI],0)),"")</f>
        <v/>
      </c>
      <c r="M1842" s="10" t="n"/>
      <c r="N1842" s="8" t="n"/>
      <c r="O1842" s="8" t="n"/>
      <c r="P1842" s="8" t="n"/>
      <c r="Q1842" s="9">
        <f>IFERROR(IF(INDEX(Tbl_KPIMaster[Direction],MATCH($G1842,Tbl_KPIMaster[KPI],0))="Lower is Better",IF($J1842=0,1,IF($I1842=0,0,$I1842/$J1842)),IF($I1842=0,1,$J1842/$I1842)),0)</f>
        <v/>
      </c>
      <c r="R1842" s="8">
        <f>IF(OR($I1842="",$J1842=""),"",$J1842-$I1842)</f>
        <v/>
      </c>
      <c r="S1842" s="8">
        <f>IFERROR(IF(INDEX(Tbl_KPIMaster[Direction],MATCH($G1842,Tbl_KPIMaster[KPI],0))="Lower is Better",IF($J1842&lt;=$I1842,"Green",IF($J1842&lt;=$I1842+IF($I1842=0,$K1842,$I1842*$K1842),"Amber","Red")),IF($J1842&gt;=$I1842,"Green",IF($J1842&gt;=$I1842-IF($I1842=0,$K1842,$I1842*$K1842),"Amber","Red"))),"")</f>
        <v/>
      </c>
      <c r="T1842" s="10" t="n"/>
    </row>
  </sheetData>
  <mergeCells count="1">
    <mergeCell ref="A1:T1"/>
  </mergeCells>
  <conditionalFormatting sqref="S3:S1842">
    <cfRule type="expression" priority="1" dxfId="0">
      <formula>$S3="Green"</formula>
    </cfRule>
    <cfRule type="expression" priority="2" dxfId="1">
      <formula>$S3="Amber"</formula>
    </cfRule>
    <cfRule type="expression" priority="3" dxfId="2">
      <formula>$S3="Red"</formula>
    </cfRule>
  </conditionalFormatting>
  <conditionalFormatting sqref="Q3:Q184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:O1842">
    <cfRule type="expression" priority="5" dxfId="2">
      <formula>$O3="High"</formula>
    </cfRule>
  </conditionalFormatting>
  <dataValidations count="5">
    <dataValidation sqref="E3:E1842" showDropDown="0" showInputMessage="0" showErrorMessage="0" allowBlank="0" errorTitle="Invalid Department" error="Please choose a department from the list." type="list">
      <formula1>DeptList</formula1>
    </dataValidation>
    <dataValidation sqref="G3:G1842" showDropDown="0" showInputMessage="0" showErrorMessage="0" allowBlank="1" errorTitle="Invalid KPI" error="Choose a KPI Name valid for the selected Department." type="list">
      <formula1>INDIRECT("KPI_"&amp;$E3)</formula1>
    </dataValidation>
    <dataValidation sqref="O3:O1842" showDropDown="0" showInputMessage="0" showErrorMessage="0" allowBlank="1" type="list">
      <formula1>"Low,Medium,High"</formula1>
    </dataValidation>
    <dataValidation sqref="P3:P1842" showDropDown="0" showInputMessage="0" showErrorMessage="0" allowBlank="1" type="list">
      <formula1>"Open,In Progress,Closed"</formula1>
    </dataValidation>
    <dataValidation sqref="N3:N1842" showDropDown="0" showInputMessage="0" showErrorMessage="0" allowBlank="1" type="list">
      <formula1>"Yes,No"</formula1>
    </dataValidation>
  </dataValidation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0" customWidth="1" min="2" max="2"/>
    <col width="14" customWidth="1" min="3" max="3"/>
    <col width="12" customWidth="1" min="4" max="4"/>
    <col width="20" customWidth="1" min="5" max="5"/>
    <col width="14" customWidth="1" min="6" max="6"/>
    <col width="14" customWidth="1" min="7" max="7"/>
    <col width="11" customWidth="1" min="8" max="8"/>
    <col width="12" customWidth="1" min="9" max="9"/>
    <col width="18" customWidth="1" min="10" max="10"/>
    <col width="12" customWidth="1" min="11" max="11"/>
    <col width="16" customWidth="1" min="14" max="14"/>
  </cols>
  <sheetData>
    <row r="1" ht="26" customHeight="1">
      <c r="A1" s="11" t="inlineStr">
        <is>
          <t>KPI MASTER — KPI Definitions &amp; Thresholds (edit here to add/retire KPIs)</t>
        </is>
      </c>
    </row>
    <row r="2" ht="32" customHeight="1">
      <c r="A2" s="2" t="inlineStr">
        <is>
          <t>Department</t>
        </is>
      </c>
      <c r="B2" s="2" t="inlineStr">
        <is>
          <t>KPI</t>
        </is>
      </c>
      <c r="C2" s="2" t="inlineStr">
        <is>
          <t>Target Frequency</t>
        </is>
      </c>
      <c r="D2" s="2" t="inlineStr">
        <is>
          <t>Unit</t>
        </is>
      </c>
      <c r="E2" s="2" t="inlineStr">
        <is>
          <t>Owner</t>
        </is>
      </c>
      <c r="F2" s="2" t="inlineStr">
        <is>
          <t>Minimum Target</t>
        </is>
      </c>
      <c r="G2" s="2" t="inlineStr">
        <is>
          <t>Maximum Target</t>
        </is>
      </c>
      <c r="H2" s="2" t="inlineStr">
        <is>
          <t>Tolerance</t>
        </is>
      </c>
      <c r="I2" s="2" t="inlineStr">
        <is>
          <t>Display Order</t>
        </is>
      </c>
      <c r="J2" s="2" t="inlineStr">
        <is>
          <t>Direction</t>
        </is>
      </c>
      <c r="K2" s="2" t="inlineStr">
        <is>
          <t>Category</t>
        </is>
      </c>
      <c r="N2" s="12" t="inlineStr">
        <is>
          <t>Department List</t>
        </is>
      </c>
    </row>
    <row r="3">
      <c r="A3" s="4" t="inlineStr">
        <is>
          <t>Safety</t>
        </is>
      </c>
      <c r="B3" s="6" t="inlineStr">
        <is>
          <t>Safety Incidents (LTI)</t>
        </is>
      </c>
      <c r="C3" s="4" t="inlineStr">
        <is>
          <t>Daily</t>
        </is>
      </c>
      <c r="D3" s="4" t="inlineStr">
        <is>
          <t>Count</t>
        </is>
      </c>
      <c r="E3" s="4" t="inlineStr">
        <is>
          <t>Safety Officer</t>
        </is>
      </c>
      <c r="F3" s="4" t="n">
        <v>0</v>
      </c>
      <c r="G3" s="4" t="n">
        <v>0</v>
      </c>
      <c r="H3" s="13" t="n">
        <v>0</v>
      </c>
      <c r="I3" s="4" t="n">
        <v>1</v>
      </c>
      <c r="J3" s="4" t="inlineStr">
        <is>
          <t>Lower is Better</t>
        </is>
      </c>
      <c r="K3" s="4" t="inlineStr">
        <is>
          <t>Lagging</t>
        </is>
      </c>
      <c r="N3" t="inlineStr">
        <is>
          <t>Safety</t>
        </is>
      </c>
    </row>
    <row r="4">
      <c r="A4" s="8" t="inlineStr">
        <is>
          <t>Safety</t>
        </is>
      </c>
      <c r="B4" s="10" t="inlineStr">
        <is>
          <t>Near Miss Reports</t>
        </is>
      </c>
      <c r="C4" s="8" t="inlineStr">
        <is>
          <t>Daily</t>
        </is>
      </c>
      <c r="D4" s="8" t="inlineStr">
        <is>
          <t>Count</t>
        </is>
      </c>
      <c r="E4" s="8" t="inlineStr">
        <is>
          <t>Safety Officer</t>
        </is>
      </c>
      <c r="F4" s="8" t="n">
        <v>0</v>
      </c>
      <c r="G4" s="8" t="n">
        <v>2</v>
      </c>
      <c r="H4" s="14" t="n">
        <v>0.5</v>
      </c>
      <c r="I4" s="8" t="n">
        <v>2</v>
      </c>
      <c r="J4" s="8" t="inlineStr">
        <is>
          <t>Higher is Better</t>
        </is>
      </c>
      <c r="K4" s="8" t="inlineStr">
        <is>
          <t>Leading</t>
        </is>
      </c>
      <c r="N4" t="inlineStr">
        <is>
          <t>Production</t>
        </is>
      </c>
    </row>
    <row r="5">
      <c r="A5" s="4" t="inlineStr">
        <is>
          <t>Production</t>
        </is>
      </c>
      <c r="B5" s="6" t="inlineStr">
        <is>
          <t>Production Output</t>
        </is>
      </c>
      <c r="C5" s="4" t="inlineStr">
        <is>
          <t>Daily</t>
        </is>
      </c>
      <c r="D5" s="4" t="inlineStr">
        <is>
          <t>Units</t>
        </is>
      </c>
      <c r="E5" s="4" t="inlineStr">
        <is>
          <t>Production Manager</t>
        </is>
      </c>
      <c r="F5" s="4" t="n">
        <v>900</v>
      </c>
      <c r="G5" s="4" t="n">
        <v>1000</v>
      </c>
      <c r="H5" s="15" t="n">
        <v>0.05</v>
      </c>
      <c r="I5" s="4" t="n">
        <v>1</v>
      </c>
      <c r="J5" s="4" t="inlineStr">
        <is>
          <t>Higher is Better</t>
        </is>
      </c>
      <c r="K5" s="4" t="inlineStr">
        <is>
          <t>Lagging</t>
        </is>
      </c>
      <c r="N5" t="inlineStr">
        <is>
          <t>Quality</t>
        </is>
      </c>
    </row>
    <row r="6">
      <c r="A6" s="8" t="inlineStr">
        <is>
          <t>Production</t>
        </is>
      </c>
      <c r="B6" s="10" t="inlineStr">
        <is>
          <t>OEE %</t>
        </is>
      </c>
      <c r="C6" s="8" t="inlineStr">
        <is>
          <t>Daily</t>
        </is>
      </c>
      <c r="D6" s="8" t="inlineStr">
        <is>
          <t>%</t>
        </is>
      </c>
      <c r="E6" s="8" t="inlineStr">
        <is>
          <t>Production Manager</t>
        </is>
      </c>
      <c r="F6" s="14" t="n">
        <v>0.75</v>
      </c>
      <c r="G6" s="14" t="n">
        <v>0.85</v>
      </c>
      <c r="H6" s="14" t="n">
        <v>0.05</v>
      </c>
      <c r="I6" s="8" t="n">
        <v>2</v>
      </c>
      <c r="J6" s="8" t="inlineStr">
        <is>
          <t>Higher is Better</t>
        </is>
      </c>
      <c r="K6" s="8" t="inlineStr">
        <is>
          <t>Lagging</t>
        </is>
      </c>
      <c r="N6" t="inlineStr">
        <is>
          <t>Maintenance</t>
        </is>
      </c>
    </row>
    <row r="7">
      <c r="A7" s="4" t="inlineStr">
        <is>
          <t>Quality</t>
        </is>
      </c>
      <c r="B7" s="6" t="inlineStr">
        <is>
          <t>Defect Rate %</t>
        </is>
      </c>
      <c r="C7" s="4" t="inlineStr">
        <is>
          <t>Daily</t>
        </is>
      </c>
      <c r="D7" s="4" t="inlineStr">
        <is>
          <t>%</t>
        </is>
      </c>
      <c r="E7" s="4" t="inlineStr">
        <is>
          <t>Quality Manager</t>
        </is>
      </c>
      <c r="F7" s="15" t="n">
        <v>0</v>
      </c>
      <c r="G7" s="15" t="n">
        <v>0.02</v>
      </c>
      <c r="H7" s="15" t="n">
        <v>0.25</v>
      </c>
      <c r="I7" s="4" t="n">
        <v>1</v>
      </c>
      <c r="J7" s="4" t="inlineStr">
        <is>
          <t>Lower is Better</t>
        </is>
      </c>
      <c r="K7" s="4" t="inlineStr">
        <is>
          <t>Lagging</t>
        </is>
      </c>
      <c r="N7" t="inlineStr">
        <is>
          <t>Utilities</t>
        </is>
      </c>
    </row>
    <row r="8">
      <c r="A8" s="8" t="inlineStr">
        <is>
          <t>Quality</t>
        </is>
      </c>
      <c r="B8" s="10" t="inlineStr">
        <is>
          <t>Customer Complaints</t>
        </is>
      </c>
      <c r="C8" s="8" t="inlineStr">
        <is>
          <t>Daily</t>
        </is>
      </c>
      <c r="D8" s="8" t="inlineStr">
        <is>
          <t>Count</t>
        </is>
      </c>
      <c r="E8" s="8" t="inlineStr">
        <is>
          <t>Quality Manager</t>
        </is>
      </c>
      <c r="F8" s="8" t="n">
        <v>0</v>
      </c>
      <c r="G8" s="8" t="n">
        <v>0</v>
      </c>
      <c r="H8" s="16" t="n">
        <v>1</v>
      </c>
      <c r="I8" s="8" t="n">
        <v>2</v>
      </c>
      <c r="J8" s="8" t="inlineStr">
        <is>
          <t>Lower is Better</t>
        </is>
      </c>
      <c r="K8" s="8" t="inlineStr">
        <is>
          <t>Lagging</t>
        </is>
      </c>
      <c r="N8" t="inlineStr">
        <is>
          <t>Warehouse</t>
        </is>
      </c>
    </row>
    <row r="9">
      <c r="A9" s="4" t="inlineStr">
        <is>
          <t>Maintenance</t>
        </is>
      </c>
      <c r="B9" s="6" t="inlineStr">
        <is>
          <t>Unplanned Downtime</t>
        </is>
      </c>
      <c r="C9" s="4" t="inlineStr">
        <is>
          <t>Daily</t>
        </is>
      </c>
      <c r="D9" s="4" t="inlineStr">
        <is>
          <t>Hours</t>
        </is>
      </c>
      <c r="E9" s="4" t="inlineStr">
        <is>
          <t>Maintenance Manager</t>
        </is>
      </c>
      <c r="F9" s="4" t="n">
        <v>0</v>
      </c>
      <c r="G9" s="4" t="n">
        <v>1</v>
      </c>
      <c r="H9" s="15" t="n">
        <v>0.5</v>
      </c>
      <c r="I9" s="4" t="n">
        <v>1</v>
      </c>
      <c r="J9" s="4" t="inlineStr">
        <is>
          <t>Lower is Better</t>
        </is>
      </c>
      <c r="K9" s="4" t="inlineStr">
        <is>
          <t>Lagging</t>
        </is>
      </c>
      <c r="N9" t="inlineStr">
        <is>
          <t>HR</t>
        </is>
      </c>
    </row>
    <row r="10">
      <c r="A10" s="8" t="inlineStr">
        <is>
          <t>Maintenance</t>
        </is>
      </c>
      <c r="B10" s="10" t="inlineStr">
        <is>
          <t>PM Compliance %</t>
        </is>
      </c>
      <c r="C10" s="8" t="inlineStr">
        <is>
          <t>Daily</t>
        </is>
      </c>
      <c r="D10" s="8" t="inlineStr">
        <is>
          <t>%</t>
        </is>
      </c>
      <c r="E10" s="8" t="inlineStr">
        <is>
          <t>Maintenance Manager</t>
        </is>
      </c>
      <c r="F10" s="14" t="n">
        <v>0.9</v>
      </c>
      <c r="G10" s="14" t="n">
        <v>1</v>
      </c>
      <c r="H10" s="14" t="n">
        <v>0.05</v>
      </c>
      <c r="I10" s="8" t="n">
        <v>2</v>
      </c>
      <c r="J10" s="8" t="inlineStr">
        <is>
          <t>Higher is Better</t>
        </is>
      </c>
      <c r="K10" s="8" t="inlineStr">
        <is>
          <t>Leading</t>
        </is>
      </c>
      <c r="N10" t="inlineStr">
        <is>
          <t>Engineering</t>
        </is>
      </c>
    </row>
    <row r="11">
      <c r="A11" s="4" t="inlineStr">
        <is>
          <t>Utilities</t>
        </is>
      </c>
      <c r="B11" s="6" t="inlineStr">
        <is>
          <t>Power Consumption</t>
        </is>
      </c>
      <c r="C11" s="4" t="inlineStr">
        <is>
          <t>Daily</t>
        </is>
      </c>
      <c r="D11" s="4" t="inlineStr">
        <is>
          <t>kWh</t>
        </is>
      </c>
      <c r="E11" s="4" t="inlineStr">
        <is>
          <t>Utilities Engineer</t>
        </is>
      </c>
      <c r="F11" s="4" t="n">
        <v>4000</v>
      </c>
      <c r="G11" s="4" t="n">
        <v>4500</v>
      </c>
      <c r="H11" s="15" t="n">
        <v>0.05</v>
      </c>
      <c r="I11" s="4" t="n">
        <v>1</v>
      </c>
      <c r="J11" s="4" t="inlineStr">
        <is>
          <t>Lower is Better</t>
        </is>
      </c>
      <c r="K11" s="4" t="inlineStr">
        <is>
          <t>Lagging</t>
        </is>
      </c>
      <c r="N11" t="inlineStr">
        <is>
          <t>Cost</t>
        </is>
      </c>
    </row>
    <row r="12">
      <c r="A12" s="8" t="inlineStr">
        <is>
          <t>Utilities</t>
        </is>
      </c>
      <c r="B12" s="10" t="inlineStr">
        <is>
          <t>Water Consumption</t>
        </is>
      </c>
      <c r="C12" s="8" t="inlineStr">
        <is>
          <t>Daily</t>
        </is>
      </c>
      <c r="D12" s="8" t="inlineStr">
        <is>
          <t>KL</t>
        </is>
      </c>
      <c r="E12" s="8" t="inlineStr">
        <is>
          <t>Utilities Engineer</t>
        </is>
      </c>
      <c r="F12" s="8" t="n">
        <v>50</v>
      </c>
      <c r="G12" s="8" t="n">
        <v>60</v>
      </c>
      <c r="H12" s="14" t="n">
        <v>0.1</v>
      </c>
      <c r="I12" s="8" t="n">
        <v>2</v>
      </c>
      <c r="J12" s="8" t="inlineStr">
        <is>
          <t>Lower is Better</t>
        </is>
      </c>
      <c r="K12" s="8" t="inlineStr">
        <is>
          <t>Lagging</t>
        </is>
      </c>
      <c r="N12" t="inlineStr">
        <is>
          <t>Energy</t>
        </is>
      </c>
    </row>
    <row r="13">
      <c r="A13" s="4" t="inlineStr">
        <is>
          <t>Warehouse</t>
        </is>
      </c>
      <c r="B13" s="6" t="inlineStr">
        <is>
          <t>On-Time Dispatch %</t>
        </is>
      </c>
      <c r="C13" s="4" t="inlineStr">
        <is>
          <t>Daily</t>
        </is>
      </c>
      <c r="D13" s="4" t="inlineStr">
        <is>
          <t>%</t>
        </is>
      </c>
      <c r="E13" s="4" t="inlineStr">
        <is>
          <t>Warehouse Manager</t>
        </is>
      </c>
      <c r="F13" s="15" t="n">
        <v>0.92</v>
      </c>
      <c r="G13" s="15" t="n">
        <v>0.98</v>
      </c>
      <c r="H13" s="15" t="n">
        <v>0.05</v>
      </c>
      <c r="I13" s="4" t="n">
        <v>1</v>
      </c>
      <c r="J13" s="4" t="inlineStr">
        <is>
          <t>Higher is Better</t>
        </is>
      </c>
      <c r="K13" s="4" t="inlineStr">
        <is>
          <t>Lagging</t>
        </is>
      </c>
    </row>
    <row r="14">
      <c r="A14" s="8" t="inlineStr">
        <is>
          <t>Warehouse</t>
        </is>
      </c>
      <c r="B14" s="10" t="inlineStr">
        <is>
          <t>Inventory Accuracy %</t>
        </is>
      </c>
      <c r="C14" s="8" t="inlineStr">
        <is>
          <t>Daily</t>
        </is>
      </c>
      <c r="D14" s="8" t="inlineStr">
        <is>
          <t>%</t>
        </is>
      </c>
      <c r="E14" s="8" t="inlineStr">
        <is>
          <t>Warehouse Manager</t>
        </is>
      </c>
      <c r="F14" s="14" t="n">
        <v>0.95</v>
      </c>
      <c r="G14" s="14" t="n">
        <v>0.98</v>
      </c>
      <c r="H14" s="14" t="n">
        <v>0.02</v>
      </c>
      <c r="I14" s="8" t="n">
        <v>2</v>
      </c>
      <c r="J14" s="8" t="inlineStr">
        <is>
          <t>Higher is Better</t>
        </is>
      </c>
      <c r="K14" s="8" t="inlineStr">
        <is>
          <t>Lagging</t>
        </is>
      </c>
    </row>
    <row r="15">
      <c r="A15" s="4" t="inlineStr">
        <is>
          <t>HR</t>
        </is>
      </c>
      <c r="B15" s="6" t="inlineStr">
        <is>
          <t>Absenteeism %</t>
        </is>
      </c>
      <c r="C15" s="4" t="inlineStr">
        <is>
          <t>Daily</t>
        </is>
      </c>
      <c r="D15" s="4" t="inlineStr">
        <is>
          <t>%</t>
        </is>
      </c>
      <c r="E15" s="4" t="inlineStr">
        <is>
          <t>HR Manager</t>
        </is>
      </c>
      <c r="F15" s="15" t="n">
        <v>0</v>
      </c>
      <c r="G15" s="15" t="n">
        <v>0.03</v>
      </c>
      <c r="H15" s="15" t="n">
        <v>0.3</v>
      </c>
      <c r="I15" s="4" t="n">
        <v>1</v>
      </c>
      <c r="J15" s="4" t="inlineStr">
        <is>
          <t>Lower is Better</t>
        </is>
      </c>
      <c r="K15" s="4" t="inlineStr">
        <is>
          <t>Lagging</t>
        </is>
      </c>
    </row>
    <row r="16">
      <c r="A16" s="8" t="inlineStr">
        <is>
          <t>HR</t>
        </is>
      </c>
      <c r="B16" s="10" t="inlineStr">
        <is>
          <t>Training Hours</t>
        </is>
      </c>
      <c r="C16" s="8" t="inlineStr">
        <is>
          <t>Daily</t>
        </is>
      </c>
      <c r="D16" s="8" t="inlineStr">
        <is>
          <t>Hours</t>
        </is>
      </c>
      <c r="E16" s="8" t="inlineStr">
        <is>
          <t>HR Manager</t>
        </is>
      </c>
      <c r="F16" s="8" t="n">
        <v>1</v>
      </c>
      <c r="G16" s="8" t="n">
        <v>2</v>
      </c>
      <c r="H16" s="14" t="n">
        <v>0.5</v>
      </c>
      <c r="I16" s="8" t="n">
        <v>2</v>
      </c>
      <c r="J16" s="8" t="inlineStr">
        <is>
          <t>Higher is Better</t>
        </is>
      </c>
      <c r="K16" s="8" t="inlineStr">
        <is>
          <t>Leading</t>
        </is>
      </c>
    </row>
    <row r="17">
      <c r="A17" s="4" t="inlineStr">
        <is>
          <t>Engineering</t>
        </is>
      </c>
      <c r="B17" s="6" t="inlineStr">
        <is>
          <t>Project Milestone Adherence %</t>
        </is>
      </c>
      <c r="C17" s="4" t="inlineStr">
        <is>
          <t>Daily</t>
        </is>
      </c>
      <c r="D17" s="4" t="inlineStr">
        <is>
          <t>%</t>
        </is>
      </c>
      <c r="E17" s="4" t="inlineStr">
        <is>
          <t>Engineering Manager</t>
        </is>
      </c>
      <c r="F17" s="15" t="n">
        <v>0.85</v>
      </c>
      <c r="G17" s="15" t="n">
        <v>0.95</v>
      </c>
      <c r="H17" s="15" t="n">
        <v>0.1</v>
      </c>
      <c r="I17" s="4" t="n">
        <v>1</v>
      </c>
      <c r="J17" s="4" t="inlineStr">
        <is>
          <t>Higher is Better</t>
        </is>
      </c>
      <c r="K17" s="4" t="inlineStr">
        <is>
          <t>Lagging</t>
        </is>
      </c>
    </row>
    <row r="18">
      <c r="A18" s="8" t="inlineStr">
        <is>
          <t>Engineering</t>
        </is>
      </c>
      <c r="B18" s="10" t="inlineStr">
        <is>
          <t>Breakdown Resolution Time</t>
        </is>
      </c>
      <c r="C18" s="8" t="inlineStr">
        <is>
          <t>Daily</t>
        </is>
      </c>
      <c r="D18" s="8" t="inlineStr">
        <is>
          <t>Hours</t>
        </is>
      </c>
      <c r="E18" s="8" t="inlineStr">
        <is>
          <t>Engineering Manager</t>
        </is>
      </c>
      <c r="F18" s="8" t="n">
        <v>0</v>
      </c>
      <c r="G18" s="8" t="n">
        <v>2</v>
      </c>
      <c r="H18" s="14" t="n">
        <v>0.25</v>
      </c>
      <c r="I18" s="8" t="n">
        <v>2</v>
      </c>
      <c r="J18" s="8" t="inlineStr">
        <is>
          <t>Lower is Better</t>
        </is>
      </c>
      <c r="K18" s="8" t="inlineStr">
        <is>
          <t>Lagging</t>
        </is>
      </c>
    </row>
    <row r="19">
      <c r="A19" s="4" t="inlineStr">
        <is>
          <t>Cost</t>
        </is>
      </c>
      <c r="B19" s="6" t="inlineStr">
        <is>
          <t>Cost per Unit</t>
        </is>
      </c>
      <c r="C19" s="4" t="inlineStr">
        <is>
          <t>Daily</t>
        </is>
      </c>
      <c r="D19" s="4" t="inlineStr">
        <is>
          <t>INR</t>
        </is>
      </c>
      <c r="E19" s="4" t="inlineStr">
        <is>
          <t>Cost Controller</t>
        </is>
      </c>
      <c r="F19" s="4" t="n">
        <v>40</v>
      </c>
      <c r="G19" s="4" t="n">
        <v>45</v>
      </c>
      <c r="H19" s="15" t="n">
        <v>0.05</v>
      </c>
      <c r="I19" s="4" t="n">
        <v>1</v>
      </c>
      <c r="J19" s="4" t="inlineStr">
        <is>
          <t>Lower is Better</t>
        </is>
      </c>
      <c r="K19" s="4" t="inlineStr">
        <is>
          <t>Lagging</t>
        </is>
      </c>
    </row>
    <row r="20">
      <c r="A20" s="8" t="inlineStr">
        <is>
          <t>Cost</t>
        </is>
      </c>
      <c r="B20" s="10" t="inlineStr">
        <is>
          <t>Budget Variance %</t>
        </is>
      </c>
      <c r="C20" s="8" t="inlineStr">
        <is>
          <t>Daily</t>
        </is>
      </c>
      <c r="D20" s="8" t="inlineStr">
        <is>
          <t>%</t>
        </is>
      </c>
      <c r="E20" s="8" t="inlineStr">
        <is>
          <t>Cost Controller</t>
        </is>
      </c>
      <c r="F20" s="14" t="n">
        <v>0</v>
      </c>
      <c r="G20" s="14" t="n">
        <v>0.05</v>
      </c>
      <c r="H20" s="14" t="n">
        <v>0.5</v>
      </c>
      <c r="I20" s="8" t="n">
        <v>2</v>
      </c>
      <c r="J20" s="8" t="inlineStr">
        <is>
          <t>Lower is Better</t>
        </is>
      </c>
      <c r="K20" s="8" t="inlineStr">
        <is>
          <t>Lagging</t>
        </is>
      </c>
    </row>
    <row r="21">
      <c r="A21" s="4" t="inlineStr">
        <is>
          <t>Energy</t>
        </is>
      </c>
      <c r="B21" s="6" t="inlineStr">
        <is>
          <t>Energy Intensity (kWh/unit)</t>
        </is>
      </c>
      <c r="C21" s="4" t="inlineStr">
        <is>
          <t>Daily</t>
        </is>
      </c>
      <c r="D21" s="4" t="inlineStr">
        <is>
          <t>kWh/unit</t>
        </is>
      </c>
      <c r="E21" s="4" t="inlineStr">
        <is>
          <t>Energy Manager</t>
        </is>
      </c>
      <c r="F21" s="4" t="n">
        <v>4</v>
      </c>
      <c r="G21" s="4" t="n">
        <v>4.5</v>
      </c>
      <c r="H21" s="15" t="n">
        <v>0.05</v>
      </c>
      <c r="I21" s="4" t="n">
        <v>1</v>
      </c>
      <c r="J21" s="4" t="inlineStr">
        <is>
          <t>Lower is Better</t>
        </is>
      </c>
      <c r="K21" s="4" t="inlineStr">
        <is>
          <t>Lagging</t>
        </is>
      </c>
    </row>
    <row r="22">
      <c r="A22" s="8" t="inlineStr">
        <is>
          <t>Energy</t>
        </is>
      </c>
      <c r="B22" s="10" t="inlineStr">
        <is>
          <t>Renewable Energy Share %</t>
        </is>
      </c>
      <c r="C22" s="8" t="inlineStr">
        <is>
          <t>Daily</t>
        </is>
      </c>
      <c r="D22" s="8" t="inlineStr">
        <is>
          <t>%</t>
        </is>
      </c>
      <c r="E22" s="8" t="inlineStr">
        <is>
          <t>Energy Manager</t>
        </is>
      </c>
      <c r="F22" s="14" t="n">
        <v>0.15</v>
      </c>
      <c r="G22" s="14" t="n">
        <v>0.25</v>
      </c>
      <c r="H22" s="14" t="n">
        <v>0.2</v>
      </c>
      <c r="I22" s="8" t="n">
        <v>2</v>
      </c>
      <c r="J22" s="8" t="inlineStr">
        <is>
          <t>Higher is Better</t>
        </is>
      </c>
      <c r="K22" s="8" t="inlineStr">
        <is>
          <t>Leading</t>
        </is>
      </c>
    </row>
  </sheetData>
  <mergeCells count="1">
    <mergeCell ref="A1:K1"/>
  </mergeCell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72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13" customWidth="1" min="3" max="3"/>
    <col width="32" customWidth="1" min="4" max="4"/>
    <col width="26" customWidth="1" min="5" max="5"/>
    <col width="32" customWidth="1" min="6" max="6"/>
    <col width="18" customWidth="1" min="7" max="7"/>
    <col width="16" customWidth="1" min="8" max="8"/>
    <col width="12" customWidth="1" min="9" max="9"/>
    <col width="12" customWidth="1" min="10" max="10"/>
    <col width="9" customWidth="1" min="11" max="11"/>
    <col width="11" customWidth="1" min="12" max="12"/>
    <col width="12" customWidth="1" min="13" max="13"/>
    <col width="22" customWidth="1" min="14" max="14"/>
    <col width="9" customWidth="1" min="15" max="15"/>
    <col width="11" customWidth="1" min="16" max="16"/>
  </cols>
  <sheetData>
    <row r="1" ht="28" customHeight="1">
      <c r="A1" s="1" t="inlineStr">
        <is>
          <t>ACTION TRACKER — Actions raised during the daily DMS meeting</t>
        </is>
      </c>
    </row>
    <row r="2" ht="32" customHeight="1">
      <c r="A2" s="2" t="inlineStr">
        <is>
          <t>Action ID</t>
        </is>
      </c>
      <c r="B2" s="2" t="inlineStr">
        <is>
          <t>Meeting Date</t>
        </is>
      </c>
      <c r="C2" s="2" t="inlineStr">
        <is>
          <t>Department</t>
        </is>
      </c>
      <c r="D2" s="2" t="inlineStr">
        <is>
          <t>Issue</t>
        </is>
      </c>
      <c r="E2" s="2" t="inlineStr">
        <is>
          <t>Root Cause</t>
        </is>
      </c>
      <c r="F2" s="2" t="inlineStr">
        <is>
          <t>Action</t>
        </is>
      </c>
      <c r="G2" s="2" t="inlineStr">
        <is>
          <t>Owner</t>
        </is>
      </c>
      <c r="H2" s="2" t="inlineStr">
        <is>
          <t>Supporting Department</t>
        </is>
      </c>
      <c r="I2" s="2" t="inlineStr">
        <is>
          <t>Due Date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Completion %</t>
        </is>
      </c>
      <c r="M2" s="2" t="inlineStr">
        <is>
          <t>Closed Date</t>
        </is>
      </c>
      <c r="N2" s="2" t="inlineStr">
        <is>
          <t>Remarks</t>
        </is>
      </c>
      <c r="O2" s="2" t="inlineStr">
        <is>
          <t>Overdue?</t>
        </is>
      </c>
      <c r="P2" s="2" t="inlineStr">
        <is>
          <t>Days Overdue</t>
        </is>
      </c>
    </row>
    <row r="3">
      <c r="A3" s="4" t="inlineStr">
        <is>
          <t>ACT-1000</t>
        </is>
      </c>
      <c r="B3" s="3" t="n">
        <v>46191</v>
      </c>
      <c r="C3" s="4" t="inlineStr">
        <is>
          <t>Cost</t>
        </is>
      </c>
      <c r="D3" s="6" t="inlineStr">
        <is>
          <t>Cost per unit trending above target</t>
        </is>
      </c>
      <c r="E3" s="6" t="inlineStr">
        <is>
          <t>Higher scrap and rework</t>
        </is>
      </c>
      <c r="F3" s="6" t="inlineStr">
        <is>
          <t>Scrap reduction task force</t>
        </is>
      </c>
      <c r="G3" s="4" t="inlineStr">
        <is>
          <t>Cost Controller</t>
        </is>
      </c>
      <c r="H3" s="4" t="inlineStr">
        <is>
          <t>Warehouse</t>
        </is>
      </c>
      <c r="I3" s="3" t="n">
        <v>46201</v>
      </c>
      <c r="J3" s="4" t="inlineStr">
        <is>
          <t>Open</t>
        </is>
      </c>
      <c r="K3" s="4" t="inlineStr">
        <is>
          <t>High</t>
        </is>
      </c>
      <c r="L3" s="15" t="n">
        <v>0</v>
      </c>
      <c r="M3" s="4" t="n"/>
      <c r="N3" s="6" t="inlineStr">
        <is>
          <t>Awaiting spares</t>
        </is>
      </c>
      <c r="O3" s="4">
        <f>IF($J3="Closed","No",IF($I3&lt;TODAY(),"Yes","No"))</f>
        <v/>
      </c>
      <c r="P3" s="4">
        <f>IF($O3="Yes",TODAY()-$I3,0)</f>
        <v/>
      </c>
    </row>
    <row r="4">
      <c r="A4" s="8" t="inlineStr">
        <is>
          <t>ACT-1001</t>
        </is>
      </c>
      <c r="B4" s="7" t="n">
        <v>46182</v>
      </c>
      <c r="C4" s="8" t="inlineStr">
        <is>
          <t>HR</t>
        </is>
      </c>
      <c r="D4" s="10" t="inlineStr">
        <is>
          <t>High absenteeism in Shift B</t>
        </is>
      </c>
      <c r="E4" s="10" t="inlineStr">
        <is>
          <t>Transport issue reported by workers</t>
        </is>
      </c>
      <c r="F4" s="10" t="inlineStr">
        <is>
          <t>Coordinate with admin for additional shuttle</t>
        </is>
      </c>
      <c r="G4" s="8" t="inlineStr">
        <is>
          <t>HR Manager</t>
        </is>
      </c>
      <c r="H4" s="8" t="inlineStr">
        <is>
          <t>Safety</t>
        </is>
      </c>
      <c r="I4" s="7" t="n">
        <v>46190</v>
      </c>
      <c r="J4" s="8" t="inlineStr">
        <is>
          <t>Closed</t>
        </is>
      </c>
      <c r="K4" s="8" t="inlineStr">
        <is>
          <t>Medium</t>
        </is>
      </c>
      <c r="L4" s="14" t="n">
        <v>1</v>
      </c>
      <c r="M4" s="7" t="n">
        <v>46191</v>
      </c>
      <c r="N4" s="10" t="inlineStr">
        <is>
          <t>Equipment breakdown</t>
        </is>
      </c>
      <c r="O4" s="8">
        <f>IF($J4="Closed","No",IF($I4&lt;TODAY(),"Yes","No"))</f>
        <v/>
      </c>
      <c r="P4" s="8">
        <f>IF($O4="Yes",TODAY()-$I4,0)</f>
        <v/>
      </c>
    </row>
    <row r="5">
      <c r="A5" s="4" t="inlineStr">
        <is>
          <t>ACT-1002</t>
        </is>
      </c>
      <c r="B5" s="3" t="n">
        <v>46175</v>
      </c>
      <c r="C5" s="4" t="inlineStr">
        <is>
          <t>Cost</t>
        </is>
      </c>
      <c r="D5" s="6" t="inlineStr">
        <is>
          <t>Cost per unit trending above target</t>
        </is>
      </c>
      <c r="E5" s="6" t="inlineStr">
        <is>
          <t>Higher scrap and rework</t>
        </is>
      </c>
      <c r="F5" s="6" t="inlineStr">
        <is>
          <t>Scrap reduction task force</t>
        </is>
      </c>
      <c r="G5" s="4" t="inlineStr">
        <is>
          <t>Cost Controller</t>
        </is>
      </c>
      <c r="H5" s="4" t="inlineStr">
        <is>
          <t>Engineering</t>
        </is>
      </c>
      <c r="I5" s="3" t="n">
        <v>46182</v>
      </c>
      <c r="J5" s="4" t="inlineStr">
        <is>
          <t>Closed</t>
        </is>
      </c>
      <c r="K5" s="4" t="inlineStr">
        <is>
          <t>Medium</t>
        </is>
      </c>
      <c r="L5" s="15" t="n">
        <v>1</v>
      </c>
      <c r="M5" s="3" t="n">
        <v>46185</v>
      </c>
      <c r="N5" s="6" t="inlineStr">
        <is>
          <t>Equipment breakdown</t>
        </is>
      </c>
      <c r="O5" s="4">
        <f>IF($J5="Closed","No",IF($I5&lt;TODAY(),"Yes","No"))</f>
        <v/>
      </c>
      <c r="P5" s="4">
        <f>IF($O5="Yes",TODAY()-$I5,0)</f>
        <v/>
      </c>
    </row>
    <row r="6">
      <c r="A6" s="8" t="inlineStr">
        <is>
          <t>ACT-1003</t>
        </is>
      </c>
      <c r="B6" s="7" t="n">
        <v>46201</v>
      </c>
      <c r="C6" s="8" t="inlineStr">
        <is>
          <t>Warehouse</t>
        </is>
      </c>
      <c r="D6" s="10" t="inlineStr">
        <is>
          <t>Dispatch delay for Customer XYZ</t>
        </is>
      </c>
      <c r="E6" s="10" t="inlineStr">
        <is>
          <t>Inaccurate stock records</t>
        </is>
      </c>
      <c r="F6" s="10" t="inlineStr">
        <is>
          <t>Cycle count + WMS reconciliation</t>
        </is>
      </c>
      <c r="G6" s="8" t="inlineStr">
        <is>
          <t>Warehouse Manager</t>
        </is>
      </c>
      <c r="H6" s="8" t="inlineStr">
        <is>
          <t>Quality</t>
        </is>
      </c>
      <c r="I6" s="7" t="n">
        <v>46204</v>
      </c>
      <c r="J6" s="8" t="inlineStr">
        <is>
          <t>Closed</t>
        </is>
      </c>
      <c r="K6" s="8" t="inlineStr">
        <is>
          <t>High</t>
        </is>
      </c>
      <c r="L6" s="14" t="n">
        <v>1</v>
      </c>
      <c r="M6" s="7" t="n">
        <v>46204</v>
      </c>
      <c r="N6" s="10" t="inlineStr">
        <is>
          <t>New operator training effect</t>
        </is>
      </c>
      <c r="O6" s="8">
        <f>IF($J6="Closed","No",IF($I6&lt;TODAY(),"Yes","No"))</f>
        <v/>
      </c>
      <c r="P6" s="8">
        <f>IF($O6="Yes",TODAY()-$I6,0)</f>
        <v/>
      </c>
    </row>
    <row r="7">
      <c r="A7" s="4" t="inlineStr">
        <is>
          <t>ACT-1004</t>
        </is>
      </c>
      <c r="B7" s="3" t="n">
        <v>46186</v>
      </c>
      <c r="C7" s="4" t="inlineStr">
        <is>
          <t>Quality</t>
        </is>
      </c>
      <c r="D7" s="6" t="inlineStr">
        <is>
          <t>Rise in customer complaints for batch QC-118</t>
        </is>
      </c>
      <c r="E7" s="6" t="inlineStr">
        <is>
          <t>Incoming material variation</t>
        </is>
      </c>
      <c r="F7" s="6" t="inlineStr">
        <is>
          <t>Tighten incoming inspection sampling plan</t>
        </is>
      </c>
      <c r="G7" s="4" t="inlineStr">
        <is>
          <t>Quality Manager</t>
        </is>
      </c>
      <c r="H7" s="4" t="inlineStr">
        <is>
          <t>Cost</t>
        </is>
      </c>
      <c r="I7" s="3" t="n">
        <v>46192</v>
      </c>
      <c r="J7" s="4" t="inlineStr">
        <is>
          <t>Closed</t>
        </is>
      </c>
      <c r="K7" s="4" t="inlineStr">
        <is>
          <t>Low</t>
        </is>
      </c>
      <c r="L7" s="15" t="n">
        <v>1</v>
      </c>
      <c r="M7" s="3" t="n">
        <v>46190</v>
      </c>
      <c r="N7" s="6" t="inlineStr">
        <is>
          <t>Preventive check done</t>
        </is>
      </c>
      <c r="O7" s="4">
        <f>IF($J7="Closed","No",IF($I7&lt;TODAY(),"Yes","No"))</f>
        <v/>
      </c>
      <c r="P7" s="4">
        <f>IF($O7="Yes",TODAY()-$I7,0)</f>
        <v/>
      </c>
    </row>
    <row r="8">
      <c r="A8" s="8" t="inlineStr">
        <is>
          <t>ACT-1005</t>
        </is>
      </c>
      <c r="B8" s="7" t="n">
        <v>46201</v>
      </c>
      <c r="C8" s="8" t="inlineStr">
        <is>
          <t>Production</t>
        </is>
      </c>
      <c r="D8" s="10" t="inlineStr">
        <is>
          <t>Line 2 output below target for 3 consecutive days</t>
        </is>
      </c>
      <c r="E8" s="10" t="inlineStr">
        <is>
          <t>Frequent minor stoppages</t>
        </is>
      </c>
      <c r="F8" s="10" t="inlineStr">
        <is>
          <t>RCA on stoppages + operator retraining</t>
        </is>
      </c>
      <c r="G8" s="8" t="inlineStr">
        <is>
          <t>Production Manager</t>
        </is>
      </c>
      <c r="H8" s="8" t="inlineStr"/>
      <c r="I8" s="7" t="n">
        <v>46203</v>
      </c>
      <c r="J8" s="8" t="inlineStr">
        <is>
          <t>In Progress</t>
        </is>
      </c>
      <c r="K8" s="8" t="inlineStr">
        <is>
          <t>Low</t>
        </is>
      </c>
      <c r="L8" s="14" t="n">
        <v>0.1</v>
      </c>
      <c r="M8" s="8" t="n"/>
      <c r="N8" s="10" t="inlineStr">
        <is>
          <t>Line changeover impact</t>
        </is>
      </c>
      <c r="O8" s="8">
        <f>IF($J8="Closed","No",IF($I8&lt;TODAY(),"Yes","No"))</f>
        <v/>
      </c>
      <c r="P8" s="8">
        <f>IF($O8="Yes",TODAY()-$I8,0)</f>
        <v/>
      </c>
    </row>
    <row r="9">
      <c r="A9" s="4" t="inlineStr">
        <is>
          <t>ACT-1006</t>
        </is>
      </c>
      <c r="B9" s="3" t="n">
        <v>46188</v>
      </c>
      <c r="C9" s="4" t="inlineStr">
        <is>
          <t>Safety</t>
        </is>
      </c>
      <c r="D9" s="6" t="inlineStr">
        <is>
          <t>Housekeeping non-compliance in shop floor A</t>
        </is>
      </c>
      <c r="E9" s="6" t="inlineStr">
        <is>
          <t>Lack of 5S audit follow-up</t>
        </is>
      </c>
      <c r="F9" s="6" t="inlineStr">
        <is>
          <t>Conduct daily 5S audit and close gaps</t>
        </is>
      </c>
      <c r="G9" s="4" t="inlineStr">
        <is>
          <t>Safety Officer</t>
        </is>
      </c>
      <c r="H9" s="4" t="inlineStr">
        <is>
          <t>Production</t>
        </is>
      </c>
      <c r="I9" s="3" t="n">
        <v>46194</v>
      </c>
      <c r="J9" s="4" t="inlineStr">
        <is>
          <t>Open</t>
        </is>
      </c>
      <c r="K9" s="4" t="inlineStr">
        <is>
          <t>Medium</t>
        </is>
      </c>
      <c r="L9" s="15" t="n">
        <v>0</v>
      </c>
      <c r="M9" s="4" t="n"/>
      <c r="N9" s="6" t="inlineStr">
        <is>
          <t>Within normal range</t>
        </is>
      </c>
      <c r="O9" s="4">
        <f>IF($J9="Closed","No",IF($I9&lt;TODAY(),"Yes","No"))</f>
        <v/>
      </c>
      <c r="P9" s="4">
        <f>IF($O9="Yes",TODAY()-$I9,0)</f>
        <v/>
      </c>
    </row>
    <row r="10">
      <c r="A10" s="8" t="inlineStr">
        <is>
          <t>ACT-1007</t>
        </is>
      </c>
      <c r="B10" s="7" t="n">
        <v>46211</v>
      </c>
      <c r="C10" s="8" t="inlineStr">
        <is>
          <t>Utilities</t>
        </is>
      </c>
      <c r="D10" s="10" t="inlineStr">
        <is>
          <t>Power consumption spike in Shift C</t>
        </is>
      </c>
      <c r="E10" s="10" t="inlineStr">
        <is>
          <t>HVAC running during non-peak hours</t>
        </is>
      </c>
      <c r="F10" s="10" t="inlineStr">
        <is>
          <t>Install auto shutoff schedule</t>
        </is>
      </c>
      <c r="G10" s="8" t="inlineStr">
        <is>
          <t>Utilities Engineer</t>
        </is>
      </c>
      <c r="H10" s="8" t="inlineStr">
        <is>
          <t>Energy</t>
        </is>
      </c>
      <c r="I10" s="7" t="n">
        <v>46218</v>
      </c>
      <c r="J10" s="8" t="inlineStr">
        <is>
          <t>Closed</t>
        </is>
      </c>
      <c r="K10" s="8" t="inlineStr">
        <is>
          <t>High</t>
        </is>
      </c>
      <c r="L10" s="14" t="n">
        <v>1</v>
      </c>
      <c r="M10" s="7" t="n">
        <v>46215</v>
      </c>
      <c r="N10" s="10" t="inlineStr">
        <is>
          <t>Vendor delay</t>
        </is>
      </c>
      <c r="O10" s="8">
        <f>IF($J10="Closed","No",IF($I10&lt;TODAY(),"Yes","No"))</f>
        <v/>
      </c>
      <c r="P10" s="8">
        <f>IF($O10="Yes",TODAY()-$I10,0)</f>
        <v/>
      </c>
    </row>
    <row r="11">
      <c r="A11" s="4" t="inlineStr">
        <is>
          <t>ACT-1008</t>
        </is>
      </c>
      <c r="B11" s="3" t="n">
        <v>46174</v>
      </c>
      <c r="C11" s="4" t="inlineStr">
        <is>
          <t>Production</t>
        </is>
      </c>
      <c r="D11" s="6" t="inlineStr">
        <is>
          <t>Line 2 output below target for 3 consecutive days</t>
        </is>
      </c>
      <c r="E11" s="6" t="inlineStr">
        <is>
          <t>Frequent minor stoppages</t>
        </is>
      </c>
      <c r="F11" s="6" t="inlineStr">
        <is>
          <t>RCA on stoppages + operator retraining</t>
        </is>
      </c>
      <c r="G11" s="4" t="inlineStr">
        <is>
          <t>Production Manager</t>
        </is>
      </c>
      <c r="H11" s="4" t="inlineStr">
        <is>
          <t>Engineering</t>
        </is>
      </c>
      <c r="I11" s="3" t="n">
        <v>46180</v>
      </c>
      <c r="J11" s="4" t="inlineStr">
        <is>
          <t>Open</t>
        </is>
      </c>
      <c r="K11" s="4" t="inlineStr">
        <is>
          <t>High</t>
        </is>
      </c>
      <c r="L11" s="15" t="n">
        <v>0</v>
      </c>
      <c r="M11" s="4" t="n"/>
      <c r="N11" s="6" t="inlineStr">
        <is>
          <t>Equipment breakdown</t>
        </is>
      </c>
      <c r="O11" s="4">
        <f>IF($J11="Closed","No",IF($I11&lt;TODAY(),"Yes","No"))</f>
        <v/>
      </c>
      <c r="P11" s="4">
        <f>IF($O11="Yes",TODAY()-$I11,0)</f>
        <v/>
      </c>
    </row>
    <row r="12">
      <c r="A12" s="8" t="inlineStr">
        <is>
          <t>ACT-1009</t>
        </is>
      </c>
      <c r="B12" s="7" t="n">
        <v>46201</v>
      </c>
      <c r="C12" s="8" t="inlineStr">
        <is>
          <t>Production</t>
        </is>
      </c>
      <c r="D12" s="10" t="inlineStr">
        <is>
          <t>Line 2 output below target for 3 consecutive days</t>
        </is>
      </c>
      <c r="E12" s="10" t="inlineStr">
        <is>
          <t>Frequent minor stoppages</t>
        </is>
      </c>
      <c r="F12" s="10" t="inlineStr">
        <is>
          <t>RCA on stoppages + operator retraining</t>
        </is>
      </c>
      <c r="G12" s="8" t="inlineStr">
        <is>
          <t>Production Manager</t>
        </is>
      </c>
      <c r="H12" s="8" t="inlineStr">
        <is>
          <t>Utilities</t>
        </is>
      </c>
      <c r="I12" s="7" t="n">
        <v>46206</v>
      </c>
      <c r="J12" s="8" t="inlineStr">
        <is>
          <t>Open</t>
        </is>
      </c>
      <c r="K12" s="8" t="inlineStr">
        <is>
          <t>High</t>
        </is>
      </c>
      <c r="L12" s="14" t="n">
        <v>0</v>
      </c>
      <c r="M12" s="8" t="n"/>
      <c r="N12" s="10" t="inlineStr"/>
      <c r="O12" s="8">
        <f>IF($J12="Closed","No",IF($I12&lt;TODAY(),"Yes","No"))</f>
        <v/>
      </c>
      <c r="P12" s="8">
        <f>IF($O12="Yes",TODAY()-$I12,0)</f>
        <v/>
      </c>
    </row>
    <row r="13">
      <c r="A13" s="4" t="inlineStr">
        <is>
          <t>ACT-1010</t>
        </is>
      </c>
      <c r="B13" s="3" t="n">
        <v>46192</v>
      </c>
      <c r="C13" s="4" t="inlineStr">
        <is>
          <t>HR</t>
        </is>
      </c>
      <c r="D13" s="6" t="inlineStr">
        <is>
          <t>High absenteeism in Shift B</t>
        </is>
      </c>
      <c r="E13" s="6" t="inlineStr">
        <is>
          <t>Transport issue reported by workers</t>
        </is>
      </c>
      <c r="F13" s="6" t="inlineStr">
        <is>
          <t>Coordinate with admin for additional shuttle</t>
        </is>
      </c>
      <c r="G13" s="4" t="inlineStr">
        <is>
          <t>HR Manager</t>
        </is>
      </c>
      <c r="H13" s="4" t="inlineStr">
        <is>
          <t>Utilities</t>
        </is>
      </c>
      <c r="I13" s="3" t="n">
        <v>46200</v>
      </c>
      <c r="J13" s="4" t="inlineStr">
        <is>
          <t>Closed</t>
        </is>
      </c>
      <c r="K13" s="4" t="inlineStr">
        <is>
          <t>High</t>
        </is>
      </c>
      <c r="L13" s="15" t="n">
        <v>1</v>
      </c>
      <c r="M13" s="3" t="n">
        <v>46203</v>
      </c>
      <c r="N13" s="6" t="inlineStr">
        <is>
          <t>Equipment breakdown</t>
        </is>
      </c>
      <c r="O13" s="4">
        <f>IF($J13="Closed","No",IF($I13&lt;TODAY(),"Yes","No"))</f>
        <v/>
      </c>
      <c r="P13" s="4">
        <f>IF($O13="Yes",TODAY()-$I13,0)</f>
        <v/>
      </c>
    </row>
    <row r="14">
      <c r="A14" s="8" t="inlineStr">
        <is>
          <t>ACT-1011</t>
        </is>
      </c>
      <c r="B14" s="7" t="n">
        <v>46208</v>
      </c>
      <c r="C14" s="8" t="inlineStr">
        <is>
          <t>Utilities</t>
        </is>
      </c>
      <c r="D14" s="10" t="inlineStr">
        <is>
          <t>Power consumption spike in Shift C</t>
        </is>
      </c>
      <c r="E14" s="10" t="inlineStr">
        <is>
          <t>HVAC running during non-peak hours</t>
        </is>
      </c>
      <c r="F14" s="10" t="inlineStr">
        <is>
          <t>Install auto shutoff schedule</t>
        </is>
      </c>
      <c r="G14" s="8" t="inlineStr">
        <is>
          <t>Utilities Engineer</t>
        </is>
      </c>
      <c r="H14" s="8" t="inlineStr">
        <is>
          <t>Quality</t>
        </is>
      </c>
      <c r="I14" s="7" t="n">
        <v>46219</v>
      </c>
      <c r="J14" s="8" t="inlineStr">
        <is>
          <t>In Progress</t>
        </is>
      </c>
      <c r="K14" s="8" t="inlineStr">
        <is>
          <t>High</t>
        </is>
      </c>
      <c r="L14" s="14" t="n">
        <v>0.25</v>
      </c>
      <c r="M14" s="8" t="n"/>
      <c r="N14" s="10" t="inlineStr"/>
      <c r="O14" s="8">
        <f>IF($J14="Closed","No",IF($I14&lt;TODAY(),"Yes","No"))</f>
        <v/>
      </c>
      <c r="P14" s="8">
        <f>IF($O14="Yes",TODAY()-$I14,0)</f>
        <v/>
      </c>
    </row>
    <row r="15">
      <c r="A15" s="4" t="inlineStr">
        <is>
          <t>ACT-1012</t>
        </is>
      </c>
      <c r="B15" s="3" t="n">
        <v>46203</v>
      </c>
      <c r="C15" s="4" t="inlineStr">
        <is>
          <t>Maintenance</t>
        </is>
      </c>
      <c r="D15" s="6" t="inlineStr">
        <is>
          <t>Repeat breakdown on Compressor-3</t>
        </is>
      </c>
      <c r="E15" s="6" t="inlineStr">
        <is>
          <t>Bearing wear, PM missed</t>
        </is>
      </c>
      <c r="F15" s="6" t="inlineStr">
        <is>
          <t>Replace bearing, revise PM checklist</t>
        </is>
      </c>
      <c r="G15" s="4" t="inlineStr">
        <is>
          <t>Maintenance Manager</t>
        </is>
      </c>
      <c r="H15" s="4" t="inlineStr">
        <is>
          <t>Production</t>
        </is>
      </c>
      <c r="I15" s="3" t="n">
        <v>46207</v>
      </c>
      <c r="J15" s="4" t="inlineStr">
        <is>
          <t>In Progress</t>
        </is>
      </c>
      <c r="K15" s="4" t="inlineStr">
        <is>
          <t>Medium</t>
        </is>
      </c>
      <c r="L15" s="15" t="n">
        <v>0.1</v>
      </c>
      <c r="M15" s="4" t="n"/>
      <c r="N15" s="6" t="inlineStr">
        <is>
          <t>Preventive check done</t>
        </is>
      </c>
      <c r="O15" s="4">
        <f>IF($J15="Closed","No",IF($I15&lt;TODAY(),"Yes","No"))</f>
        <v/>
      </c>
      <c r="P15" s="4">
        <f>IF($O15="Yes",TODAY()-$I15,0)</f>
        <v/>
      </c>
    </row>
    <row r="16">
      <c r="A16" s="8" t="inlineStr">
        <is>
          <t>ACT-1013</t>
        </is>
      </c>
      <c r="B16" s="7" t="n">
        <v>46179</v>
      </c>
      <c r="C16" s="8" t="inlineStr">
        <is>
          <t>Energy</t>
        </is>
      </c>
      <c r="D16" s="10" t="inlineStr">
        <is>
          <t>Energy intensity above target for 2 weeks</t>
        </is>
      </c>
      <c r="E16" s="10" t="inlineStr">
        <is>
          <t>Compressed air leaks</t>
        </is>
      </c>
      <c r="F16" s="10" t="inlineStr">
        <is>
          <t>Leak audit and repair</t>
        </is>
      </c>
      <c r="G16" s="8" t="inlineStr">
        <is>
          <t>Energy Manager</t>
        </is>
      </c>
      <c r="H16" s="8" t="inlineStr">
        <is>
          <t>HR</t>
        </is>
      </c>
      <c r="I16" s="7" t="n">
        <v>46188</v>
      </c>
      <c r="J16" s="8" t="inlineStr">
        <is>
          <t>In Progress</t>
        </is>
      </c>
      <c r="K16" s="8" t="inlineStr">
        <is>
          <t>High</t>
        </is>
      </c>
      <c r="L16" s="14" t="n">
        <v>0.4</v>
      </c>
      <c r="M16" s="8" t="n"/>
      <c r="N16" s="10" t="inlineStr">
        <is>
          <t>Line changeover impact</t>
        </is>
      </c>
      <c r="O16" s="8">
        <f>IF($J16="Closed","No",IF($I16&lt;TODAY(),"Yes","No"))</f>
        <v/>
      </c>
      <c r="P16" s="8">
        <f>IF($O16="Yes",TODAY()-$I16,0)</f>
        <v/>
      </c>
    </row>
    <row r="17">
      <c r="A17" s="4" t="inlineStr">
        <is>
          <t>ACT-1014</t>
        </is>
      </c>
      <c r="B17" s="3" t="n">
        <v>46186</v>
      </c>
      <c r="C17" s="4" t="inlineStr">
        <is>
          <t>Quality</t>
        </is>
      </c>
      <c r="D17" s="6" t="inlineStr">
        <is>
          <t>Rise in customer complaints for batch QC-118</t>
        </is>
      </c>
      <c r="E17" s="6" t="inlineStr">
        <is>
          <t>Incoming material variation</t>
        </is>
      </c>
      <c r="F17" s="6" t="inlineStr">
        <is>
          <t>Tighten incoming inspection sampling plan</t>
        </is>
      </c>
      <c r="G17" s="4" t="inlineStr">
        <is>
          <t>Quality Manager</t>
        </is>
      </c>
      <c r="H17" s="4" t="inlineStr">
        <is>
          <t>HR</t>
        </is>
      </c>
      <c r="I17" s="3" t="n">
        <v>46195</v>
      </c>
      <c r="J17" s="4" t="inlineStr">
        <is>
          <t>Closed</t>
        </is>
      </c>
      <c r="K17" s="4" t="inlineStr">
        <is>
          <t>High</t>
        </is>
      </c>
      <c r="L17" s="15" t="n">
        <v>1</v>
      </c>
      <c r="M17" s="3" t="n">
        <v>46194</v>
      </c>
      <c r="N17" s="6" t="inlineStr">
        <is>
          <t>New operator training effect</t>
        </is>
      </c>
      <c r="O17" s="4">
        <f>IF($J17="Closed","No",IF($I17&lt;TODAY(),"Yes","No"))</f>
        <v/>
      </c>
      <c r="P17" s="4">
        <f>IF($O17="Yes",TODAY()-$I17,0)</f>
        <v/>
      </c>
    </row>
    <row r="18">
      <c r="A18" s="8" t="inlineStr">
        <is>
          <t>ACT-1015</t>
        </is>
      </c>
      <c r="B18" s="7" t="n">
        <v>46192</v>
      </c>
      <c r="C18" s="8" t="inlineStr">
        <is>
          <t>Warehouse</t>
        </is>
      </c>
      <c r="D18" s="10" t="inlineStr">
        <is>
          <t>Dispatch delay for Customer XYZ</t>
        </is>
      </c>
      <c r="E18" s="10" t="inlineStr">
        <is>
          <t>Inaccurate stock records</t>
        </is>
      </c>
      <c r="F18" s="10" t="inlineStr">
        <is>
          <t>Cycle count + WMS reconciliation</t>
        </is>
      </c>
      <c r="G18" s="8" t="inlineStr">
        <is>
          <t>Warehouse Manager</t>
        </is>
      </c>
      <c r="H18" s="8" t="inlineStr">
        <is>
          <t>Energy</t>
        </is>
      </c>
      <c r="I18" s="7" t="n">
        <v>46201</v>
      </c>
      <c r="J18" s="8" t="inlineStr">
        <is>
          <t>In Progress</t>
        </is>
      </c>
      <c r="K18" s="8" t="inlineStr">
        <is>
          <t>Medium</t>
        </is>
      </c>
      <c r="L18" s="14" t="n">
        <v>0.4</v>
      </c>
      <c r="M18" s="8" t="n"/>
      <c r="N18" s="10" t="inlineStr">
        <is>
          <t>Within normal range</t>
        </is>
      </c>
      <c r="O18" s="8">
        <f>IF($J18="Closed","No",IF($I18&lt;TODAY(),"Yes","No"))</f>
        <v/>
      </c>
      <c r="P18" s="8">
        <f>IF($O18="Yes",TODAY()-$I18,0)</f>
        <v/>
      </c>
    </row>
    <row r="19">
      <c r="A19" s="4" t="inlineStr">
        <is>
          <t>ACT-1016</t>
        </is>
      </c>
      <c r="B19" s="3" t="n">
        <v>46214</v>
      </c>
      <c r="C19" s="4" t="inlineStr">
        <is>
          <t>HR</t>
        </is>
      </c>
      <c r="D19" s="6" t="inlineStr">
        <is>
          <t>High absenteeism in Shift B</t>
        </is>
      </c>
      <c r="E19" s="6" t="inlineStr">
        <is>
          <t>Transport issue reported by workers</t>
        </is>
      </c>
      <c r="F19" s="6" t="inlineStr">
        <is>
          <t>Coordinate with admin for additional shuttle</t>
        </is>
      </c>
      <c r="G19" s="4" t="inlineStr">
        <is>
          <t>HR Manager</t>
        </is>
      </c>
      <c r="H19" s="4" t="inlineStr">
        <is>
          <t>Maintenance</t>
        </is>
      </c>
      <c r="I19" s="3" t="n">
        <v>46228</v>
      </c>
      <c r="J19" s="4" t="inlineStr">
        <is>
          <t>Open</t>
        </is>
      </c>
      <c r="K19" s="4" t="inlineStr">
        <is>
          <t>High</t>
        </is>
      </c>
      <c r="L19" s="15" t="n">
        <v>0</v>
      </c>
      <c r="M19" s="4" t="n"/>
      <c r="N19" s="6" t="inlineStr">
        <is>
          <t>Equipment breakdown</t>
        </is>
      </c>
      <c r="O19" s="4">
        <f>IF($J19="Closed","No",IF($I19&lt;TODAY(),"Yes","No"))</f>
        <v/>
      </c>
      <c r="P19" s="4">
        <f>IF($O19="Yes",TODAY()-$I19,0)</f>
        <v/>
      </c>
    </row>
    <row r="20">
      <c r="A20" s="8" t="inlineStr">
        <is>
          <t>ACT-1017</t>
        </is>
      </c>
      <c r="B20" s="7" t="n">
        <v>46196</v>
      </c>
      <c r="C20" s="8" t="inlineStr">
        <is>
          <t>Cost</t>
        </is>
      </c>
      <c r="D20" s="10" t="inlineStr">
        <is>
          <t>Cost per unit trending above target</t>
        </is>
      </c>
      <c r="E20" s="10" t="inlineStr">
        <is>
          <t>Higher scrap and rework</t>
        </is>
      </c>
      <c r="F20" s="10" t="inlineStr">
        <is>
          <t>Scrap reduction task force</t>
        </is>
      </c>
      <c r="G20" s="8" t="inlineStr">
        <is>
          <t>Cost Controller</t>
        </is>
      </c>
      <c r="H20" s="8" t="inlineStr">
        <is>
          <t>Safety</t>
        </is>
      </c>
      <c r="I20" s="7" t="n">
        <v>46200</v>
      </c>
      <c r="J20" s="8" t="inlineStr">
        <is>
          <t>Closed</t>
        </is>
      </c>
      <c r="K20" s="8" t="inlineStr">
        <is>
          <t>High</t>
        </is>
      </c>
      <c r="L20" s="14" t="n">
        <v>1</v>
      </c>
      <c r="M20" s="7" t="n">
        <v>46199</v>
      </c>
      <c r="N20" s="10" t="inlineStr">
        <is>
          <t>Process improvement in progress</t>
        </is>
      </c>
      <c r="O20" s="8">
        <f>IF($J20="Closed","No",IF($I20&lt;TODAY(),"Yes","No"))</f>
        <v/>
      </c>
      <c r="P20" s="8">
        <f>IF($O20="Yes",TODAY()-$I20,0)</f>
        <v/>
      </c>
    </row>
    <row r="21">
      <c r="A21" s="4" t="inlineStr">
        <is>
          <t>ACT-1018</t>
        </is>
      </c>
      <c r="B21" s="3" t="n">
        <v>46194</v>
      </c>
      <c r="C21" s="4" t="inlineStr">
        <is>
          <t>Quality</t>
        </is>
      </c>
      <c r="D21" s="6" t="inlineStr">
        <is>
          <t>Rise in customer complaints for batch QC-118</t>
        </is>
      </c>
      <c r="E21" s="6" t="inlineStr">
        <is>
          <t>Incoming material variation</t>
        </is>
      </c>
      <c r="F21" s="6" t="inlineStr">
        <is>
          <t>Tighten incoming inspection sampling plan</t>
        </is>
      </c>
      <c r="G21" s="4" t="inlineStr">
        <is>
          <t>Quality Manager</t>
        </is>
      </c>
      <c r="H21" s="4" t="inlineStr">
        <is>
          <t>Energy</t>
        </is>
      </c>
      <c r="I21" s="3" t="n">
        <v>46206</v>
      </c>
      <c r="J21" s="4" t="inlineStr">
        <is>
          <t>Open</t>
        </is>
      </c>
      <c r="K21" s="4" t="inlineStr">
        <is>
          <t>High</t>
        </is>
      </c>
      <c r="L21" s="15" t="n">
        <v>0</v>
      </c>
      <c r="M21" s="4" t="n"/>
      <c r="N21" s="6" t="inlineStr">
        <is>
          <t>New operator training effect</t>
        </is>
      </c>
      <c r="O21" s="4">
        <f>IF($J21="Closed","No",IF($I21&lt;TODAY(),"Yes","No"))</f>
        <v/>
      </c>
      <c r="P21" s="4">
        <f>IF($O21="Yes",TODAY()-$I21,0)</f>
        <v/>
      </c>
    </row>
    <row r="22">
      <c r="A22" s="8" t="inlineStr">
        <is>
          <t>ACT-1019</t>
        </is>
      </c>
      <c r="B22" s="7" t="n">
        <v>46214</v>
      </c>
      <c r="C22" s="8" t="inlineStr">
        <is>
          <t>Safety</t>
        </is>
      </c>
      <c r="D22" s="10" t="inlineStr">
        <is>
          <t>Housekeeping non-compliance in shop floor A</t>
        </is>
      </c>
      <c r="E22" s="10" t="inlineStr">
        <is>
          <t>Lack of 5S audit follow-up</t>
        </is>
      </c>
      <c r="F22" s="10" t="inlineStr">
        <is>
          <t>Conduct daily 5S audit and close gaps</t>
        </is>
      </c>
      <c r="G22" s="8" t="inlineStr">
        <is>
          <t>Safety Officer</t>
        </is>
      </c>
      <c r="H22" s="8" t="inlineStr">
        <is>
          <t>Quality</t>
        </is>
      </c>
      <c r="I22" s="7" t="n">
        <v>46216</v>
      </c>
      <c r="J22" s="8" t="inlineStr">
        <is>
          <t>Open</t>
        </is>
      </c>
      <c r="K22" s="8" t="inlineStr">
        <is>
          <t>High</t>
        </is>
      </c>
      <c r="L22" s="14" t="n">
        <v>0</v>
      </c>
      <c r="M22" s="8" t="n"/>
      <c r="N22" s="10" t="inlineStr">
        <is>
          <t>Awaiting spares</t>
        </is>
      </c>
      <c r="O22" s="8">
        <f>IF($J22="Closed","No",IF($I22&lt;TODAY(),"Yes","No"))</f>
        <v/>
      </c>
      <c r="P22" s="8">
        <f>IF($O22="Yes",TODAY()-$I22,0)</f>
        <v/>
      </c>
    </row>
    <row r="23">
      <c r="A23" s="4" t="inlineStr">
        <is>
          <t>ACT-1020</t>
        </is>
      </c>
      <c r="B23" s="3" t="n">
        <v>46213</v>
      </c>
      <c r="C23" s="4" t="inlineStr">
        <is>
          <t>Energy</t>
        </is>
      </c>
      <c r="D23" s="6" t="inlineStr">
        <is>
          <t>Energy intensity above target for 2 weeks</t>
        </is>
      </c>
      <c r="E23" s="6" t="inlineStr">
        <is>
          <t>Compressed air leaks</t>
        </is>
      </c>
      <c r="F23" s="6" t="inlineStr">
        <is>
          <t>Leak audit and repair</t>
        </is>
      </c>
      <c r="G23" s="4" t="inlineStr">
        <is>
          <t>Energy Manager</t>
        </is>
      </c>
      <c r="H23" s="4" t="inlineStr">
        <is>
          <t>Safety</t>
        </is>
      </c>
      <c r="I23" s="3" t="n">
        <v>46219</v>
      </c>
      <c r="J23" s="4" t="inlineStr">
        <is>
          <t>In Progress</t>
        </is>
      </c>
      <c r="K23" s="4" t="inlineStr">
        <is>
          <t>Medium</t>
        </is>
      </c>
      <c r="L23" s="15" t="n">
        <v>0.6</v>
      </c>
      <c r="M23" s="4" t="n"/>
      <c r="N23" s="6" t="inlineStr">
        <is>
          <t>Line changeover impact</t>
        </is>
      </c>
      <c r="O23" s="4">
        <f>IF($J23="Closed","No",IF($I23&lt;TODAY(),"Yes","No"))</f>
        <v/>
      </c>
      <c r="P23" s="4">
        <f>IF($O23="Yes",TODAY()-$I23,0)</f>
        <v/>
      </c>
    </row>
    <row r="24">
      <c r="A24" s="8" t="inlineStr">
        <is>
          <t>ACT-1021</t>
        </is>
      </c>
      <c r="B24" s="7" t="n">
        <v>46176</v>
      </c>
      <c r="C24" s="8" t="inlineStr">
        <is>
          <t>Energy</t>
        </is>
      </c>
      <c r="D24" s="10" t="inlineStr">
        <is>
          <t>Energy intensity above target for 2 weeks</t>
        </is>
      </c>
      <c r="E24" s="10" t="inlineStr">
        <is>
          <t>Compressed air leaks</t>
        </is>
      </c>
      <c r="F24" s="10" t="inlineStr">
        <is>
          <t>Leak audit and repair</t>
        </is>
      </c>
      <c r="G24" s="8" t="inlineStr">
        <is>
          <t>Energy Manager</t>
        </is>
      </c>
      <c r="H24" s="8" t="inlineStr">
        <is>
          <t>Cost</t>
        </is>
      </c>
      <c r="I24" s="7" t="n">
        <v>46186</v>
      </c>
      <c r="J24" s="8" t="inlineStr">
        <is>
          <t>Closed</t>
        </is>
      </c>
      <c r="K24" s="8" t="inlineStr">
        <is>
          <t>High</t>
        </is>
      </c>
      <c r="L24" s="14" t="n">
        <v>1</v>
      </c>
      <c r="M24" s="7" t="n">
        <v>46189</v>
      </c>
      <c r="N24" s="10" t="inlineStr">
        <is>
          <t>Vendor delay</t>
        </is>
      </c>
      <c r="O24" s="8">
        <f>IF($J24="Closed","No",IF($I24&lt;TODAY(),"Yes","No"))</f>
        <v/>
      </c>
      <c r="P24" s="8">
        <f>IF($O24="Yes",TODAY()-$I24,0)</f>
        <v/>
      </c>
    </row>
    <row r="25">
      <c r="A25" s="4" t="inlineStr">
        <is>
          <t>ACT-1022</t>
        </is>
      </c>
      <c r="B25" s="3" t="n">
        <v>46188</v>
      </c>
      <c r="C25" s="4" t="inlineStr">
        <is>
          <t>Cost</t>
        </is>
      </c>
      <c r="D25" s="6" t="inlineStr">
        <is>
          <t>Cost per unit trending above target</t>
        </is>
      </c>
      <c r="E25" s="6" t="inlineStr">
        <is>
          <t>Higher scrap and rework</t>
        </is>
      </c>
      <c r="F25" s="6" t="inlineStr">
        <is>
          <t>Scrap reduction task force</t>
        </is>
      </c>
      <c r="G25" s="4" t="inlineStr">
        <is>
          <t>Cost Controller</t>
        </is>
      </c>
      <c r="H25" s="4" t="inlineStr">
        <is>
          <t>Quality</t>
        </is>
      </c>
      <c r="I25" s="3" t="n">
        <v>46192</v>
      </c>
      <c r="J25" s="4" t="inlineStr">
        <is>
          <t>Open</t>
        </is>
      </c>
      <c r="K25" s="4" t="inlineStr">
        <is>
          <t>Medium</t>
        </is>
      </c>
      <c r="L25" s="15" t="n">
        <v>0</v>
      </c>
      <c r="M25" s="4" t="n"/>
      <c r="N25" s="6" t="inlineStr">
        <is>
          <t>Preventive check done</t>
        </is>
      </c>
      <c r="O25" s="4">
        <f>IF($J25="Closed","No",IF($I25&lt;TODAY(),"Yes","No"))</f>
        <v/>
      </c>
      <c r="P25" s="4">
        <f>IF($O25="Yes",TODAY()-$I25,0)</f>
        <v/>
      </c>
    </row>
    <row r="26">
      <c r="A26" s="8" t="inlineStr">
        <is>
          <t>ACT-1023</t>
        </is>
      </c>
      <c r="B26" s="7" t="n">
        <v>46219</v>
      </c>
      <c r="C26" s="8" t="inlineStr">
        <is>
          <t>Utilities</t>
        </is>
      </c>
      <c r="D26" s="10" t="inlineStr">
        <is>
          <t>Power consumption spike in Shift C</t>
        </is>
      </c>
      <c r="E26" s="10" t="inlineStr">
        <is>
          <t>HVAC running during non-peak hours</t>
        </is>
      </c>
      <c r="F26" s="10" t="inlineStr">
        <is>
          <t>Install auto shutoff schedule</t>
        </is>
      </c>
      <c r="G26" s="8" t="inlineStr">
        <is>
          <t>Utilities Engineer</t>
        </is>
      </c>
      <c r="H26" s="8" t="inlineStr">
        <is>
          <t>Production</t>
        </is>
      </c>
      <c r="I26" s="7" t="n">
        <v>46233</v>
      </c>
      <c r="J26" s="8" t="inlineStr">
        <is>
          <t>In Progress</t>
        </is>
      </c>
      <c r="K26" s="8" t="inlineStr">
        <is>
          <t>Low</t>
        </is>
      </c>
      <c r="L26" s="14" t="n">
        <v>0.6</v>
      </c>
      <c r="M26" s="8" t="n"/>
      <c r="N26" s="10" t="inlineStr">
        <is>
          <t>Within normal range</t>
        </is>
      </c>
      <c r="O26" s="8">
        <f>IF($J26="Closed","No",IF($I26&lt;TODAY(),"Yes","No"))</f>
        <v/>
      </c>
      <c r="P26" s="8">
        <f>IF($O26="Yes",TODAY()-$I26,0)</f>
        <v/>
      </c>
    </row>
    <row r="27">
      <c r="A27" s="4" t="inlineStr">
        <is>
          <t>ACT-1024</t>
        </is>
      </c>
      <c r="B27" s="3" t="n">
        <v>46181</v>
      </c>
      <c r="C27" s="4" t="inlineStr">
        <is>
          <t>Quality</t>
        </is>
      </c>
      <c r="D27" s="6" t="inlineStr">
        <is>
          <t>Rise in customer complaints for batch QC-118</t>
        </is>
      </c>
      <c r="E27" s="6" t="inlineStr">
        <is>
          <t>Incoming material variation</t>
        </is>
      </c>
      <c r="F27" s="6" t="inlineStr">
        <is>
          <t>Tighten incoming inspection sampling plan</t>
        </is>
      </c>
      <c r="G27" s="4" t="inlineStr">
        <is>
          <t>Quality Manager</t>
        </is>
      </c>
      <c r="H27" s="4" t="inlineStr">
        <is>
          <t>Cost</t>
        </is>
      </c>
      <c r="I27" s="3" t="n">
        <v>46184</v>
      </c>
      <c r="J27" s="4" t="inlineStr">
        <is>
          <t>In Progress</t>
        </is>
      </c>
      <c r="K27" s="4" t="inlineStr">
        <is>
          <t>Low</t>
        </is>
      </c>
      <c r="L27" s="15" t="n">
        <v>0.1</v>
      </c>
      <c r="M27" s="4" t="n"/>
      <c r="N27" s="6" t="inlineStr">
        <is>
          <t>Within normal range</t>
        </is>
      </c>
      <c r="O27" s="4">
        <f>IF($J27="Closed","No",IF($I27&lt;TODAY(),"Yes","No"))</f>
        <v/>
      </c>
      <c r="P27" s="4">
        <f>IF($O27="Yes",TODAY()-$I27,0)</f>
        <v/>
      </c>
    </row>
    <row r="28">
      <c r="A28" s="8" t="inlineStr">
        <is>
          <t>ACT-1025</t>
        </is>
      </c>
      <c r="B28" s="7" t="n">
        <v>46191</v>
      </c>
      <c r="C28" s="8" t="inlineStr">
        <is>
          <t>Cost</t>
        </is>
      </c>
      <c r="D28" s="10" t="inlineStr">
        <is>
          <t>Cost per unit trending above target</t>
        </is>
      </c>
      <c r="E28" s="10" t="inlineStr">
        <is>
          <t>Higher scrap and rework</t>
        </is>
      </c>
      <c r="F28" s="10" t="inlineStr">
        <is>
          <t>Scrap reduction task force</t>
        </is>
      </c>
      <c r="G28" s="8" t="inlineStr">
        <is>
          <t>Cost Controller</t>
        </is>
      </c>
      <c r="H28" s="8" t="inlineStr">
        <is>
          <t>HR</t>
        </is>
      </c>
      <c r="I28" s="7" t="n">
        <v>46199</v>
      </c>
      <c r="J28" s="8" t="inlineStr">
        <is>
          <t>Open</t>
        </is>
      </c>
      <c r="K28" s="8" t="inlineStr">
        <is>
          <t>Low</t>
        </is>
      </c>
      <c r="L28" s="14" t="n">
        <v>0</v>
      </c>
      <c r="M28" s="8" t="n"/>
      <c r="N28" s="10" t="inlineStr">
        <is>
          <t>New operator training effect</t>
        </is>
      </c>
      <c r="O28" s="8">
        <f>IF($J28="Closed","No",IF($I28&lt;TODAY(),"Yes","No"))</f>
        <v/>
      </c>
      <c r="P28" s="8">
        <f>IF($O28="Yes",TODAY()-$I28,0)</f>
        <v/>
      </c>
    </row>
    <row r="29">
      <c r="A29" s="4" t="inlineStr">
        <is>
          <t>ACT-1026</t>
        </is>
      </c>
      <c r="B29" s="3" t="n">
        <v>46204</v>
      </c>
      <c r="C29" s="4" t="inlineStr">
        <is>
          <t>Quality</t>
        </is>
      </c>
      <c r="D29" s="6" t="inlineStr">
        <is>
          <t>Rise in customer complaints for batch QC-118</t>
        </is>
      </c>
      <c r="E29" s="6" t="inlineStr">
        <is>
          <t>Incoming material variation</t>
        </is>
      </c>
      <c r="F29" s="6" t="inlineStr">
        <is>
          <t>Tighten incoming inspection sampling plan</t>
        </is>
      </c>
      <c r="G29" s="4" t="inlineStr">
        <is>
          <t>Quality Manager</t>
        </is>
      </c>
      <c r="H29" s="4" t="inlineStr">
        <is>
          <t>Cost</t>
        </is>
      </c>
      <c r="I29" s="3" t="n">
        <v>46214</v>
      </c>
      <c r="J29" s="4" t="inlineStr">
        <is>
          <t>Open</t>
        </is>
      </c>
      <c r="K29" s="4" t="inlineStr">
        <is>
          <t>Medium</t>
        </is>
      </c>
      <c r="L29" s="15" t="n">
        <v>0</v>
      </c>
      <c r="M29" s="4" t="n"/>
      <c r="N29" s="6" t="inlineStr"/>
      <c r="O29" s="4">
        <f>IF($J29="Closed","No",IF($I29&lt;TODAY(),"Yes","No"))</f>
        <v/>
      </c>
      <c r="P29" s="4">
        <f>IF($O29="Yes",TODAY()-$I29,0)</f>
        <v/>
      </c>
    </row>
    <row r="30">
      <c r="A30" s="8" t="inlineStr">
        <is>
          <t>ACT-1027</t>
        </is>
      </c>
      <c r="B30" s="7" t="n">
        <v>46212</v>
      </c>
      <c r="C30" s="8" t="inlineStr">
        <is>
          <t>Energy</t>
        </is>
      </c>
      <c r="D30" s="10" t="inlineStr">
        <is>
          <t>Energy intensity above target for 2 weeks</t>
        </is>
      </c>
      <c r="E30" s="10" t="inlineStr">
        <is>
          <t>Compressed air leaks</t>
        </is>
      </c>
      <c r="F30" s="10" t="inlineStr">
        <is>
          <t>Leak audit and repair</t>
        </is>
      </c>
      <c r="G30" s="8" t="inlineStr">
        <is>
          <t>Energy Manager</t>
        </is>
      </c>
      <c r="H30" s="8" t="inlineStr">
        <is>
          <t>Quality</t>
        </is>
      </c>
      <c r="I30" s="7" t="n">
        <v>46220</v>
      </c>
      <c r="J30" s="8" t="inlineStr">
        <is>
          <t>Open</t>
        </is>
      </c>
      <c r="K30" s="8" t="inlineStr">
        <is>
          <t>Low</t>
        </is>
      </c>
      <c r="L30" s="14" t="n">
        <v>0</v>
      </c>
      <c r="M30" s="8" t="n"/>
      <c r="N30" s="10" t="inlineStr"/>
      <c r="O30" s="8">
        <f>IF($J30="Closed","No",IF($I30&lt;TODAY(),"Yes","No"))</f>
        <v/>
      </c>
      <c r="P30" s="8">
        <f>IF($O30="Yes",TODAY()-$I30,0)</f>
        <v/>
      </c>
    </row>
    <row r="31">
      <c r="A31" s="4" t="inlineStr">
        <is>
          <t>ACT-1028</t>
        </is>
      </c>
      <c r="B31" s="3" t="n">
        <v>46209</v>
      </c>
      <c r="C31" s="4" t="inlineStr">
        <is>
          <t>Maintenance</t>
        </is>
      </c>
      <c r="D31" s="6" t="inlineStr">
        <is>
          <t>Repeat breakdown on Compressor-3</t>
        </is>
      </c>
      <c r="E31" s="6" t="inlineStr">
        <is>
          <t>Bearing wear, PM missed</t>
        </is>
      </c>
      <c r="F31" s="6" t="inlineStr">
        <is>
          <t>Replace bearing, revise PM checklist</t>
        </is>
      </c>
      <c r="G31" s="4" t="inlineStr">
        <is>
          <t>Maintenance Manager</t>
        </is>
      </c>
      <c r="H31" s="4" t="inlineStr">
        <is>
          <t>Cost</t>
        </is>
      </c>
      <c r="I31" s="3" t="n">
        <v>46219</v>
      </c>
      <c r="J31" s="4" t="inlineStr">
        <is>
          <t>Closed</t>
        </is>
      </c>
      <c r="K31" s="4" t="inlineStr">
        <is>
          <t>Low</t>
        </is>
      </c>
      <c r="L31" s="15" t="n">
        <v>1</v>
      </c>
      <c r="M31" s="3" t="n">
        <v>46218</v>
      </c>
      <c r="N31" s="6" t="inlineStr">
        <is>
          <t>Preventive check done</t>
        </is>
      </c>
      <c r="O31" s="4">
        <f>IF($J31="Closed","No",IF($I31&lt;TODAY(),"Yes","No"))</f>
        <v/>
      </c>
      <c r="P31" s="4">
        <f>IF($O31="Yes",TODAY()-$I31,0)</f>
        <v/>
      </c>
    </row>
    <row r="32">
      <c r="A32" s="8" t="inlineStr">
        <is>
          <t>ACT-1029</t>
        </is>
      </c>
      <c r="B32" s="7" t="n">
        <v>46177</v>
      </c>
      <c r="C32" s="8" t="inlineStr">
        <is>
          <t>Utilities</t>
        </is>
      </c>
      <c r="D32" s="10" t="inlineStr">
        <is>
          <t>Power consumption spike in Shift C</t>
        </is>
      </c>
      <c r="E32" s="10" t="inlineStr">
        <is>
          <t>HVAC running during non-peak hours</t>
        </is>
      </c>
      <c r="F32" s="10" t="inlineStr">
        <is>
          <t>Install auto shutoff schedule</t>
        </is>
      </c>
      <c r="G32" s="8" t="inlineStr">
        <is>
          <t>Utilities Engineer</t>
        </is>
      </c>
      <c r="H32" s="8" t="inlineStr">
        <is>
          <t>Warehouse</t>
        </is>
      </c>
      <c r="I32" s="7" t="n">
        <v>46180</v>
      </c>
      <c r="J32" s="8" t="inlineStr">
        <is>
          <t>Closed</t>
        </is>
      </c>
      <c r="K32" s="8" t="inlineStr">
        <is>
          <t>Medium</t>
        </is>
      </c>
      <c r="L32" s="14" t="n">
        <v>1</v>
      </c>
      <c r="M32" s="7" t="n">
        <v>46180</v>
      </c>
      <c r="N32" s="10" t="inlineStr">
        <is>
          <t>Process improvement in progress</t>
        </is>
      </c>
      <c r="O32" s="8">
        <f>IF($J32="Closed","No",IF($I32&lt;TODAY(),"Yes","No"))</f>
        <v/>
      </c>
      <c r="P32" s="8">
        <f>IF($O32="Yes",TODAY()-$I32,0)</f>
        <v/>
      </c>
    </row>
    <row r="33">
      <c r="A33" s="4" t="inlineStr">
        <is>
          <t>ACT-1030</t>
        </is>
      </c>
      <c r="B33" s="3" t="n">
        <v>46175</v>
      </c>
      <c r="C33" s="4" t="inlineStr">
        <is>
          <t>HR</t>
        </is>
      </c>
      <c r="D33" s="6" t="inlineStr">
        <is>
          <t>High absenteeism in Shift B</t>
        </is>
      </c>
      <c r="E33" s="6" t="inlineStr">
        <is>
          <t>Transport issue reported by workers</t>
        </is>
      </c>
      <c r="F33" s="6" t="inlineStr">
        <is>
          <t>Coordinate with admin for additional shuttle</t>
        </is>
      </c>
      <c r="G33" s="4" t="inlineStr">
        <is>
          <t>HR Manager</t>
        </is>
      </c>
      <c r="H33" s="4" t="inlineStr">
        <is>
          <t>Engineering</t>
        </is>
      </c>
      <c r="I33" s="3" t="n">
        <v>46189</v>
      </c>
      <c r="J33" s="4" t="inlineStr">
        <is>
          <t>Open</t>
        </is>
      </c>
      <c r="K33" s="4" t="inlineStr">
        <is>
          <t>Medium</t>
        </is>
      </c>
      <c r="L33" s="15" t="n">
        <v>0</v>
      </c>
      <c r="M33" s="4" t="n"/>
      <c r="N33" s="6" t="inlineStr">
        <is>
          <t>Vendor delay</t>
        </is>
      </c>
      <c r="O33" s="4">
        <f>IF($J33="Closed","No",IF($I33&lt;TODAY(),"Yes","No"))</f>
        <v/>
      </c>
      <c r="P33" s="4">
        <f>IF($O33="Yes",TODAY()-$I33,0)</f>
        <v/>
      </c>
    </row>
    <row r="34">
      <c r="A34" s="8" t="inlineStr">
        <is>
          <t>ACT-1031</t>
        </is>
      </c>
      <c r="B34" s="7" t="n">
        <v>46201</v>
      </c>
      <c r="C34" s="8" t="inlineStr">
        <is>
          <t>Safety</t>
        </is>
      </c>
      <c r="D34" s="10" t="inlineStr">
        <is>
          <t>Housekeeping non-compliance in shop floor A</t>
        </is>
      </c>
      <c r="E34" s="10" t="inlineStr">
        <is>
          <t>Lack of 5S audit follow-up</t>
        </is>
      </c>
      <c r="F34" s="10" t="inlineStr">
        <is>
          <t>Conduct daily 5S audit and close gaps</t>
        </is>
      </c>
      <c r="G34" s="8" t="inlineStr">
        <is>
          <t>Safety Officer</t>
        </is>
      </c>
      <c r="H34" s="8" t="inlineStr"/>
      <c r="I34" s="7" t="n">
        <v>46210</v>
      </c>
      <c r="J34" s="8" t="inlineStr">
        <is>
          <t>Open</t>
        </is>
      </c>
      <c r="K34" s="8" t="inlineStr">
        <is>
          <t>Medium</t>
        </is>
      </c>
      <c r="L34" s="14" t="n">
        <v>0</v>
      </c>
      <c r="M34" s="8" t="n"/>
      <c r="N34" s="10" t="inlineStr">
        <is>
          <t>Preventive check done</t>
        </is>
      </c>
      <c r="O34" s="8">
        <f>IF($J34="Closed","No",IF($I34&lt;TODAY(),"Yes","No"))</f>
        <v/>
      </c>
      <c r="P34" s="8">
        <f>IF($O34="Yes",TODAY()-$I34,0)</f>
        <v/>
      </c>
    </row>
    <row r="35">
      <c r="A35" s="4" t="inlineStr">
        <is>
          <t>ACT-1032</t>
        </is>
      </c>
      <c r="B35" s="3" t="n">
        <v>46178</v>
      </c>
      <c r="C35" s="4" t="inlineStr">
        <is>
          <t>Safety</t>
        </is>
      </c>
      <c r="D35" s="6" t="inlineStr">
        <is>
          <t>Housekeeping non-compliance in shop floor A</t>
        </is>
      </c>
      <c r="E35" s="6" t="inlineStr">
        <is>
          <t>Lack of 5S audit follow-up</t>
        </is>
      </c>
      <c r="F35" s="6" t="inlineStr">
        <is>
          <t>Conduct daily 5S audit and close gaps</t>
        </is>
      </c>
      <c r="G35" s="4" t="inlineStr">
        <is>
          <t>Safety Officer</t>
        </is>
      </c>
      <c r="H35" s="4" t="inlineStr">
        <is>
          <t>HR</t>
        </is>
      </c>
      <c r="I35" s="3" t="n">
        <v>46190</v>
      </c>
      <c r="J35" s="4" t="inlineStr">
        <is>
          <t>Closed</t>
        </is>
      </c>
      <c r="K35" s="4" t="inlineStr">
        <is>
          <t>Medium</t>
        </is>
      </c>
      <c r="L35" s="15" t="n">
        <v>1</v>
      </c>
      <c r="M35" s="3" t="n">
        <v>46189</v>
      </c>
      <c r="N35" s="6" t="inlineStr">
        <is>
          <t>Vendor delay</t>
        </is>
      </c>
      <c r="O35" s="4">
        <f>IF($J35="Closed","No",IF($I35&lt;TODAY(),"Yes","No"))</f>
        <v/>
      </c>
      <c r="P35" s="4">
        <f>IF($O35="Yes",TODAY()-$I35,0)</f>
        <v/>
      </c>
    </row>
    <row r="36">
      <c r="A36" s="8" t="inlineStr">
        <is>
          <t>ACT-1033</t>
        </is>
      </c>
      <c r="B36" s="7" t="n">
        <v>46190</v>
      </c>
      <c r="C36" s="8" t="inlineStr">
        <is>
          <t>Engineering</t>
        </is>
      </c>
      <c r="D36" s="10" t="inlineStr">
        <is>
          <t>Project milestone slipped for Line 4 upgrade</t>
        </is>
      </c>
      <c r="E36" s="10" t="inlineStr">
        <is>
          <t>Vendor delivery delay</t>
        </is>
      </c>
      <c r="F36" s="10" t="inlineStr">
        <is>
          <t>Escalate to vendor, expedite logistics</t>
        </is>
      </c>
      <c r="G36" s="8" t="inlineStr">
        <is>
          <t>Engineering Manager</t>
        </is>
      </c>
      <c r="H36" s="8" t="inlineStr">
        <is>
          <t>Energy</t>
        </is>
      </c>
      <c r="I36" s="7" t="n">
        <v>46196</v>
      </c>
      <c r="J36" s="8" t="inlineStr">
        <is>
          <t>Open</t>
        </is>
      </c>
      <c r="K36" s="8" t="inlineStr">
        <is>
          <t>Low</t>
        </is>
      </c>
      <c r="L36" s="14" t="n">
        <v>0</v>
      </c>
      <c r="M36" s="8" t="n"/>
      <c r="N36" s="10" t="inlineStr">
        <is>
          <t>Weather impact</t>
        </is>
      </c>
      <c r="O36" s="8">
        <f>IF($J36="Closed","No",IF($I36&lt;TODAY(),"Yes","No"))</f>
        <v/>
      </c>
      <c r="P36" s="8">
        <f>IF($O36="Yes",TODAY()-$I36,0)</f>
        <v/>
      </c>
    </row>
    <row r="37">
      <c r="A37" s="4" t="inlineStr">
        <is>
          <t>ACT-1034</t>
        </is>
      </c>
      <c r="B37" s="3" t="n">
        <v>46197</v>
      </c>
      <c r="C37" s="4" t="inlineStr">
        <is>
          <t>Maintenance</t>
        </is>
      </c>
      <c r="D37" s="6" t="inlineStr">
        <is>
          <t>Repeat breakdown on Compressor-3</t>
        </is>
      </c>
      <c r="E37" s="6" t="inlineStr">
        <is>
          <t>Bearing wear, PM missed</t>
        </is>
      </c>
      <c r="F37" s="6" t="inlineStr">
        <is>
          <t>Replace bearing, revise PM checklist</t>
        </is>
      </c>
      <c r="G37" s="4" t="inlineStr">
        <is>
          <t>Maintenance Manager</t>
        </is>
      </c>
      <c r="H37" s="4" t="inlineStr">
        <is>
          <t>Quality</t>
        </is>
      </c>
      <c r="I37" s="3" t="n">
        <v>46210</v>
      </c>
      <c r="J37" s="4" t="inlineStr">
        <is>
          <t>In Progress</t>
        </is>
      </c>
      <c r="K37" s="4" t="inlineStr">
        <is>
          <t>Low</t>
        </is>
      </c>
      <c r="L37" s="15" t="n">
        <v>0.5</v>
      </c>
      <c r="M37" s="4" t="n"/>
      <c r="N37" s="6" t="inlineStr">
        <is>
          <t>Awaiting spares</t>
        </is>
      </c>
      <c r="O37" s="4">
        <f>IF($J37="Closed","No",IF($I37&lt;TODAY(),"Yes","No"))</f>
        <v/>
      </c>
      <c r="P37" s="4">
        <f>IF($O37="Yes",TODAY()-$I37,0)</f>
        <v/>
      </c>
    </row>
    <row r="38">
      <c r="A38" s="8" t="inlineStr">
        <is>
          <t>ACT-1035</t>
        </is>
      </c>
      <c r="B38" s="7" t="n">
        <v>46198</v>
      </c>
      <c r="C38" s="8" t="inlineStr">
        <is>
          <t>Energy</t>
        </is>
      </c>
      <c r="D38" s="10" t="inlineStr">
        <is>
          <t>Energy intensity above target for 2 weeks</t>
        </is>
      </c>
      <c r="E38" s="10" t="inlineStr">
        <is>
          <t>Compressed air leaks</t>
        </is>
      </c>
      <c r="F38" s="10" t="inlineStr">
        <is>
          <t>Leak audit and repair</t>
        </is>
      </c>
      <c r="G38" s="8" t="inlineStr">
        <is>
          <t>Energy Manager</t>
        </is>
      </c>
      <c r="H38" s="8" t="inlineStr">
        <is>
          <t>Utilities</t>
        </is>
      </c>
      <c r="I38" s="7" t="n">
        <v>46207</v>
      </c>
      <c r="J38" s="8" t="inlineStr">
        <is>
          <t>Closed</t>
        </is>
      </c>
      <c r="K38" s="8" t="inlineStr">
        <is>
          <t>Low</t>
        </is>
      </c>
      <c r="L38" s="14" t="n">
        <v>1</v>
      </c>
      <c r="M38" s="7" t="n">
        <v>46204</v>
      </c>
      <c r="N38" s="10" t="inlineStr">
        <is>
          <t>Process improvement in progress</t>
        </is>
      </c>
      <c r="O38" s="8">
        <f>IF($J38="Closed","No",IF($I38&lt;TODAY(),"Yes","No"))</f>
        <v/>
      </c>
      <c r="P38" s="8">
        <f>IF($O38="Yes",TODAY()-$I38,0)</f>
        <v/>
      </c>
    </row>
    <row r="39">
      <c r="A39" s="4" t="inlineStr">
        <is>
          <t>ACT-1036</t>
        </is>
      </c>
      <c r="B39" s="3" t="n">
        <v>46178</v>
      </c>
      <c r="C39" s="4" t="inlineStr">
        <is>
          <t>Production</t>
        </is>
      </c>
      <c r="D39" s="6" t="inlineStr">
        <is>
          <t>Line 2 output below target for 3 consecutive days</t>
        </is>
      </c>
      <c r="E39" s="6" t="inlineStr">
        <is>
          <t>Frequent minor stoppages</t>
        </is>
      </c>
      <c r="F39" s="6" t="inlineStr">
        <is>
          <t>RCA on stoppages + operator retraining</t>
        </is>
      </c>
      <c r="G39" s="4" t="inlineStr">
        <is>
          <t>Production Manager</t>
        </is>
      </c>
      <c r="H39" s="4" t="inlineStr">
        <is>
          <t>Maintenance</t>
        </is>
      </c>
      <c r="I39" s="3" t="n">
        <v>46187</v>
      </c>
      <c r="J39" s="4" t="inlineStr">
        <is>
          <t>In Progress</t>
        </is>
      </c>
      <c r="K39" s="4" t="inlineStr">
        <is>
          <t>Medium</t>
        </is>
      </c>
      <c r="L39" s="15" t="n">
        <v>0.4</v>
      </c>
      <c r="M39" s="4" t="n"/>
      <c r="N39" s="6" t="inlineStr">
        <is>
          <t>Equipment breakdown</t>
        </is>
      </c>
      <c r="O39" s="4">
        <f>IF($J39="Closed","No",IF($I39&lt;TODAY(),"Yes","No"))</f>
        <v/>
      </c>
      <c r="P39" s="4">
        <f>IF($O39="Yes",TODAY()-$I39,0)</f>
        <v/>
      </c>
    </row>
    <row r="40">
      <c r="A40" s="8" t="inlineStr">
        <is>
          <t>ACT-1037</t>
        </is>
      </c>
      <c r="B40" s="7" t="n">
        <v>46177</v>
      </c>
      <c r="C40" s="8" t="inlineStr">
        <is>
          <t>Cost</t>
        </is>
      </c>
      <c r="D40" s="10" t="inlineStr">
        <is>
          <t>Cost per unit trending above target</t>
        </is>
      </c>
      <c r="E40" s="10" t="inlineStr">
        <is>
          <t>Higher scrap and rework</t>
        </is>
      </c>
      <c r="F40" s="10" t="inlineStr">
        <is>
          <t>Scrap reduction task force</t>
        </is>
      </c>
      <c r="G40" s="8" t="inlineStr">
        <is>
          <t>Cost Controller</t>
        </is>
      </c>
      <c r="H40" s="8" t="inlineStr"/>
      <c r="I40" s="7" t="n">
        <v>46187</v>
      </c>
      <c r="J40" s="8" t="inlineStr">
        <is>
          <t>Open</t>
        </is>
      </c>
      <c r="K40" s="8" t="inlineStr">
        <is>
          <t>Medium</t>
        </is>
      </c>
      <c r="L40" s="14" t="n">
        <v>0</v>
      </c>
      <c r="M40" s="8" t="n"/>
      <c r="N40" s="10" t="inlineStr">
        <is>
          <t>Equipment breakdown</t>
        </is>
      </c>
      <c r="O40" s="8">
        <f>IF($J40="Closed","No",IF($I40&lt;TODAY(),"Yes","No"))</f>
        <v/>
      </c>
      <c r="P40" s="8">
        <f>IF($O40="Yes",TODAY()-$I40,0)</f>
        <v/>
      </c>
    </row>
    <row r="41">
      <c r="A41" s="4" t="inlineStr">
        <is>
          <t>ACT-1038</t>
        </is>
      </c>
      <c r="B41" s="3" t="n">
        <v>46182</v>
      </c>
      <c r="C41" s="4" t="inlineStr">
        <is>
          <t>Warehouse</t>
        </is>
      </c>
      <c r="D41" s="6" t="inlineStr">
        <is>
          <t>Dispatch delay for Customer XYZ</t>
        </is>
      </c>
      <c r="E41" s="6" t="inlineStr">
        <is>
          <t>Inaccurate stock records</t>
        </is>
      </c>
      <c r="F41" s="6" t="inlineStr">
        <is>
          <t>Cycle count + WMS reconciliation</t>
        </is>
      </c>
      <c r="G41" s="4" t="inlineStr">
        <is>
          <t>Warehouse Manager</t>
        </is>
      </c>
      <c r="H41" s="4" t="inlineStr">
        <is>
          <t>Quality</t>
        </is>
      </c>
      <c r="I41" s="3" t="n">
        <v>46193</v>
      </c>
      <c r="J41" s="4" t="inlineStr">
        <is>
          <t>Closed</t>
        </is>
      </c>
      <c r="K41" s="4" t="inlineStr">
        <is>
          <t>Low</t>
        </is>
      </c>
      <c r="L41" s="15" t="n">
        <v>1</v>
      </c>
      <c r="M41" s="3" t="n">
        <v>46196</v>
      </c>
      <c r="N41" s="6" t="inlineStr">
        <is>
          <t>Manpower shortage</t>
        </is>
      </c>
      <c r="O41" s="4">
        <f>IF($J41="Closed","No",IF($I41&lt;TODAY(),"Yes","No"))</f>
        <v/>
      </c>
      <c r="P41" s="4">
        <f>IF($O41="Yes",TODAY()-$I41,0)</f>
        <v/>
      </c>
    </row>
    <row r="42">
      <c r="A42" s="8" t="inlineStr">
        <is>
          <t>ACT-1039</t>
        </is>
      </c>
      <c r="B42" s="7" t="n">
        <v>46177</v>
      </c>
      <c r="C42" s="8" t="inlineStr">
        <is>
          <t>Production</t>
        </is>
      </c>
      <c r="D42" s="10" t="inlineStr">
        <is>
          <t>Line 2 output below target for 3 consecutive days</t>
        </is>
      </c>
      <c r="E42" s="10" t="inlineStr">
        <is>
          <t>Frequent minor stoppages</t>
        </is>
      </c>
      <c r="F42" s="10" t="inlineStr">
        <is>
          <t>RCA on stoppages + operator retraining</t>
        </is>
      </c>
      <c r="G42" s="8" t="inlineStr">
        <is>
          <t>Production Manager</t>
        </is>
      </c>
      <c r="H42" s="8" t="inlineStr">
        <is>
          <t>Utilities</t>
        </is>
      </c>
      <c r="I42" s="7" t="n">
        <v>46180</v>
      </c>
      <c r="J42" s="8" t="inlineStr">
        <is>
          <t>In Progress</t>
        </is>
      </c>
      <c r="K42" s="8" t="inlineStr">
        <is>
          <t>Medium</t>
        </is>
      </c>
      <c r="L42" s="14" t="n">
        <v>0.6</v>
      </c>
      <c r="M42" s="8" t="n"/>
      <c r="N42" s="10" t="inlineStr">
        <is>
          <t>Manpower shortage</t>
        </is>
      </c>
      <c r="O42" s="8">
        <f>IF($J42="Closed","No",IF($I42&lt;TODAY(),"Yes","No"))</f>
        <v/>
      </c>
      <c r="P42" s="8">
        <f>IF($O42="Yes",TODAY()-$I42,0)</f>
        <v/>
      </c>
    </row>
    <row r="43">
      <c r="A43" s="4" t="inlineStr">
        <is>
          <t>ACT-1040</t>
        </is>
      </c>
      <c r="B43" s="3" t="n">
        <v>46208</v>
      </c>
      <c r="C43" s="4" t="inlineStr">
        <is>
          <t>Production</t>
        </is>
      </c>
      <c r="D43" s="6" t="inlineStr">
        <is>
          <t>Line 2 output below target for 3 consecutive days</t>
        </is>
      </c>
      <c r="E43" s="6" t="inlineStr">
        <is>
          <t>Frequent minor stoppages</t>
        </is>
      </c>
      <c r="F43" s="6" t="inlineStr">
        <is>
          <t>RCA on stoppages + operator retraining</t>
        </is>
      </c>
      <c r="G43" s="4" t="inlineStr">
        <is>
          <t>Production Manager</t>
        </is>
      </c>
      <c r="H43" s="4" t="inlineStr">
        <is>
          <t>Quality</t>
        </is>
      </c>
      <c r="I43" s="3" t="n">
        <v>46221</v>
      </c>
      <c r="J43" s="4" t="inlineStr">
        <is>
          <t>Closed</t>
        </is>
      </c>
      <c r="K43" s="4" t="inlineStr">
        <is>
          <t>High</t>
        </is>
      </c>
      <c r="L43" s="15" t="n">
        <v>1</v>
      </c>
      <c r="M43" s="3" t="n">
        <v>46218</v>
      </c>
      <c r="N43" s="6" t="inlineStr">
        <is>
          <t>Within normal range</t>
        </is>
      </c>
      <c r="O43" s="4">
        <f>IF($J43="Closed","No",IF($I43&lt;TODAY(),"Yes","No"))</f>
        <v/>
      </c>
      <c r="P43" s="4">
        <f>IF($O43="Yes",TODAY()-$I43,0)</f>
        <v/>
      </c>
    </row>
    <row r="44">
      <c r="A44" s="8" t="inlineStr">
        <is>
          <t>ACT-1041</t>
        </is>
      </c>
      <c r="B44" s="7" t="n">
        <v>46203</v>
      </c>
      <c r="C44" s="8" t="inlineStr">
        <is>
          <t>Energy</t>
        </is>
      </c>
      <c r="D44" s="10" t="inlineStr">
        <is>
          <t>Energy intensity above target for 2 weeks</t>
        </is>
      </c>
      <c r="E44" s="10" t="inlineStr">
        <is>
          <t>Compressed air leaks</t>
        </is>
      </c>
      <c r="F44" s="10" t="inlineStr">
        <is>
          <t>Leak audit and repair</t>
        </is>
      </c>
      <c r="G44" s="8" t="inlineStr">
        <is>
          <t>Energy Manager</t>
        </is>
      </c>
      <c r="H44" s="8" t="inlineStr">
        <is>
          <t>Engineering</t>
        </is>
      </c>
      <c r="I44" s="7" t="n">
        <v>46206</v>
      </c>
      <c r="J44" s="8" t="inlineStr">
        <is>
          <t>Open</t>
        </is>
      </c>
      <c r="K44" s="8" t="inlineStr">
        <is>
          <t>High</t>
        </is>
      </c>
      <c r="L44" s="14" t="n">
        <v>0</v>
      </c>
      <c r="M44" s="8" t="n"/>
      <c r="N44" s="10" t="inlineStr">
        <is>
          <t>Awaiting spares</t>
        </is>
      </c>
      <c r="O44" s="8">
        <f>IF($J44="Closed","No",IF($I44&lt;TODAY(),"Yes","No"))</f>
        <v/>
      </c>
      <c r="P44" s="8">
        <f>IF($O44="Yes",TODAY()-$I44,0)</f>
        <v/>
      </c>
    </row>
    <row r="45">
      <c r="A45" s="4" t="inlineStr">
        <is>
          <t>ACT-1042</t>
        </is>
      </c>
      <c r="B45" s="3" t="n">
        <v>46179</v>
      </c>
      <c r="C45" s="4" t="inlineStr">
        <is>
          <t>Energy</t>
        </is>
      </c>
      <c r="D45" s="6" t="inlineStr">
        <is>
          <t>Energy intensity above target for 2 weeks</t>
        </is>
      </c>
      <c r="E45" s="6" t="inlineStr">
        <is>
          <t>Compressed air leaks</t>
        </is>
      </c>
      <c r="F45" s="6" t="inlineStr">
        <is>
          <t>Leak audit and repair</t>
        </is>
      </c>
      <c r="G45" s="4" t="inlineStr">
        <is>
          <t>Energy Manager</t>
        </is>
      </c>
      <c r="H45" s="4" t="inlineStr">
        <is>
          <t>Engineering</t>
        </is>
      </c>
      <c r="I45" s="3" t="n">
        <v>46181</v>
      </c>
      <c r="J45" s="4" t="inlineStr">
        <is>
          <t>Closed</t>
        </is>
      </c>
      <c r="K45" s="4" t="inlineStr">
        <is>
          <t>Low</t>
        </is>
      </c>
      <c r="L45" s="15" t="n">
        <v>1</v>
      </c>
      <c r="M45" s="3" t="n">
        <v>46182</v>
      </c>
      <c r="N45" s="6" t="inlineStr">
        <is>
          <t>Process improvement in progress</t>
        </is>
      </c>
      <c r="O45" s="4">
        <f>IF($J45="Closed","No",IF($I45&lt;TODAY(),"Yes","No"))</f>
        <v/>
      </c>
      <c r="P45" s="4">
        <f>IF($O45="Yes",TODAY()-$I45,0)</f>
        <v/>
      </c>
    </row>
    <row r="46">
      <c r="A46" s="8" t="inlineStr">
        <is>
          <t>ACT-1043</t>
        </is>
      </c>
      <c r="B46" s="7" t="n">
        <v>46179</v>
      </c>
      <c r="C46" s="8" t="inlineStr">
        <is>
          <t>Quality</t>
        </is>
      </c>
      <c r="D46" s="10" t="inlineStr">
        <is>
          <t>Rise in customer complaints for batch QC-118</t>
        </is>
      </c>
      <c r="E46" s="10" t="inlineStr">
        <is>
          <t>Incoming material variation</t>
        </is>
      </c>
      <c r="F46" s="10" t="inlineStr">
        <is>
          <t>Tighten incoming inspection sampling plan</t>
        </is>
      </c>
      <c r="G46" s="8" t="inlineStr">
        <is>
          <t>Quality Manager</t>
        </is>
      </c>
      <c r="H46" s="8" t="inlineStr">
        <is>
          <t>Cost</t>
        </is>
      </c>
      <c r="I46" s="7" t="n">
        <v>46190</v>
      </c>
      <c r="J46" s="8" t="inlineStr">
        <is>
          <t>In Progress</t>
        </is>
      </c>
      <c r="K46" s="8" t="inlineStr">
        <is>
          <t>Low</t>
        </is>
      </c>
      <c r="L46" s="14" t="n">
        <v>0.1</v>
      </c>
      <c r="M46" s="8" t="n"/>
      <c r="N46" s="10" t="inlineStr"/>
      <c r="O46" s="8">
        <f>IF($J46="Closed","No",IF($I46&lt;TODAY(),"Yes","No"))</f>
        <v/>
      </c>
      <c r="P46" s="8">
        <f>IF($O46="Yes",TODAY()-$I46,0)</f>
        <v/>
      </c>
    </row>
    <row r="47">
      <c r="A47" s="4" t="inlineStr">
        <is>
          <t>ACT-1044</t>
        </is>
      </c>
      <c r="B47" s="3" t="n">
        <v>46205</v>
      </c>
      <c r="C47" s="4" t="inlineStr">
        <is>
          <t>Utilities</t>
        </is>
      </c>
      <c r="D47" s="6" t="inlineStr">
        <is>
          <t>Power consumption spike in Shift C</t>
        </is>
      </c>
      <c r="E47" s="6" t="inlineStr">
        <is>
          <t>HVAC running during non-peak hours</t>
        </is>
      </c>
      <c r="F47" s="6" t="inlineStr">
        <is>
          <t>Install auto shutoff schedule</t>
        </is>
      </c>
      <c r="G47" s="4" t="inlineStr">
        <is>
          <t>Utilities Engineer</t>
        </is>
      </c>
      <c r="H47" s="4" t="inlineStr">
        <is>
          <t>Maintenance</t>
        </is>
      </c>
      <c r="I47" s="3" t="n">
        <v>46210</v>
      </c>
      <c r="J47" s="4" t="inlineStr">
        <is>
          <t>Closed</t>
        </is>
      </c>
      <c r="K47" s="4" t="inlineStr">
        <is>
          <t>High</t>
        </is>
      </c>
      <c r="L47" s="15" t="n">
        <v>1</v>
      </c>
      <c r="M47" s="3" t="n">
        <v>46210</v>
      </c>
      <c r="N47" s="6" t="inlineStr">
        <is>
          <t>Line changeover impact</t>
        </is>
      </c>
      <c r="O47" s="4">
        <f>IF($J47="Closed","No",IF($I47&lt;TODAY(),"Yes","No"))</f>
        <v/>
      </c>
      <c r="P47" s="4">
        <f>IF($O47="Yes",TODAY()-$I47,0)</f>
        <v/>
      </c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8" t="n"/>
      <c r="M48" s="17" t="n"/>
      <c r="N48" s="17" t="n"/>
      <c r="O48" s="17">
        <f>IF($J48="","",IF($J48="Closed","No",IF($I48&lt;TODAY(),"Yes","No")))</f>
        <v/>
      </c>
      <c r="P48" s="17">
        <f>IF($O48="Yes",TODAY()-$I48,0)</f>
        <v/>
      </c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8" t="n"/>
      <c r="M49" s="17" t="n"/>
      <c r="N49" s="17" t="n"/>
      <c r="O49" s="17">
        <f>IF($J49="","",IF($J49="Closed","No",IF($I49&lt;TODAY(),"Yes","No")))</f>
        <v/>
      </c>
      <c r="P49" s="17">
        <f>IF($O49="Yes",TODAY()-$I49,0)</f>
        <v/>
      </c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8" t="n"/>
      <c r="M50" s="17" t="n"/>
      <c r="N50" s="17" t="n"/>
      <c r="O50" s="17">
        <f>IF($J50="","",IF($J50="Closed","No",IF($I50&lt;TODAY(),"Yes","No")))</f>
        <v/>
      </c>
      <c r="P50" s="17">
        <f>IF($O50="Yes",TODAY()-$I50,0)</f>
        <v/>
      </c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8" t="n"/>
      <c r="M51" s="17" t="n"/>
      <c r="N51" s="17" t="n"/>
      <c r="O51" s="17">
        <f>IF($J51="","",IF($J51="Closed","No",IF($I51&lt;TODAY(),"Yes","No")))</f>
        <v/>
      </c>
      <c r="P51" s="17">
        <f>IF($O51="Yes",TODAY()-$I51,0)</f>
        <v/>
      </c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8" t="n"/>
      <c r="M52" s="17" t="n"/>
      <c r="N52" s="17" t="n"/>
      <c r="O52" s="17">
        <f>IF($J52="","",IF($J52="Closed","No",IF($I52&lt;TODAY(),"Yes","No")))</f>
        <v/>
      </c>
      <c r="P52" s="17">
        <f>IF($O52="Yes",TODAY()-$I52,0)</f>
        <v/>
      </c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8" t="n"/>
      <c r="M53" s="17" t="n"/>
      <c r="N53" s="17" t="n"/>
      <c r="O53" s="17">
        <f>IF($J53="","",IF($J53="Closed","No",IF($I53&lt;TODAY(),"Yes","No")))</f>
        <v/>
      </c>
      <c r="P53" s="17">
        <f>IF($O53="Yes",TODAY()-$I53,0)</f>
        <v/>
      </c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8" t="n"/>
      <c r="M54" s="17" t="n"/>
      <c r="N54" s="17" t="n"/>
      <c r="O54" s="17">
        <f>IF($J54="","",IF($J54="Closed","No",IF($I54&lt;TODAY(),"Yes","No")))</f>
        <v/>
      </c>
      <c r="P54" s="17">
        <f>IF($O54="Yes",TODAY()-$I54,0)</f>
        <v/>
      </c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8" t="n"/>
      <c r="M55" s="17" t="n"/>
      <c r="N55" s="17" t="n"/>
      <c r="O55" s="17">
        <f>IF($J55="","",IF($J55="Closed","No",IF($I55&lt;TODAY(),"Yes","No")))</f>
        <v/>
      </c>
      <c r="P55" s="17">
        <f>IF($O55="Yes",TODAY()-$I55,0)</f>
        <v/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8" t="n"/>
      <c r="M56" s="17" t="n"/>
      <c r="N56" s="17" t="n"/>
      <c r="O56" s="17">
        <f>IF($J56="","",IF($J56="Closed","No",IF($I56&lt;TODAY(),"Yes","No")))</f>
        <v/>
      </c>
      <c r="P56" s="17">
        <f>IF($O56="Yes",TODAY()-$I56,0)</f>
        <v/>
      </c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8" t="n"/>
      <c r="M57" s="17" t="n"/>
      <c r="N57" s="17" t="n"/>
      <c r="O57" s="17">
        <f>IF($J57="","",IF($J57="Closed","No",IF($I57&lt;TODAY(),"Yes","No")))</f>
        <v/>
      </c>
      <c r="P57" s="17">
        <f>IF($O57="Yes",TODAY()-$I57,0)</f>
        <v/>
      </c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8" t="n"/>
      <c r="M58" s="17" t="n"/>
      <c r="N58" s="17" t="n"/>
      <c r="O58" s="17">
        <f>IF($J58="","",IF($J58="Closed","No",IF($I58&lt;TODAY(),"Yes","No")))</f>
        <v/>
      </c>
      <c r="P58" s="17">
        <f>IF($O58="Yes",TODAY()-$I58,0)</f>
        <v/>
      </c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8" t="n"/>
      <c r="M59" s="17" t="n"/>
      <c r="N59" s="17" t="n"/>
      <c r="O59" s="17">
        <f>IF($J59="","",IF($J59="Closed","No",IF($I59&lt;TODAY(),"Yes","No")))</f>
        <v/>
      </c>
      <c r="P59" s="17">
        <f>IF($O59="Yes",TODAY()-$I59,0)</f>
        <v/>
      </c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8" t="n"/>
      <c r="M60" s="17" t="n"/>
      <c r="N60" s="17" t="n"/>
      <c r="O60" s="17">
        <f>IF($J60="","",IF($J60="Closed","No",IF($I60&lt;TODAY(),"Yes","No")))</f>
        <v/>
      </c>
      <c r="P60" s="17">
        <f>IF($O60="Yes",TODAY()-$I60,0)</f>
        <v/>
      </c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8" t="n"/>
      <c r="M61" s="17" t="n"/>
      <c r="N61" s="17" t="n"/>
      <c r="O61" s="17">
        <f>IF($J61="","",IF($J61="Closed","No",IF($I61&lt;TODAY(),"Yes","No")))</f>
        <v/>
      </c>
      <c r="P61" s="17">
        <f>IF($O61="Yes",TODAY()-$I61,0)</f>
        <v/>
      </c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8" t="n"/>
      <c r="M62" s="17" t="n"/>
      <c r="N62" s="17" t="n"/>
      <c r="O62" s="17">
        <f>IF($J62="","",IF($J62="Closed","No",IF($I62&lt;TODAY(),"Yes","No")))</f>
        <v/>
      </c>
      <c r="P62" s="17">
        <f>IF($O62="Yes",TODAY()-$I62,0)</f>
        <v/>
      </c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8" t="n"/>
      <c r="M63" s="17" t="n"/>
      <c r="N63" s="17" t="n"/>
      <c r="O63" s="17">
        <f>IF($J63="","",IF($J63="Closed","No",IF($I63&lt;TODAY(),"Yes","No")))</f>
        <v/>
      </c>
      <c r="P63" s="17">
        <f>IF($O63="Yes",TODAY()-$I63,0)</f>
        <v/>
      </c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8" t="n"/>
      <c r="M64" s="17" t="n"/>
      <c r="N64" s="17" t="n"/>
      <c r="O64" s="17">
        <f>IF($J64="","",IF($J64="Closed","No",IF($I64&lt;TODAY(),"Yes","No")))</f>
        <v/>
      </c>
      <c r="P64" s="17">
        <f>IF($O64="Yes",TODAY()-$I64,0)</f>
        <v/>
      </c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8" t="n"/>
      <c r="M65" s="17" t="n"/>
      <c r="N65" s="17" t="n"/>
      <c r="O65" s="17">
        <f>IF($J65="","",IF($J65="Closed","No",IF($I65&lt;TODAY(),"Yes","No")))</f>
        <v/>
      </c>
      <c r="P65" s="17">
        <f>IF($O65="Yes",TODAY()-$I65,0)</f>
        <v/>
      </c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8" t="n"/>
      <c r="M66" s="17" t="n"/>
      <c r="N66" s="17" t="n"/>
      <c r="O66" s="17">
        <f>IF($J66="","",IF($J66="Closed","No",IF($I66&lt;TODAY(),"Yes","No")))</f>
        <v/>
      </c>
      <c r="P66" s="17">
        <f>IF($O66="Yes",TODAY()-$I66,0)</f>
        <v/>
      </c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8" t="n"/>
      <c r="M67" s="17" t="n"/>
      <c r="N67" s="17" t="n"/>
      <c r="O67" s="17">
        <f>IF($J67="","",IF($J67="Closed","No",IF($I67&lt;TODAY(),"Yes","No")))</f>
        <v/>
      </c>
      <c r="P67" s="17">
        <f>IF($O67="Yes",TODAY()-$I67,0)</f>
        <v/>
      </c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8" t="n"/>
      <c r="M68" s="17" t="n"/>
      <c r="N68" s="17" t="n"/>
      <c r="O68" s="17">
        <f>IF($J68="","",IF($J68="Closed","No",IF($I68&lt;TODAY(),"Yes","No")))</f>
        <v/>
      </c>
      <c r="P68" s="17">
        <f>IF($O68="Yes",TODAY()-$I68,0)</f>
        <v/>
      </c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8" t="n"/>
      <c r="M69" s="17" t="n"/>
      <c r="N69" s="17" t="n"/>
      <c r="O69" s="17">
        <f>IF($J69="","",IF($J69="Closed","No",IF($I69&lt;TODAY(),"Yes","No")))</f>
        <v/>
      </c>
      <c r="P69" s="17">
        <f>IF($O69="Yes",TODAY()-$I69,0)</f>
        <v/>
      </c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8" t="n"/>
      <c r="M70" s="17" t="n"/>
      <c r="N70" s="17" t="n"/>
      <c r="O70" s="17">
        <f>IF($J70="","",IF($J70="Closed","No",IF($I70&lt;TODAY(),"Yes","No")))</f>
        <v/>
      </c>
      <c r="P70" s="17">
        <f>IF($O70="Yes",TODAY()-$I70,0)</f>
        <v/>
      </c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8" t="n"/>
      <c r="M71" s="17" t="n"/>
      <c r="N71" s="17" t="n"/>
      <c r="O71" s="17">
        <f>IF($J71="","",IF($J71="Closed","No",IF($I71&lt;TODAY(),"Yes","No")))</f>
        <v/>
      </c>
      <c r="P71" s="17">
        <f>IF($O71="Yes",TODAY()-$I71,0)</f>
        <v/>
      </c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8" t="n"/>
      <c r="M72" s="17" t="n"/>
      <c r="N72" s="17" t="n"/>
      <c r="O72" s="17">
        <f>IF($J72="","",IF($J72="Closed","No",IF($I72&lt;TODAY(),"Yes","No")))</f>
        <v/>
      </c>
      <c r="P72" s="17">
        <f>IF($O72="Yes",TODAY()-$I72,0)</f>
        <v/>
      </c>
    </row>
  </sheetData>
  <mergeCells count="1">
    <mergeCell ref="A1:P1"/>
  </mergeCells>
  <conditionalFormatting sqref="J3:J72">
    <cfRule type="expression" priority="1" dxfId="0">
      <formula>$J3="Closed"</formula>
    </cfRule>
    <cfRule type="expression" priority="2" dxfId="2">
      <formula>$J3="Open"</formula>
    </cfRule>
    <cfRule type="expression" priority="3" dxfId="1">
      <formula>$J3="In Progress"</formula>
    </cfRule>
  </conditionalFormatting>
  <conditionalFormatting sqref="A3:P72">
    <cfRule type="expression" priority="4" dxfId="3">
      <formula>$O3="Yes"</formula>
    </cfRule>
  </conditionalFormatting>
  <conditionalFormatting sqref="K3:K72">
    <cfRule type="expression" priority="5" dxfId="4">
      <formula>$K3="High"</formula>
    </cfRule>
  </conditionalFormatting>
  <dataValidations count="3">
    <dataValidation sqref="J3:J72" showDropDown="0" showInputMessage="0" showErrorMessage="0" allowBlank="1" type="list">
      <formula1>"Open,In Progress,Closed"</formula1>
    </dataValidation>
    <dataValidation sqref="K3:K72" showDropDown="0" showInputMessage="0" showErrorMessage="0" allowBlank="1" type="list">
      <formula1>"Low,Medium,High"</formula1>
    </dataValidation>
    <dataValidation sqref="C3:C72 H3:H72" showDropDown="0" showInputMessage="0" showErrorMessage="0" allowBlank="1" type="list">
      <formula1>DeptList</formula1>
    </dataValidation>
  </dataValidation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tabSelected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4" customWidth="1" min="2" max="2"/>
    <col width="10" customWidth="1" min="3" max="3"/>
    <col width="26" customWidth="1" min="4" max="4"/>
    <col width="30" customWidth="1" min="5" max="5"/>
    <col width="30" customWidth="1" min="6" max="6"/>
    <col width="12" customWidth="1" min="7" max="7"/>
  </cols>
  <sheetData>
    <row r="1" ht="28" customHeight="1">
      <c r="A1" s="1" t="inlineStr">
        <is>
          <t>CHALLENGES REGISTER — Cross-functional issues raised to the Factory Manager</t>
        </is>
      </c>
    </row>
    <row r="2" ht="32" customHeight="1">
      <c r="A2" s="2" t="inlineStr">
        <is>
          <t>Department</t>
        </is>
      </c>
      <c r="B2" s="2" t="inlineStr">
        <is>
          <t>Challenge</t>
        </is>
      </c>
      <c r="C2" s="2" t="inlineStr">
        <is>
          <t>Impact</t>
        </is>
      </c>
      <c r="D2" s="2" t="inlineStr">
        <is>
          <t>Support Required</t>
        </is>
      </c>
      <c r="E2" s="2" t="inlineStr">
        <is>
          <t>Decision Taken</t>
        </is>
      </c>
      <c r="F2" s="2" t="inlineStr">
        <is>
          <t>Factory Manager Comments</t>
        </is>
      </c>
      <c r="G2" s="2" t="inlineStr">
        <is>
          <t>Status</t>
        </is>
      </c>
    </row>
    <row r="3">
      <c r="A3" s="4" t="inlineStr">
        <is>
          <t>Safety</t>
        </is>
      </c>
      <c r="B3" s="6" t="inlineStr">
        <is>
          <t>PPE compliance dropping in night shift</t>
        </is>
      </c>
      <c r="C3" s="4" t="inlineStr">
        <is>
          <t>Medium</t>
        </is>
      </c>
      <c r="D3" s="6" t="inlineStr">
        <is>
          <t>Additional supervision on night shift</t>
        </is>
      </c>
      <c r="E3" s="6" t="inlineStr">
        <is>
          <t>Approved extra safety marshal for night shift</t>
        </is>
      </c>
      <c r="F3" s="6" t="inlineStr">
        <is>
          <t>Track compliance % weekly</t>
        </is>
      </c>
      <c r="G3" s="4" t="inlineStr">
        <is>
          <t>Open</t>
        </is>
      </c>
    </row>
    <row r="4">
      <c r="A4" s="8" t="inlineStr">
        <is>
          <t>Production</t>
        </is>
      </c>
      <c r="B4" s="10" t="inlineStr">
        <is>
          <t>Aging equipment causing capacity loss</t>
        </is>
      </c>
      <c r="C4" s="8" t="inlineStr">
        <is>
          <t>High</t>
        </is>
      </c>
      <c r="D4" s="10" t="inlineStr">
        <is>
          <t>Capex approval for line upgrade</t>
        </is>
      </c>
      <c r="E4" s="10" t="inlineStr">
        <is>
          <t>Capex proposal submitted to corporate</t>
        </is>
      </c>
      <c r="F4" s="10" t="inlineStr">
        <is>
          <t>Follow up with corporate finance</t>
        </is>
      </c>
      <c r="G4" s="8" t="inlineStr">
        <is>
          <t>In Progress</t>
        </is>
      </c>
    </row>
    <row r="5">
      <c r="A5" s="4" t="inlineStr">
        <is>
          <t>Quality</t>
        </is>
      </c>
      <c r="B5" s="6" t="inlineStr">
        <is>
          <t>Supplier quality inconsistency</t>
        </is>
      </c>
      <c r="C5" s="4" t="inlineStr">
        <is>
          <t>High</t>
        </is>
      </c>
      <c r="D5" s="6" t="inlineStr">
        <is>
          <t>Supplier audit and corrective action</t>
        </is>
      </c>
      <c r="E5" s="6" t="inlineStr">
        <is>
          <t>Supplier audit scheduled next month</t>
        </is>
      </c>
      <c r="F5" s="6" t="inlineStr">
        <is>
          <t>Escalate to sourcing head if unresolved</t>
        </is>
      </c>
      <c r="G5" s="4" t="inlineStr">
        <is>
          <t>Open</t>
        </is>
      </c>
    </row>
    <row r="6">
      <c r="A6" s="8" t="inlineStr">
        <is>
          <t>Maintenance</t>
        </is>
      </c>
      <c r="B6" s="10" t="inlineStr">
        <is>
          <t>Spare parts lead time too long</t>
        </is>
      </c>
      <c r="C6" s="8" t="inlineStr">
        <is>
          <t>Medium</t>
        </is>
      </c>
      <c r="D6" s="10" t="inlineStr">
        <is>
          <t>Local vendor development</t>
        </is>
      </c>
      <c r="E6" s="10" t="inlineStr">
        <is>
          <t>Identified 2 alternate local vendors</t>
        </is>
      </c>
      <c r="F6" s="10" t="inlineStr">
        <is>
          <t>Validate quality before switching</t>
        </is>
      </c>
      <c r="G6" s="8" t="inlineStr">
        <is>
          <t>In Progress</t>
        </is>
      </c>
    </row>
    <row r="7">
      <c r="A7" s="4" t="inlineStr">
        <is>
          <t>Utilities</t>
        </is>
      </c>
      <c r="B7" s="6" t="inlineStr">
        <is>
          <t>Transformer capacity constraint</t>
        </is>
      </c>
      <c r="C7" s="4" t="inlineStr">
        <is>
          <t>High</t>
        </is>
      </c>
      <c r="D7" s="6" t="inlineStr">
        <is>
          <t>Electrical infra upgrade</t>
        </is>
      </c>
      <c r="E7" s="6" t="inlineStr">
        <is>
          <t>Consultant engaged for load study</t>
        </is>
      </c>
      <c r="F7" s="6" t="inlineStr">
        <is>
          <t>Review study output next review</t>
        </is>
      </c>
      <c r="G7" s="4" t="inlineStr">
        <is>
          <t>Open</t>
        </is>
      </c>
    </row>
    <row r="8">
      <c r="A8" s="8" t="inlineStr">
        <is>
          <t>Warehouse</t>
        </is>
      </c>
      <c r="B8" s="10" t="inlineStr">
        <is>
          <t>Space constraint for finished goods</t>
        </is>
      </c>
      <c r="C8" s="8" t="inlineStr">
        <is>
          <t>Medium</t>
        </is>
      </c>
      <c r="D8" s="10" t="inlineStr">
        <is>
          <t>Additional storage / faster dispatch</t>
        </is>
      </c>
      <c r="E8" s="10" t="inlineStr">
        <is>
          <t>Temporary racking added</t>
        </is>
      </c>
      <c r="F8" s="10" t="inlineStr">
        <is>
          <t>Evaluate 3PL warehouse option</t>
        </is>
      </c>
      <c r="G8" s="8" t="inlineStr">
        <is>
          <t>Closed</t>
        </is>
      </c>
    </row>
    <row r="9">
      <c r="A9" s="4" t="inlineStr">
        <is>
          <t>HR</t>
        </is>
      </c>
      <c r="B9" s="6" t="inlineStr">
        <is>
          <t>Skilled manpower attrition</t>
        </is>
      </c>
      <c r="C9" s="4" t="inlineStr">
        <is>
          <t>High</t>
        </is>
      </c>
      <c r="D9" s="6" t="inlineStr">
        <is>
          <t>Retention plan</t>
        </is>
      </c>
      <c r="E9" s="6" t="inlineStr">
        <is>
          <t>HR to propose revised incentive plan</t>
        </is>
      </c>
      <c r="F9" s="6" t="inlineStr">
        <is>
          <t>Present retention plan next meeting</t>
        </is>
      </c>
      <c r="G9" s="4" t="inlineStr">
        <is>
          <t>Open</t>
        </is>
      </c>
    </row>
    <row r="10">
      <c r="A10" s="8" t="inlineStr">
        <is>
          <t>Engineering</t>
        </is>
      </c>
      <c r="B10" s="10" t="inlineStr">
        <is>
          <t>Vendor delays on capital projects</t>
        </is>
      </c>
      <c r="C10" s="8" t="inlineStr">
        <is>
          <t>Medium</t>
        </is>
      </c>
      <c r="D10" s="10" t="inlineStr">
        <is>
          <t>Vendor performance review</t>
        </is>
      </c>
      <c r="E10" s="10" t="inlineStr">
        <is>
          <t>Penalty clause invoked</t>
        </is>
      </c>
      <c r="F10" s="10" t="inlineStr">
        <is>
          <t>Monitor next 2 milestones closely</t>
        </is>
      </c>
      <c r="G10" s="8" t="inlineStr">
        <is>
          <t>In Progress</t>
        </is>
      </c>
    </row>
    <row r="11">
      <c r="A11" s="4" t="inlineStr">
        <is>
          <t>Cost</t>
        </is>
      </c>
      <c r="B11" s="6" t="inlineStr">
        <is>
          <t>Raw material price volatility</t>
        </is>
      </c>
      <c r="C11" s="4" t="inlineStr">
        <is>
          <t>High</t>
        </is>
      </c>
      <c r="D11" s="6" t="inlineStr">
        <is>
          <t>Hedging / alternate sourcing</t>
        </is>
      </c>
      <c r="E11" s="6" t="inlineStr">
        <is>
          <t>Procurement exploring long-term contracts</t>
        </is>
      </c>
      <c r="F11" s="6" t="inlineStr">
        <is>
          <t>Review cost impact monthly</t>
        </is>
      </c>
      <c r="G11" s="4" t="inlineStr">
        <is>
          <t>Open</t>
        </is>
      </c>
    </row>
    <row r="12">
      <c r="A12" s="8" t="inlineStr">
        <is>
          <t>Energy</t>
        </is>
      </c>
      <c r="B12" s="10" t="inlineStr">
        <is>
          <t>Renewable energy share below plan</t>
        </is>
      </c>
      <c r="C12" s="8" t="inlineStr">
        <is>
          <t>Medium</t>
        </is>
      </c>
      <c r="D12" s="10" t="inlineStr">
        <is>
          <t>Solar capacity addition</t>
        </is>
      </c>
      <c r="E12" s="10" t="inlineStr">
        <is>
          <t>Feasibility study initiated</t>
        </is>
      </c>
      <c r="F12" s="10" t="inlineStr">
        <is>
          <t>Present findings in Q3 review</t>
        </is>
      </c>
      <c r="G12" s="8" t="inlineStr">
        <is>
          <t>In Progress</t>
        </is>
      </c>
    </row>
    <row r="13">
      <c r="A13" s="17" t="n"/>
      <c r="B13" s="17" t="n"/>
      <c r="C13" s="17" t="n"/>
      <c r="D13" s="17" t="n"/>
      <c r="E13" s="17" t="n"/>
      <c r="F13" s="17" t="n"/>
      <c r="G13" s="17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7" t="n"/>
      <c r="B17" s="17" t="n"/>
      <c r="C17" s="17" t="n"/>
      <c r="D17" s="17" t="n"/>
      <c r="E17" s="17" t="n"/>
      <c r="F17" s="17" t="n"/>
      <c r="G17" s="17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7" t="n"/>
      <c r="B19" s="17" t="n"/>
      <c r="C19" s="17" t="n"/>
      <c r="D19" s="17" t="n"/>
      <c r="E19" s="17" t="n"/>
      <c r="F19" s="17" t="n"/>
      <c r="G19" s="17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7" t="n"/>
      <c r="B21" s="17" t="n"/>
      <c r="C21" s="17" t="n"/>
      <c r="D21" s="17" t="n"/>
      <c r="E21" s="17" t="n"/>
      <c r="F21" s="17" t="n"/>
      <c r="G21" s="17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7" t="n"/>
      <c r="B23" s="17" t="n"/>
      <c r="C23" s="17" t="n"/>
      <c r="D23" s="17" t="n"/>
      <c r="E23" s="17" t="n"/>
      <c r="F23" s="17" t="n"/>
      <c r="G23" s="17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7" t="n"/>
      <c r="B25" s="17" t="n"/>
      <c r="C25" s="17" t="n"/>
      <c r="D25" s="17" t="n"/>
      <c r="E25" s="17" t="n"/>
      <c r="F25" s="17" t="n"/>
      <c r="G25" s="17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7" t="n"/>
      <c r="B27" s="17" t="n"/>
      <c r="C27" s="17" t="n"/>
      <c r="D27" s="17" t="n"/>
      <c r="E27" s="17" t="n"/>
      <c r="F27" s="17" t="n"/>
      <c r="G27" s="17" t="n"/>
    </row>
  </sheetData>
  <mergeCells count="1">
    <mergeCell ref="A1:G1"/>
  </mergeCells>
  <conditionalFormatting sqref="G3:G27">
    <cfRule type="expression" priority="1" dxfId="0">
      <formula>$G3="Closed"</formula>
    </cfRule>
    <cfRule type="expression" priority="2" dxfId="2">
      <formula>$G3="Open"</formula>
    </cfRule>
    <cfRule type="expression" priority="3" dxfId="1">
      <formula>$G3="In Progress"</formula>
    </cfRule>
  </conditionalFormatting>
  <conditionalFormatting sqref="C3:C27">
    <cfRule type="expression" priority="4" dxfId="4">
      <formula>$C3="High"</formula>
    </cfRule>
  </conditionalFormatting>
  <dataValidations count="3">
    <dataValidation sqref="A3:A27" showDropDown="0" showInputMessage="0" showErrorMessage="0" allowBlank="1" type="list">
      <formula1>DeptList</formula1>
    </dataValidation>
    <dataValidation sqref="C3:C27" showDropDown="0" showInputMessage="0" showErrorMessage="0" allowBlank="1" type="list">
      <formula1>"Low,Medium,High"</formula1>
    </dataValidation>
    <dataValidation sqref="G3:G27" showDropDown="0" showInputMessage="0" showErrorMessage="0" allowBlank="1" type="list">
      <formula1>"Open,In Progress,Closed"</formula1>
    </dataValidation>
  </dataValidations>
  <pageMargins left="0.3" right="0.3" top="0.4" bottom="0.4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08"/>
  <sheetViews>
    <sheetView showGridLines="0" tabSelected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5" customWidth="1" min="1" max="1"/>
    <col width="12" customWidth="1" min="2" max="2"/>
    <col width="15" customWidth="1" min="3" max="3"/>
    <col width="12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11" t="inlineStr">
        <is>
          <t>TREND ANALYSIS — 7-Day / 30-Day / Monthly / YTD performance trend by department</t>
        </is>
      </c>
    </row>
    <row r="3" ht="22" customHeight="1">
      <c r="A3" s="19" t="inlineStr">
        <is>
          <t>ROLLING PERFORMANCE SUMMARY (Achievement %, higher = better in all rows)</t>
        </is>
      </c>
    </row>
    <row r="4" ht="26" customHeight="1">
      <c r="A4" s="2" t="inlineStr">
        <is>
          <t>Department</t>
        </is>
      </c>
      <c r="B4" s="2" t="inlineStr">
        <is>
          <t>7-Day Avg</t>
        </is>
      </c>
      <c r="C4" s="2" t="inlineStr">
        <is>
          <t>Prior 7-Day Avg</t>
        </is>
      </c>
      <c r="D4" s="2" t="inlineStr">
        <is>
          <t>30-Day Avg</t>
        </is>
      </c>
      <c r="E4" s="2" t="inlineStr">
        <is>
          <t>Month-to-Date Avg</t>
        </is>
      </c>
      <c r="F4" s="2" t="inlineStr">
        <is>
          <t>YTD Avg</t>
        </is>
      </c>
      <c r="G4" s="2" t="inlineStr">
        <is>
          <t>Trend</t>
        </is>
      </c>
    </row>
    <row r="5">
      <c r="A5" s="4" t="inlineStr">
        <is>
          <t>Safety</t>
        </is>
      </c>
      <c r="B5" s="5">
        <f>IFERROR(AVERAGEIFS(Tbl_MasterKPI[Achievement %],Tbl_MasterKPI[Department],$A5,Tbl_MasterKPI[Date],"&gt;="&amp;(TODAY()-6),Tbl_MasterKPI[Date],"&lt;="&amp;TODAY()),0)</f>
        <v/>
      </c>
      <c r="C5" s="5">
        <f>IFERROR(AVERAGEIFS(Tbl_MasterKPI[Achievement %],Tbl_MasterKPI[Department],$A5,Tbl_MasterKPI[Date],"&gt;="&amp;(TODAY()-13),Tbl_MasterKPI[Date],"&lt;="&amp;(TODAY()-7)),0)</f>
        <v/>
      </c>
      <c r="D5" s="5">
        <f>IFERROR(AVERAGEIFS(Tbl_MasterKPI[Achievement %],Tbl_MasterKPI[Department],$A5,Tbl_MasterKPI[Date],"&gt;="&amp;(TODAY()-29),Tbl_MasterKPI[Date],"&lt;="&amp;TODAY()),0)</f>
        <v/>
      </c>
      <c r="E5" s="5">
        <f>IFERROR(AVERAGEIFS(Tbl_MasterKPI[Achievement %],Tbl_MasterKPI[Department],$A5,Tbl_MasterKPI[Date],"&gt;="&amp;DATE(YEAR(TODAY()),MONTH(TODAY()),1),Tbl_MasterKPI[Date],"&lt;="&amp;TODAY()),0)</f>
        <v/>
      </c>
      <c r="F5" s="5">
        <f>IFERROR(AVERAGEIFS(Tbl_MasterKPI[Achievement %],Tbl_MasterKPI[Department],$A5,Tbl_MasterKPI[Date],"&gt;="&amp;DATE(YEAR(TODAY()),1,1),Tbl_MasterKPI[Date],"&lt;="&amp;TODAY()),0)</f>
        <v/>
      </c>
      <c r="G5" s="4">
        <f>IF($B5&gt;$C5,"▲ Improving",IF($B5&lt;$C5,"▼ Declining","▬ Stable"))</f>
        <v/>
      </c>
    </row>
    <row r="6">
      <c r="A6" s="8" t="inlineStr">
        <is>
          <t>Production</t>
        </is>
      </c>
      <c r="B6" s="9">
        <f>IFERROR(AVERAGEIFS(Tbl_MasterKPI[Achievement %],Tbl_MasterKPI[Department],$A6,Tbl_MasterKPI[Date],"&gt;="&amp;(TODAY()-6),Tbl_MasterKPI[Date],"&lt;="&amp;TODAY()),0)</f>
        <v/>
      </c>
      <c r="C6" s="9">
        <f>IFERROR(AVERAGEIFS(Tbl_MasterKPI[Achievement %],Tbl_MasterKPI[Department],$A6,Tbl_MasterKPI[Date],"&gt;="&amp;(TODAY()-13),Tbl_MasterKPI[Date],"&lt;="&amp;(TODAY()-7)),0)</f>
        <v/>
      </c>
      <c r="D6" s="9">
        <f>IFERROR(AVERAGEIFS(Tbl_MasterKPI[Achievement %],Tbl_MasterKPI[Department],$A6,Tbl_MasterKPI[Date],"&gt;="&amp;(TODAY()-29),Tbl_MasterKPI[Date],"&lt;="&amp;TODAY()),0)</f>
        <v/>
      </c>
      <c r="E6" s="9">
        <f>IFERROR(AVERAGEIFS(Tbl_MasterKPI[Achievement %],Tbl_MasterKPI[Department],$A6,Tbl_MasterKPI[Date],"&gt;="&amp;DATE(YEAR(TODAY()),MONTH(TODAY()),1),Tbl_MasterKPI[Date],"&lt;="&amp;TODAY()),0)</f>
        <v/>
      </c>
      <c r="F6" s="9">
        <f>IFERROR(AVERAGEIFS(Tbl_MasterKPI[Achievement %],Tbl_MasterKPI[Department],$A6,Tbl_MasterKPI[Date],"&gt;="&amp;DATE(YEAR(TODAY()),1,1),Tbl_MasterKPI[Date],"&lt;="&amp;TODAY()),0)</f>
        <v/>
      </c>
      <c r="G6" s="8">
        <f>IF($B6&gt;$C6,"▲ Improving",IF($B6&lt;$C6,"▼ Declining","▬ Stable"))</f>
        <v/>
      </c>
    </row>
    <row r="7">
      <c r="A7" s="4" t="inlineStr">
        <is>
          <t>Quality</t>
        </is>
      </c>
      <c r="B7" s="5">
        <f>IFERROR(AVERAGEIFS(Tbl_MasterKPI[Achievement %],Tbl_MasterKPI[Department],$A7,Tbl_MasterKPI[Date],"&gt;="&amp;(TODAY()-6),Tbl_MasterKPI[Date],"&lt;="&amp;TODAY()),0)</f>
        <v/>
      </c>
      <c r="C7" s="5">
        <f>IFERROR(AVERAGEIFS(Tbl_MasterKPI[Achievement %],Tbl_MasterKPI[Department],$A7,Tbl_MasterKPI[Date],"&gt;="&amp;(TODAY()-13),Tbl_MasterKPI[Date],"&lt;="&amp;(TODAY()-7)),0)</f>
        <v/>
      </c>
      <c r="D7" s="5">
        <f>IFERROR(AVERAGEIFS(Tbl_MasterKPI[Achievement %],Tbl_MasterKPI[Department],$A7,Tbl_MasterKPI[Date],"&gt;="&amp;(TODAY()-29),Tbl_MasterKPI[Date],"&lt;="&amp;TODAY()),0)</f>
        <v/>
      </c>
      <c r="E7" s="5">
        <f>IFERROR(AVERAGEIFS(Tbl_MasterKPI[Achievement %],Tbl_MasterKPI[Department],$A7,Tbl_MasterKPI[Date],"&gt;="&amp;DATE(YEAR(TODAY()),MONTH(TODAY()),1),Tbl_MasterKPI[Date],"&lt;="&amp;TODAY()),0)</f>
        <v/>
      </c>
      <c r="F7" s="5">
        <f>IFERROR(AVERAGEIFS(Tbl_MasterKPI[Achievement %],Tbl_MasterKPI[Department],$A7,Tbl_MasterKPI[Date],"&gt;="&amp;DATE(YEAR(TODAY()),1,1),Tbl_MasterKPI[Date],"&lt;="&amp;TODAY()),0)</f>
        <v/>
      </c>
      <c r="G7" s="4">
        <f>IF($B7&gt;$C7,"▲ Improving",IF($B7&lt;$C7,"▼ Declining","▬ Stable"))</f>
        <v/>
      </c>
    </row>
    <row r="8">
      <c r="A8" s="8" t="inlineStr">
        <is>
          <t>Maintenance</t>
        </is>
      </c>
      <c r="B8" s="9">
        <f>IFERROR(AVERAGEIFS(Tbl_MasterKPI[Achievement %],Tbl_MasterKPI[Department],$A8,Tbl_MasterKPI[Date],"&gt;="&amp;(TODAY()-6),Tbl_MasterKPI[Date],"&lt;="&amp;TODAY()),0)</f>
        <v/>
      </c>
      <c r="C8" s="9">
        <f>IFERROR(AVERAGEIFS(Tbl_MasterKPI[Achievement %],Tbl_MasterKPI[Department],$A8,Tbl_MasterKPI[Date],"&gt;="&amp;(TODAY()-13),Tbl_MasterKPI[Date],"&lt;="&amp;(TODAY()-7)),0)</f>
        <v/>
      </c>
      <c r="D8" s="9">
        <f>IFERROR(AVERAGEIFS(Tbl_MasterKPI[Achievement %],Tbl_MasterKPI[Department],$A8,Tbl_MasterKPI[Date],"&gt;="&amp;(TODAY()-29),Tbl_MasterKPI[Date],"&lt;="&amp;TODAY()),0)</f>
        <v/>
      </c>
      <c r="E8" s="9">
        <f>IFERROR(AVERAGEIFS(Tbl_MasterKPI[Achievement %],Tbl_MasterKPI[Department],$A8,Tbl_MasterKPI[Date],"&gt;="&amp;DATE(YEAR(TODAY()),MONTH(TODAY()),1),Tbl_MasterKPI[Date],"&lt;="&amp;TODAY()),0)</f>
        <v/>
      </c>
      <c r="F8" s="9">
        <f>IFERROR(AVERAGEIFS(Tbl_MasterKPI[Achievement %],Tbl_MasterKPI[Department],$A8,Tbl_MasterKPI[Date],"&gt;="&amp;DATE(YEAR(TODAY()),1,1),Tbl_MasterKPI[Date],"&lt;="&amp;TODAY()),0)</f>
        <v/>
      </c>
      <c r="G8" s="8">
        <f>IF($B8&gt;$C8,"▲ Improving",IF($B8&lt;$C8,"▼ Declining","▬ Stable"))</f>
        <v/>
      </c>
    </row>
    <row r="9">
      <c r="A9" s="4" t="inlineStr">
        <is>
          <t>Utilities</t>
        </is>
      </c>
      <c r="B9" s="5">
        <f>IFERROR(AVERAGEIFS(Tbl_MasterKPI[Achievement %],Tbl_MasterKPI[Department],$A9,Tbl_MasterKPI[Date],"&gt;="&amp;(TODAY()-6),Tbl_MasterKPI[Date],"&lt;="&amp;TODAY()),0)</f>
        <v/>
      </c>
      <c r="C9" s="5">
        <f>IFERROR(AVERAGEIFS(Tbl_MasterKPI[Achievement %],Tbl_MasterKPI[Department],$A9,Tbl_MasterKPI[Date],"&gt;="&amp;(TODAY()-13),Tbl_MasterKPI[Date],"&lt;="&amp;(TODAY()-7)),0)</f>
        <v/>
      </c>
      <c r="D9" s="5">
        <f>IFERROR(AVERAGEIFS(Tbl_MasterKPI[Achievement %],Tbl_MasterKPI[Department],$A9,Tbl_MasterKPI[Date],"&gt;="&amp;(TODAY()-29),Tbl_MasterKPI[Date],"&lt;="&amp;TODAY()),0)</f>
        <v/>
      </c>
      <c r="E9" s="5">
        <f>IFERROR(AVERAGEIFS(Tbl_MasterKPI[Achievement %],Tbl_MasterKPI[Department],$A9,Tbl_MasterKPI[Date],"&gt;="&amp;DATE(YEAR(TODAY()),MONTH(TODAY()),1),Tbl_MasterKPI[Date],"&lt;="&amp;TODAY()),0)</f>
        <v/>
      </c>
      <c r="F9" s="5">
        <f>IFERROR(AVERAGEIFS(Tbl_MasterKPI[Achievement %],Tbl_MasterKPI[Department],$A9,Tbl_MasterKPI[Date],"&gt;="&amp;DATE(YEAR(TODAY()),1,1),Tbl_MasterKPI[Date],"&lt;="&amp;TODAY()),0)</f>
        <v/>
      </c>
      <c r="G9" s="4">
        <f>IF($B9&gt;$C9,"▲ Improving",IF($B9&lt;$C9,"▼ Declining","▬ Stable"))</f>
        <v/>
      </c>
    </row>
    <row r="10">
      <c r="A10" s="8" t="inlineStr">
        <is>
          <t>Warehouse</t>
        </is>
      </c>
      <c r="B10" s="9">
        <f>IFERROR(AVERAGEIFS(Tbl_MasterKPI[Achievement %],Tbl_MasterKPI[Department],$A10,Tbl_MasterKPI[Date],"&gt;="&amp;(TODAY()-6),Tbl_MasterKPI[Date],"&lt;="&amp;TODAY()),0)</f>
        <v/>
      </c>
      <c r="C10" s="9">
        <f>IFERROR(AVERAGEIFS(Tbl_MasterKPI[Achievement %],Tbl_MasterKPI[Department],$A10,Tbl_MasterKPI[Date],"&gt;="&amp;(TODAY()-13),Tbl_MasterKPI[Date],"&lt;="&amp;(TODAY()-7)),0)</f>
        <v/>
      </c>
      <c r="D10" s="9">
        <f>IFERROR(AVERAGEIFS(Tbl_MasterKPI[Achievement %],Tbl_MasterKPI[Department],$A10,Tbl_MasterKPI[Date],"&gt;="&amp;(TODAY()-29),Tbl_MasterKPI[Date],"&lt;="&amp;TODAY()),0)</f>
        <v/>
      </c>
      <c r="E10" s="9">
        <f>IFERROR(AVERAGEIFS(Tbl_MasterKPI[Achievement %],Tbl_MasterKPI[Department],$A10,Tbl_MasterKPI[Date],"&gt;="&amp;DATE(YEAR(TODAY()),MONTH(TODAY()),1),Tbl_MasterKPI[Date],"&lt;="&amp;TODAY()),0)</f>
        <v/>
      </c>
      <c r="F10" s="9">
        <f>IFERROR(AVERAGEIFS(Tbl_MasterKPI[Achievement %],Tbl_MasterKPI[Department],$A10,Tbl_MasterKPI[Date],"&gt;="&amp;DATE(YEAR(TODAY()),1,1),Tbl_MasterKPI[Date],"&lt;="&amp;TODAY()),0)</f>
        <v/>
      </c>
      <c r="G10" s="8">
        <f>IF($B10&gt;$C10,"▲ Improving",IF($B10&lt;$C10,"▼ Declining","▬ Stable"))</f>
        <v/>
      </c>
    </row>
    <row r="11">
      <c r="A11" s="4" t="inlineStr">
        <is>
          <t>HR</t>
        </is>
      </c>
      <c r="B11" s="5">
        <f>IFERROR(AVERAGEIFS(Tbl_MasterKPI[Achievement %],Tbl_MasterKPI[Department],$A11,Tbl_MasterKPI[Date],"&gt;="&amp;(TODAY()-6),Tbl_MasterKPI[Date],"&lt;="&amp;TODAY()),0)</f>
        <v/>
      </c>
      <c r="C11" s="5">
        <f>IFERROR(AVERAGEIFS(Tbl_MasterKPI[Achievement %],Tbl_MasterKPI[Department],$A11,Tbl_MasterKPI[Date],"&gt;="&amp;(TODAY()-13),Tbl_MasterKPI[Date],"&lt;="&amp;(TODAY()-7)),0)</f>
        <v/>
      </c>
      <c r="D11" s="5">
        <f>IFERROR(AVERAGEIFS(Tbl_MasterKPI[Achievement %],Tbl_MasterKPI[Department],$A11,Tbl_MasterKPI[Date],"&gt;="&amp;(TODAY()-29),Tbl_MasterKPI[Date],"&lt;="&amp;TODAY()),0)</f>
        <v/>
      </c>
      <c r="E11" s="5">
        <f>IFERROR(AVERAGEIFS(Tbl_MasterKPI[Achievement %],Tbl_MasterKPI[Department],$A11,Tbl_MasterKPI[Date],"&gt;="&amp;DATE(YEAR(TODAY()),MONTH(TODAY()),1),Tbl_MasterKPI[Date],"&lt;="&amp;TODAY()),0)</f>
        <v/>
      </c>
      <c r="F11" s="5">
        <f>IFERROR(AVERAGEIFS(Tbl_MasterKPI[Achievement %],Tbl_MasterKPI[Department],$A11,Tbl_MasterKPI[Date],"&gt;="&amp;DATE(YEAR(TODAY()),1,1),Tbl_MasterKPI[Date],"&lt;="&amp;TODAY()),0)</f>
        <v/>
      </c>
      <c r="G11" s="4">
        <f>IF($B11&gt;$C11,"▲ Improving",IF($B11&lt;$C11,"▼ Declining","▬ Stable"))</f>
        <v/>
      </c>
    </row>
    <row r="12">
      <c r="A12" s="8" t="inlineStr">
        <is>
          <t>Engineering</t>
        </is>
      </c>
      <c r="B12" s="9">
        <f>IFERROR(AVERAGEIFS(Tbl_MasterKPI[Achievement %],Tbl_MasterKPI[Department],$A12,Tbl_MasterKPI[Date],"&gt;="&amp;(TODAY()-6),Tbl_MasterKPI[Date],"&lt;="&amp;TODAY()),0)</f>
        <v/>
      </c>
      <c r="C12" s="9">
        <f>IFERROR(AVERAGEIFS(Tbl_MasterKPI[Achievement %],Tbl_MasterKPI[Department],$A12,Tbl_MasterKPI[Date],"&gt;="&amp;(TODAY()-13),Tbl_MasterKPI[Date],"&lt;="&amp;(TODAY()-7)),0)</f>
        <v/>
      </c>
      <c r="D12" s="9">
        <f>IFERROR(AVERAGEIFS(Tbl_MasterKPI[Achievement %],Tbl_MasterKPI[Department],$A12,Tbl_MasterKPI[Date],"&gt;="&amp;(TODAY()-29),Tbl_MasterKPI[Date],"&lt;="&amp;TODAY()),0)</f>
        <v/>
      </c>
      <c r="E12" s="9">
        <f>IFERROR(AVERAGEIFS(Tbl_MasterKPI[Achievement %],Tbl_MasterKPI[Department],$A12,Tbl_MasterKPI[Date],"&gt;="&amp;DATE(YEAR(TODAY()),MONTH(TODAY()),1),Tbl_MasterKPI[Date],"&lt;="&amp;TODAY()),0)</f>
        <v/>
      </c>
      <c r="F12" s="9">
        <f>IFERROR(AVERAGEIFS(Tbl_MasterKPI[Achievement %],Tbl_MasterKPI[Department],$A12,Tbl_MasterKPI[Date],"&gt;="&amp;DATE(YEAR(TODAY()),1,1),Tbl_MasterKPI[Date],"&lt;="&amp;TODAY()),0)</f>
        <v/>
      </c>
      <c r="G12" s="8">
        <f>IF($B12&gt;$C12,"▲ Improving",IF($B12&lt;$C12,"▼ Declining","▬ Stable"))</f>
        <v/>
      </c>
    </row>
    <row r="13">
      <c r="A13" s="4" t="inlineStr">
        <is>
          <t>Cost</t>
        </is>
      </c>
      <c r="B13" s="5">
        <f>IFERROR(AVERAGEIFS(Tbl_MasterKPI[Achievement %],Tbl_MasterKPI[Department],$A13,Tbl_MasterKPI[Date],"&gt;="&amp;(TODAY()-6),Tbl_MasterKPI[Date],"&lt;="&amp;TODAY()),0)</f>
        <v/>
      </c>
      <c r="C13" s="5">
        <f>IFERROR(AVERAGEIFS(Tbl_MasterKPI[Achievement %],Tbl_MasterKPI[Department],$A13,Tbl_MasterKPI[Date],"&gt;="&amp;(TODAY()-13),Tbl_MasterKPI[Date],"&lt;="&amp;(TODAY()-7)),0)</f>
        <v/>
      </c>
      <c r="D13" s="5">
        <f>IFERROR(AVERAGEIFS(Tbl_MasterKPI[Achievement %],Tbl_MasterKPI[Department],$A13,Tbl_MasterKPI[Date],"&gt;="&amp;(TODAY()-29),Tbl_MasterKPI[Date],"&lt;="&amp;TODAY()),0)</f>
        <v/>
      </c>
      <c r="E13" s="5">
        <f>IFERROR(AVERAGEIFS(Tbl_MasterKPI[Achievement %],Tbl_MasterKPI[Department],$A13,Tbl_MasterKPI[Date],"&gt;="&amp;DATE(YEAR(TODAY()),MONTH(TODAY()),1),Tbl_MasterKPI[Date],"&lt;="&amp;TODAY()),0)</f>
        <v/>
      </c>
      <c r="F13" s="5">
        <f>IFERROR(AVERAGEIFS(Tbl_MasterKPI[Achievement %],Tbl_MasterKPI[Department],$A13,Tbl_MasterKPI[Date],"&gt;="&amp;DATE(YEAR(TODAY()),1,1),Tbl_MasterKPI[Date],"&lt;="&amp;TODAY()),0)</f>
        <v/>
      </c>
      <c r="G13" s="4">
        <f>IF($B13&gt;$C13,"▲ Improving",IF($B13&lt;$C13,"▼ Declining","▬ Stable"))</f>
        <v/>
      </c>
    </row>
    <row r="14">
      <c r="A14" s="8" t="inlineStr">
        <is>
          <t>Energy</t>
        </is>
      </c>
      <c r="B14" s="9">
        <f>IFERROR(AVERAGEIFS(Tbl_MasterKPI[Achievement %],Tbl_MasterKPI[Department],$A14,Tbl_MasterKPI[Date],"&gt;="&amp;(TODAY()-6),Tbl_MasterKPI[Date],"&lt;="&amp;TODAY()),0)</f>
        <v/>
      </c>
      <c r="C14" s="9">
        <f>IFERROR(AVERAGEIFS(Tbl_MasterKPI[Achievement %],Tbl_MasterKPI[Department],$A14,Tbl_MasterKPI[Date],"&gt;="&amp;(TODAY()-13),Tbl_MasterKPI[Date],"&lt;="&amp;(TODAY()-7)),0)</f>
        <v/>
      </c>
      <c r="D14" s="9">
        <f>IFERROR(AVERAGEIFS(Tbl_MasterKPI[Achievement %],Tbl_MasterKPI[Department],$A14,Tbl_MasterKPI[Date],"&gt;="&amp;(TODAY()-29),Tbl_MasterKPI[Date],"&lt;="&amp;TODAY()),0)</f>
        <v/>
      </c>
      <c r="E14" s="9">
        <f>IFERROR(AVERAGEIFS(Tbl_MasterKPI[Achievement %],Tbl_MasterKPI[Department],$A14,Tbl_MasterKPI[Date],"&gt;="&amp;DATE(YEAR(TODAY()),MONTH(TODAY()),1),Tbl_MasterKPI[Date],"&lt;="&amp;TODAY()),0)</f>
        <v/>
      </c>
      <c r="F14" s="9">
        <f>IFERROR(AVERAGEIFS(Tbl_MasterKPI[Achievement %],Tbl_MasterKPI[Department],$A14,Tbl_MasterKPI[Date],"&gt;="&amp;DATE(YEAR(TODAY()),1,1),Tbl_MasterKPI[Date],"&lt;="&amp;TODAY()),0)</f>
        <v/>
      </c>
      <c r="G14" s="8">
        <f>IF($B14&gt;$C14,"▲ Improving",IF($B14&lt;$C14,"▼ Declining","▬ Stable"))</f>
        <v/>
      </c>
    </row>
    <row r="17" ht="22" customHeight="1">
      <c r="A17" s="19" t="inlineStr">
        <is>
          <t>DAILY ACHIEVEMENT % BY DEPARTMENT (chart source data — do not delete)</t>
        </is>
      </c>
    </row>
    <row r="18" ht="20" customHeight="1">
      <c r="A18" s="2" t="inlineStr">
        <is>
          <t>Date</t>
        </is>
      </c>
      <c r="B18" s="2" t="inlineStr">
        <is>
          <t>Safety</t>
        </is>
      </c>
      <c r="C18" s="2" t="inlineStr">
        <is>
          <t>Production</t>
        </is>
      </c>
      <c r="D18" s="2" t="inlineStr">
        <is>
          <t>Quality</t>
        </is>
      </c>
      <c r="E18" s="2" t="inlineStr">
        <is>
          <t>Maintenance</t>
        </is>
      </c>
      <c r="F18" s="2" t="inlineStr">
        <is>
          <t>Utilities</t>
        </is>
      </c>
      <c r="G18" s="2" t="inlineStr">
        <is>
          <t>Warehouse</t>
        </is>
      </c>
      <c r="H18" s="2" t="inlineStr">
        <is>
          <t>HR</t>
        </is>
      </c>
      <c r="I18" s="2" t="inlineStr">
        <is>
          <t>Engineering</t>
        </is>
      </c>
      <c r="J18" s="2" t="inlineStr">
        <is>
          <t>Cost</t>
        </is>
      </c>
      <c r="K18" s="2" t="inlineStr">
        <is>
          <t>Energy</t>
        </is>
      </c>
      <c r="M18" t="inlineStr">
        <is>
          <t>Plant Overall</t>
        </is>
      </c>
    </row>
    <row r="19">
      <c r="A19" s="20" t="n">
        <v>46130</v>
      </c>
      <c r="B19" s="21">
        <f>IFERROR(AVERAGEIFS(Tbl_MasterKPI[Achievement %],Tbl_MasterKPI[Department],B$18,Tbl_MasterKPI[Date],$A19),NA())</f>
        <v/>
      </c>
      <c r="C19" s="21">
        <f>IFERROR(AVERAGEIFS(Tbl_MasterKPI[Achievement %],Tbl_MasterKPI[Department],C$18,Tbl_MasterKPI[Date],$A19),NA())</f>
        <v/>
      </c>
      <c r="D19" s="21">
        <f>IFERROR(AVERAGEIFS(Tbl_MasterKPI[Achievement %],Tbl_MasterKPI[Department],D$18,Tbl_MasterKPI[Date],$A19),NA())</f>
        <v/>
      </c>
      <c r="E19" s="21">
        <f>IFERROR(AVERAGEIFS(Tbl_MasterKPI[Achievement %],Tbl_MasterKPI[Department],E$18,Tbl_MasterKPI[Date],$A19),NA())</f>
        <v/>
      </c>
      <c r="F19" s="21">
        <f>IFERROR(AVERAGEIFS(Tbl_MasterKPI[Achievement %],Tbl_MasterKPI[Department],F$18,Tbl_MasterKPI[Date],$A19),NA())</f>
        <v/>
      </c>
      <c r="G19" s="21">
        <f>IFERROR(AVERAGEIFS(Tbl_MasterKPI[Achievement %],Tbl_MasterKPI[Department],G$18,Tbl_MasterKPI[Date],$A19),NA())</f>
        <v/>
      </c>
      <c r="H19" s="21">
        <f>IFERROR(AVERAGEIFS(Tbl_MasterKPI[Achievement %],Tbl_MasterKPI[Department],H$18,Tbl_MasterKPI[Date],$A19),NA())</f>
        <v/>
      </c>
      <c r="I19" s="21">
        <f>IFERROR(AVERAGEIFS(Tbl_MasterKPI[Achievement %],Tbl_MasterKPI[Department],I$18,Tbl_MasterKPI[Date],$A19),NA())</f>
        <v/>
      </c>
      <c r="J19" s="21">
        <f>IFERROR(AVERAGEIFS(Tbl_MasterKPI[Achievement %],Tbl_MasterKPI[Department],J$18,Tbl_MasterKPI[Date],$A19),NA())</f>
        <v/>
      </c>
      <c r="K19" s="21">
        <f>IFERROR(AVERAGEIFS(Tbl_MasterKPI[Achievement %],Tbl_MasterKPI[Department],K$18,Tbl_MasterKPI[Date],$A19),NA())</f>
        <v/>
      </c>
      <c r="M19" s="43">
        <f>AVERAGE(B19,C19,D19,E19,F19,G19,H19,I19,J19,K19)</f>
        <v/>
      </c>
    </row>
    <row r="20">
      <c r="A20" s="20" t="n">
        <v>46131</v>
      </c>
      <c r="B20" s="21">
        <f>IFERROR(AVERAGEIFS(Tbl_MasterKPI[Achievement %],Tbl_MasterKPI[Department],B$18,Tbl_MasterKPI[Date],$A20),NA())</f>
        <v/>
      </c>
      <c r="C20" s="21">
        <f>IFERROR(AVERAGEIFS(Tbl_MasterKPI[Achievement %],Tbl_MasterKPI[Department],C$18,Tbl_MasterKPI[Date],$A20),NA())</f>
        <v/>
      </c>
      <c r="D20" s="21">
        <f>IFERROR(AVERAGEIFS(Tbl_MasterKPI[Achievement %],Tbl_MasterKPI[Department],D$18,Tbl_MasterKPI[Date],$A20),NA())</f>
        <v/>
      </c>
      <c r="E20" s="21">
        <f>IFERROR(AVERAGEIFS(Tbl_MasterKPI[Achievement %],Tbl_MasterKPI[Department],E$18,Tbl_MasterKPI[Date],$A20),NA())</f>
        <v/>
      </c>
      <c r="F20" s="21">
        <f>IFERROR(AVERAGEIFS(Tbl_MasterKPI[Achievement %],Tbl_MasterKPI[Department],F$18,Tbl_MasterKPI[Date],$A20),NA())</f>
        <v/>
      </c>
      <c r="G20" s="21">
        <f>IFERROR(AVERAGEIFS(Tbl_MasterKPI[Achievement %],Tbl_MasterKPI[Department],G$18,Tbl_MasterKPI[Date],$A20),NA())</f>
        <v/>
      </c>
      <c r="H20" s="21">
        <f>IFERROR(AVERAGEIFS(Tbl_MasterKPI[Achievement %],Tbl_MasterKPI[Department],H$18,Tbl_MasterKPI[Date],$A20),NA())</f>
        <v/>
      </c>
      <c r="I20" s="21">
        <f>IFERROR(AVERAGEIFS(Tbl_MasterKPI[Achievement %],Tbl_MasterKPI[Department],I$18,Tbl_MasterKPI[Date],$A20),NA())</f>
        <v/>
      </c>
      <c r="J20" s="21">
        <f>IFERROR(AVERAGEIFS(Tbl_MasterKPI[Achievement %],Tbl_MasterKPI[Department],J$18,Tbl_MasterKPI[Date],$A20),NA())</f>
        <v/>
      </c>
      <c r="K20" s="21">
        <f>IFERROR(AVERAGEIFS(Tbl_MasterKPI[Achievement %],Tbl_MasterKPI[Department],K$18,Tbl_MasterKPI[Date],$A20),NA())</f>
        <v/>
      </c>
      <c r="M20" s="43">
        <f>AVERAGE(B20,C20,D20,E20,F20,G20,H20,I20,J20,K20)</f>
        <v/>
      </c>
    </row>
    <row r="21">
      <c r="A21" s="20" t="n">
        <v>46132</v>
      </c>
      <c r="B21" s="21">
        <f>IFERROR(AVERAGEIFS(Tbl_MasterKPI[Achievement %],Tbl_MasterKPI[Department],B$18,Tbl_MasterKPI[Date],$A21),NA())</f>
        <v/>
      </c>
      <c r="C21" s="21">
        <f>IFERROR(AVERAGEIFS(Tbl_MasterKPI[Achievement %],Tbl_MasterKPI[Department],C$18,Tbl_MasterKPI[Date],$A21),NA())</f>
        <v/>
      </c>
      <c r="D21" s="21">
        <f>IFERROR(AVERAGEIFS(Tbl_MasterKPI[Achievement %],Tbl_MasterKPI[Department],D$18,Tbl_MasterKPI[Date],$A21),NA())</f>
        <v/>
      </c>
      <c r="E21" s="21">
        <f>IFERROR(AVERAGEIFS(Tbl_MasterKPI[Achievement %],Tbl_MasterKPI[Department],E$18,Tbl_MasterKPI[Date],$A21),NA())</f>
        <v/>
      </c>
      <c r="F21" s="21">
        <f>IFERROR(AVERAGEIFS(Tbl_MasterKPI[Achievement %],Tbl_MasterKPI[Department],F$18,Tbl_MasterKPI[Date],$A21),NA())</f>
        <v/>
      </c>
      <c r="G21" s="21">
        <f>IFERROR(AVERAGEIFS(Tbl_MasterKPI[Achievement %],Tbl_MasterKPI[Department],G$18,Tbl_MasterKPI[Date],$A21),NA())</f>
        <v/>
      </c>
      <c r="H21" s="21">
        <f>IFERROR(AVERAGEIFS(Tbl_MasterKPI[Achievement %],Tbl_MasterKPI[Department],H$18,Tbl_MasterKPI[Date],$A21),NA())</f>
        <v/>
      </c>
      <c r="I21" s="21">
        <f>IFERROR(AVERAGEIFS(Tbl_MasterKPI[Achievement %],Tbl_MasterKPI[Department],I$18,Tbl_MasterKPI[Date],$A21),NA())</f>
        <v/>
      </c>
      <c r="J21" s="21">
        <f>IFERROR(AVERAGEIFS(Tbl_MasterKPI[Achievement %],Tbl_MasterKPI[Department],J$18,Tbl_MasterKPI[Date],$A21),NA())</f>
        <v/>
      </c>
      <c r="K21" s="21">
        <f>IFERROR(AVERAGEIFS(Tbl_MasterKPI[Achievement %],Tbl_MasterKPI[Department],K$18,Tbl_MasterKPI[Date],$A21),NA())</f>
        <v/>
      </c>
      <c r="M21" s="43">
        <f>AVERAGE(B21,C21,D21,E21,F21,G21,H21,I21,J21,K21)</f>
        <v/>
      </c>
    </row>
    <row r="22">
      <c r="A22" s="20" t="n">
        <v>46133</v>
      </c>
      <c r="B22" s="21">
        <f>IFERROR(AVERAGEIFS(Tbl_MasterKPI[Achievement %],Tbl_MasterKPI[Department],B$18,Tbl_MasterKPI[Date],$A22),NA())</f>
        <v/>
      </c>
      <c r="C22" s="21">
        <f>IFERROR(AVERAGEIFS(Tbl_MasterKPI[Achievement %],Tbl_MasterKPI[Department],C$18,Tbl_MasterKPI[Date],$A22),NA())</f>
        <v/>
      </c>
      <c r="D22" s="21">
        <f>IFERROR(AVERAGEIFS(Tbl_MasterKPI[Achievement %],Tbl_MasterKPI[Department],D$18,Tbl_MasterKPI[Date],$A22),NA())</f>
        <v/>
      </c>
      <c r="E22" s="21">
        <f>IFERROR(AVERAGEIFS(Tbl_MasterKPI[Achievement %],Tbl_MasterKPI[Department],E$18,Tbl_MasterKPI[Date],$A22),NA())</f>
        <v/>
      </c>
      <c r="F22" s="21">
        <f>IFERROR(AVERAGEIFS(Tbl_MasterKPI[Achievement %],Tbl_MasterKPI[Department],F$18,Tbl_MasterKPI[Date],$A22),NA())</f>
        <v/>
      </c>
      <c r="G22" s="21">
        <f>IFERROR(AVERAGEIFS(Tbl_MasterKPI[Achievement %],Tbl_MasterKPI[Department],G$18,Tbl_MasterKPI[Date],$A22),NA())</f>
        <v/>
      </c>
      <c r="H22" s="21">
        <f>IFERROR(AVERAGEIFS(Tbl_MasterKPI[Achievement %],Tbl_MasterKPI[Department],H$18,Tbl_MasterKPI[Date],$A22),NA())</f>
        <v/>
      </c>
      <c r="I22" s="21">
        <f>IFERROR(AVERAGEIFS(Tbl_MasterKPI[Achievement %],Tbl_MasterKPI[Department],I$18,Tbl_MasterKPI[Date],$A22),NA())</f>
        <v/>
      </c>
      <c r="J22" s="21">
        <f>IFERROR(AVERAGEIFS(Tbl_MasterKPI[Achievement %],Tbl_MasterKPI[Department],J$18,Tbl_MasterKPI[Date],$A22),NA())</f>
        <v/>
      </c>
      <c r="K22" s="21">
        <f>IFERROR(AVERAGEIFS(Tbl_MasterKPI[Achievement %],Tbl_MasterKPI[Department],K$18,Tbl_MasterKPI[Date],$A22),NA())</f>
        <v/>
      </c>
      <c r="M22" s="43">
        <f>AVERAGE(B22,C22,D22,E22,F22,G22,H22,I22,J22,K22)</f>
        <v/>
      </c>
    </row>
    <row r="23">
      <c r="A23" s="20" t="n">
        <v>46134</v>
      </c>
      <c r="B23" s="21">
        <f>IFERROR(AVERAGEIFS(Tbl_MasterKPI[Achievement %],Tbl_MasterKPI[Department],B$18,Tbl_MasterKPI[Date],$A23),NA())</f>
        <v/>
      </c>
      <c r="C23" s="21">
        <f>IFERROR(AVERAGEIFS(Tbl_MasterKPI[Achievement %],Tbl_MasterKPI[Department],C$18,Tbl_MasterKPI[Date],$A23),NA())</f>
        <v/>
      </c>
      <c r="D23" s="21">
        <f>IFERROR(AVERAGEIFS(Tbl_MasterKPI[Achievement %],Tbl_MasterKPI[Department],D$18,Tbl_MasterKPI[Date],$A23),NA())</f>
        <v/>
      </c>
      <c r="E23" s="21">
        <f>IFERROR(AVERAGEIFS(Tbl_MasterKPI[Achievement %],Tbl_MasterKPI[Department],E$18,Tbl_MasterKPI[Date],$A23),NA())</f>
        <v/>
      </c>
      <c r="F23" s="21">
        <f>IFERROR(AVERAGEIFS(Tbl_MasterKPI[Achievement %],Tbl_MasterKPI[Department],F$18,Tbl_MasterKPI[Date],$A23),NA())</f>
        <v/>
      </c>
      <c r="G23" s="21">
        <f>IFERROR(AVERAGEIFS(Tbl_MasterKPI[Achievement %],Tbl_MasterKPI[Department],G$18,Tbl_MasterKPI[Date],$A23),NA())</f>
        <v/>
      </c>
      <c r="H23" s="21">
        <f>IFERROR(AVERAGEIFS(Tbl_MasterKPI[Achievement %],Tbl_MasterKPI[Department],H$18,Tbl_MasterKPI[Date],$A23),NA())</f>
        <v/>
      </c>
      <c r="I23" s="21">
        <f>IFERROR(AVERAGEIFS(Tbl_MasterKPI[Achievement %],Tbl_MasterKPI[Department],I$18,Tbl_MasterKPI[Date],$A23),NA())</f>
        <v/>
      </c>
      <c r="J23" s="21">
        <f>IFERROR(AVERAGEIFS(Tbl_MasterKPI[Achievement %],Tbl_MasterKPI[Department],J$18,Tbl_MasterKPI[Date],$A23),NA())</f>
        <v/>
      </c>
      <c r="K23" s="21">
        <f>IFERROR(AVERAGEIFS(Tbl_MasterKPI[Achievement %],Tbl_MasterKPI[Department],K$18,Tbl_MasterKPI[Date],$A23),NA())</f>
        <v/>
      </c>
      <c r="M23" s="43">
        <f>AVERAGE(B23,C23,D23,E23,F23,G23,H23,I23,J23,K23)</f>
        <v/>
      </c>
    </row>
    <row r="24">
      <c r="A24" s="20" t="n">
        <v>46135</v>
      </c>
      <c r="B24" s="21">
        <f>IFERROR(AVERAGEIFS(Tbl_MasterKPI[Achievement %],Tbl_MasterKPI[Department],B$18,Tbl_MasterKPI[Date],$A24),NA())</f>
        <v/>
      </c>
      <c r="C24" s="21">
        <f>IFERROR(AVERAGEIFS(Tbl_MasterKPI[Achievement %],Tbl_MasterKPI[Department],C$18,Tbl_MasterKPI[Date],$A24),NA())</f>
        <v/>
      </c>
      <c r="D24" s="21">
        <f>IFERROR(AVERAGEIFS(Tbl_MasterKPI[Achievement %],Tbl_MasterKPI[Department],D$18,Tbl_MasterKPI[Date],$A24),NA())</f>
        <v/>
      </c>
      <c r="E24" s="21">
        <f>IFERROR(AVERAGEIFS(Tbl_MasterKPI[Achievement %],Tbl_MasterKPI[Department],E$18,Tbl_MasterKPI[Date],$A24),NA())</f>
        <v/>
      </c>
      <c r="F24" s="21">
        <f>IFERROR(AVERAGEIFS(Tbl_MasterKPI[Achievement %],Tbl_MasterKPI[Department],F$18,Tbl_MasterKPI[Date],$A24),NA())</f>
        <v/>
      </c>
      <c r="G24" s="21">
        <f>IFERROR(AVERAGEIFS(Tbl_MasterKPI[Achievement %],Tbl_MasterKPI[Department],G$18,Tbl_MasterKPI[Date],$A24),NA())</f>
        <v/>
      </c>
      <c r="H24" s="21">
        <f>IFERROR(AVERAGEIFS(Tbl_MasterKPI[Achievement %],Tbl_MasterKPI[Department],H$18,Tbl_MasterKPI[Date],$A24),NA())</f>
        <v/>
      </c>
      <c r="I24" s="21">
        <f>IFERROR(AVERAGEIFS(Tbl_MasterKPI[Achievement %],Tbl_MasterKPI[Department],I$18,Tbl_MasterKPI[Date],$A24),NA())</f>
        <v/>
      </c>
      <c r="J24" s="21">
        <f>IFERROR(AVERAGEIFS(Tbl_MasterKPI[Achievement %],Tbl_MasterKPI[Department],J$18,Tbl_MasterKPI[Date],$A24),NA())</f>
        <v/>
      </c>
      <c r="K24" s="21">
        <f>IFERROR(AVERAGEIFS(Tbl_MasterKPI[Achievement %],Tbl_MasterKPI[Department],K$18,Tbl_MasterKPI[Date],$A24),NA())</f>
        <v/>
      </c>
      <c r="M24" s="43">
        <f>AVERAGE(B24,C24,D24,E24,F24,G24,H24,I24,J24,K24)</f>
        <v/>
      </c>
    </row>
    <row r="25">
      <c r="A25" s="20" t="n">
        <v>46136</v>
      </c>
      <c r="B25" s="21">
        <f>IFERROR(AVERAGEIFS(Tbl_MasterKPI[Achievement %],Tbl_MasterKPI[Department],B$18,Tbl_MasterKPI[Date],$A25),NA())</f>
        <v/>
      </c>
      <c r="C25" s="21">
        <f>IFERROR(AVERAGEIFS(Tbl_MasterKPI[Achievement %],Tbl_MasterKPI[Department],C$18,Tbl_MasterKPI[Date],$A25),NA())</f>
        <v/>
      </c>
      <c r="D25" s="21">
        <f>IFERROR(AVERAGEIFS(Tbl_MasterKPI[Achievement %],Tbl_MasterKPI[Department],D$18,Tbl_MasterKPI[Date],$A25),NA())</f>
        <v/>
      </c>
      <c r="E25" s="21">
        <f>IFERROR(AVERAGEIFS(Tbl_MasterKPI[Achievement %],Tbl_MasterKPI[Department],E$18,Tbl_MasterKPI[Date],$A25),NA())</f>
        <v/>
      </c>
      <c r="F25" s="21">
        <f>IFERROR(AVERAGEIFS(Tbl_MasterKPI[Achievement %],Tbl_MasterKPI[Department],F$18,Tbl_MasterKPI[Date],$A25),NA())</f>
        <v/>
      </c>
      <c r="G25" s="21">
        <f>IFERROR(AVERAGEIFS(Tbl_MasterKPI[Achievement %],Tbl_MasterKPI[Department],G$18,Tbl_MasterKPI[Date],$A25),NA())</f>
        <v/>
      </c>
      <c r="H25" s="21">
        <f>IFERROR(AVERAGEIFS(Tbl_MasterKPI[Achievement %],Tbl_MasterKPI[Department],H$18,Tbl_MasterKPI[Date],$A25),NA())</f>
        <v/>
      </c>
      <c r="I25" s="21">
        <f>IFERROR(AVERAGEIFS(Tbl_MasterKPI[Achievement %],Tbl_MasterKPI[Department],I$18,Tbl_MasterKPI[Date],$A25),NA())</f>
        <v/>
      </c>
      <c r="J25" s="21">
        <f>IFERROR(AVERAGEIFS(Tbl_MasterKPI[Achievement %],Tbl_MasterKPI[Department],J$18,Tbl_MasterKPI[Date],$A25),NA())</f>
        <v/>
      </c>
      <c r="K25" s="21">
        <f>IFERROR(AVERAGEIFS(Tbl_MasterKPI[Achievement %],Tbl_MasterKPI[Department],K$18,Tbl_MasterKPI[Date],$A25),NA())</f>
        <v/>
      </c>
      <c r="M25" s="43">
        <f>AVERAGE(B25,C25,D25,E25,F25,G25,H25,I25,J25,K25)</f>
        <v/>
      </c>
    </row>
    <row r="26">
      <c r="A26" s="20" t="n">
        <v>46137</v>
      </c>
      <c r="B26" s="21">
        <f>IFERROR(AVERAGEIFS(Tbl_MasterKPI[Achievement %],Tbl_MasterKPI[Department],B$18,Tbl_MasterKPI[Date],$A26),NA())</f>
        <v/>
      </c>
      <c r="C26" s="21">
        <f>IFERROR(AVERAGEIFS(Tbl_MasterKPI[Achievement %],Tbl_MasterKPI[Department],C$18,Tbl_MasterKPI[Date],$A26),NA())</f>
        <v/>
      </c>
      <c r="D26" s="21">
        <f>IFERROR(AVERAGEIFS(Tbl_MasterKPI[Achievement %],Tbl_MasterKPI[Department],D$18,Tbl_MasterKPI[Date],$A26),NA())</f>
        <v/>
      </c>
      <c r="E26" s="21">
        <f>IFERROR(AVERAGEIFS(Tbl_MasterKPI[Achievement %],Tbl_MasterKPI[Department],E$18,Tbl_MasterKPI[Date],$A26),NA())</f>
        <v/>
      </c>
      <c r="F26" s="21">
        <f>IFERROR(AVERAGEIFS(Tbl_MasterKPI[Achievement %],Tbl_MasterKPI[Department],F$18,Tbl_MasterKPI[Date],$A26),NA())</f>
        <v/>
      </c>
      <c r="G26" s="21">
        <f>IFERROR(AVERAGEIFS(Tbl_MasterKPI[Achievement %],Tbl_MasterKPI[Department],G$18,Tbl_MasterKPI[Date],$A26),NA())</f>
        <v/>
      </c>
      <c r="H26" s="21">
        <f>IFERROR(AVERAGEIFS(Tbl_MasterKPI[Achievement %],Tbl_MasterKPI[Department],H$18,Tbl_MasterKPI[Date],$A26),NA())</f>
        <v/>
      </c>
      <c r="I26" s="21">
        <f>IFERROR(AVERAGEIFS(Tbl_MasterKPI[Achievement %],Tbl_MasterKPI[Department],I$18,Tbl_MasterKPI[Date],$A26),NA())</f>
        <v/>
      </c>
      <c r="J26" s="21">
        <f>IFERROR(AVERAGEIFS(Tbl_MasterKPI[Achievement %],Tbl_MasterKPI[Department],J$18,Tbl_MasterKPI[Date],$A26),NA())</f>
        <v/>
      </c>
      <c r="K26" s="21">
        <f>IFERROR(AVERAGEIFS(Tbl_MasterKPI[Achievement %],Tbl_MasterKPI[Department],K$18,Tbl_MasterKPI[Date],$A26),NA())</f>
        <v/>
      </c>
      <c r="M26" s="43">
        <f>AVERAGE(B26,C26,D26,E26,F26,G26,H26,I26,J26,K26)</f>
        <v/>
      </c>
    </row>
    <row r="27">
      <c r="A27" s="20" t="n">
        <v>46138</v>
      </c>
      <c r="B27" s="21">
        <f>IFERROR(AVERAGEIFS(Tbl_MasterKPI[Achievement %],Tbl_MasterKPI[Department],B$18,Tbl_MasterKPI[Date],$A27),NA())</f>
        <v/>
      </c>
      <c r="C27" s="21">
        <f>IFERROR(AVERAGEIFS(Tbl_MasterKPI[Achievement %],Tbl_MasterKPI[Department],C$18,Tbl_MasterKPI[Date],$A27),NA())</f>
        <v/>
      </c>
      <c r="D27" s="21">
        <f>IFERROR(AVERAGEIFS(Tbl_MasterKPI[Achievement %],Tbl_MasterKPI[Department],D$18,Tbl_MasterKPI[Date],$A27),NA())</f>
        <v/>
      </c>
      <c r="E27" s="21">
        <f>IFERROR(AVERAGEIFS(Tbl_MasterKPI[Achievement %],Tbl_MasterKPI[Department],E$18,Tbl_MasterKPI[Date],$A27),NA())</f>
        <v/>
      </c>
      <c r="F27" s="21">
        <f>IFERROR(AVERAGEIFS(Tbl_MasterKPI[Achievement %],Tbl_MasterKPI[Department],F$18,Tbl_MasterKPI[Date],$A27),NA())</f>
        <v/>
      </c>
      <c r="G27" s="21">
        <f>IFERROR(AVERAGEIFS(Tbl_MasterKPI[Achievement %],Tbl_MasterKPI[Department],G$18,Tbl_MasterKPI[Date],$A27),NA())</f>
        <v/>
      </c>
      <c r="H27" s="21">
        <f>IFERROR(AVERAGEIFS(Tbl_MasterKPI[Achievement %],Tbl_MasterKPI[Department],H$18,Tbl_MasterKPI[Date],$A27),NA())</f>
        <v/>
      </c>
      <c r="I27" s="21">
        <f>IFERROR(AVERAGEIFS(Tbl_MasterKPI[Achievement %],Tbl_MasterKPI[Department],I$18,Tbl_MasterKPI[Date],$A27),NA())</f>
        <v/>
      </c>
      <c r="J27" s="21">
        <f>IFERROR(AVERAGEIFS(Tbl_MasterKPI[Achievement %],Tbl_MasterKPI[Department],J$18,Tbl_MasterKPI[Date],$A27),NA())</f>
        <v/>
      </c>
      <c r="K27" s="21">
        <f>IFERROR(AVERAGEIFS(Tbl_MasterKPI[Achievement %],Tbl_MasterKPI[Department],K$18,Tbl_MasterKPI[Date],$A27),NA())</f>
        <v/>
      </c>
      <c r="M27" s="43">
        <f>AVERAGE(B27,C27,D27,E27,F27,G27,H27,I27,J27,K27)</f>
        <v/>
      </c>
    </row>
    <row r="28">
      <c r="A28" s="20" t="n">
        <v>46139</v>
      </c>
      <c r="B28" s="21">
        <f>IFERROR(AVERAGEIFS(Tbl_MasterKPI[Achievement %],Tbl_MasterKPI[Department],B$18,Tbl_MasterKPI[Date],$A28),NA())</f>
        <v/>
      </c>
      <c r="C28" s="21">
        <f>IFERROR(AVERAGEIFS(Tbl_MasterKPI[Achievement %],Tbl_MasterKPI[Department],C$18,Tbl_MasterKPI[Date],$A28),NA())</f>
        <v/>
      </c>
      <c r="D28" s="21">
        <f>IFERROR(AVERAGEIFS(Tbl_MasterKPI[Achievement %],Tbl_MasterKPI[Department],D$18,Tbl_MasterKPI[Date],$A28),NA())</f>
        <v/>
      </c>
      <c r="E28" s="21">
        <f>IFERROR(AVERAGEIFS(Tbl_MasterKPI[Achievement %],Tbl_MasterKPI[Department],E$18,Tbl_MasterKPI[Date],$A28),NA())</f>
        <v/>
      </c>
      <c r="F28" s="21">
        <f>IFERROR(AVERAGEIFS(Tbl_MasterKPI[Achievement %],Tbl_MasterKPI[Department],F$18,Tbl_MasterKPI[Date],$A28),NA())</f>
        <v/>
      </c>
      <c r="G28" s="21">
        <f>IFERROR(AVERAGEIFS(Tbl_MasterKPI[Achievement %],Tbl_MasterKPI[Department],G$18,Tbl_MasterKPI[Date],$A28),NA())</f>
        <v/>
      </c>
      <c r="H28" s="21">
        <f>IFERROR(AVERAGEIFS(Tbl_MasterKPI[Achievement %],Tbl_MasterKPI[Department],H$18,Tbl_MasterKPI[Date],$A28),NA())</f>
        <v/>
      </c>
      <c r="I28" s="21">
        <f>IFERROR(AVERAGEIFS(Tbl_MasterKPI[Achievement %],Tbl_MasterKPI[Department],I$18,Tbl_MasterKPI[Date],$A28),NA())</f>
        <v/>
      </c>
      <c r="J28" s="21">
        <f>IFERROR(AVERAGEIFS(Tbl_MasterKPI[Achievement %],Tbl_MasterKPI[Department],J$18,Tbl_MasterKPI[Date],$A28),NA())</f>
        <v/>
      </c>
      <c r="K28" s="21">
        <f>IFERROR(AVERAGEIFS(Tbl_MasterKPI[Achievement %],Tbl_MasterKPI[Department],K$18,Tbl_MasterKPI[Date],$A28),NA())</f>
        <v/>
      </c>
      <c r="M28" s="43">
        <f>AVERAGE(B28,C28,D28,E28,F28,G28,H28,I28,J28,K28)</f>
        <v/>
      </c>
    </row>
    <row r="29">
      <c r="A29" s="20" t="n">
        <v>46140</v>
      </c>
      <c r="B29" s="21">
        <f>IFERROR(AVERAGEIFS(Tbl_MasterKPI[Achievement %],Tbl_MasterKPI[Department],B$18,Tbl_MasterKPI[Date],$A29),NA())</f>
        <v/>
      </c>
      <c r="C29" s="21">
        <f>IFERROR(AVERAGEIFS(Tbl_MasterKPI[Achievement %],Tbl_MasterKPI[Department],C$18,Tbl_MasterKPI[Date],$A29),NA())</f>
        <v/>
      </c>
      <c r="D29" s="21">
        <f>IFERROR(AVERAGEIFS(Tbl_MasterKPI[Achievement %],Tbl_MasterKPI[Department],D$18,Tbl_MasterKPI[Date],$A29),NA())</f>
        <v/>
      </c>
      <c r="E29" s="21">
        <f>IFERROR(AVERAGEIFS(Tbl_MasterKPI[Achievement %],Tbl_MasterKPI[Department],E$18,Tbl_MasterKPI[Date],$A29),NA())</f>
        <v/>
      </c>
      <c r="F29" s="21">
        <f>IFERROR(AVERAGEIFS(Tbl_MasterKPI[Achievement %],Tbl_MasterKPI[Department],F$18,Tbl_MasterKPI[Date],$A29),NA())</f>
        <v/>
      </c>
      <c r="G29" s="21">
        <f>IFERROR(AVERAGEIFS(Tbl_MasterKPI[Achievement %],Tbl_MasterKPI[Department],G$18,Tbl_MasterKPI[Date],$A29),NA())</f>
        <v/>
      </c>
      <c r="H29" s="21">
        <f>IFERROR(AVERAGEIFS(Tbl_MasterKPI[Achievement %],Tbl_MasterKPI[Department],H$18,Tbl_MasterKPI[Date],$A29),NA())</f>
        <v/>
      </c>
      <c r="I29" s="21">
        <f>IFERROR(AVERAGEIFS(Tbl_MasterKPI[Achievement %],Tbl_MasterKPI[Department],I$18,Tbl_MasterKPI[Date],$A29),NA())</f>
        <v/>
      </c>
      <c r="J29" s="21">
        <f>IFERROR(AVERAGEIFS(Tbl_MasterKPI[Achievement %],Tbl_MasterKPI[Department],J$18,Tbl_MasterKPI[Date],$A29),NA())</f>
        <v/>
      </c>
      <c r="K29" s="21">
        <f>IFERROR(AVERAGEIFS(Tbl_MasterKPI[Achievement %],Tbl_MasterKPI[Department],K$18,Tbl_MasterKPI[Date],$A29),NA())</f>
        <v/>
      </c>
      <c r="M29" s="43">
        <f>AVERAGE(B29,C29,D29,E29,F29,G29,H29,I29,J29,K29)</f>
        <v/>
      </c>
    </row>
    <row r="30">
      <c r="A30" s="20" t="n">
        <v>46141</v>
      </c>
      <c r="B30" s="21">
        <f>IFERROR(AVERAGEIFS(Tbl_MasterKPI[Achievement %],Tbl_MasterKPI[Department],B$18,Tbl_MasterKPI[Date],$A30),NA())</f>
        <v/>
      </c>
      <c r="C30" s="21">
        <f>IFERROR(AVERAGEIFS(Tbl_MasterKPI[Achievement %],Tbl_MasterKPI[Department],C$18,Tbl_MasterKPI[Date],$A30),NA())</f>
        <v/>
      </c>
      <c r="D30" s="21">
        <f>IFERROR(AVERAGEIFS(Tbl_MasterKPI[Achievement %],Tbl_MasterKPI[Department],D$18,Tbl_MasterKPI[Date],$A30),NA())</f>
        <v/>
      </c>
      <c r="E30" s="21">
        <f>IFERROR(AVERAGEIFS(Tbl_MasterKPI[Achievement %],Tbl_MasterKPI[Department],E$18,Tbl_MasterKPI[Date],$A30),NA())</f>
        <v/>
      </c>
      <c r="F30" s="21">
        <f>IFERROR(AVERAGEIFS(Tbl_MasterKPI[Achievement %],Tbl_MasterKPI[Department],F$18,Tbl_MasterKPI[Date],$A30),NA())</f>
        <v/>
      </c>
      <c r="G30" s="21">
        <f>IFERROR(AVERAGEIFS(Tbl_MasterKPI[Achievement %],Tbl_MasterKPI[Department],G$18,Tbl_MasterKPI[Date],$A30),NA())</f>
        <v/>
      </c>
      <c r="H30" s="21">
        <f>IFERROR(AVERAGEIFS(Tbl_MasterKPI[Achievement %],Tbl_MasterKPI[Department],H$18,Tbl_MasterKPI[Date],$A30),NA())</f>
        <v/>
      </c>
      <c r="I30" s="21">
        <f>IFERROR(AVERAGEIFS(Tbl_MasterKPI[Achievement %],Tbl_MasterKPI[Department],I$18,Tbl_MasterKPI[Date],$A30),NA())</f>
        <v/>
      </c>
      <c r="J30" s="21">
        <f>IFERROR(AVERAGEIFS(Tbl_MasterKPI[Achievement %],Tbl_MasterKPI[Department],J$18,Tbl_MasterKPI[Date],$A30),NA())</f>
        <v/>
      </c>
      <c r="K30" s="21">
        <f>IFERROR(AVERAGEIFS(Tbl_MasterKPI[Achievement %],Tbl_MasterKPI[Department],K$18,Tbl_MasterKPI[Date],$A30),NA())</f>
        <v/>
      </c>
      <c r="M30" s="43">
        <f>AVERAGE(B30,C30,D30,E30,F30,G30,H30,I30,J30,K30)</f>
        <v/>
      </c>
    </row>
    <row r="31">
      <c r="A31" s="20" t="n">
        <v>46142</v>
      </c>
      <c r="B31" s="21">
        <f>IFERROR(AVERAGEIFS(Tbl_MasterKPI[Achievement %],Tbl_MasterKPI[Department],B$18,Tbl_MasterKPI[Date],$A31),NA())</f>
        <v/>
      </c>
      <c r="C31" s="21">
        <f>IFERROR(AVERAGEIFS(Tbl_MasterKPI[Achievement %],Tbl_MasterKPI[Department],C$18,Tbl_MasterKPI[Date],$A31),NA())</f>
        <v/>
      </c>
      <c r="D31" s="21">
        <f>IFERROR(AVERAGEIFS(Tbl_MasterKPI[Achievement %],Tbl_MasterKPI[Department],D$18,Tbl_MasterKPI[Date],$A31),NA())</f>
        <v/>
      </c>
      <c r="E31" s="21">
        <f>IFERROR(AVERAGEIFS(Tbl_MasterKPI[Achievement %],Tbl_MasterKPI[Department],E$18,Tbl_MasterKPI[Date],$A31),NA())</f>
        <v/>
      </c>
      <c r="F31" s="21">
        <f>IFERROR(AVERAGEIFS(Tbl_MasterKPI[Achievement %],Tbl_MasterKPI[Department],F$18,Tbl_MasterKPI[Date],$A31),NA())</f>
        <v/>
      </c>
      <c r="G31" s="21">
        <f>IFERROR(AVERAGEIFS(Tbl_MasterKPI[Achievement %],Tbl_MasterKPI[Department],G$18,Tbl_MasterKPI[Date],$A31),NA())</f>
        <v/>
      </c>
      <c r="H31" s="21">
        <f>IFERROR(AVERAGEIFS(Tbl_MasterKPI[Achievement %],Tbl_MasterKPI[Department],H$18,Tbl_MasterKPI[Date],$A31),NA())</f>
        <v/>
      </c>
      <c r="I31" s="21">
        <f>IFERROR(AVERAGEIFS(Tbl_MasterKPI[Achievement %],Tbl_MasterKPI[Department],I$18,Tbl_MasterKPI[Date],$A31),NA())</f>
        <v/>
      </c>
      <c r="J31" s="21">
        <f>IFERROR(AVERAGEIFS(Tbl_MasterKPI[Achievement %],Tbl_MasterKPI[Department],J$18,Tbl_MasterKPI[Date],$A31),NA())</f>
        <v/>
      </c>
      <c r="K31" s="21">
        <f>IFERROR(AVERAGEIFS(Tbl_MasterKPI[Achievement %],Tbl_MasterKPI[Department],K$18,Tbl_MasterKPI[Date],$A31),NA())</f>
        <v/>
      </c>
      <c r="M31" s="43">
        <f>AVERAGE(B31,C31,D31,E31,F31,G31,H31,I31,J31,K31)</f>
        <v/>
      </c>
    </row>
    <row r="32">
      <c r="A32" s="20" t="n">
        <v>46143</v>
      </c>
      <c r="B32" s="21">
        <f>IFERROR(AVERAGEIFS(Tbl_MasterKPI[Achievement %],Tbl_MasterKPI[Department],B$18,Tbl_MasterKPI[Date],$A32),NA())</f>
        <v/>
      </c>
      <c r="C32" s="21">
        <f>IFERROR(AVERAGEIFS(Tbl_MasterKPI[Achievement %],Tbl_MasterKPI[Department],C$18,Tbl_MasterKPI[Date],$A32),NA())</f>
        <v/>
      </c>
      <c r="D32" s="21">
        <f>IFERROR(AVERAGEIFS(Tbl_MasterKPI[Achievement %],Tbl_MasterKPI[Department],D$18,Tbl_MasterKPI[Date],$A32),NA())</f>
        <v/>
      </c>
      <c r="E32" s="21">
        <f>IFERROR(AVERAGEIFS(Tbl_MasterKPI[Achievement %],Tbl_MasterKPI[Department],E$18,Tbl_MasterKPI[Date],$A32),NA())</f>
        <v/>
      </c>
      <c r="F32" s="21">
        <f>IFERROR(AVERAGEIFS(Tbl_MasterKPI[Achievement %],Tbl_MasterKPI[Department],F$18,Tbl_MasterKPI[Date],$A32),NA())</f>
        <v/>
      </c>
      <c r="G32" s="21">
        <f>IFERROR(AVERAGEIFS(Tbl_MasterKPI[Achievement %],Tbl_MasterKPI[Department],G$18,Tbl_MasterKPI[Date],$A32),NA())</f>
        <v/>
      </c>
      <c r="H32" s="21">
        <f>IFERROR(AVERAGEIFS(Tbl_MasterKPI[Achievement %],Tbl_MasterKPI[Department],H$18,Tbl_MasterKPI[Date],$A32),NA())</f>
        <v/>
      </c>
      <c r="I32" s="21">
        <f>IFERROR(AVERAGEIFS(Tbl_MasterKPI[Achievement %],Tbl_MasterKPI[Department],I$18,Tbl_MasterKPI[Date],$A32),NA())</f>
        <v/>
      </c>
      <c r="J32" s="21">
        <f>IFERROR(AVERAGEIFS(Tbl_MasterKPI[Achievement %],Tbl_MasterKPI[Department],J$18,Tbl_MasterKPI[Date],$A32),NA())</f>
        <v/>
      </c>
      <c r="K32" s="21">
        <f>IFERROR(AVERAGEIFS(Tbl_MasterKPI[Achievement %],Tbl_MasterKPI[Department],K$18,Tbl_MasterKPI[Date],$A32),NA())</f>
        <v/>
      </c>
      <c r="M32" s="43">
        <f>AVERAGE(B32,C32,D32,E32,F32,G32,H32,I32,J32,K32)</f>
        <v/>
      </c>
    </row>
    <row r="33">
      <c r="A33" s="20" t="n">
        <v>46144</v>
      </c>
      <c r="B33" s="21">
        <f>IFERROR(AVERAGEIFS(Tbl_MasterKPI[Achievement %],Tbl_MasterKPI[Department],B$18,Tbl_MasterKPI[Date],$A33),NA())</f>
        <v/>
      </c>
      <c r="C33" s="21">
        <f>IFERROR(AVERAGEIFS(Tbl_MasterKPI[Achievement %],Tbl_MasterKPI[Department],C$18,Tbl_MasterKPI[Date],$A33),NA())</f>
        <v/>
      </c>
      <c r="D33" s="21">
        <f>IFERROR(AVERAGEIFS(Tbl_MasterKPI[Achievement %],Tbl_MasterKPI[Department],D$18,Tbl_MasterKPI[Date],$A33),NA())</f>
        <v/>
      </c>
      <c r="E33" s="21">
        <f>IFERROR(AVERAGEIFS(Tbl_MasterKPI[Achievement %],Tbl_MasterKPI[Department],E$18,Tbl_MasterKPI[Date],$A33),NA())</f>
        <v/>
      </c>
      <c r="F33" s="21">
        <f>IFERROR(AVERAGEIFS(Tbl_MasterKPI[Achievement %],Tbl_MasterKPI[Department],F$18,Tbl_MasterKPI[Date],$A33),NA())</f>
        <v/>
      </c>
      <c r="G33" s="21">
        <f>IFERROR(AVERAGEIFS(Tbl_MasterKPI[Achievement %],Tbl_MasterKPI[Department],G$18,Tbl_MasterKPI[Date],$A33),NA())</f>
        <v/>
      </c>
      <c r="H33" s="21">
        <f>IFERROR(AVERAGEIFS(Tbl_MasterKPI[Achievement %],Tbl_MasterKPI[Department],H$18,Tbl_MasterKPI[Date],$A33),NA())</f>
        <v/>
      </c>
      <c r="I33" s="21">
        <f>IFERROR(AVERAGEIFS(Tbl_MasterKPI[Achievement %],Tbl_MasterKPI[Department],I$18,Tbl_MasterKPI[Date],$A33),NA())</f>
        <v/>
      </c>
      <c r="J33" s="21">
        <f>IFERROR(AVERAGEIFS(Tbl_MasterKPI[Achievement %],Tbl_MasterKPI[Department],J$18,Tbl_MasterKPI[Date],$A33),NA())</f>
        <v/>
      </c>
      <c r="K33" s="21">
        <f>IFERROR(AVERAGEIFS(Tbl_MasterKPI[Achievement %],Tbl_MasterKPI[Department],K$18,Tbl_MasterKPI[Date],$A33),NA())</f>
        <v/>
      </c>
      <c r="M33" s="43">
        <f>AVERAGE(B33,C33,D33,E33,F33,G33,H33,I33,J33,K33)</f>
        <v/>
      </c>
    </row>
    <row r="34">
      <c r="A34" s="20" t="n">
        <v>46145</v>
      </c>
      <c r="B34" s="21">
        <f>IFERROR(AVERAGEIFS(Tbl_MasterKPI[Achievement %],Tbl_MasterKPI[Department],B$18,Tbl_MasterKPI[Date],$A34),NA())</f>
        <v/>
      </c>
      <c r="C34" s="21">
        <f>IFERROR(AVERAGEIFS(Tbl_MasterKPI[Achievement %],Tbl_MasterKPI[Department],C$18,Tbl_MasterKPI[Date],$A34),NA())</f>
        <v/>
      </c>
      <c r="D34" s="21">
        <f>IFERROR(AVERAGEIFS(Tbl_MasterKPI[Achievement %],Tbl_MasterKPI[Department],D$18,Tbl_MasterKPI[Date],$A34),NA())</f>
        <v/>
      </c>
      <c r="E34" s="21">
        <f>IFERROR(AVERAGEIFS(Tbl_MasterKPI[Achievement %],Tbl_MasterKPI[Department],E$18,Tbl_MasterKPI[Date],$A34),NA())</f>
        <v/>
      </c>
      <c r="F34" s="21">
        <f>IFERROR(AVERAGEIFS(Tbl_MasterKPI[Achievement %],Tbl_MasterKPI[Department],F$18,Tbl_MasterKPI[Date],$A34),NA())</f>
        <v/>
      </c>
      <c r="G34" s="21">
        <f>IFERROR(AVERAGEIFS(Tbl_MasterKPI[Achievement %],Tbl_MasterKPI[Department],G$18,Tbl_MasterKPI[Date],$A34),NA())</f>
        <v/>
      </c>
      <c r="H34" s="21">
        <f>IFERROR(AVERAGEIFS(Tbl_MasterKPI[Achievement %],Tbl_MasterKPI[Department],H$18,Tbl_MasterKPI[Date],$A34),NA())</f>
        <v/>
      </c>
      <c r="I34" s="21">
        <f>IFERROR(AVERAGEIFS(Tbl_MasterKPI[Achievement %],Tbl_MasterKPI[Department],I$18,Tbl_MasterKPI[Date],$A34),NA())</f>
        <v/>
      </c>
      <c r="J34" s="21">
        <f>IFERROR(AVERAGEIFS(Tbl_MasterKPI[Achievement %],Tbl_MasterKPI[Department],J$18,Tbl_MasterKPI[Date],$A34),NA())</f>
        <v/>
      </c>
      <c r="K34" s="21">
        <f>IFERROR(AVERAGEIFS(Tbl_MasterKPI[Achievement %],Tbl_MasterKPI[Department],K$18,Tbl_MasterKPI[Date],$A34),NA())</f>
        <v/>
      </c>
      <c r="M34" s="43">
        <f>AVERAGE(B34,C34,D34,E34,F34,G34,H34,I34,J34,K34)</f>
        <v/>
      </c>
    </row>
    <row r="35">
      <c r="A35" s="20" t="n">
        <v>46146</v>
      </c>
      <c r="B35" s="21">
        <f>IFERROR(AVERAGEIFS(Tbl_MasterKPI[Achievement %],Tbl_MasterKPI[Department],B$18,Tbl_MasterKPI[Date],$A35),NA())</f>
        <v/>
      </c>
      <c r="C35" s="21">
        <f>IFERROR(AVERAGEIFS(Tbl_MasterKPI[Achievement %],Tbl_MasterKPI[Department],C$18,Tbl_MasterKPI[Date],$A35),NA())</f>
        <v/>
      </c>
      <c r="D35" s="21">
        <f>IFERROR(AVERAGEIFS(Tbl_MasterKPI[Achievement %],Tbl_MasterKPI[Department],D$18,Tbl_MasterKPI[Date],$A35),NA())</f>
        <v/>
      </c>
      <c r="E35" s="21">
        <f>IFERROR(AVERAGEIFS(Tbl_MasterKPI[Achievement %],Tbl_MasterKPI[Department],E$18,Tbl_MasterKPI[Date],$A35),NA())</f>
        <v/>
      </c>
      <c r="F35" s="21">
        <f>IFERROR(AVERAGEIFS(Tbl_MasterKPI[Achievement %],Tbl_MasterKPI[Department],F$18,Tbl_MasterKPI[Date],$A35),NA())</f>
        <v/>
      </c>
      <c r="G35" s="21">
        <f>IFERROR(AVERAGEIFS(Tbl_MasterKPI[Achievement %],Tbl_MasterKPI[Department],G$18,Tbl_MasterKPI[Date],$A35),NA())</f>
        <v/>
      </c>
      <c r="H35" s="21">
        <f>IFERROR(AVERAGEIFS(Tbl_MasterKPI[Achievement %],Tbl_MasterKPI[Department],H$18,Tbl_MasterKPI[Date],$A35),NA())</f>
        <v/>
      </c>
      <c r="I35" s="21">
        <f>IFERROR(AVERAGEIFS(Tbl_MasterKPI[Achievement %],Tbl_MasterKPI[Department],I$18,Tbl_MasterKPI[Date],$A35),NA())</f>
        <v/>
      </c>
      <c r="J35" s="21">
        <f>IFERROR(AVERAGEIFS(Tbl_MasterKPI[Achievement %],Tbl_MasterKPI[Department],J$18,Tbl_MasterKPI[Date],$A35),NA())</f>
        <v/>
      </c>
      <c r="K35" s="21">
        <f>IFERROR(AVERAGEIFS(Tbl_MasterKPI[Achievement %],Tbl_MasterKPI[Department],K$18,Tbl_MasterKPI[Date],$A35),NA())</f>
        <v/>
      </c>
      <c r="M35" s="43">
        <f>AVERAGE(B35,C35,D35,E35,F35,G35,H35,I35,J35,K35)</f>
        <v/>
      </c>
    </row>
    <row r="36">
      <c r="A36" s="20" t="n">
        <v>46147</v>
      </c>
      <c r="B36" s="21">
        <f>IFERROR(AVERAGEIFS(Tbl_MasterKPI[Achievement %],Tbl_MasterKPI[Department],B$18,Tbl_MasterKPI[Date],$A36),NA())</f>
        <v/>
      </c>
      <c r="C36" s="21">
        <f>IFERROR(AVERAGEIFS(Tbl_MasterKPI[Achievement %],Tbl_MasterKPI[Department],C$18,Tbl_MasterKPI[Date],$A36),NA())</f>
        <v/>
      </c>
      <c r="D36" s="21">
        <f>IFERROR(AVERAGEIFS(Tbl_MasterKPI[Achievement %],Tbl_MasterKPI[Department],D$18,Tbl_MasterKPI[Date],$A36),NA())</f>
        <v/>
      </c>
      <c r="E36" s="21">
        <f>IFERROR(AVERAGEIFS(Tbl_MasterKPI[Achievement %],Tbl_MasterKPI[Department],E$18,Tbl_MasterKPI[Date],$A36),NA())</f>
        <v/>
      </c>
      <c r="F36" s="21">
        <f>IFERROR(AVERAGEIFS(Tbl_MasterKPI[Achievement %],Tbl_MasterKPI[Department],F$18,Tbl_MasterKPI[Date],$A36),NA())</f>
        <v/>
      </c>
      <c r="G36" s="21">
        <f>IFERROR(AVERAGEIFS(Tbl_MasterKPI[Achievement %],Tbl_MasterKPI[Department],G$18,Tbl_MasterKPI[Date],$A36),NA())</f>
        <v/>
      </c>
      <c r="H36" s="21">
        <f>IFERROR(AVERAGEIFS(Tbl_MasterKPI[Achievement %],Tbl_MasterKPI[Department],H$18,Tbl_MasterKPI[Date],$A36),NA())</f>
        <v/>
      </c>
      <c r="I36" s="21">
        <f>IFERROR(AVERAGEIFS(Tbl_MasterKPI[Achievement %],Tbl_MasterKPI[Department],I$18,Tbl_MasterKPI[Date],$A36),NA())</f>
        <v/>
      </c>
      <c r="J36" s="21">
        <f>IFERROR(AVERAGEIFS(Tbl_MasterKPI[Achievement %],Tbl_MasterKPI[Department],J$18,Tbl_MasterKPI[Date],$A36),NA())</f>
        <v/>
      </c>
      <c r="K36" s="21">
        <f>IFERROR(AVERAGEIFS(Tbl_MasterKPI[Achievement %],Tbl_MasterKPI[Department],K$18,Tbl_MasterKPI[Date],$A36),NA())</f>
        <v/>
      </c>
      <c r="M36" s="43">
        <f>AVERAGE(B36,C36,D36,E36,F36,G36,H36,I36,J36,K36)</f>
        <v/>
      </c>
    </row>
    <row r="37">
      <c r="A37" s="20" t="n">
        <v>46148</v>
      </c>
      <c r="B37" s="21">
        <f>IFERROR(AVERAGEIFS(Tbl_MasterKPI[Achievement %],Tbl_MasterKPI[Department],B$18,Tbl_MasterKPI[Date],$A37),NA())</f>
        <v/>
      </c>
      <c r="C37" s="21">
        <f>IFERROR(AVERAGEIFS(Tbl_MasterKPI[Achievement %],Tbl_MasterKPI[Department],C$18,Tbl_MasterKPI[Date],$A37),NA())</f>
        <v/>
      </c>
      <c r="D37" s="21">
        <f>IFERROR(AVERAGEIFS(Tbl_MasterKPI[Achievement %],Tbl_MasterKPI[Department],D$18,Tbl_MasterKPI[Date],$A37),NA())</f>
        <v/>
      </c>
      <c r="E37" s="21">
        <f>IFERROR(AVERAGEIFS(Tbl_MasterKPI[Achievement %],Tbl_MasterKPI[Department],E$18,Tbl_MasterKPI[Date],$A37),NA())</f>
        <v/>
      </c>
      <c r="F37" s="21">
        <f>IFERROR(AVERAGEIFS(Tbl_MasterKPI[Achievement %],Tbl_MasterKPI[Department],F$18,Tbl_MasterKPI[Date],$A37),NA())</f>
        <v/>
      </c>
      <c r="G37" s="21">
        <f>IFERROR(AVERAGEIFS(Tbl_MasterKPI[Achievement %],Tbl_MasterKPI[Department],G$18,Tbl_MasterKPI[Date],$A37),NA())</f>
        <v/>
      </c>
      <c r="H37" s="21">
        <f>IFERROR(AVERAGEIFS(Tbl_MasterKPI[Achievement %],Tbl_MasterKPI[Department],H$18,Tbl_MasterKPI[Date],$A37),NA())</f>
        <v/>
      </c>
      <c r="I37" s="21">
        <f>IFERROR(AVERAGEIFS(Tbl_MasterKPI[Achievement %],Tbl_MasterKPI[Department],I$18,Tbl_MasterKPI[Date],$A37),NA())</f>
        <v/>
      </c>
      <c r="J37" s="21">
        <f>IFERROR(AVERAGEIFS(Tbl_MasterKPI[Achievement %],Tbl_MasterKPI[Department],J$18,Tbl_MasterKPI[Date],$A37),NA())</f>
        <v/>
      </c>
      <c r="K37" s="21">
        <f>IFERROR(AVERAGEIFS(Tbl_MasterKPI[Achievement %],Tbl_MasterKPI[Department],K$18,Tbl_MasterKPI[Date],$A37),NA())</f>
        <v/>
      </c>
      <c r="M37" s="43">
        <f>AVERAGE(B37,C37,D37,E37,F37,G37,H37,I37,J37,K37)</f>
        <v/>
      </c>
    </row>
    <row r="38">
      <c r="A38" s="20" t="n">
        <v>46149</v>
      </c>
      <c r="B38" s="21">
        <f>IFERROR(AVERAGEIFS(Tbl_MasterKPI[Achievement %],Tbl_MasterKPI[Department],B$18,Tbl_MasterKPI[Date],$A38),NA())</f>
        <v/>
      </c>
      <c r="C38" s="21">
        <f>IFERROR(AVERAGEIFS(Tbl_MasterKPI[Achievement %],Tbl_MasterKPI[Department],C$18,Tbl_MasterKPI[Date],$A38),NA())</f>
        <v/>
      </c>
      <c r="D38" s="21">
        <f>IFERROR(AVERAGEIFS(Tbl_MasterKPI[Achievement %],Tbl_MasterKPI[Department],D$18,Tbl_MasterKPI[Date],$A38),NA())</f>
        <v/>
      </c>
      <c r="E38" s="21">
        <f>IFERROR(AVERAGEIFS(Tbl_MasterKPI[Achievement %],Tbl_MasterKPI[Department],E$18,Tbl_MasterKPI[Date],$A38),NA())</f>
        <v/>
      </c>
      <c r="F38" s="21">
        <f>IFERROR(AVERAGEIFS(Tbl_MasterKPI[Achievement %],Tbl_MasterKPI[Department],F$18,Tbl_MasterKPI[Date],$A38),NA())</f>
        <v/>
      </c>
      <c r="G38" s="21">
        <f>IFERROR(AVERAGEIFS(Tbl_MasterKPI[Achievement %],Tbl_MasterKPI[Department],G$18,Tbl_MasterKPI[Date],$A38),NA())</f>
        <v/>
      </c>
      <c r="H38" s="21">
        <f>IFERROR(AVERAGEIFS(Tbl_MasterKPI[Achievement %],Tbl_MasterKPI[Department],H$18,Tbl_MasterKPI[Date],$A38),NA())</f>
        <v/>
      </c>
      <c r="I38" s="21">
        <f>IFERROR(AVERAGEIFS(Tbl_MasterKPI[Achievement %],Tbl_MasterKPI[Department],I$18,Tbl_MasterKPI[Date],$A38),NA())</f>
        <v/>
      </c>
      <c r="J38" s="21">
        <f>IFERROR(AVERAGEIFS(Tbl_MasterKPI[Achievement %],Tbl_MasterKPI[Department],J$18,Tbl_MasterKPI[Date],$A38),NA())</f>
        <v/>
      </c>
      <c r="K38" s="21">
        <f>IFERROR(AVERAGEIFS(Tbl_MasterKPI[Achievement %],Tbl_MasterKPI[Department],K$18,Tbl_MasterKPI[Date],$A38),NA())</f>
        <v/>
      </c>
      <c r="M38" s="43">
        <f>AVERAGE(B38,C38,D38,E38,F38,G38,H38,I38,J38,K38)</f>
        <v/>
      </c>
    </row>
    <row r="39">
      <c r="A39" s="20" t="n">
        <v>46150</v>
      </c>
      <c r="B39" s="21">
        <f>IFERROR(AVERAGEIFS(Tbl_MasterKPI[Achievement %],Tbl_MasterKPI[Department],B$18,Tbl_MasterKPI[Date],$A39),NA())</f>
        <v/>
      </c>
      <c r="C39" s="21">
        <f>IFERROR(AVERAGEIFS(Tbl_MasterKPI[Achievement %],Tbl_MasterKPI[Department],C$18,Tbl_MasterKPI[Date],$A39),NA())</f>
        <v/>
      </c>
      <c r="D39" s="21">
        <f>IFERROR(AVERAGEIFS(Tbl_MasterKPI[Achievement %],Tbl_MasterKPI[Department],D$18,Tbl_MasterKPI[Date],$A39),NA())</f>
        <v/>
      </c>
      <c r="E39" s="21">
        <f>IFERROR(AVERAGEIFS(Tbl_MasterKPI[Achievement %],Tbl_MasterKPI[Department],E$18,Tbl_MasterKPI[Date],$A39),NA())</f>
        <v/>
      </c>
      <c r="F39" s="21">
        <f>IFERROR(AVERAGEIFS(Tbl_MasterKPI[Achievement %],Tbl_MasterKPI[Department],F$18,Tbl_MasterKPI[Date],$A39),NA())</f>
        <v/>
      </c>
      <c r="G39" s="21">
        <f>IFERROR(AVERAGEIFS(Tbl_MasterKPI[Achievement %],Tbl_MasterKPI[Department],G$18,Tbl_MasterKPI[Date],$A39),NA())</f>
        <v/>
      </c>
      <c r="H39" s="21">
        <f>IFERROR(AVERAGEIFS(Tbl_MasterKPI[Achievement %],Tbl_MasterKPI[Department],H$18,Tbl_MasterKPI[Date],$A39),NA())</f>
        <v/>
      </c>
      <c r="I39" s="21">
        <f>IFERROR(AVERAGEIFS(Tbl_MasterKPI[Achievement %],Tbl_MasterKPI[Department],I$18,Tbl_MasterKPI[Date],$A39),NA())</f>
        <v/>
      </c>
      <c r="J39" s="21">
        <f>IFERROR(AVERAGEIFS(Tbl_MasterKPI[Achievement %],Tbl_MasterKPI[Department],J$18,Tbl_MasterKPI[Date],$A39),NA())</f>
        <v/>
      </c>
      <c r="K39" s="21">
        <f>IFERROR(AVERAGEIFS(Tbl_MasterKPI[Achievement %],Tbl_MasterKPI[Department],K$18,Tbl_MasterKPI[Date],$A39),NA())</f>
        <v/>
      </c>
      <c r="M39" s="43">
        <f>AVERAGE(B39,C39,D39,E39,F39,G39,H39,I39,J39,K39)</f>
        <v/>
      </c>
    </row>
    <row r="40">
      <c r="A40" s="20" t="n">
        <v>46151</v>
      </c>
      <c r="B40" s="21">
        <f>IFERROR(AVERAGEIFS(Tbl_MasterKPI[Achievement %],Tbl_MasterKPI[Department],B$18,Tbl_MasterKPI[Date],$A40),NA())</f>
        <v/>
      </c>
      <c r="C40" s="21">
        <f>IFERROR(AVERAGEIFS(Tbl_MasterKPI[Achievement %],Tbl_MasterKPI[Department],C$18,Tbl_MasterKPI[Date],$A40),NA())</f>
        <v/>
      </c>
      <c r="D40" s="21">
        <f>IFERROR(AVERAGEIFS(Tbl_MasterKPI[Achievement %],Tbl_MasterKPI[Department],D$18,Tbl_MasterKPI[Date],$A40),NA())</f>
        <v/>
      </c>
      <c r="E40" s="21">
        <f>IFERROR(AVERAGEIFS(Tbl_MasterKPI[Achievement %],Tbl_MasterKPI[Department],E$18,Tbl_MasterKPI[Date],$A40),NA())</f>
        <v/>
      </c>
      <c r="F40" s="21">
        <f>IFERROR(AVERAGEIFS(Tbl_MasterKPI[Achievement %],Tbl_MasterKPI[Department],F$18,Tbl_MasterKPI[Date],$A40),NA())</f>
        <v/>
      </c>
      <c r="G40" s="21">
        <f>IFERROR(AVERAGEIFS(Tbl_MasterKPI[Achievement %],Tbl_MasterKPI[Department],G$18,Tbl_MasterKPI[Date],$A40),NA())</f>
        <v/>
      </c>
      <c r="H40" s="21">
        <f>IFERROR(AVERAGEIFS(Tbl_MasterKPI[Achievement %],Tbl_MasterKPI[Department],H$18,Tbl_MasterKPI[Date],$A40),NA())</f>
        <v/>
      </c>
      <c r="I40" s="21">
        <f>IFERROR(AVERAGEIFS(Tbl_MasterKPI[Achievement %],Tbl_MasterKPI[Department],I$18,Tbl_MasterKPI[Date],$A40),NA())</f>
        <v/>
      </c>
      <c r="J40" s="21">
        <f>IFERROR(AVERAGEIFS(Tbl_MasterKPI[Achievement %],Tbl_MasterKPI[Department],J$18,Tbl_MasterKPI[Date],$A40),NA())</f>
        <v/>
      </c>
      <c r="K40" s="21">
        <f>IFERROR(AVERAGEIFS(Tbl_MasterKPI[Achievement %],Tbl_MasterKPI[Department],K$18,Tbl_MasterKPI[Date],$A40),NA())</f>
        <v/>
      </c>
      <c r="M40" s="43">
        <f>AVERAGE(B40,C40,D40,E40,F40,G40,H40,I40,J40,K40)</f>
        <v/>
      </c>
    </row>
    <row r="41">
      <c r="A41" s="20" t="n">
        <v>46152</v>
      </c>
      <c r="B41" s="21">
        <f>IFERROR(AVERAGEIFS(Tbl_MasterKPI[Achievement %],Tbl_MasterKPI[Department],B$18,Tbl_MasterKPI[Date],$A41),NA())</f>
        <v/>
      </c>
      <c r="C41" s="21">
        <f>IFERROR(AVERAGEIFS(Tbl_MasterKPI[Achievement %],Tbl_MasterKPI[Department],C$18,Tbl_MasterKPI[Date],$A41),NA())</f>
        <v/>
      </c>
      <c r="D41" s="21">
        <f>IFERROR(AVERAGEIFS(Tbl_MasterKPI[Achievement %],Tbl_MasterKPI[Department],D$18,Tbl_MasterKPI[Date],$A41),NA())</f>
        <v/>
      </c>
      <c r="E41" s="21">
        <f>IFERROR(AVERAGEIFS(Tbl_MasterKPI[Achievement %],Tbl_MasterKPI[Department],E$18,Tbl_MasterKPI[Date],$A41),NA())</f>
        <v/>
      </c>
      <c r="F41" s="21">
        <f>IFERROR(AVERAGEIFS(Tbl_MasterKPI[Achievement %],Tbl_MasterKPI[Department],F$18,Tbl_MasterKPI[Date],$A41),NA())</f>
        <v/>
      </c>
      <c r="G41" s="21">
        <f>IFERROR(AVERAGEIFS(Tbl_MasterKPI[Achievement %],Tbl_MasterKPI[Department],G$18,Tbl_MasterKPI[Date],$A41),NA())</f>
        <v/>
      </c>
      <c r="H41" s="21">
        <f>IFERROR(AVERAGEIFS(Tbl_MasterKPI[Achievement %],Tbl_MasterKPI[Department],H$18,Tbl_MasterKPI[Date],$A41),NA())</f>
        <v/>
      </c>
      <c r="I41" s="21">
        <f>IFERROR(AVERAGEIFS(Tbl_MasterKPI[Achievement %],Tbl_MasterKPI[Department],I$18,Tbl_MasterKPI[Date],$A41),NA())</f>
        <v/>
      </c>
      <c r="J41" s="21">
        <f>IFERROR(AVERAGEIFS(Tbl_MasterKPI[Achievement %],Tbl_MasterKPI[Department],J$18,Tbl_MasterKPI[Date],$A41),NA())</f>
        <v/>
      </c>
      <c r="K41" s="21">
        <f>IFERROR(AVERAGEIFS(Tbl_MasterKPI[Achievement %],Tbl_MasterKPI[Department],K$18,Tbl_MasterKPI[Date],$A41),NA())</f>
        <v/>
      </c>
      <c r="M41" s="43">
        <f>AVERAGE(B41,C41,D41,E41,F41,G41,H41,I41,J41,K41)</f>
        <v/>
      </c>
    </row>
    <row r="42">
      <c r="A42" s="20" t="n">
        <v>46153</v>
      </c>
      <c r="B42" s="21">
        <f>IFERROR(AVERAGEIFS(Tbl_MasterKPI[Achievement %],Tbl_MasterKPI[Department],B$18,Tbl_MasterKPI[Date],$A42),NA())</f>
        <v/>
      </c>
      <c r="C42" s="21">
        <f>IFERROR(AVERAGEIFS(Tbl_MasterKPI[Achievement %],Tbl_MasterKPI[Department],C$18,Tbl_MasterKPI[Date],$A42),NA())</f>
        <v/>
      </c>
      <c r="D42" s="21">
        <f>IFERROR(AVERAGEIFS(Tbl_MasterKPI[Achievement %],Tbl_MasterKPI[Department],D$18,Tbl_MasterKPI[Date],$A42),NA())</f>
        <v/>
      </c>
      <c r="E42" s="21">
        <f>IFERROR(AVERAGEIFS(Tbl_MasterKPI[Achievement %],Tbl_MasterKPI[Department],E$18,Tbl_MasterKPI[Date],$A42),NA())</f>
        <v/>
      </c>
      <c r="F42" s="21">
        <f>IFERROR(AVERAGEIFS(Tbl_MasterKPI[Achievement %],Tbl_MasterKPI[Department],F$18,Tbl_MasterKPI[Date],$A42),NA())</f>
        <v/>
      </c>
      <c r="G42" s="21">
        <f>IFERROR(AVERAGEIFS(Tbl_MasterKPI[Achievement %],Tbl_MasterKPI[Department],G$18,Tbl_MasterKPI[Date],$A42),NA())</f>
        <v/>
      </c>
      <c r="H42" s="21">
        <f>IFERROR(AVERAGEIFS(Tbl_MasterKPI[Achievement %],Tbl_MasterKPI[Department],H$18,Tbl_MasterKPI[Date],$A42),NA())</f>
        <v/>
      </c>
      <c r="I42" s="21">
        <f>IFERROR(AVERAGEIFS(Tbl_MasterKPI[Achievement %],Tbl_MasterKPI[Department],I$18,Tbl_MasterKPI[Date],$A42),NA())</f>
        <v/>
      </c>
      <c r="J42" s="21">
        <f>IFERROR(AVERAGEIFS(Tbl_MasterKPI[Achievement %],Tbl_MasterKPI[Department],J$18,Tbl_MasterKPI[Date],$A42),NA())</f>
        <v/>
      </c>
      <c r="K42" s="21">
        <f>IFERROR(AVERAGEIFS(Tbl_MasterKPI[Achievement %],Tbl_MasterKPI[Department],K$18,Tbl_MasterKPI[Date],$A42),NA())</f>
        <v/>
      </c>
      <c r="M42" s="43">
        <f>AVERAGE(B42,C42,D42,E42,F42,G42,H42,I42,J42,K42)</f>
        <v/>
      </c>
    </row>
    <row r="43">
      <c r="A43" s="20" t="n">
        <v>46154</v>
      </c>
      <c r="B43" s="21">
        <f>IFERROR(AVERAGEIFS(Tbl_MasterKPI[Achievement %],Tbl_MasterKPI[Department],B$18,Tbl_MasterKPI[Date],$A43),NA())</f>
        <v/>
      </c>
      <c r="C43" s="21">
        <f>IFERROR(AVERAGEIFS(Tbl_MasterKPI[Achievement %],Tbl_MasterKPI[Department],C$18,Tbl_MasterKPI[Date],$A43),NA())</f>
        <v/>
      </c>
      <c r="D43" s="21">
        <f>IFERROR(AVERAGEIFS(Tbl_MasterKPI[Achievement %],Tbl_MasterKPI[Department],D$18,Tbl_MasterKPI[Date],$A43),NA())</f>
        <v/>
      </c>
      <c r="E43" s="21">
        <f>IFERROR(AVERAGEIFS(Tbl_MasterKPI[Achievement %],Tbl_MasterKPI[Department],E$18,Tbl_MasterKPI[Date],$A43),NA())</f>
        <v/>
      </c>
      <c r="F43" s="21">
        <f>IFERROR(AVERAGEIFS(Tbl_MasterKPI[Achievement %],Tbl_MasterKPI[Department],F$18,Tbl_MasterKPI[Date],$A43),NA())</f>
        <v/>
      </c>
      <c r="G43" s="21">
        <f>IFERROR(AVERAGEIFS(Tbl_MasterKPI[Achievement %],Tbl_MasterKPI[Department],G$18,Tbl_MasterKPI[Date],$A43),NA())</f>
        <v/>
      </c>
      <c r="H43" s="21">
        <f>IFERROR(AVERAGEIFS(Tbl_MasterKPI[Achievement %],Tbl_MasterKPI[Department],H$18,Tbl_MasterKPI[Date],$A43),NA())</f>
        <v/>
      </c>
      <c r="I43" s="21">
        <f>IFERROR(AVERAGEIFS(Tbl_MasterKPI[Achievement %],Tbl_MasterKPI[Department],I$18,Tbl_MasterKPI[Date],$A43),NA())</f>
        <v/>
      </c>
      <c r="J43" s="21">
        <f>IFERROR(AVERAGEIFS(Tbl_MasterKPI[Achievement %],Tbl_MasterKPI[Department],J$18,Tbl_MasterKPI[Date],$A43),NA())</f>
        <v/>
      </c>
      <c r="K43" s="21">
        <f>IFERROR(AVERAGEIFS(Tbl_MasterKPI[Achievement %],Tbl_MasterKPI[Department],K$18,Tbl_MasterKPI[Date],$A43),NA())</f>
        <v/>
      </c>
      <c r="M43" s="43">
        <f>AVERAGE(B43,C43,D43,E43,F43,G43,H43,I43,J43,K43)</f>
        <v/>
      </c>
    </row>
    <row r="44">
      <c r="A44" s="20" t="n">
        <v>46155</v>
      </c>
      <c r="B44" s="21">
        <f>IFERROR(AVERAGEIFS(Tbl_MasterKPI[Achievement %],Tbl_MasterKPI[Department],B$18,Tbl_MasterKPI[Date],$A44),NA())</f>
        <v/>
      </c>
      <c r="C44" s="21">
        <f>IFERROR(AVERAGEIFS(Tbl_MasterKPI[Achievement %],Tbl_MasterKPI[Department],C$18,Tbl_MasterKPI[Date],$A44),NA())</f>
        <v/>
      </c>
      <c r="D44" s="21">
        <f>IFERROR(AVERAGEIFS(Tbl_MasterKPI[Achievement %],Tbl_MasterKPI[Department],D$18,Tbl_MasterKPI[Date],$A44),NA())</f>
        <v/>
      </c>
      <c r="E44" s="21">
        <f>IFERROR(AVERAGEIFS(Tbl_MasterKPI[Achievement %],Tbl_MasterKPI[Department],E$18,Tbl_MasterKPI[Date],$A44),NA())</f>
        <v/>
      </c>
      <c r="F44" s="21">
        <f>IFERROR(AVERAGEIFS(Tbl_MasterKPI[Achievement %],Tbl_MasterKPI[Department],F$18,Tbl_MasterKPI[Date],$A44),NA())</f>
        <v/>
      </c>
      <c r="G44" s="21">
        <f>IFERROR(AVERAGEIFS(Tbl_MasterKPI[Achievement %],Tbl_MasterKPI[Department],G$18,Tbl_MasterKPI[Date],$A44),NA())</f>
        <v/>
      </c>
      <c r="H44" s="21">
        <f>IFERROR(AVERAGEIFS(Tbl_MasterKPI[Achievement %],Tbl_MasterKPI[Department],H$18,Tbl_MasterKPI[Date],$A44),NA())</f>
        <v/>
      </c>
      <c r="I44" s="21">
        <f>IFERROR(AVERAGEIFS(Tbl_MasterKPI[Achievement %],Tbl_MasterKPI[Department],I$18,Tbl_MasterKPI[Date],$A44),NA())</f>
        <v/>
      </c>
      <c r="J44" s="21">
        <f>IFERROR(AVERAGEIFS(Tbl_MasterKPI[Achievement %],Tbl_MasterKPI[Department],J$18,Tbl_MasterKPI[Date],$A44),NA())</f>
        <v/>
      </c>
      <c r="K44" s="21">
        <f>IFERROR(AVERAGEIFS(Tbl_MasterKPI[Achievement %],Tbl_MasterKPI[Department],K$18,Tbl_MasterKPI[Date],$A44),NA())</f>
        <v/>
      </c>
      <c r="M44" s="43">
        <f>AVERAGE(B44,C44,D44,E44,F44,G44,H44,I44,J44,K44)</f>
        <v/>
      </c>
    </row>
    <row r="45">
      <c r="A45" s="20" t="n">
        <v>46156</v>
      </c>
      <c r="B45" s="21">
        <f>IFERROR(AVERAGEIFS(Tbl_MasterKPI[Achievement %],Tbl_MasterKPI[Department],B$18,Tbl_MasterKPI[Date],$A45),NA())</f>
        <v/>
      </c>
      <c r="C45" s="21">
        <f>IFERROR(AVERAGEIFS(Tbl_MasterKPI[Achievement %],Tbl_MasterKPI[Department],C$18,Tbl_MasterKPI[Date],$A45),NA())</f>
        <v/>
      </c>
      <c r="D45" s="21">
        <f>IFERROR(AVERAGEIFS(Tbl_MasterKPI[Achievement %],Tbl_MasterKPI[Department],D$18,Tbl_MasterKPI[Date],$A45),NA())</f>
        <v/>
      </c>
      <c r="E45" s="21">
        <f>IFERROR(AVERAGEIFS(Tbl_MasterKPI[Achievement %],Tbl_MasterKPI[Department],E$18,Tbl_MasterKPI[Date],$A45),NA())</f>
        <v/>
      </c>
      <c r="F45" s="21">
        <f>IFERROR(AVERAGEIFS(Tbl_MasterKPI[Achievement %],Tbl_MasterKPI[Department],F$18,Tbl_MasterKPI[Date],$A45),NA())</f>
        <v/>
      </c>
      <c r="G45" s="21">
        <f>IFERROR(AVERAGEIFS(Tbl_MasterKPI[Achievement %],Tbl_MasterKPI[Department],G$18,Tbl_MasterKPI[Date],$A45),NA())</f>
        <v/>
      </c>
      <c r="H45" s="21">
        <f>IFERROR(AVERAGEIFS(Tbl_MasterKPI[Achievement %],Tbl_MasterKPI[Department],H$18,Tbl_MasterKPI[Date],$A45),NA())</f>
        <v/>
      </c>
      <c r="I45" s="21">
        <f>IFERROR(AVERAGEIFS(Tbl_MasterKPI[Achievement %],Tbl_MasterKPI[Department],I$18,Tbl_MasterKPI[Date],$A45),NA())</f>
        <v/>
      </c>
      <c r="J45" s="21">
        <f>IFERROR(AVERAGEIFS(Tbl_MasterKPI[Achievement %],Tbl_MasterKPI[Department],J$18,Tbl_MasterKPI[Date],$A45),NA())</f>
        <v/>
      </c>
      <c r="K45" s="21">
        <f>IFERROR(AVERAGEIFS(Tbl_MasterKPI[Achievement %],Tbl_MasterKPI[Department],K$18,Tbl_MasterKPI[Date],$A45),NA())</f>
        <v/>
      </c>
      <c r="M45" s="43">
        <f>AVERAGE(B45,C45,D45,E45,F45,G45,H45,I45,J45,K45)</f>
        <v/>
      </c>
    </row>
    <row r="46">
      <c r="A46" s="20" t="n">
        <v>46157</v>
      </c>
      <c r="B46" s="21">
        <f>IFERROR(AVERAGEIFS(Tbl_MasterKPI[Achievement %],Tbl_MasterKPI[Department],B$18,Tbl_MasterKPI[Date],$A46),NA())</f>
        <v/>
      </c>
      <c r="C46" s="21">
        <f>IFERROR(AVERAGEIFS(Tbl_MasterKPI[Achievement %],Tbl_MasterKPI[Department],C$18,Tbl_MasterKPI[Date],$A46),NA())</f>
        <v/>
      </c>
      <c r="D46" s="21">
        <f>IFERROR(AVERAGEIFS(Tbl_MasterKPI[Achievement %],Tbl_MasterKPI[Department],D$18,Tbl_MasterKPI[Date],$A46),NA())</f>
        <v/>
      </c>
      <c r="E46" s="21">
        <f>IFERROR(AVERAGEIFS(Tbl_MasterKPI[Achievement %],Tbl_MasterKPI[Department],E$18,Tbl_MasterKPI[Date],$A46),NA())</f>
        <v/>
      </c>
      <c r="F46" s="21">
        <f>IFERROR(AVERAGEIFS(Tbl_MasterKPI[Achievement %],Tbl_MasterKPI[Department],F$18,Tbl_MasterKPI[Date],$A46),NA())</f>
        <v/>
      </c>
      <c r="G46" s="21">
        <f>IFERROR(AVERAGEIFS(Tbl_MasterKPI[Achievement %],Tbl_MasterKPI[Department],G$18,Tbl_MasterKPI[Date],$A46),NA())</f>
        <v/>
      </c>
      <c r="H46" s="21">
        <f>IFERROR(AVERAGEIFS(Tbl_MasterKPI[Achievement %],Tbl_MasterKPI[Department],H$18,Tbl_MasterKPI[Date],$A46),NA())</f>
        <v/>
      </c>
      <c r="I46" s="21">
        <f>IFERROR(AVERAGEIFS(Tbl_MasterKPI[Achievement %],Tbl_MasterKPI[Department],I$18,Tbl_MasterKPI[Date],$A46),NA())</f>
        <v/>
      </c>
      <c r="J46" s="21">
        <f>IFERROR(AVERAGEIFS(Tbl_MasterKPI[Achievement %],Tbl_MasterKPI[Department],J$18,Tbl_MasterKPI[Date],$A46),NA())</f>
        <v/>
      </c>
      <c r="K46" s="21">
        <f>IFERROR(AVERAGEIFS(Tbl_MasterKPI[Achievement %],Tbl_MasterKPI[Department],K$18,Tbl_MasterKPI[Date],$A46),NA())</f>
        <v/>
      </c>
      <c r="M46" s="43">
        <f>AVERAGE(B46,C46,D46,E46,F46,G46,H46,I46,J46,K46)</f>
        <v/>
      </c>
    </row>
    <row r="47">
      <c r="A47" s="20" t="n">
        <v>46158</v>
      </c>
      <c r="B47" s="21">
        <f>IFERROR(AVERAGEIFS(Tbl_MasterKPI[Achievement %],Tbl_MasterKPI[Department],B$18,Tbl_MasterKPI[Date],$A47),NA())</f>
        <v/>
      </c>
      <c r="C47" s="21">
        <f>IFERROR(AVERAGEIFS(Tbl_MasterKPI[Achievement %],Tbl_MasterKPI[Department],C$18,Tbl_MasterKPI[Date],$A47),NA())</f>
        <v/>
      </c>
      <c r="D47" s="21">
        <f>IFERROR(AVERAGEIFS(Tbl_MasterKPI[Achievement %],Tbl_MasterKPI[Department],D$18,Tbl_MasterKPI[Date],$A47),NA())</f>
        <v/>
      </c>
      <c r="E47" s="21">
        <f>IFERROR(AVERAGEIFS(Tbl_MasterKPI[Achievement %],Tbl_MasterKPI[Department],E$18,Tbl_MasterKPI[Date],$A47),NA())</f>
        <v/>
      </c>
      <c r="F47" s="21">
        <f>IFERROR(AVERAGEIFS(Tbl_MasterKPI[Achievement %],Tbl_MasterKPI[Department],F$18,Tbl_MasterKPI[Date],$A47),NA())</f>
        <v/>
      </c>
      <c r="G47" s="21">
        <f>IFERROR(AVERAGEIFS(Tbl_MasterKPI[Achievement %],Tbl_MasterKPI[Department],G$18,Tbl_MasterKPI[Date],$A47),NA())</f>
        <v/>
      </c>
      <c r="H47" s="21">
        <f>IFERROR(AVERAGEIFS(Tbl_MasterKPI[Achievement %],Tbl_MasterKPI[Department],H$18,Tbl_MasterKPI[Date],$A47),NA())</f>
        <v/>
      </c>
      <c r="I47" s="21">
        <f>IFERROR(AVERAGEIFS(Tbl_MasterKPI[Achievement %],Tbl_MasterKPI[Department],I$18,Tbl_MasterKPI[Date],$A47),NA())</f>
        <v/>
      </c>
      <c r="J47" s="21">
        <f>IFERROR(AVERAGEIFS(Tbl_MasterKPI[Achievement %],Tbl_MasterKPI[Department],J$18,Tbl_MasterKPI[Date],$A47),NA())</f>
        <v/>
      </c>
      <c r="K47" s="21">
        <f>IFERROR(AVERAGEIFS(Tbl_MasterKPI[Achievement %],Tbl_MasterKPI[Department],K$18,Tbl_MasterKPI[Date],$A47),NA())</f>
        <v/>
      </c>
      <c r="M47" s="43">
        <f>AVERAGE(B47,C47,D47,E47,F47,G47,H47,I47,J47,K47)</f>
        <v/>
      </c>
    </row>
    <row r="48">
      <c r="A48" s="20" t="n">
        <v>46159</v>
      </c>
      <c r="B48" s="21">
        <f>IFERROR(AVERAGEIFS(Tbl_MasterKPI[Achievement %],Tbl_MasterKPI[Department],B$18,Tbl_MasterKPI[Date],$A48),NA())</f>
        <v/>
      </c>
      <c r="C48" s="21">
        <f>IFERROR(AVERAGEIFS(Tbl_MasterKPI[Achievement %],Tbl_MasterKPI[Department],C$18,Tbl_MasterKPI[Date],$A48),NA())</f>
        <v/>
      </c>
      <c r="D48" s="21">
        <f>IFERROR(AVERAGEIFS(Tbl_MasterKPI[Achievement %],Tbl_MasterKPI[Department],D$18,Tbl_MasterKPI[Date],$A48),NA())</f>
        <v/>
      </c>
      <c r="E48" s="21">
        <f>IFERROR(AVERAGEIFS(Tbl_MasterKPI[Achievement %],Tbl_MasterKPI[Department],E$18,Tbl_MasterKPI[Date],$A48),NA())</f>
        <v/>
      </c>
      <c r="F48" s="21">
        <f>IFERROR(AVERAGEIFS(Tbl_MasterKPI[Achievement %],Tbl_MasterKPI[Department],F$18,Tbl_MasterKPI[Date],$A48),NA())</f>
        <v/>
      </c>
      <c r="G48" s="21">
        <f>IFERROR(AVERAGEIFS(Tbl_MasterKPI[Achievement %],Tbl_MasterKPI[Department],G$18,Tbl_MasterKPI[Date],$A48),NA())</f>
        <v/>
      </c>
      <c r="H48" s="21">
        <f>IFERROR(AVERAGEIFS(Tbl_MasterKPI[Achievement %],Tbl_MasterKPI[Department],H$18,Tbl_MasterKPI[Date],$A48),NA())</f>
        <v/>
      </c>
      <c r="I48" s="21">
        <f>IFERROR(AVERAGEIFS(Tbl_MasterKPI[Achievement %],Tbl_MasterKPI[Department],I$18,Tbl_MasterKPI[Date],$A48),NA())</f>
        <v/>
      </c>
      <c r="J48" s="21">
        <f>IFERROR(AVERAGEIFS(Tbl_MasterKPI[Achievement %],Tbl_MasterKPI[Department],J$18,Tbl_MasterKPI[Date],$A48),NA())</f>
        <v/>
      </c>
      <c r="K48" s="21">
        <f>IFERROR(AVERAGEIFS(Tbl_MasterKPI[Achievement %],Tbl_MasterKPI[Department],K$18,Tbl_MasterKPI[Date],$A48),NA())</f>
        <v/>
      </c>
      <c r="M48" s="43">
        <f>AVERAGE(B48,C48,D48,E48,F48,G48,H48,I48,J48,K48)</f>
        <v/>
      </c>
    </row>
    <row r="49">
      <c r="A49" s="20" t="n">
        <v>46160</v>
      </c>
      <c r="B49" s="21">
        <f>IFERROR(AVERAGEIFS(Tbl_MasterKPI[Achievement %],Tbl_MasterKPI[Department],B$18,Tbl_MasterKPI[Date],$A49),NA())</f>
        <v/>
      </c>
      <c r="C49" s="21">
        <f>IFERROR(AVERAGEIFS(Tbl_MasterKPI[Achievement %],Tbl_MasterKPI[Department],C$18,Tbl_MasterKPI[Date],$A49),NA())</f>
        <v/>
      </c>
      <c r="D49" s="21">
        <f>IFERROR(AVERAGEIFS(Tbl_MasterKPI[Achievement %],Tbl_MasterKPI[Department],D$18,Tbl_MasterKPI[Date],$A49),NA())</f>
        <v/>
      </c>
      <c r="E49" s="21">
        <f>IFERROR(AVERAGEIFS(Tbl_MasterKPI[Achievement %],Tbl_MasterKPI[Department],E$18,Tbl_MasterKPI[Date],$A49),NA())</f>
        <v/>
      </c>
      <c r="F49" s="21">
        <f>IFERROR(AVERAGEIFS(Tbl_MasterKPI[Achievement %],Tbl_MasterKPI[Department],F$18,Tbl_MasterKPI[Date],$A49),NA())</f>
        <v/>
      </c>
      <c r="G49" s="21">
        <f>IFERROR(AVERAGEIFS(Tbl_MasterKPI[Achievement %],Tbl_MasterKPI[Department],G$18,Tbl_MasterKPI[Date],$A49),NA())</f>
        <v/>
      </c>
      <c r="H49" s="21">
        <f>IFERROR(AVERAGEIFS(Tbl_MasterKPI[Achievement %],Tbl_MasterKPI[Department],H$18,Tbl_MasterKPI[Date],$A49),NA())</f>
        <v/>
      </c>
      <c r="I49" s="21">
        <f>IFERROR(AVERAGEIFS(Tbl_MasterKPI[Achievement %],Tbl_MasterKPI[Department],I$18,Tbl_MasterKPI[Date],$A49),NA())</f>
        <v/>
      </c>
      <c r="J49" s="21">
        <f>IFERROR(AVERAGEIFS(Tbl_MasterKPI[Achievement %],Tbl_MasterKPI[Department],J$18,Tbl_MasterKPI[Date],$A49),NA())</f>
        <v/>
      </c>
      <c r="K49" s="21">
        <f>IFERROR(AVERAGEIFS(Tbl_MasterKPI[Achievement %],Tbl_MasterKPI[Department],K$18,Tbl_MasterKPI[Date],$A49),NA())</f>
        <v/>
      </c>
      <c r="M49" s="43">
        <f>AVERAGE(B49,C49,D49,E49,F49,G49,H49,I49,J49,K49)</f>
        <v/>
      </c>
    </row>
    <row r="50">
      <c r="A50" s="20" t="n">
        <v>46161</v>
      </c>
      <c r="B50" s="21">
        <f>IFERROR(AVERAGEIFS(Tbl_MasterKPI[Achievement %],Tbl_MasterKPI[Department],B$18,Tbl_MasterKPI[Date],$A50),NA())</f>
        <v/>
      </c>
      <c r="C50" s="21">
        <f>IFERROR(AVERAGEIFS(Tbl_MasterKPI[Achievement %],Tbl_MasterKPI[Department],C$18,Tbl_MasterKPI[Date],$A50),NA())</f>
        <v/>
      </c>
      <c r="D50" s="21">
        <f>IFERROR(AVERAGEIFS(Tbl_MasterKPI[Achievement %],Tbl_MasterKPI[Department],D$18,Tbl_MasterKPI[Date],$A50),NA())</f>
        <v/>
      </c>
      <c r="E50" s="21">
        <f>IFERROR(AVERAGEIFS(Tbl_MasterKPI[Achievement %],Tbl_MasterKPI[Department],E$18,Tbl_MasterKPI[Date],$A50),NA())</f>
        <v/>
      </c>
      <c r="F50" s="21">
        <f>IFERROR(AVERAGEIFS(Tbl_MasterKPI[Achievement %],Tbl_MasterKPI[Department],F$18,Tbl_MasterKPI[Date],$A50),NA())</f>
        <v/>
      </c>
      <c r="G50" s="21">
        <f>IFERROR(AVERAGEIFS(Tbl_MasterKPI[Achievement %],Tbl_MasterKPI[Department],G$18,Tbl_MasterKPI[Date],$A50),NA())</f>
        <v/>
      </c>
      <c r="H50" s="21">
        <f>IFERROR(AVERAGEIFS(Tbl_MasterKPI[Achievement %],Tbl_MasterKPI[Department],H$18,Tbl_MasterKPI[Date],$A50),NA())</f>
        <v/>
      </c>
      <c r="I50" s="21">
        <f>IFERROR(AVERAGEIFS(Tbl_MasterKPI[Achievement %],Tbl_MasterKPI[Department],I$18,Tbl_MasterKPI[Date],$A50),NA())</f>
        <v/>
      </c>
      <c r="J50" s="21">
        <f>IFERROR(AVERAGEIFS(Tbl_MasterKPI[Achievement %],Tbl_MasterKPI[Department],J$18,Tbl_MasterKPI[Date],$A50),NA())</f>
        <v/>
      </c>
      <c r="K50" s="21">
        <f>IFERROR(AVERAGEIFS(Tbl_MasterKPI[Achievement %],Tbl_MasterKPI[Department],K$18,Tbl_MasterKPI[Date],$A50),NA())</f>
        <v/>
      </c>
      <c r="M50" s="43">
        <f>AVERAGE(B50,C50,D50,E50,F50,G50,H50,I50,J50,K50)</f>
        <v/>
      </c>
    </row>
    <row r="51">
      <c r="A51" s="20" t="n">
        <v>46162</v>
      </c>
      <c r="B51" s="21">
        <f>IFERROR(AVERAGEIFS(Tbl_MasterKPI[Achievement %],Tbl_MasterKPI[Department],B$18,Tbl_MasterKPI[Date],$A51),NA())</f>
        <v/>
      </c>
      <c r="C51" s="21">
        <f>IFERROR(AVERAGEIFS(Tbl_MasterKPI[Achievement %],Tbl_MasterKPI[Department],C$18,Tbl_MasterKPI[Date],$A51),NA())</f>
        <v/>
      </c>
      <c r="D51" s="21">
        <f>IFERROR(AVERAGEIFS(Tbl_MasterKPI[Achievement %],Tbl_MasterKPI[Department],D$18,Tbl_MasterKPI[Date],$A51),NA())</f>
        <v/>
      </c>
      <c r="E51" s="21">
        <f>IFERROR(AVERAGEIFS(Tbl_MasterKPI[Achievement %],Tbl_MasterKPI[Department],E$18,Tbl_MasterKPI[Date],$A51),NA())</f>
        <v/>
      </c>
      <c r="F51" s="21">
        <f>IFERROR(AVERAGEIFS(Tbl_MasterKPI[Achievement %],Tbl_MasterKPI[Department],F$18,Tbl_MasterKPI[Date],$A51),NA())</f>
        <v/>
      </c>
      <c r="G51" s="21">
        <f>IFERROR(AVERAGEIFS(Tbl_MasterKPI[Achievement %],Tbl_MasterKPI[Department],G$18,Tbl_MasterKPI[Date],$A51),NA())</f>
        <v/>
      </c>
      <c r="H51" s="21">
        <f>IFERROR(AVERAGEIFS(Tbl_MasterKPI[Achievement %],Tbl_MasterKPI[Department],H$18,Tbl_MasterKPI[Date],$A51),NA())</f>
        <v/>
      </c>
      <c r="I51" s="21">
        <f>IFERROR(AVERAGEIFS(Tbl_MasterKPI[Achievement %],Tbl_MasterKPI[Department],I$18,Tbl_MasterKPI[Date],$A51),NA())</f>
        <v/>
      </c>
      <c r="J51" s="21">
        <f>IFERROR(AVERAGEIFS(Tbl_MasterKPI[Achievement %],Tbl_MasterKPI[Department],J$18,Tbl_MasterKPI[Date],$A51),NA())</f>
        <v/>
      </c>
      <c r="K51" s="21">
        <f>IFERROR(AVERAGEIFS(Tbl_MasterKPI[Achievement %],Tbl_MasterKPI[Department],K$18,Tbl_MasterKPI[Date],$A51),NA())</f>
        <v/>
      </c>
      <c r="M51" s="43">
        <f>AVERAGE(B51,C51,D51,E51,F51,G51,H51,I51,J51,K51)</f>
        <v/>
      </c>
    </row>
    <row r="52">
      <c r="A52" s="20" t="n">
        <v>46163</v>
      </c>
      <c r="B52" s="21">
        <f>IFERROR(AVERAGEIFS(Tbl_MasterKPI[Achievement %],Tbl_MasterKPI[Department],B$18,Tbl_MasterKPI[Date],$A52),NA())</f>
        <v/>
      </c>
      <c r="C52" s="21">
        <f>IFERROR(AVERAGEIFS(Tbl_MasterKPI[Achievement %],Tbl_MasterKPI[Department],C$18,Tbl_MasterKPI[Date],$A52),NA())</f>
        <v/>
      </c>
      <c r="D52" s="21">
        <f>IFERROR(AVERAGEIFS(Tbl_MasterKPI[Achievement %],Tbl_MasterKPI[Department],D$18,Tbl_MasterKPI[Date],$A52),NA())</f>
        <v/>
      </c>
      <c r="E52" s="21">
        <f>IFERROR(AVERAGEIFS(Tbl_MasterKPI[Achievement %],Tbl_MasterKPI[Department],E$18,Tbl_MasterKPI[Date],$A52),NA())</f>
        <v/>
      </c>
      <c r="F52" s="21">
        <f>IFERROR(AVERAGEIFS(Tbl_MasterKPI[Achievement %],Tbl_MasterKPI[Department],F$18,Tbl_MasterKPI[Date],$A52),NA())</f>
        <v/>
      </c>
      <c r="G52" s="21">
        <f>IFERROR(AVERAGEIFS(Tbl_MasterKPI[Achievement %],Tbl_MasterKPI[Department],G$18,Tbl_MasterKPI[Date],$A52),NA())</f>
        <v/>
      </c>
      <c r="H52" s="21">
        <f>IFERROR(AVERAGEIFS(Tbl_MasterKPI[Achievement %],Tbl_MasterKPI[Department],H$18,Tbl_MasterKPI[Date],$A52),NA())</f>
        <v/>
      </c>
      <c r="I52" s="21">
        <f>IFERROR(AVERAGEIFS(Tbl_MasterKPI[Achievement %],Tbl_MasterKPI[Department],I$18,Tbl_MasterKPI[Date],$A52),NA())</f>
        <v/>
      </c>
      <c r="J52" s="21">
        <f>IFERROR(AVERAGEIFS(Tbl_MasterKPI[Achievement %],Tbl_MasterKPI[Department],J$18,Tbl_MasterKPI[Date],$A52),NA())</f>
        <v/>
      </c>
      <c r="K52" s="21">
        <f>IFERROR(AVERAGEIFS(Tbl_MasterKPI[Achievement %],Tbl_MasterKPI[Department],K$18,Tbl_MasterKPI[Date],$A52),NA())</f>
        <v/>
      </c>
      <c r="M52" s="43">
        <f>AVERAGE(B52,C52,D52,E52,F52,G52,H52,I52,J52,K52)</f>
        <v/>
      </c>
    </row>
    <row r="53">
      <c r="A53" s="20" t="n">
        <v>46164</v>
      </c>
      <c r="B53" s="21">
        <f>IFERROR(AVERAGEIFS(Tbl_MasterKPI[Achievement %],Tbl_MasterKPI[Department],B$18,Tbl_MasterKPI[Date],$A53),NA())</f>
        <v/>
      </c>
      <c r="C53" s="21">
        <f>IFERROR(AVERAGEIFS(Tbl_MasterKPI[Achievement %],Tbl_MasterKPI[Department],C$18,Tbl_MasterKPI[Date],$A53),NA())</f>
        <v/>
      </c>
      <c r="D53" s="21">
        <f>IFERROR(AVERAGEIFS(Tbl_MasterKPI[Achievement %],Tbl_MasterKPI[Department],D$18,Tbl_MasterKPI[Date],$A53),NA())</f>
        <v/>
      </c>
      <c r="E53" s="21">
        <f>IFERROR(AVERAGEIFS(Tbl_MasterKPI[Achievement %],Tbl_MasterKPI[Department],E$18,Tbl_MasterKPI[Date],$A53),NA())</f>
        <v/>
      </c>
      <c r="F53" s="21">
        <f>IFERROR(AVERAGEIFS(Tbl_MasterKPI[Achievement %],Tbl_MasterKPI[Department],F$18,Tbl_MasterKPI[Date],$A53),NA())</f>
        <v/>
      </c>
      <c r="G53" s="21">
        <f>IFERROR(AVERAGEIFS(Tbl_MasterKPI[Achievement %],Tbl_MasterKPI[Department],G$18,Tbl_MasterKPI[Date],$A53),NA())</f>
        <v/>
      </c>
      <c r="H53" s="21">
        <f>IFERROR(AVERAGEIFS(Tbl_MasterKPI[Achievement %],Tbl_MasterKPI[Department],H$18,Tbl_MasterKPI[Date],$A53),NA())</f>
        <v/>
      </c>
      <c r="I53" s="21">
        <f>IFERROR(AVERAGEIFS(Tbl_MasterKPI[Achievement %],Tbl_MasterKPI[Department],I$18,Tbl_MasterKPI[Date],$A53),NA())</f>
        <v/>
      </c>
      <c r="J53" s="21">
        <f>IFERROR(AVERAGEIFS(Tbl_MasterKPI[Achievement %],Tbl_MasterKPI[Department],J$18,Tbl_MasterKPI[Date],$A53),NA())</f>
        <v/>
      </c>
      <c r="K53" s="21">
        <f>IFERROR(AVERAGEIFS(Tbl_MasterKPI[Achievement %],Tbl_MasterKPI[Department],K$18,Tbl_MasterKPI[Date],$A53),NA())</f>
        <v/>
      </c>
      <c r="M53" s="43">
        <f>AVERAGE(B53,C53,D53,E53,F53,G53,H53,I53,J53,K53)</f>
        <v/>
      </c>
    </row>
    <row r="54">
      <c r="A54" s="20" t="n">
        <v>46165</v>
      </c>
      <c r="B54" s="21">
        <f>IFERROR(AVERAGEIFS(Tbl_MasterKPI[Achievement %],Tbl_MasterKPI[Department],B$18,Tbl_MasterKPI[Date],$A54),NA())</f>
        <v/>
      </c>
      <c r="C54" s="21">
        <f>IFERROR(AVERAGEIFS(Tbl_MasterKPI[Achievement %],Tbl_MasterKPI[Department],C$18,Tbl_MasterKPI[Date],$A54),NA())</f>
        <v/>
      </c>
      <c r="D54" s="21">
        <f>IFERROR(AVERAGEIFS(Tbl_MasterKPI[Achievement %],Tbl_MasterKPI[Department],D$18,Tbl_MasterKPI[Date],$A54),NA())</f>
        <v/>
      </c>
      <c r="E54" s="21">
        <f>IFERROR(AVERAGEIFS(Tbl_MasterKPI[Achievement %],Tbl_MasterKPI[Department],E$18,Tbl_MasterKPI[Date],$A54),NA())</f>
        <v/>
      </c>
      <c r="F54" s="21">
        <f>IFERROR(AVERAGEIFS(Tbl_MasterKPI[Achievement %],Tbl_MasterKPI[Department],F$18,Tbl_MasterKPI[Date],$A54),NA())</f>
        <v/>
      </c>
      <c r="G54" s="21">
        <f>IFERROR(AVERAGEIFS(Tbl_MasterKPI[Achievement %],Tbl_MasterKPI[Department],G$18,Tbl_MasterKPI[Date],$A54),NA())</f>
        <v/>
      </c>
      <c r="H54" s="21">
        <f>IFERROR(AVERAGEIFS(Tbl_MasterKPI[Achievement %],Tbl_MasterKPI[Department],H$18,Tbl_MasterKPI[Date],$A54),NA())</f>
        <v/>
      </c>
      <c r="I54" s="21">
        <f>IFERROR(AVERAGEIFS(Tbl_MasterKPI[Achievement %],Tbl_MasterKPI[Department],I$18,Tbl_MasterKPI[Date],$A54),NA())</f>
        <v/>
      </c>
      <c r="J54" s="21">
        <f>IFERROR(AVERAGEIFS(Tbl_MasterKPI[Achievement %],Tbl_MasterKPI[Department],J$18,Tbl_MasterKPI[Date],$A54),NA())</f>
        <v/>
      </c>
      <c r="K54" s="21">
        <f>IFERROR(AVERAGEIFS(Tbl_MasterKPI[Achievement %],Tbl_MasterKPI[Department],K$18,Tbl_MasterKPI[Date],$A54),NA())</f>
        <v/>
      </c>
      <c r="M54" s="43">
        <f>AVERAGE(B54,C54,D54,E54,F54,G54,H54,I54,J54,K54)</f>
        <v/>
      </c>
    </row>
    <row r="55">
      <c r="A55" s="20" t="n">
        <v>46166</v>
      </c>
      <c r="B55" s="21">
        <f>IFERROR(AVERAGEIFS(Tbl_MasterKPI[Achievement %],Tbl_MasterKPI[Department],B$18,Tbl_MasterKPI[Date],$A55),NA())</f>
        <v/>
      </c>
      <c r="C55" s="21">
        <f>IFERROR(AVERAGEIFS(Tbl_MasterKPI[Achievement %],Tbl_MasterKPI[Department],C$18,Tbl_MasterKPI[Date],$A55),NA())</f>
        <v/>
      </c>
      <c r="D55" s="21">
        <f>IFERROR(AVERAGEIFS(Tbl_MasterKPI[Achievement %],Tbl_MasterKPI[Department],D$18,Tbl_MasterKPI[Date],$A55),NA())</f>
        <v/>
      </c>
      <c r="E55" s="21">
        <f>IFERROR(AVERAGEIFS(Tbl_MasterKPI[Achievement %],Tbl_MasterKPI[Department],E$18,Tbl_MasterKPI[Date],$A55),NA())</f>
        <v/>
      </c>
      <c r="F55" s="21">
        <f>IFERROR(AVERAGEIFS(Tbl_MasterKPI[Achievement %],Tbl_MasterKPI[Department],F$18,Tbl_MasterKPI[Date],$A55),NA())</f>
        <v/>
      </c>
      <c r="G55" s="21">
        <f>IFERROR(AVERAGEIFS(Tbl_MasterKPI[Achievement %],Tbl_MasterKPI[Department],G$18,Tbl_MasterKPI[Date],$A55),NA())</f>
        <v/>
      </c>
      <c r="H55" s="21">
        <f>IFERROR(AVERAGEIFS(Tbl_MasterKPI[Achievement %],Tbl_MasterKPI[Department],H$18,Tbl_MasterKPI[Date],$A55),NA())</f>
        <v/>
      </c>
      <c r="I55" s="21">
        <f>IFERROR(AVERAGEIFS(Tbl_MasterKPI[Achievement %],Tbl_MasterKPI[Department],I$18,Tbl_MasterKPI[Date],$A55),NA())</f>
        <v/>
      </c>
      <c r="J55" s="21">
        <f>IFERROR(AVERAGEIFS(Tbl_MasterKPI[Achievement %],Tbl_MasterKPI[Department],J$18,Tbl_MasterKPI[Date],$A55),NA())</f>
        <v/>
      </c>
      <c r="K55" s="21">
        <f>IFERROR(AVERAGEIFS(Tbl_MasterKPI[Achievement %],Tbl_MasterKPI[Department],K$18,Tbl_MasterKPI[Date],$A55),NA())</f>
        <v/>
      </c>
      <c r="M55" s="43">
        <f>AVERAGE(B55,C55,D55,E55,F55,G55,H55,I55,J55,K55)</f>
        <v/>
      </c>
    </row>
    <row r="56">
      <c r="A56" s="20" t="n">
        <v>46167</v>
      </c>
      <c r="B56" s="21">
        <f>IFERROR(AVERAGEIFS(Tbl_MasterKPI[Achievement %],Tbl_MasterKPI[Department],B$18,Tbl_MasterKPI[Date],$A56),NA())</f>
        <v/>
      </c>
      <c r="C56" s="21">
        <f>IFERROR(AVERAGEIFS(Tbl_MasterKPI[Achievement %],Tbl_MasterKPI[Department],C$18,Tbl_MasterKPI[Date],$A56),NA())</f>
        <v/>
      </c>
      <c r="D56" s="21">
        <f>IFERROR(AVERAGEIFS(Tbl_MasterKPI[Achievement %],Tbl_MasterKPI[Department],D$18,Tbl_MasterKPI[Date],$A56),NA())</f>
        <v/>
      </c>
      <c r="E56" s="21">
        <f>IFERROR(AVERAGEIFS(Tbl_MasterKPI[Achievement %],Tbl_MasterKPI[Department],E$18,Tbl_MasterKPI[Date],$A56),NA())</f>
        <v/>
      </c>
      <c r="F56" s="21">
        <f>IFERROR(AVERAGEIFS(Tbl_MasterKPI[Achievement %],Tbl_MasterKPI[Department],F$18,Tbl_MasterKPI[Date],$A56),NA())</f>
        <v/>
      </c>
      <c r="G56" s="21">
        <f>IFERROR(AVERAGEIFS(Tbl_MasterKPI[Achievement %],Tbl_MasterKPI[Department],G$18,Tbl_MasterKPI[Date],$A56),NA())</f>
        <v/>
      </c>
      <c r="H56" s="21">
        <f>IFERROR(AVERAGEIFS(Tbl_MasterKPI[Achievement %],Tbl_MasterKPI[Department],H$18,Tbl_MasterKPI[Date],$A56),NA())</f>
        <v/>
      </c>
      <c r="I56" s="21">
        <f>IFERROR(AVERAGEIFS(Tbl_MasterKPI[Achievement %],Tbl_MasterKPI[Department],I$18,Tbl_MasterKPI[Date],$A56),NA())</f>
        <v/>
      </c>
      <c r="J56" s="21">
        <f>IFERROR(AVERAGEIFS(Tbl_MasterKPI[Achievement %],Tbl_MasterKPI[Department],J$18,Tbl_MasterKPI[Date],$A56),NA())</f>
        <v/>
      </c>
      <c r="K56" s="21">
        <f>IFERROR(AVERAGEIFS(Tbl_MasterKPI[Achievement %],Tbl_MasterKPI[Department],K$18,Tbl_MasterKPI[Date],$A56),NA())</f>
        <v/>
      </c>
      <c r="M56" s="43">
        <f>AVERAGE(B56,C56,D56,E56,F56,G56,H56,I56,J56,K56)</f>
        <v/>
      </c>
    </row>
    <row r="57">
      <c r="A57" s="20" t="n">
        <v>46168</v>
      </c>
      <c r="B57" s="21">
        <f>IFERROR(AVERAGEIFS(Tbl_MasterKPI[Achievement %],Tbl_MasterKPI[Department],B$18,Tbl_MasterKPI[Date],$A57),NA())</f>
        <v/>
      </c>
      <c r="C57" s="21">
        <f>IFERROR(AVERAGEIFS(Tbl_MasterKPI[Achievement %],Tbl_MasterKPI[Department],C$18,Tbl_MasterKPI[Date],$A57),NA())</f>
        <v/>
      </c>
      <c r="D57" s="21">
        <f>IFERROR(AVERAGEIFS(Tbl_MasterKPI[Achievement %],Tbl_MasterKPI[Department],D$18,Tbl_MasterKPI[Date],$A57),NA())</f>
        <v/>
      </c>
      <c r="E57" s="21">
        <f>IFERROR(AVERAGEIFS(Tbl_MasterKPI[Achievement %],Tbl_MasterKPI[Department],E$18,Tbl_MasterKPI[Date],$A57),NA())</f>
        <v/>
      </c>
      <c r="F57" s="21">
        <f>IFERROR(AVERAGEIFS(Tbl_MasterKPI[Achievement %],Tbl_MasterKPI[Department],F$18,Tbl_MasterKPI[Date],$A57),NA())</f>
        <v/>
      </c>
      <c r="G57" s="21">
        <f>IFERROR(AVERAGEIFS(Tbl_MasterKPI[Achievement %],Tbl_MasterKPI[Department],G$18,Tbl_MasterKPI[Date],$A57),NA())</f>
        <v/>
      </c>
      <c r="H57" s="21">
        <f>IFERROR(AVERAGEIFS(Tbl_MasterKPI[Achievement %],Tbl_MasterKPI[Department],H$18,Tbl_MasterKPI[Date],$A57),NA())</f>
        <v/>
      </c>
      <c r="I57" s="21">
        <f>IFERROR(AVERAGEIFS(Tbl_MasterKPI[Achievement %],Tbl_MasterKPI[Department],I$18,Tbl_MasterKPI[Date],$A57),NA())</f>
        <v/>
      </c>
      <c r="J57" s="21">
        <f>IFERROR(AVERAGEIFS(Tbl_MasterKPI[Achievement %],Tbl_MasterKPI[Department],J$18,Tbl_MasterKPI[Date],$A57),NA())</f>
        <v/>
      </c>
      <c r="K57" s="21">
        <f>IFERROR(AVERAGEIFS(Tbl_MasterKPI[Achievement %],Tbl_MasterKPI[Department],K$18,Tbl_MasterKPI[Date],$A57),NA())</f>
        <v/>
      </c>
      <c r="M57" s="43">
        <f>AVERAGE(B57,C57,D57,E57,F57,G57,H57,I57,J57,K57)</f>
        <v/>
      </c>
    </row>
    <row r="58">
      <c r="A58" s="20" t="n">
        <v>46169</v>
      </c>
      <c r="B58" s="21">
        <f>IFERROR(AVERAGEIFS(Tbl_MasterKPI[Achievement %],Tbl_MasterKPI[Department],B$18,Tbl_MasterKPI[Date],$A58),NA())</f>
        <v/>
      </c>
      <c r="C58" s="21">
        <f>IFERROR(AVERAGEIFS(Tbl_MasterKPI[Achievement %],Tbl_MasterKPI[Department],C$18,Tbl_MasterKPI[Date],$A58),NA())</f>
        <v/>
      </c>
      <c r="D58" s="21">
        <f>IFERROR(AVERAGEIFS(Tbl_MasterKPI[Achievement %],Tbl_MasterKPI[Department],D$18,Tbl_MasterKPI[Date],$A58),NA())</f>
        <v/>
      </c>
      <c r="E58" s="21">
        <f>IFERROR(AVERAGEIFS(Tbl_MasterKPI[Achievement %],Tbl_MasterKPI[Department],E$18,Tbl_MasterKPI[Date],$A58),NA())</f>
        <v/>
      </c>
      <c r="F58" s="21">
        <f>IFERROR(AVERAGEIFS(Tbl_MasterKPI[Achievement %],Tbl_MasterKPI[Department],F$18,Tbl_MasterKPI[Date],$A58),NA())</f>
        <v/>
      </c>
      <c r="G58" s="21">
        <f>IFERROR(AVERAGEIFS(Tbl_MasterKPI[Achievement %],Tbl_MasterKPI[Department],G$18,Tbl_MasterKPI[Date],$A58),NA())</f>
        <v/>
      </c>
      <c r="H58" s="21">
        <f>IFERROR(AVERAGEIFS(Tbl_MasterKPI[Achievement %],Tbl_MasterKPI[Department],H$18,Tbl_MasterKPI[Date],$A58),NA())</f>
        <v/>
      </c>
      <c r="I58" s="21">
        <f>IFERROR(AVERAGEIFS(Tbl_MasterKPI[Achievement %],Tbl_MasterKPI[Department],I$18,Tbl_MasterKPI[Date],$A58),NA())</f>
        <v/>
      </c>
      <c r="J58" s="21">
        <f>IFERROR(AVERAGEIFS(Tbl_MasterKPI[Achievement %],Tbl_MasterKPI[Department],J$18,Tbl_MasterKPI[Date],$A58),NA())</f>
        <v/>
      </c>
      <c r="K58" s="21">
        <f>IFERROR(AVERAGEIFS(Tbl_MasterKPI[Achievement %],Tbl_MasterKPI[Department],K$18,Tbl_MasterKPI[Date],$A58),NA())</f>
        <v/>
      </c>
      <c r="M58" s="43">
        <f>AVERAGE(B58,C58,D58,E58,F58,G58,H58,I58,J58,K58)</f>
        <v/>
      </c>
    </row>
    <row r="59">
      <c r="A59" s="20" t="n">
        <v>46170</v>
      </c>
      <c r="B59" s="21">
        <f>IFERROR(AVERAGEIFS(Tbl_MasterKPI[Achievement %],Tbl_MasterKPI[Department],B$18,Tbl_MasterKPI[Date],$A59),NA())</f>
        <v/>
      </c>
      <c r="C59" s="21">
        <f>IFERROR(AVERAGEIFS(Tbl_MasterKPI[Achievement %],Tbl_MasterKPI[Department],C$18,Tbl_MasterKPI[Date],$A59),NA())</f>
        <v/>
      </c>
      <c r="D59" s="21">
        <f>IFERROR(AVERAGEIFS(Tbl_MasterKPI[Achievement %],Tbl_MasterKPI[Department],D$18,Tbl_MasterKPI[Date],$A59),NA())</f>
        <v/>
      </c>
      <c r="E59" s="21">
        <f>IFERROR(AVERAGEIFS(Tbl_MasterKPI[Achievement %],Tbl_MasterKPI[Department],E$18,Tbl_MasterKPI[Date],$A59),NA())</f>
        <v/>
      </c>
      <c r="F59" s="21">
        <f>IFERROR(AVERAGEIFS(Tbl_MasterKPI[Achievement %],Tbl_MasterKPI[Department],F$18,Tbl_MasterKPI[Date],$A59),NA())</f>
        <v/>
      </c>
      <c r="G59" s="21">
        <f>IFERROR(AVERAGEIFS(Tbl_MasterKPI[Achievement %],Tbl_MasterKPI[Department],G$18,Tbl_MasterKPI[Date],$A59),NA())</f>
        <v/>
      </c>
      <c r="H59" s="21">
        <f>IFERROR(AVERAGEIFS(Tbl_MasterKPI[Achievement %],Tbl_MasterKPI[Department],H$18,Tbl_MasterKPI[Date],$A59),NA())</f>
        <v/>
      </c>
      <c r="I59" s="21">
        <f>IFERROR(AVERAGEIFS(Tbl_MasterKPI[Achievement %],Tbl_MasterKPI[Department],I$18,Tbl_MasterKPI[Date],$A59),NA())</f>
        <v/>
      </c>
      <c r="J59" s="21">
        <f>IFERROR(AVERAGEIFS(Tbl_MasterKPI[Achievement %],Tbl_MasterKPI[Department],J$18,Tbl_MasterKPI[Date],$A59),NA())</f>
        <v/>
      </c>
      <c r="K59" s="21">
        <f>IFERROR(AVERAGEIFS(Tbl_MasterKPI[Achievement %],Tbl_MasterKPI[Department],K$18,Tbl_MasterKPI[Date],$A59),NA())</f>
        <v/>
      </c>
      <c r="M59" s="43">
        <f>AVERAGE(B59,C59,D59,E59,F59,G59,H59,I59,J59,K59)</f>
        <v/>
      </c>
    </row>
    <row r="60">
      <c r="A60" s="20" t="n">
        <v>46171</v>
      </c>
      <c r="B60" s="21">
        <f>IFERROR(AVERAGEIFS(Tbl_MasterKPI[Achievement %],Tbl_MasterKPI[Department],B$18,Tbl_MasterKPI[Date],$A60),NA())</f>
        <v/>
      </c>
      <c r="C60" s="21">
        <f>IFERROR(AVERAGEIFS(Tbl_MasterKPI[Achievement %],Tbl_MasterKPI[Department],C$18,Tbl_MasterKPI[Date],$A60),NA())</f>
        <v/>
      </c>
      <c r="D60" s="21">
        <f>IFERROR(AVERAGEIFS(Tbl_MasterKPI[Achievement %],Tbl_MasterKPI[Department],D$18,Tbl_MasterKPI[Date],$A60),NA())</f>
        <v/>
      </c>
      <c r="E60" s="21">
        <f>IFERROR(AVERAGEIFS(Tbl_MasterKPI[Achievement %],Tbl_MasterKPI[Department],E$18,Tbl_MasterKPI[Date],$A60),NA())</f>
        <v/>
      </c>
      <c r="F60" s="21">
        <f>IFERROR(AVERAGEIFS(Tbl_MasterKPI[Achievement %],Tbl_MasterKPI[Department],F$18,Tbl_MasterKPI[Date],$A60),NA())</f>
        <v/>
      </c>
      <c r="G60" s="21">
        <f>IFERROR(AVERAGEIFS(Tbl_MasterKPI[Achievement %],Tbl_MasterKPI[Department],G$18,Tbl_MasterKPI[Date],$A60),NA())</f>
        <v/>
      </c>
      <c r="H60" s="21">
        <f>IFERROR(AVERAGEIFS(Tbl_MasterKPI[Achievement %],Tbl_MasterKPI[Department],H$18,Tbl_MasterKPI[Date],$A60),NA())</f>
        <v/>
      </c>
      <c r="I60" s="21">
        <f>IFERROR(AVERAGEIFS(Tbl_MasterKPI[Achievement %],Tbl_MasterKPI[Department],I$18,Tbl_MasterKPI[Date],$A60),NA())</f>
        <v/>
      </c>
      <c r="J60" s="21">
        <f>IFERROR(AVERAGEIFS(Tbl_MasterKPI[Achievement %],Tbl_MasterKPI[Department],J$18,Tbl_MasterKPI[Date],$A60),NA())</f>
        <v/>
      </c>
      <c r="K60" s="21">
        <f>IFERROR(AVERAGEIFS(Tbl_MasterKPI[Achievement %],Tbl_MasterKPI[Department],K$18,Tbl_MasterKPI[Date],$A60),NA())</f>
        <v/>
      </c>
      <c r="M60" s="43">
        <f>AVERAGE(B60,C60,D60,E60,F60,G60,H60,I60,J60,K60)</f>
        <v/>
      </c>
    </row>
    <row r="61">
      <c r="A61" s="20" t="n">
        <v>46172</v>
      </c>
      <c r="B61" s="21">
        <f>IFERROR(AVERAGEIFS(Tbl_MasterKPI[Achievement %],Tbl_MasterKPI[Department],B$18,Tbl_MasterKPI[Date],$A61),NA())</f>
        <v/>
      </c>
      <c r="C61" s="21">
        <f>IFERROR(AVERAGEIFS(Tbl_MasterKPI[Achievement %],Tbl_MasterKPI[Department],C$18,Tbl_MasterKPI[Date],$A61),NA())</f>
        <v/>
      </c>
      <c r="D61" s="21">
        <f>IFERROR(AVERAGEIFS(Tbl_MasterKPI[Achievement %],Tbl_MasterKPI[Department],D$18,Tbl_MasterKPI[Date],$A61),NA())</f>
        <v/>
      </c>
      <c r="E61" s="21">
        <f>IFERROR(AVERAGEIFS(Tbl_MasterKPI[Achievement %],Tbl_MasterKPI[Department],E$18,Tbl_MasterKPI[Date],$A61),NA())</f>
        <v/>
      </c>
      <c r="F61" s="21">
        <f>IFERROR(AVERAGEIFS(Tbl_MasterKPI[Achievement %],Tbl_MasterKPI[Department],F$18,Tbl_MasterKPI[Date],$A61),NA())</f>
        <v/>
      </c>
      <c r="G61" s="21">
        <f>IFERROR(AVERAGEIFS(Tbl_MasterKPI[Achievement %],Tbl_MasterKPI[Department],G$18,Tbl_MasterKPI[Date],$A61),NA())</f>
        <v/>
      </c>
      <c r="H61" s="21">
        <f>IFERROR(AVERAGEIFS(Tbl_MasterKPI[Achievement %],Tbl_MasterKPI[Department],H$18,Tbl_MasterKPI[Date],$A61),NA())</f>
        <v/>
      </c>
      <c r="I61" s="21">
        <f>IFERROR(AVERAGEIFS(Tbl_MasterKPI[Achievement %],Tbl_MasterKPI[Department],I$18,Tbl_MasterKPI[Date],$A61),NA())</f>
        <v/>
      </c>
      <c r="J61" s="21">
        <f>IFERROR(AVERAGEIFS(Tbl_MasterKPI[Achievement %],Tbl_MasterKPI[Department],J$18,Tbl_MasterKPI[Date],$A61),NA())</f>
        <v/>
      </c>
      <c r="K61" s="21">
        <f>IFERROR(AVERAGEIFS(Tbl_MasterKPI[Achievement %],Tbl_MasterKPI[Department],K$18,Tbl_MasterKPI[Date],$A61),NA())</f>
        <v/>
      </c>
      <c r="M61" s="43">
        <f>AVERAGE(B61,C61,D61,E61,F61,G61,H61,I61,J61,K61)</f>
        <v/>
      </c>
    </row>
    <row r="62">
      <c r="A62" s="20" t="n">
        <v>46173</v>
      </c>
      <c r="B62" s="21">
        <f>IFERROR(AVERAGEIFS(Tbl_MasterKPI[Achievement %],Tbl_MasterKPI[Department],B$18,Tbl_MasterKPI[Date],$A62),NA())</f>
        <v/>
      </c>
      <c r="C62" s="21">
        <f>IFERROR(AVERAGEIFS(Tbl_MasterKPI[Achievement %],Tbl_MasterKPI[Department],C$18,Tbl_MasterKPI[Date],$A62),NA())</f>
        <v/>
      </c>
      <c r="D62" s="21">
        <f>IFERROR(AVERAGEIFS(Tbl_MasterKPI[Achievement %],Tbl_MasterKPI[Department],D$18,Tbl_MasterKPI[Date],$A62),NA())</f>
        <v/>
      </c>
      <c r="E62" s="21">
        <f>IFERROR(AVERAGEIFS(Tbl_MasterKPI[Achievement %],Tbl_MasterKPI[Department],E$18,Tbl_MasterKPI[Date],$A62),NA())</f>
        <v/>
      </c>
      <c r="F62" s="21">
        <f>IFERROR(AVERAGEIFS(Tbl_MasterKPI[Achievement %],Tbl_MasterKPI[Department],F$18,Tbl_MasterKPI[Date],$A62),NA())</f>
        <v/>
      </c>
      <c r="G62" s="21">
        <f>IFERROR(AVERAGEIFS(Tbl_MasterKPI[Achievement %],Tbl_MasterKPI[Department],G$18,Tbl_MasterKPI[Date],$A62),NA())</f>
        <v/>
      </c>
      <c r="H62" s="21">
        <f>IFERROR(AVERAGEIFS(Tbl_MasterKPI[Achievement %],Tbl_MasterKPI[Department],H$18,Tbl_MasterKPI[Date],$A62),NA())</f>
        <v/>
      </c>
      <c r="I62" s="21">
        <f>IFERROR(AVERAGEIFS(Tbl_MasterKPI[Achievement %],Tbl_MasterKPI[Department],I$18,Tbl_MasterKPI[Date],$A62),NA())</f>
        <v/>
      </c>
      <c r="J62" s="21">
        <f>IFERROR(AVERAGEIFS(Tbl_MasterKPI[Achievement %],Tbl_MasterKPI[Department],J$18,Tbl_MasterKPI[Date],$A62),NA())</f>
        <v/>
      </c>
      <c r="K62" s="21">
        <f>IFERROR(AVERAGEIFS(Tbl_MasterKPI[Achievement %],Tbl_MasterKPI[Department],K$18,Tbl_MasterKPI[Date],$A62),NA())</f>
        <v/>
      </c>
      <c r="M62" s="43">
        <f>AVERAGE(B62,C62,D62,E62,F62,G62,H62,I62,J62,K62)</f>
        <v/>
      </c>
    </row>
    <row r="63">
      <c r="A63" s="20" t="n">
        <v>46174</v>
      </c>
      <c r="B63" s="21">
        <f>IFERROR(AVERAGEIFS(Tbl_MasterKPI[Achievement %],Tbl_MasterKPI[Department],B$18,Tbl_MasterKPI[Date],$A63),NA())</f>
        <v/>
      </c>
      <c r="C63" s="21">
        <f>IFERROR(AVERAGEIFS(Tbl_MasterKPI[Achievement %],Tbl_MasterKPI[Department],C$18,Tbl_MasterKPI[Date],$A63),NA())</f>
        <v/>
      </c>
      <c r="D63" s="21">
        <f>IFERROR(AVERAGEIFS(Tbl_MasterKPI[Achievement %],Tbl_MasterKPI[Department],D$18,Tbl_MasterKPI[Date],$A63),NA())</f>
        <v/>
      </c>
      <c r="E63" s="21">
        <f>IFERROR(AVERAGEIFS(Tbl_MasterKPI[Achievement %],Tbl_MasterKPI[Department],E$18,Tbl_MasterKPI[Date],$A63),NA())</f>
        <v/>
      </c>
      <c r="F63" s="21">
        <f>IFERROR(AVERAGEIFS(Tbl_MasterKPI[Achievement %],Tbl_MasterKPI[Department],F$18,Tbl_MasterKPI[Date],$A63),NA())</f>
        <v/>
      </c>
      <c r="G63" s="21">
        <f>IFERROR(AVERAGEIFS(Tbl_MasterKPI[Achievement %],Tbl_MasterKPI[Department],G$18,Tbl_MasterKPI[Date],$A63),NA())</f>
        <v/>
      </c>
      <c r="H63" s="21">
        <f>IFERROR(AVERAGEIFS(Tbl_MasterKPI[Achievement %],Tbl_MasterKPI[Department],H$18,Tbl_MasterKPI[Date],$A63),NA())</f>
        <v/>
      </c>
      <c r="I63" s="21">
        <f>IFERROR(AVERAGEIFS(Tbl_MasterKPI[Achievement %],Tbl_MasterKPI[Department],I$18,Tbl_MasterKPI[Date],$A63),NA())</f>
        <v/>
      </c>
      <c r="J63" s="21">
        <f>IFERROR(AVERAGEIFS(Tbl_MasterKPI[Achievement %],Tbl_MasterKPI[Department],J$18,Tbl_MasterKPI[Date],$A63),NA())</f>
        <v/>
      </c>
      <c r="K63" s="21">
        <f>IFERROR(AVERAGEIFS(Tbl_MasterKPI[Achievement %],Tbl_MasterKPI[Department],K$18,Tbl_MasterKPI[Date],$A63),NA())</f>
        <v/>
      </c>
      <c r="M63" s="43">
        <f>AVERAGE(B63,C63,D63,E63,F63,G63,H63,I63,J63,K63)</f>
        <v/>
      </c>
    </row>
    <row r="64">
      <c r="A64" s="20" t="n">
        <v>46175</v>
      </c>
      <c r="B64" s="21">
        <f>IFERROR(AVERAGEIFS(Tbl_MasterKPI[Achievement %],Tbl_MasterKPI[Department],B$18,Tbl_MasterKPI[Date],$A64),NA())</f>
        <v/>
      </c>
      <c r="C64" s="21">
        <f>IFERROR(AVERAGEIFS(Tbl_MasterKPI[Achievement %],Tbl_MasterKPI[Department],C$18,Tbl_MasterKPI[Date],$A64),NA())</f>
        <v/>
      </c>
      <c r="D64" s="21">
        <f>IFERROR(AVERAGEIFS(Tbl_MasterKPI[Achievement %],Tbl_MasterKPI[Department],D$18,Tbl_MasterKPI[Date],$A64),NA())</f>
        <v/>
      </c>
      <c r="E64" s="21">
        <f>IFERROR(AVERAGEIFS(Tbl_MasterKPI[Achievement %],Tbl_MasterKPI[Department],E$18,Tbl_MasterKPI[Date],$A64),NA())</f>
        <v/>
      </c>
      <c r="F64" s="21">
        <f>IFERROR(AVERAGEIFS(Tbl_MasterKPI[Achievement %],Tbl_MasterKPI[Department],F$18,Tbl_MasterKPI[Date],$A64),NA())</f>
        <v/>
      </c>
      <c r="G64" s="21">
        <f>IFERROR(AVERAGEIFS(Tbl_MasterKPI[Achievement %],Tbl_MasterKPI[Department],G$18,Tbl_MasterKPI[Date],$A64),NA())</f>
        <v/>
      </c>
      <c r="H64" s="21">
        <f>IFERROR(AVERAGEIFS(Tbl_MasterKPI[Achievement %],Tbl_MasterKPI[Department],H$18,Tbl_MasterKPI[Date],$A64),NA())</f>
        <v/>
      </c>
      <c r="I64" s="21">
        <f>IFERROR(AVERAGEIFS(Tbl_MasterKPI[Achievement %],Tbl_MasterKPI[Department],I$18,Tbl_MasterKPI[Date],$A64),NA())</f>
        <v/>
      </c>
      <c r="J64" s="21">
        <f>IFERROR(AVERAGEIFS(Tbl_MasterKPI[Achievement %],Tbl_MasterKPI[Department],J$18,Tbl_MasterKPI[Date],$A64),NA())</f>
        <v/>
      </c>
      <c r="K64" s="21">
        <f>IFERROR(AVERAGEIFS(Tbl_MasterKPI[Achievement %],Tbl_MasterKPI[Department],K$18,Tbl_MasterKPI[Date],$A64),NA())</f>
        <v/>
      </c>
      <c r="M64" s="43">
        <f>AVERAGE(B64,C64,D64,E64,F64,G64,H64,I64,J64,K64)</f>
        <v/>
      </c>
    </row>
    <row r="65">
      <c r="A65" s="20" t="n">
        <v>46176</v>
      </c>
      <c r="B65" s="21">
        <f>IFERROR(AVERAGEIFS(Tbl_MasterKPI[Achievement %],Tbl_MasterKPI[Department],B$18,Tbl_MasterKPI[Date],$A65),NA())</f>
        <v/>
      </c>
      <c r="C65" s="21">
        <f>IFERROR(AVERAGEIFS(Tbl_MasterKPI[Achievement %],Tbl_MasterKPI[Department],C$18,Tbl_MasterKPI[Date],$A65),NA())</f>
        <v/>
      </c>
      <c r="D65" s="21">
        <f>IFERROR(AVERAGEIFS(Tbl_MasterKPI[Achievement %],Tbl_MasterKPI[Department],D$18,Tbl_MasterKPI[Date],$A65),NA())</f>
        <v/>
      </c>
      <c r="E65" s="21">
        <f>IFERROR(AVERAGEIFS(Tbl_MasterKPI[Achievement %],Tbl_MasterKPI[Department],E$18,Tbl_MasterKPI[Date],$A65),NA())</f>
        <v/>
      </c>
      <c r="F65" s="21">
        <f>IFERROR(AVERAGEIFS(Tbl_MasterKPI[Achievement %],Tbl_MasterKPI[Department],F$18,Tbl_MasterKPI[Date],$A65),NA())</f>
        <v/>
      </c>
      <c r="G65" s="21">
        <f>IFERROR(AVERAGEIFS(Tbl_MasterKPI[Achievement %],Tbl_MasterKPI[Department],G$18,Tbl_MasterKPI[Date],$A65),NA())</f>
        <v/>
      </c>
      <c r="H65" s="21">
        <f>IFERROR(AVERAGEIFS(Tbl_MasterKPI[Achievement %],Tbl_MasterKPI[Department],H$18,Tbl_MasterKPI[Date],$A65),NA())</f>
        <v/>
      </c>
      <c r="I65" s="21">
        <f>IFERROR(AVERAGEIFS(Tbl_MasterKPI[Achievement %],Tbl_MasterKPI[Department],I$18,Tbl_MasterKPI[Date],$A65),NA())</f>
        <v/>
      </c>
      <c r="J65" s="21">
        <f>IFERROR(AVERAGEIFS(Tbl_MasterKPI[Achievement %],Tbl_MasterKPI[Department],J$18,Tbl_MasterKPI[Date],$A65),NA())</f>
        <v/>
      </c>
      <c r="K65" s="21">
        <f>IFERROR(AVERAGEIFS(Tbl_MasterKPI[Achievement %],Tbl_MasterKPI[Department],K$18,Tbl_MasterKPI[Date],$A65),NA())</f>
        <v/>
      </c>
      <c r="M65" s="43">
        <f>AVERAGE(B65,C65,D65,E65,F65,G65,H65,I65,J65,K65)</f>
        <v/>
      </c>
    </row>
    <row r="66">
      <c r="A66" s="20" t="n">
        <v>46177</v>
      </c>
      <c r="B66" s="21">
        <f>IFERROR(AVERAGEIFS(Tbl_MasterKPI[Achievement %],Tbl_MasterKPI[Department],B$18,Tbl_MasterKPI[Date],$A66),NA())</f>
        <v/>
      </c>
      <c r="C66" s="21">
        <f>IFERROR(AVERAGEIFS(Tbl_MasterKPI[Achievement %],Tbl_MasterKPI[Department],C$18,Tbl_MasterKPI[Date],$A66),NA())</f>
        <v/>
      </c>
      <c r="D66" s="21">
        <f>IFERROR(AVERAGEIFS(Tbl_MasterKPI[Achievement %],Tbl_MasterKPI[Department],D$18,Tbl_MasterKPI[Date],$A66),NA())</f>
        <v/>
      </c>
      <c r="E66" s="21">
        <f>IFERROR(AVERAGEIFS(Tbl_MasterKPI[Achievement %],Tbl_MasterKPI[Department],E$18,Tbl_MasterKPI[Date],$A66),NA())</f>
        <v/>
      </c>
      <c r="F66" s="21">
        <f>IFERROR(AVERAGEIFS(Tbl_MasterKPI[Achievement %],Tbl_MasterKPI[Department],F$18,Tbl_MasterKPI[Date],$A66),NA())</f>
        <v/>
      </c>
      <c r="G66" s="21">
        <f>IFERROR(AVERAGEIFS(Tbl_MasterKPI[Achievement %],Tbl_MasterKPI[Department],G$18,Tbl_MasterKPI[Date],$A66),NA())</f>
        <v/>
      </c>
      <c r="H66" s="21">
        <f>IFERROR(AVERAGEIFS(Tbl_MasterKPI[Achievement %],Tbl_MasterKPI[Department],H$18,Tbl_MasterKPI[Date],$A66),NA())</f>
        <v/>
      </c>
      <c r="I66" s="21">
        <f>IFERROR(AVERAGEIFS(Tbl_MasterKPI[Achievement %],Tbl_MasterKPI[Department],I$18,Tbl_MasterKPI[Date],$A66),NA())</f>
        <v/>
      </c>
      <c r="J66" s="21">
        <f>IFERROR(AVERAGEIFS(Tbl_MasterKPI[Achievement %],Tbl_MasterKPI[Department],J$18,Tbl_MasterKPI[Date],$A66),NA())</f>
        <v/>
      </c>
      <c r="K66" s="21">
        <f>IFERROR(AVERAGEIFS(Tbl_MasterKPI[Achievement %],Tbl_MasterKPI[Department],K$18,Tbl_MasterKPI[Date],$A66),NA())</f>
        <v/>
      </c>
      <c r="M66" s="43">
        <f>AVERAGE(B66,C66,D66,E66,F66,G66,H66,I66,J66,K66)</f>
        <v/>
      </c>
    </row>
    <row r="67">
      <c r="A67" s="20" t="n">
        <v>46178</v>
      </c>
      <c r="B67" s="21">
        <f>IFERROR(AVERAGEIFS(Tbl_MasterKPI[Achievement %],Tbl_MasterKPI[Department],B$18,Tbl_MasterKPI[Date],$A67),NA())</f>
        <v/>
      </c>
      <c r="C67" s="21">
        <f>IFERROR(AVERAGEIFS(Tbl_MasterKPI[Achievement %],Tbl_MasterKPI[Department],C$18,Tbl_MasterKPI[Date],$A67),NA())</f>
        <v/>
      </c>
      <c r="D67" s="21">
        <f>IFERROR(AVERAGEIFS(Tbl_MasterKPI[Achievement %],Tbl_MasterKPI[Department],D$18,Tbl_MasterKPI[Date],$A67),NA())</f>
        <v/>
      </c>
      <c r="E67" s="21">
        <f>IFERROR(AVERAGEIFS(Tbl_MasterKPI[Achievement %],Tbl_MasterKPI[Department],E$18,Tbl_MasterKPI[Date],$A67),NA())</f>
        <v/>
      </c>
      <c r="F67" s="21">
        <f>IFERROR(AVERAGEIFS(Tbl_MasterKPI[Achievement %],Tbl_MasterKPI[Department],F$18,Tbl_MasterKPI[Date],$A67),NA())</f>
        <v/>
      </c>
      <c r="G67" s="21">
        <f>IFERROR(AVERAGEIFS(Tbl_MasterKPI[Achievement %],Tbl_MasterKPI[Department],G$18,Tbl_MasterKPI[Date],$A67),NA())</f>
        <v/>
      </c>
      <c r="H67" s="21">
        <f>IFERROR(AVERAGEIFS(Tbl_MasterKPI[Achievement %],Tbl_MasterKPI[Department],H$18,Tbl_MasterKPI[Date],$A67),NA())</f>
        <v/>
      </c>
      <c r="I67" s="21">
        <f>IFERROR(AVERAGEIFS(Tbl_MasterKPI[Achievement %],Tbl_MasterKPI[Department],I$18,Tbl_MasterKPI[Date],$A67),NA())</f>
        <v/>
      </c>
      <c r="J67" s="21">
        <f>IFERROR(AVERAGEIFS(Tbl_MasterKPI[Achievement %],Tbl_MasterKPI[Department],J$18,Tbl_MasterKPI[Date],$A67),NA())</f>
        <v/>
      </c>
      <c r="K67" s="21">
        <f>IFERROR(AVERAGEIFS(Tbl_MasterKPI[Achievement %],Tbl_MasterKPI[Department],K$18,Tbl_MasterKPI[Date],$A67),NA())</f>
        <v/>
      </c>
      <c r="M67" s="43">
        <f>AVERAGE(B67,C67,D67,E67,F67,G67,H67,I67,J67,K67)</f>
        <v/>
      </c>
    </row>
    <row r="68">
      <c r="A68" s="20" t="n">
        <v>46179</v>
      </c>
      <c r="B68" s="21">
        <f>IFERROR(AVERAGEIFS(Tbl_MasterKPI[Achievement %],Tbl_MasterKPI[Department],B$18,Tbl_MasterKPI[Date],$A68),NA())</f>
        <v/>
      </c>
      <c r="C68" s="21">
        <f>IFERROR(AVERAGEIFS(Tbl_MasterKPI[Achievement %],Tbl_MasterKPI[Department],C$18,Tbl_MasterKPI[Date],$A68),NA())</f>
        <v/>
      </c>
      <c r="D68" s="21">
        <f>IFERROR(AVERAGEIFS(Tbl_MasterKPI[Achievement %],Tbl_MasterKPI[Department],D$18,Tbl_MasterKPI[Date],$A68),NA())</f>
        <v/>
      </c>
      <c r="E68" s="21">
        <f>IFERROR(AVERAGEIFS(Tbl_MasterKPI[Achievement %],Tbl_MasterKPI[Department],E$18,Tbl_MasterKPI[Date],$A68),NA())</f>
        <v/>
      </c>
      <c r="F68" s="21">
        <f>IFERROR(AVERAGEIFS(Tbl_MasterKPI[Achievement %],Tbl_MasterKPI[Department],F$18,Tbl_MasterKPI[Date],$A68),NA())</f>
        <v/>
      </c>
      <c r="G68" s="21">
        <f>IFERROR(AVERAGEIFS(Tbl_MasterKPI[Achievement %],Tbl_MasterKPI[Department],G$18,Tbl_MasterKPI[Date],$A68),NA())</f>
        <v/>
      </c>
      <c r="H68" s="21">
        <f>IFERROR(AVERAGEIFS(Tbl_MasterKPI[Achievement %],Tbl_MasterKPI[Department],H$18,Tbl_MasterKPI[Date],$A68),NA())</f>
        <v/>
      </c>
      <c r="I68" s="21">
        <f>IFERROR(AVERAGEIFS(Tbl_MasterKPI[Achievement %],Tbl_MasterKPI[Department],I$18,Tbl_MasterKPI[Date],$A68),NA())</f>
        <v/>
      </c>
      <c r="J68" s="21">
        <f>IFERROR(AVERAGEIFS(Tbl_MasterKPI[Achievement %],Tbl_MasterKPI[Department],J$18,Tbl_MasterKPI[Date],$A68),NA())</f>
        <v/>
      </c>
      <c r="K68" s="21">
        <f>IFERROR(AVERAGEIFS(Tbl_MasterKPI[Achievement %],Tbl_MasterKPI[Department],K$18,Tbl_MasterKPI[Date],$A68),NA())</f>
        <v/>
      </c>
      <c r="M68" s="43">
        <f>AVERAGE(B68,C68,D68,E68,F68,G68,H68,I68,J68,K68)</f>
        <v/>
      </c>
    </row>
    <row r="69">
      <c r="A69" s="20" t="n">
        <v>46180</v>
      </c>
      <c r="B69" s="21">
        <f>IFERROR(AVERAGEIFS(Tbl_MasterKPI[Achievement %],Tbl_MasterKPI[Department],B$18,Tbl_MasterKPI[Date],$A69),NA())</f>
        <v/>
      </c>
      <c r="C69" s="21">
        <f>IFERROR(AVERAGEIFS(Tbl_MasterKPI[Achievement %],Tbl_MasterKPI[Department],C$18,Tbl_MasterKPI[Date],$A69),NA())</f>
        <v/>
      </c>
      <c r="D69" s="21">
        <f>IFERROR(AVERAGEIFS(Tbl_MasterKPI[Achievement %],Tbl_MasterKPI[Department],D$18,Tbl_MasterKPI[Date],$A69),NA())</f>
        <v/>
      </c>
      <c r="E69" s="21">
        <f>IFERROR(AVERAGEIFS(Tbl_MasterKPI[Achievement %],Tbl_MasterKPI[Department],E$18,Tbl_MasterKPI[Date],$A69),NA())</f>
        <v/>
      </c>
      <c r="F69" s="21">
        <f>IFERROR(AVERAGEIFS(Tbl_MasterKPI[Achievement %],Tbl_MasterKPI[Department],F$18,Tbl_MasterKPI[Date],$A69),NA())</f>
        <v/>
      </c>
      <c r="G69" s="21">
        <f>IFERROR(AVERAGEIFS(Tbl_MasterKPI[Achievement %],Tbl_MasterKPI[Department],G$18,Tbl_MasterKPI[Date],$A69),NA())</f>
        <v/>
      </c>
      <c r="H69" s="21">
        <f>IFERROR(AVERAGEIFS(Tbl_MasterKPI[Achievement %],Tbl_MasterKPI[Department],H$18,Tbl_MasterKPI[Date],$A69),NA())</f>
        <v/>
      </c>
      <c r="I69" s="21">
        <f>IFERROR(AVERAGEIFS(Tbl_MasterKPI[Achievement %],Tbl_MasterKPI[Department],I$18,Tbl_MasterKPI[Date],$A69),NA())</f>
        <v/>
      </c>
      <c r="J69" s="21">
        <f>IFERROR(AVERAGEIFS(Tbl_MasterKPI[Achievement %],Tbl_MasterKPI[Department],J$18,Tbl_MasterKPI[Date],$A69),NA())</f>
        <v/>
      </c>
      <c r="K69" s="21">
        <f>IFERROR(AVERAGEIFS(Tbl_MasterKPI[Achievement %],Tbl_MasterKPI[Department],K$18,Tbl_MasterKPI[Date],$A69),NA())</f>
        <v/>
      </c>
      <c r="M69" s="43">
        <f>AVERAGE(B69,C69,D69,E69,F69,G69,H69,I69,J69,K69)</f>
        <v/>
      </c>
    </row>
    <row r="70">
      <c r="A70" s="20" t="n">
        <v>46181</v>
      </c>
      <c r="B70" s="21">
        <f>IFERROR(AVERAGEIFS(Tbl_MasterKPI[Achievement %],Tbl_MasterKPI[Department],B$18,Tbl_MasterKPI[Date],$A70),NA())</f>
        <v/>
      </c>
      <c r="C70" s="21">
        <f>IFERROR(AVERAGEIFS(Tbl_MasterKPI[Achievement %],Tbl_MasterKPI[Department],C$18,Tbl_MasterKPI[Date],$A70),NA())</f>
        <v/>
      </c>
      <c r="D70" s="21">
        <f>IFERROR(AVERAGEIFS(Tbl_MasterKPI[Achievement %],Tbl_MasterKPI[Department],D$18,Tbl_MasterKPI[Date],$A70),NA())</f>
        <v/>
      </c>
      <c r="E70" s="21">
        <f>IFERROR(AVERAGEIFS(Tbl_MasterKPI[Achievement %],Tbl_MasterKPI[Department],E$18,Tbl_MasterKPI[Date],$A70),NA())</f>
        <v/>
      </c>
      <c r="F70" s="21">
        <f>IFERROR(AVERAGEIFS(Tbl_MasterKPI[Achievement %],Tbl_MasterKPI[Department],F$18,Tbl_MasterKPI[Date],$A70),NA())</f>
        <v/>
      </c>
      <c r="G70" s="21">
        <f>IFERROR(AVERAGEIFS(Tbl_MasterKPI[Achievement %],Tbl_MasterKPI[Department],G$18,Tbl_MasterKPI[Date],$A70),NA())</f>
        <v/>
      </c>
      <c r="H70" s="21">
        <f>IFERROR(AVERAGEIFS(Tbl_MasterKPI[Achievement %],Tbl_MasterKPI[Department],H$18,Tbl_MasterKPI[Date],$A70),NA())</f>
        <v/>
      </c>
      <c r="I70" s="21">
        <f>IFERROR(AVERAGEIFS(Tbl_MasterKPI[Achievement %],Tbl_MasterKPI[Department],I$18,Tbl_MasterKPI[Date],$A70),NA())</f>
        <v/>
      </c>
      <c r="J70" s="21">
        <f>IFERROR(AVERAGEIFS(Tbl_MasterKPI[Achievement %],Tbl_MasterKPI[Department],J$18,Tbl_MasterKPI[Date],$A70),NA())</f>
        <v/>
      </c>
      <c r="K70" s="21">
        <f>IFERROR(AVERAGEIFS(Tbl_MasterKPI[Achievement %],Tbl_MasterKPI[Department],K$18,Tbl_MasterKPI[Date],$A70),NA())</f>
        <v/>
      </c>
      <c r="M70" s="43">
        <f>AVERAGE(B70,C70,D70,E70,F70,G70,H70,I70,J70,K70)</f>
        <v/>
      </c>
    </row>
    <row r="71">
      <c r="A71" s="20" t="n">
        <v>46182</v>
      </c>
      <c r="B71" s="21">
        <f>IFERROR(AVERAGEIFS(Tbl_MasterKPI[Achievement %],Tbl_MasterKPI[Department],B$18,Tbl_MasterKPI[Date],$A71),NA())</f>
        <v/>
      </c>
      <c r="C71" s="21">
        <f>IFERROR(AVERAGEIFS(Tbl_MasterKPI[Achievement %],Tbl_MasterKPI[Department],C$18,Tbl_MasterKPI[Date],$A71),NA())</f>
        <v/>
      </c>
      <c r="D71" s="21">
        <f>IFERROR(AVERAGEIFS(Tbl_MasterKPI[Achievement %],Tbl_MasterKPI[Department],D$18,Tbl_MasterKPI[Date],$A71),NA())</f>
        <v/>
      </c>
      <c r="E71" s="21">
        <f>IFERROR(AVERAGEIFS(Tbl_MasterKPI[Achievement %],Tbl_MasterKPI[Department],E$18,Tbl_MasterKPI[Date],$A71),NA())</f>
        <v/>
      </c>
      <c r="F71" s="21">
        <f>IFERROR(AVERAGEIFS(Tbl_MasterKPI[Achievement %],Tbl_MasterKPI[Department],F$18,Tbl_MasterKPI[Date],$A71),NA())</f>
        <v/>
      </c>
      <c r="G71" s="21">
        <f>IFERROR(AVERAGEIFS(Tbl_MasterKPI[Achievement %],Tbl_MasterKPI[Department],G$18,Tbl_MasterKPI[Date],$A71),NA())</f>
        <v/>
      </c>
      <c r="H71" s="21">
        <f>IFERROR(AVERAGEIFS(Tbl_MasterKPI[Achievement %],Tbl_MasterKPI[Department],H$18,Tbl_MasterKPI[Date],$A71),NA())</f>
        <v/>
      </c>
      <c r="I71" s="21">
        <f>IFERROR(AVERAGEIFS(Tbl_MasterKPI[Achievement %],Tbl_MasterKPI[Department],I$18,Tbl_MasterKPI[Date],$A71),NA())</f>
        <v/>
      </c>
      <c r="J71" s="21">
        <f>IFERROR(AVERAGEIFS(Tbl_MasterKPI[Achievement %],Tbl_MasterKPI[Department],J$18,Tbl_MasterKPI[Date],$A71),NA())</f>
        <v/>
      </c>
      <c r="K71" s="21">
        <f>IFERROR(AVERAGEIFS(Tbl_MasterKPI[Achievement %],Tbl_MasterKPI[Department],K$18,Tbl_MasterKPI[Date],$A71),NA())</f>
        <v/>
      </c>
      <c r="M71" s="43">
        <f>AVERAGE(B71,C71,D71,E71,F71,G71,H71,I71,J71,K71)</f>
        <v/>
      </c>
    </row>
    <row r="72">
      <c r="A72" s="20" t="n">
        <v>46183</v>
      </c>
      <c r="B72" s="21">
        <f>IFERROR(AVERAGEIFS(Tbl_MasterKPI[Achievement %],Tbl_MasterKPI[Department],B$18,Tbl_MasterKPI[Date],$A72),NA())</f>
        <v/>
      </c>
      <c r="C72" s="21">
        <f>IFERROR(AVERAGEIFS(Tbl_MasterKPI[Achievement %],Tbl_MasterKPI[Department],C$18,Tbl_MasterKPI[Date],$A72),NA())</f>
        <v/>
      </c>
      <c r="D72" s="21">
        <f>IFERROR(AVERAGEIFS(Tbl_MasterKPI[Achievement %],Tbl_MasterKPI[Department],D$18,Tbl_MasterKPI[Date],$A72),NA())</f>
        <v/>
      </c>
      <c r="E72" s="21">
        <f>IFERROR(AVERAGEIFS(Tbl_MasterKPI[Achievement %],Tbl_MasterKPI[Department],E$18,Tbl_MasterKPI[Date],$A72),NA())</f>
        <v/>
      </c>
      <c r="F72" s="21">
        <f>IFERROR(AVERAGEIFS(Tbl_MasterKPI[Achievement %],Tbl_MasterKPI[Department],F$18,Tbl_MasterKPI[Date],$A72),NA())</f>
        <v/>
      </c>
      <c r="G72" s="21">
        <f>IFERROR(AVERAGEIFS(Tbl_MasterKPI[Achievement %],Tbl_MasterKPI[Department],G$18,Tbl_MasterKPI[Date],$A72),NA())</f>
        <v/>
      </c>
      <c r="H72" s="21">
        <f>IFERROR(AVERAGEIFS(Tbl_MasterKPI[Achievement %],Tbl_MasterKPI[Department],H$18,Tbl_MasterKPI[Date],$A72),NA())</f>
        <v/>
      </c>
      <c r="I72" s="21">
        <f>IFERROR(AVERAGEIFS(Tbl_MasterKPI[Achievement %],Tbl_MasterKPI[Department],I$18,Tbl_MasterKPI[Date],$A72),NA())</f>
        <v/>
      </c>
      <c r="J72" s="21">
        <f>IFERROR(AVERAGEIFS(Tbl_MasterKPI[Achievement %],Tbl_MasterKPI[Department],J$18,Tbl_MasterKPI[Date],$A72),NA())</f>
        <v/>
      </c>
      <c r="K72" s="21">
        <f>IFERROR(AVERAGEIFS(Tbl_MasterKPI[Achievement %],Tbl_MasterKPI[Department],K$18,Tbl_MasterKPI[Date],$A72),NA())</f>
        <v/>
      </c>
      <c r="M72" s="43">
        <f>AVERAGE(B72,C72,D72,E72,F72,G72,H72,I72,J72,K72)</f>
        <v/>
      </c>
    </row>
    <row r="73">
      <c r="A73" s="20" t="n">
        <v>46184</v>
      </c>
      <c r="B73" s="21">
        <f>IFERROR(AVERAGEIFS(Tbl_MasterKPI[Achievement %],Tbl_MasterKPI[Department],B$18,Tbl_MasterKPI[Date],$A73),NA())</f>
        <v/>
      </c>
      <c r="C73" s="21">
        <f>IFERROR(AVERAGEIFS(Tbl_MasterKPI[Achievement %],Tbl_MasterKPI[Department],C$18,Tbl_MasterKPI[Date],$A73),NA())</f>
        <v/>
      </c>
      <c r="D73" s="21">
        <f>IFERROR(AVERAGEIFS(Tbl_MasterKPI[Achievement %],Tbl_MasterKPI[Department],D$18,Tbl_MasterKPI[Date],$A73),NA())</f>
        <v/>
      </c>
      <c r="E73" s="21">
        <f>IFERROR(AVERAGEIFS(Tbl_MasterKPI[Achievement %],Tbl_MasterKPI[Department],E$18,Tbl_MasterKPI[Date],$A73),NA())</f>
        <v/>
      </c>
      <c r="F73" s="21">
        <f>IFERROR(AVERAGEIFS(Tbl_MasterKPI[Achievement %],Tbl_MasterKPI[Department],F$18,Tbl_MasterKPI[Date],$A73),NA())</f>
        <v/>
      </c>
      <c r="G73" s="21">
        <f>IFERROR(AVERAGEIFS(Tbl_MasterKPI[Achievement %],Tbl_MasterKPI[Department],G$18,Tbl_MasterKPI[Date],$A73),NA())</f>
        <v/>
      </c>
      <c r="H73" s="21">
        <f>IFERROR(AVERAGEIFS(Tbl_MasterKPI[Achievement %],Tbl_MasterKPI[Department],H$18,Tbl_MasterKPI[Date],$A73),NA())</f>
        <v/>
      </c>
      <c r="I73" s="21">
        <f>IFERROR(AVERAGEIFS(Tbl_MasterKPI[Achievement %],Tbl_MasterKPI[Department],I$18,Tbl_MasterKPI[Date],$A73),NA())</f>
        <v/>
      </c>
      <c r="J73" s="21">
        <f>IFERROR(AVERAGEIFS(Tbl_MasterKPI[Achievement %],Tbl_MasterKPI[Department],J$18,Tbl_MasterKPI[Date],$A73),NA())</f>
        <v/>
      </c>
      <c r="K73" s="21">
        <f>IFERROR(AVERAGEIFS(Tbl_MasterKPI[Achievement %],Tbl_MasterKPI[Department],K$18,Tbl_MasterKPI[Date],$A73),NA())</f>
        <v/>
      </c>
      <c r="M73" s="43">
        <f>AVERAGE(B73,C73,D73,E73,F73,G73,H73,I73,J73,K73)</f>
        <v/>
      </c>
    </row>
    <row r="74">
      <c r="A74" s="20" t="n">
        <v>46185</v>
      </c>
      <c r="B74" s="21">
        <f>IFERROR(AVERAGEIFS(Tbl_MasterKPI[Achievement %],Tbl_MasterKPI[Department],B$18,Tbl_MasterKPI[Date],$A74),NA())</f>
        <v/>
      </c>
      <c r="C74" s="21">
        <f>IFERROR(AVERAGEIFS(Tbl_MasterKPI[Achievement %],Tbl_MasterKPI[Department],C$18,Tbl_MasterKPI[Date],$A74),NA())</f>
        <v/>
      </c>
      <c r="D74" s="21">
        <f>IFERROR(AVERAGEIFS(Tbl_MasterKPI[Achievement %],Tbl_MasterKPI[Department],D$18,Tbl_MasterKPI[Date],$A74),NA())</f>
        <v/>
      </c>
      <c r="E74" s="21">
        <f>IFERROR(AVERAGEIFS(Tbl_MasterKPI[Achievement %],Tbl_MasterKPI[Department],E$18,Tbl_MasterKPI[Date],$A74),NA())</f>
        <v/>
      </c>
      <c r="F74" s="21">
        <f>IFERROR(AVERAGEIFS(Tbl_MasterKPI[Achievement %],Tbl_MasterKPI[Department],F$18,Tbl_MasterKPI[Date],$A74),NA())</f>
        <v/>
      </c>
      <c r="G74" s="21">
        <f>IFERROR(AVERAGEIFS(Tbl_MasterKPI[Achievement %],Tbl_MasterKPI[Department],G$18,Tbl_MasterKPI[Date],$A74),NA())</f>
        <v/>
      </c>
      <c r="H74" s="21">
        <f>IFERROR(AVERAGEIFS(Tbl_MasterKPI[Achievement %],Tbl_MasterKPI[Department],H$18,Tbl_MasterKPI[Date],$A74),NA())</f>
        <v/>
      </c>
      <c r="I74" s="21">
        <f>IFERROR(AVERAGEIFS(Tbl_MasterKPI[Achievement %],Tbl_MasterKPI[Department],I$18,Tbl_MasterKPI[Date],$A74),NA())</f>
        <v/>
      </c>
      <c r="J74" s="21">
        <f>IFERROR(AVERAGEIFS(Tbl_MasterKPI[Achievement %],Tbl_MasterKPI[Department],J$18,Tbl_MasterKPI[Date],$A74),NA())</f>
        <v/>
      </c>
      <c r="K74" s="21">
        <f>IFERROR(AVERAGEIFS(Tbl_MasterKPI[Achievement %],Tbl_MasterKPI[Department],K$18,Tbl_MasterKPI[Date],$A74),NA())</f>
        <v/>
      </c>
      <c r="M74" s="43">
        <f>AVERAGE(B74,C74,D74,E74,F74,G74,H74,I74,J74,K74)</f>
        <v/>
      </c>
    </row>
    <row r="75">
      <c r="A75" s="20" t="n">
        <v>46186</v>
      </c>
      <c r="B75" s="21">
        <f>IFERROR(AVERAGEIFS(Tbl_MasterKPI[Achievement %],Tbl_MasterKPI[Department],B$18,Tbl_MasterKPI[Date],$A75),NA())</f>
        <v/>
      </c>
      <c r="C75" s="21">
        <f>IFERROR(AVERAGEIFS(Tbl_MasterKPI[Achievement %],Tbl_MasterKPI[Department],C$18,Tbl_MasterKPI[Date],$A75),NA())</f>
        <v/>
      </c>
      <c r="D75" s="21">
        <f>IFERROR(AVERAGEIFS(Tbl_MasterKPI[Achievement %],Tbl_MasterKPI[Department],D$18,Tbl_MasterKPI[Date],$A75),NA())</f>
        <v/>
      </c>
      <c r="E75" s="21">
        <f>IFERROR(AVERAGEIFS(Tbl_MasterKPI[Achievement %],Tbl_MasterKPI[Department],E$18,Tbl_MasterKPI[Date],$A75),NA())</f>
        <v/>
      </c>
      <c r="F75" s="21">
        <f>IFERROR(AVERAGEIFS(Tbl_MasterKPI[Achievement %],Tbl_MasterKPI[Department],F$18,Tbl_MasterKPI[Date],$A75),NA())</f>
        <v/>
      </c>
      <c r="G75" s="21">
        <f>IFERROR(AVERAGEIFS(Tbl_MasterKPI[Achievement %],Tbl_MasterKPI[Department],G$18,Tbl_MasterKPI[Date],$A75),NA())</f>
        <v/>
      </c>
      <c r="H75" s="21">
        <f>IFERROR(AVERAGEIFS(Tbl_MasterKPI[Achievement %],Tbl_MasterKPI[Department],H$18,Tbl_MasterKPI[Date],$A75),NA())</f>
        <v/>
      </c>
      <c r="I75" s="21">
        <f>IFERROR(AVERAGEIFS(Tbl_MasterKPI[Achievement %],Tbl_MasterKPI[Department],I$18,Tbl_MasterKPI[Date],$A75),NA())</f>
        <v/>
      </c>
      <c r="J75" s="21">
        <f>IFERROR(AVERAGEIFS(Tbl_MasterKPI[Achievement %],Tbl_MasterKPI[Department],J$18,Tbl_MasterKPI[Date],$A75),NA())</f>
        <v/>
      </c>
      <c r="K75" s="21">
        <f>IFERROR(AVERAGEIFS(Tbl_MasterKPI[Achievement %],Tbl_MasterKPI[Department],K$18,Tbl_MasterKPI[Date],$A75),NA())</f>
        <v/>
      </c>
      <c r="M75" s="43">
        <f>AVERAGE(B75,C75,D75,E75,F75,G75,H75,I75,J75,K75)</f>
        <v/>
      </c>
    </row>
    <row r="76">
      <c r="A76" s="20" t="n">
        <v>46187</v>
      </c>
      <c r="B76" s="21">
        <f>IFERROR(AVERAGEIFS(Tbl_MasterKPI[Achievement %],Tbl_MasterKPI[Department],B$18,Tbl_MasterKPI[Date],$A76),NA())</f>
        <v/>
      </c>
      <c r="C76" s="21">
        <f>IFERROR(AVERAGEIFS(Tbl_MasterKPI[Achievement %],Tbl_MasterKPI[Department],C$18,Tbl_MasterKPI[Date],$A76),NA())</f>
        <v/>
      </c>
      <c r="D76" s="21">
        <f>IFERROR(AVERAGEIFS(Tbl_MasterKPI[Achievement %],Tbl_MasterKPI[Department],D$18,Tbl_MasterKPI[Date],$A76),NA())</f>
        <v/>
      </c>
      <c r="E76" s="21">
        <f>IFERROR(AVERAGEIFS(Tbl_MasterKPI[Achievement %],Tbl_MasterKPI[Department],E$18,Tbl_MasterKPI[Date],$A76),NA())</f>
        <v/>
      </c>
      <c r="F76" s="21">
        <f>IFERROR(AVERAGEIFS(Tbl_MasterKPI[Achievement %],Tbl_MasterKPI[Department],F$18,Tbl_MasterKPI[Date],$A76),NA())</f>
        <v/>
      </c>
      <c r="G76" s="21">
        <f>IFERROR(AVERAGEIFS(Tbl_MasterKPI[Achievement %],Tbl_MasterKPI[Department],G$18,Tbl_MasterKPI[Date],$A76),NA())</f>
        <v/>
      </c>
      <c r="H76" s="21">
        <f>IFERROR(AVERAGEIFS(Tbl_MasterKPI[Achievement %],Tbl_MasterKPI[Department],H$18,Tbl_MasterKPI[Date],$A76),NA())</f>
        <v/>
      </c>
      <c r="I76" s="21">
        <f>IFERROR(AVERAGEIFS(Tbl_MasterKPI[Achievement %],Tbl_MasterKPI[Department],I$18,Tbl_MasterKPI[Date],$A76),NA())</f>
        <v/>
      </c>
      <c r="J76" s="21">
        <f>IFERROR(AVERAGEIFS(Tbl_MasterKPI[Achievement %],Tbl_MasterKPI[Department],J$18,Tbl_MasterKPI[Date],$A76),NA())</f>
        <v/>
      </c>
      <c r="K76" s="21">
        <f>IFERROR(AVERAGEIFS(Tbl_MasterKPI[Achievement %],Tbl_MasterKPI[Department],K$18,Tbl_MasterKPI[Date],$A76),NA())</f>
        <v/>
      </c>
      <c r="M76" s="43">
        <f>AVERAGE(B76,C76,D76,E76,F76,G76,H76,I76,J76,K76)</f>
        <v/>
      </c>
    </row>
    <row r="77">
      <c r="A77" s="20" t="n">
        <v>46188</v>
      </c>
      <c r="B77" s="21">
        <f>IFERROR(AVERAGEIFS(Tbl_MasterKPI[Achievement %],Tbl_MasterKPI[Department],B$18,Tbl_MasterKPI[Date],$A77),NA())</f>
        <v/>
      </c>
      <c r="C77" s="21">
        <f>IFERROR(AVERAGEIFS(Tbl_MasterKPI[Achievement %],Tbl_MasterKPI[Department],C$18,Tbl_MasterKPI[Date],$A77),NA())</f>
        <v/>
      </c>
      <c r="D77" s="21">
        <f>IFERROR(AVERAGEIFS(Tbl_MasterKPI[Achievement %],Tbl_MasterKPI[Department],D$18,Tbl_MasterKPI[Date],$A77),NA())</f>
        <v/>
      </c>
      <c r="E77" s="21">
        <f>IFERROR(AVERAGEIFS(Tbl_MasterKPI[Achievement %],Tbl_MasterKPI[Department],E$18,Tbl_MasterKPI[Date],$A77),NA())</f>
        <v/>
      </c>
      <c r="F77" s="21">
        <f>IFERROR(AVERAGEIFS(Tbl_MasterKPI[Achievement %],Tbl_MasterKPI[Department],F$18,Tbl_MasterKPI[Date],$A77),NA())</f>
        <v/>
      </c>
      <c r="G77" s="21">
        <f>IFERROR(AVERAGEIFS(Tbl_MasterKPI[Achievement %],Tbl_MasterKPI[Department],G$18,Tbl_MasterKPI[Date],$A77),NA())</f>
        <v/>
      </c>
      <c r="H77" s="21">
        <f>IFERROR(AVERAGEIFS(Tbl_MasterKPI[Achievement %],Tbl_MasterKPI[Department],H$18,Tbl_MasterKPI[Date],$A77),NA())</f>
        <v/>
      </c>
      <c r="I77" s="21">
        <f>IFERROR(AVERAGEIFS(Tbl_MasterKPI[Achievement %],Tbl_MasterKPI[Department],I$18,Tbl_MasterKPI[Date],$A77),NA())</f>
        <v/>
      </c>
      <c r="J77" s="21">
        <f>IFERROR(AVERAGEIFS(Tbl_MasterKPI[Achievement %],Tbl_MasterKPI[Department],J$18,Tbl_MasterKPI[Date],$A77),NA())</f>
        <v/>
      </c>
      <c r="K77" s="21">
        <f>IFERROR(AVERAGEIFS(Tbl_MasterKPI[Achievement %],Tbl_MasterKPI[Department],K$18,Tbl_MasterKPI[Date],$A77),NA())</f>
        <v/>
      </c>
      <c r="M77" s="43">
        <f>AVERAGE(B77,C77,D77,E77,F77,G77,H77,I77,J77,K77)</f>
        <v/>
      </c>
    </row>
    <row r="78">
      <c r="A78" s="20" t="n">
        <v>46189</v>
      </c>
      <c r="B78" s="21">
        <f>IFERROR(AVERAGEIFS(Tbl_MasterKPI[Achievement %],Tbl_MasterKPI[Department],B$18,Tbl_MasterKPI[Date],$A78),NA())</f>
        <v/>
      </c>
      <c r="C78" s="21">
        <f>IFERROR(AVERAGEIFS(Tbl_MasterKPI[Achievement %],Tbl_MasterKPI[Department],C$18,Tbl_MasterKPI[Date],$A78),NA())</f>
        <v/>
      </c>
      <c r="D78" s="21">
        <f>IFERROR(AVERAGEIFS(Tbl_MasterKPI[Achievement %],Tbl_MasterKPI[Department],D$18,Tbl_MasterKPI[Date],$A78),NA())</f>
        <v/>
      </c>
      <c r="E78" s="21">
        <f>IFERROR(AVERAGEIFS(Tbl_MasterKPI[Achievement %],Tbl_MasterKPI[Department],E$18,Tbl_MasterKPI[Date],$A78),NA())</f>
        <v/>
      </c>
      <c r="F78" s="21">
        <f>IFERROR(AVERAGEIFS(Tbl_MasterKPI[Achievement %],Tbl_MasterKPI[Department],F$18,Tbl_MasterKPI[Date],$A78),NA())</f>
        <v/>
      </c>
      <c r="G78" s="21">
        <f>IFERROR(AVERAGEIFS(Tbl_MasterKPI[Achievement %],Tbl_MasterKPI[Department],G$18,Tbl_MasterKPI[Date],$A78),NA())</f>
        <v/>
      </c>
      <c r="H78" s="21">
        <f>IFERROR(AVERAGEIFS(Tbl_MasterKPI[Achievement %],Tbl_MasterKPI[Department],H$18,Tbl_MasterKPI[Date],$A78),NA())</f>
        <v/>
      </c>
      <c r="I78" s="21">
        <f>IFERROR(AVERAGEIFS(Tbl_MasterKPI[Achievement %],Tbl_MasterKPI[Department],I$18,Tbl_MasterKPI[Date],$A78),NA())</f>
        <v/>
      </c>
      <c r="J78" s="21">
        <f>IFERROR(AVERAGEIFS(Tbl_MasterKPI[Achievement %],Tbl_MasterKPI[Department],J$18,Tbl_MasterKPI[Date],$A78),NA())</f>
        <v/>
      </c>
      <c r="K78" s="21">
        <f>IFERROR(AVERAGEIFS(Tbl_MasterKPI[Achievement %],Tbl_MasterKPI[Department],K$18,Tbl_MasterKPI[Date],$A78),NA())</f>
        <v/>
      </c>
      <c r="M78" s="43">
        <f>AVERAGE(B78,C78,D78,E78,F78,G78,H78,I78,J78,K78)</f>
        <v/>
      </c>
    </row>
    <row r="79">
      <c r="A79" s="20" t="n">
        <v>46190</v>
      </c>
      <c r="B79" s="21">
        <f>IFERROR(AVERAGEIFS(Tbl_MasterKPI[Achievement %],Tbl_MasterKPI[Department],B$18,Tbl_MasterKPI[Date],$A79),NA())</f>
        <v/>
      </c>
      <c r="C79" s="21">
        <f>IFERROR(AVERAGEIFS(Tbl_MasterKPI[Achievement %],Tbl_MasterKPI[Department],C$18,Tbl_MasterKPI[Date],$A79),NA())</f>
        <v/>
      </c>
      <c r="D79" s="21">
        <f>IFERROR(AVERAGEIFS(Tbl_MasterKPI[Achievement %],Tbl_MasterKPI[Department],D$18,Tbl_MasterKPI[Date],$A79),NA())</f>
        <v/>
      </c>
      <c r="E79" s="21">
        <f>IFERROR(AVERAGEIFS(Tbl_MasterKPI[Achievement %],Tbl_MasterKPI[Department],E$18,Tbl_MasterKPI[Date],$A79),NA())</f>
        <v/>
      </c>
      <c r="F79" s="21">
        <f>IFERROR(AVERAGEIFS(Tbl_MasterKPI[Achievement %],Tbl_MasterKPI[Department],F$18,Tbl_MasterKPI[Date],$A79),NA())</f>
        <v/>
      </c>
      <c r="G79" s="21">
        <f>IFERROR(AVERAGEIFS(Tbl_MasterKPI[Achievement %],Tbl_MasterKPI[Department],G$18,Tbl_MasterKPI[Date],$A79),NA())</f>
        <v/>
      </c>
      <c r="H79" s="21">
        <f>IFERROR(AVERAGEIFS(Tbl_MasterKPI[Achievement %],Tbl_MasterKPI[Department],H$18,Tbl_MasterKPI[Date],$A79),NA())</f>
        <v/>
      </c>
      <c r="I79" s="21">
        <f>IFERROR(AVERAGEIFS(Tbl_MasterKPI[Achievement %],Tbl_MasterKPI[Department],I$18,Tbl_MasterKPI[Date],$A79),NA())</f>
        <v/>
      </c>
      <c r="J79" s="21">
        <f>IFERROR(AVERAGEIFS(Tbl_MasterKPI[Achievement %],Tbl_MasterKPI[Department],J$18,Tbl_MasterKPI[Date],$A79),NA())</f>
        <v/>
      </c>
      <c r="K79" s="21">
        <f>IFERROR(AVERAGEIFS(Tbl_MasterKPI[Achievement %],Tbl_MasterKPI[Department],K$18,Tbl_MasterKPI[Date],$A79),NA())</f>
        <v/>
      </c>
      <c r="M79" s="43">
        <f>AVERAGE(B79,C79,D79,E79,F79,G79,H79,I79,J79,K79)</f>
        <v/>
      </c>
    </row>
    <row r="80">
      <c r="A80" s="20" t="n">
        <v>46191</v>
      </c>
      <c r="B80" s="21">
        <f>IFERROR(AVERAGEIFS(Tbl_MasterKPI[Achievement %],Tbl_MasterKPI[Department],B$18,Tbl_MasterKPI[Date],$A80),NA())</f>
        <v/>
      </c>
      <c r="C80" s="21">
        <f>IFERROR(AVERAGEIFS(Tbl_MasterKPI[Achievement %],Tbl_MasterKPI[Department],C$18,Tbl_MasterKPI[Date],$A80),NA())</f>
        <v/>
      </c>
      <c r="D80" s="21">
        <f>IFERROR(AVERAGEIFS(Tbl_MasterKPI[Achievement %],Tbl_MasterKPI[Department],D$18,Tbl_MasterKPI[Date],$A80),NA())</f>
        <v/>
      </c>
      <c r="E80" s="21">
        <f>IFERROR(AVERAGEIFS(Tbl_MasterKPI[Achievement %],Tbl_MasterKPI[Department],E$18,Tbl_MasterKPI[Date],$A80),NA())</f>
        <v/>
      </c>
      <c r="F80" s="21">
        <f>IFERROR(AVERAGEIFS(Tbl_MasterKPI[Achievement %],Tbl_MasterKPI[Department],F$18,Tbl_MasterKPI[Date],$A80),NA())</f>
        <v/>
      </c>
      <c r="G80" s="21">
        <f>IFERROR(AVERAGEIFS(Tbl_MasterKPI[Achievement %],Tbl_MasterKPI[Department],G$18,Tbl_MasterKPI[Date],$A80),NA())</f>
        <v/>
      </c>
      <c r="H80" s="21">
        <f>IFERROR(AVERAGEIFS(Tbl_MasterKPI[Achievement %],Tbl_MasterKPI[Department],H$18,Tbl_MasterKPI[Date],$A80),NA())</f>
        <v/>
      </c>
      <c r="I80" s="21">
        <f>IFERROR(AVERAGEIFS(Tbl_MasterKPI[Achievement %],Tbl_MasterKPI[Department],I$18,Tbl_MasterKPI[Date],$A80),NA())</f>
        <v/>
      </c>
      <c r="J80" s="21">
        <f>IFERROR(AVERAGEIFS(Tbl_MasterKPI[Achievement %],Tbl_MasterKPI[Department],J$18,Tbl_MasterKPI[Date],$A80),NA())</f>
        <v/>
      </c>
      <c r="K80" s="21">
        <f>IFERROR(AVERAGEIFS(Tbl_MasterKPI[Achievement %],Tbl_MasterKPI[Department],K$18,Tbl_MasterKPI[Date],$A80),NA())</f>
        <v/>
      </c>
      <c r="M80" s="43">
        <f>AVERAGE(B80,C80,D80,E80,F80,G80,H80,I80,J80,K80)</f>
        <v/>
      </c>
    </row>
    <row r="81">
      <c r="A81" s="20" t="n">
        <v>46192</v>
      </c>
      <c r="B81" s="21">
        <f>IFERROR(AVERAGEIFS(Tbl_MasterKPI[Achievement %],Tbl_MasterKPI[Department],B$18,Tbl_MasterKPI[Date],$A81),NA())</f>
        <v/>
      </c>
      <c r="C81" s="21">
        <f>IFERROR(AVERAGEIFS(Tbl_MasterKPI[Achievement %],Tbl_MasterKPI[Department],C$18,Tbl_MasterKPI[Date],$A81),NA())</f>
        <v/>
      </c>
      <c r="D81" s="21">
        <f>IFERROR(AVERAGEIFS(Tbl_MasterKPI[Achievement %],Tbl_MasterKPI[Department],D$18,Tbl_MasterKPI[Date],$A81),NA())</f>
        <v/>
      </c>
      <c r="E81" s="21">
        <f>IFERROR(AVERAGEIFS(Tbl_MasterKPI[Achievement %],Tbl_MasterKPI[Department],E$18,Tbl_MasterKPI[Date],$A81),NA())</f>
        <v/>
      </c>
      <c r="F81" s="21">
        <f>IFERROR(AVERAGEIFS(Tbl_MasterKPI[Achievement %],Tbl_MasterKPI[Department],F$18,Tbl_MasterKPI[Date],$A81),NA())</f>
        <v/>
      </c>
      <c r="G81" s="21">
        <f>IFERROR(AVERAGEIFS(Tbl_MasterKPI[Achievement %],Tbl_MasterKPI[Department],G$18,Tbl_MasterKPI[Date],$A81),NA())</f>
        <v/>
      </c>
      <c r="H81" s="21">
        <f>IFERROR(AVERAGEIFS(Tbl_MasterKPI[Achievement %],Tbl_MasterKPI[Department],H$18,Tbl_MasterKPI[Date],$A81),NA())</f>
        <v/>
      </c>
      <c r="I81" s="21">
        <f>IFERROR(AVERAGEIFS(Tbl_MasterKPI[Achievement %],Tbl_MasterKPI[Department],I$18,Tbl_MasterKPI[Date],$A81),NA())</f>
        <v/>
      </c>
      <c r="J81" s="21">
        <f>IFERROR(AVERAGEIFS(Tbl_MasterKPI[Achievement %],Tbl_MasterKPI[Department],J$18,Tbl_MasterKPI[Date],$A81),NA())</f>
        <v/>
      </c>
      <c r="K81" s="21">
        <f>IFERROR(AVERAGEIFS(Tbl_MasterKPI[Achievement %],Tbl_MasterKPI[Department],K$18,Tbl_MasterKPI[Date],$A81),NA())</f>
        <v/>
      </c>
      <c r="M81" s="43">
        <f>AVERAGE(B81,C81,D81,E81,F81,G81,H81,I81,J81,K81)</f>
        <v/>
      </c>
    </row>
    <row r="82">
      <c r="A82" s="20" t="n">
        <v>46193</v>
      </c>
      <c r="B82" s="21">
        <f>IFERROR(AVERAGEIFS(Tbl_MasterKPI[Achievement %],Tbl_MasterKPI[Department],B$18,Tbl_MasterKPI[Date],$A82),NA())</f>
        <v/>
      </c>
      <c r="C82" s="21">
        <f>IFERROR(AVERAGEIFS(Tbl_MasterKPI[Achievement %],Tbl_MasterKPI[Department],C$18,Tbl_MasterKPI[Date],$A82),NA())</f>
        <v/>
      </c>
      <c r="D82" s="21">
        <f>IFERROR(AVERAGEIFS(Tbl_MasterKPI[Achievement %],Tbl_MasterKPI[Department],D$18,Tbl_MasterKPI[Date],$A82),NA())</f>
        <v/>
      </c>
      <c r="E82" s="21">
        <f>IFERROR(AVERAGEIFS(Tbl_MasterKPI[Achievement %],Tbl_MasterKPI[Department],E$18,Tbl_MasterKPI[Date],$A82),NA())</f>
        <v/>
      </c>
      <c r="F82" s="21">
        <f>IFERROR(AVERAGEIFS(Tbl_MasterKPI[Achievement %],Tbl_MasterKPI[Department],F$18,Tbl_MasterKPI[Date],$A82),NA())</f>
        <v/>
      </c>
      <c r="G82" s="21">
        <f>IFERROR(AVERAGEIFS(Tbl_MasterKPI[Achievement %],Tbl_MasterKPI[Department],G$18,Tbl_MasterKPI[Date],$A82),NA())</f>
        <v/>
      </c>
      <c r="H82" s="21">
        <f>IFERROR(AVERAGEIFS(Tbl_MasterKPI[Achievement %],Tbl_MasterKPI[Department],H$18,Tbl_MasterKPI[Date],$A82),NA())</f>
        <v/>
      </c>
      <c r="I82" s="21">
        <f>IFERROR(AVERAGEIFS(Tbl_MasterKPI[Achievement %],Tbl_MasterKPI[Department],I$18,Tbl_MasterKPI[Date],$A82),NA())</f>
        <v/>
      </c>
      <c r="J82" s="21">
        <f>IFERROR(AVERAGEIFS(Tbl_MasterKPI[Achievement %],Tbl_MasterKPI[Department],J$18,Tbl_MasterKPI[Date],$A82),NA())</f>
        <v/>
      </c>
      <c r="K82" s="21">
        <f>IFERROR(AVERAGEIFS(Tbl_MasterKPI[Achievement %],Tbl_MasterKPI[Department],K$18,Tbl_MasterKPI[Date],$A82),NA())</f>
        <v/>
      </c>
      <c r="M82" s="43">
        <f>AVERAGE(B82,C82,D82,E82,F82,G82,H82,I82,J82,K82)</f>
        <v/>
      </c>
    </row>
    <row r="83">
      <c r="A83" s="20" t="n">
        <v>46194</v>
      </c>
      <c r="B83" s="21">
        <f>IFERROR(AVERAGEIFS(Tbl_MasterKPI[Achievement %],Tbl_MasterKPI[Department],B$18,Tbl_MasterKPI[Date],$A83),NA())</f>
        <v/>
      </c>
      <c r="C83" s="21">
        <f>IFERROR(AVERAGEIFS(Tbl_MasterKPI[Achievement %],Tbl_MasterKPI[Department],C$18,Tbl_MasterKPI[Date],$A83),NA())</f>
        <v/>
      </c>
      <c r="D83" s="21">
        <f>IFERROR(AVERAGEIFS(Tbl_MasterKPI[Achievement %],Tbl_MasterKPI[Department],D$18,Tbl_MasterKPI[Date],$A83),NA())</f>
        <v/>
      </c>
      <c r="E83" s="21">
        <f>IFERROR(AVERAGEIFS(Tbl_MasterKPI[Achievement %],Tbl_MasterKPI[Department],E$18,Tbl_MasterKPI[Date],$A83),NA())</f>
        <v/>
      </c>
      <c r="F83" s="21">
        <f>IFERROR(AVERAGEIFS(Tbl_MasterKPI[Achievement %],Tbl_MasterKPI[Department],F$18,Tbl_MasterKPI[Date],$A83),NA())</f>
        <v/>
      </c>
      <c r="G83" s="21">
        <f>IFERROR(AVERAGEIFS(Tbl_MasterKPI[Achievement %],Tbl_MasterKPI[Department],G$18,Tbl_MasterKPI[Date],$A83),NA())</f>
        <v/>
      </c>
      <c r="H83" s="21">
        <f>IFERROR(AVERAGEIFS(Tbl_MasterKPI[Achievement %],Tbl_MasterKPI[Department],H$18,Tbl_MasterKPI[Date],$A83),NA())</f>
        <v/>
      </c>
      <c r="I83" s="21">
        <f>IFERROR(AVERAGEIFS(Tbl_MasterKPI[Achievement %],Tbl_MasterKPI[Department],I$18,Tbl_MasterKPI[Date],$A83),NA())</f>
        <v/>
      </c>
      <c r="J83" s="21">
        <f>IFERROR(AVERAGEIFS(Tbl_MasterKPI[Achievement %],Tbl_MasterKPI[Department],J$18,Tbl_MasterKPI[Date],$A83),NA())</f>
        <v/>
      </c>
      <c r="K83" s="21">
        <f>IFERROR(AVERAGEIFS(Tbl_MasterKPI[Achievement %],Tbl_MasterKPI[Department],K$18,Tbl_MasterKPI[Date],$A83),NA())</f>
        <v/>
      </c>
      <c r="M83" s="43">
        <f>AVERAGE(B83,C83,D83,E83,F83,G83,H83,I83,J83,K83)</f>
        <v/>
      </c>
    </row>
    <row r="84">
      <c r="A84" s="20" t="n">
        <v>46195</v>
      </c>
      <c r="B84" s="21">
        <f>IFERROR(AVERAGEIFS(Tbl_MasterKPI[Achievement %],Tbl_MasterKPI[Department],B$18,Tbl_MasterKPI[Date],$A84),NA())</f>
        <v/>
      </c>
      <c r="C84" s="21">
        <f>IFERROR(AVERAGEIFS(Tbl_MasterKPI[Achievement %],Tbl_MasterKPI[Department],C$18,Tbl_MasterKPI[Date],$A84),NA())</f>
        <v/>
      </c>
      <c r="D84" s="21">
        <f>IFERROR(AVERAGEIFS(Tbl_MasterKPI[Achievement %],Tbl_MasterKPI[Department],D$18,Tbl_MasterKPI[Date],$A84),NA())</f>
        <v/>
      </c>
      <c r="E84" s="21">
        <f>IFERROR(AVERAGEIFS(Tbl_MasterKPI[Achievement %],Tbl_MasterKPI[Department],E$18,Tbl_MasterKPI[Date],$A84),NA())</f>
        <v/>
      </c>
      <c r="F84" s="21">
        <f>IFERROR(AVERAGEIFS(Tbl_MasterKPI[Achievement %],Tbl_MasterKPI[Department],F$18,Tbl_MasterKPI[Date],$A84),NA())</f>
        <v/>
      </c>
      <c r="G84" s="21">
        <f>IFERROR(AVERAGEIFS(Tbl_MasterKPI[Achievement %],Tbl_MasterKPI[Department],G$18,Tbl_MasterKPI[Date],$A84),NA())</f>
        <v/>
      </c>
      <c r="H84" s="21">
        <f>IFERROR(AVERAGEIFS(Tbl_MasterKPI[Achievement %],Tbl_MasterKPI[Department],H$18,Tbl_MasterKPI[Date],$A84),NA())</f>
        <v/>
      </c>
      <c r="I84" s="21">
        <f>IFERROR(AVERAGEIFS(Tbl_MasterKPI[Achievement %],Tbl_MasterKPI[Department],I$18,Tbl_MasterKPI[Date],$A84),NA())</f>
        <v/>
      </c>
      <c r="J84" s="21">
        <f>IFERROR(AVERAGEIFS(Tbl_MasterKPI[Achievement %],Tbl_MasterKPI[Department],J$18,Tbl_MasterKPI[Date],$A84),NA())</f>
        <v/>
      </c>
      <c r="K84" s="21">
        <f>IFERROR(AVERAGEIFS(Tbl_MasterKPI[Achievement %],Tbl_MasterKPI[Department],K$18,Tbl_MasterKPI[Date],$A84),NA())</f>
        <v/>
      </c>
      <c r="M84" s="43">
        <f>AVERAGE(B84,C84,D84,E84,F84,G84,H84,I84,J84,K84)</f>
        <v/>
      </c>
    </row>
    <row r="85">
      <c r="A85" s="20" t="n">
        <v>46196</v>
      </c>
      <c r="B85" s="21">
        <f>IFERROR(AVERAGEIFS(Tbl_MasterKPI[Achievement %],Tbl_MasterKPI[Department],B$18,Tbl_MasterKPI[Date],$A85),NA())</f>
        <v/>
      </c>
      <c r="C85" s="21">
        <f>IFERROR(AVERAGEIFS(Tbl_MasterKPI[Achievement %],Tbl_MasterKPI[Department],C$18,Tbl_MasterKPI[Date],$A85),NA())</f>
        <v/>
      </c>
      <c r="D85" s="21">
        <f>IFERROR(AVERAGEIFS(Tbl_MasterKPI[Achievement %],Tbl_MasterKPI[Department],D$18,Tbl_MasterKPI[Date],$A85),NA())</f>
        <v/>
      </c>
      <c r="E85" s="21">
        <f>IFERROR(AVERAGEIFS(Tbl_MasterKPI[Achievement %],Tbl_MasterKPI[Department],E$18,Tbl_MasterKPI[Date],$A85),NA())</f>
        <v/>
      </c>
      <c r="F85" s="21">
        <f>IFERROR(AVERAGEIFS(Tbl_MasterKPI[Achievement %],Tbl_MasterKPI[Department],F$18,Tbl_MasterKPI[Date],$A85),NA())</f>
        <v/>
      </c>
      <c r="G85" s="21">
        <f>IFERROR(AVERAGEIFS(Tbl_MasterKPI[Achievement %],Tbl_MasterKPI[Department],G$18,Tbl_MasterKPI[Date],$A85),NA())</f>
        <v/>
      </c>
      <c r="H85" s="21">
        <f>IFERROR(AVERAGEIFS(Tbl_MasterKPI[Achievement %],Tbl_MasterKPI[Department],H$18,Tbl_MasterKPI[Date],$A85),NA())</f>
        <v/>
      </c>
      <c r="I85" s="21">
        <f>IFERROR(AVERAGEIFS(Tbl_MasterKPI[Achievement %],Tbl_MasterKPI[Department],I$18,Tbl_MasterKPI[Date],$A85),NA())</f>
        <v/>
      </c>
      <c r="J85" s="21">
        <f>IFERROR(AVERAGEIFS(Tbl_MasterKPI[Achievement %],Tbl_MasterKPI[Department],J$18,Tbl_MasterKPI[Date],$A85),NA())</f>
        <v/>
      </c>
      <c r="K85" s="21">
        <f>IFERROR(AVERAGEIFS(Tbl_MasterKPI[Achievement %],Tbl_MasterKPI[Department],K$18,Tbl_MasterKPI[Date],$A85),NA())</f>
        <v/>
      </c>
      <c r="M85" s="43">
        <f>AVERAGE(B85,C85,D85,E85,F85,G85,H85,I85,J85,K85)</f>
        <v/>
      </c>
    </row>
    <row r="86">
      <c r="A86" s="20" t="n">
        <v>46197</v>
      </c>
      <c r="B86" s="21">
        <f>IFERROR(AVERAGEIFS(Tbl_MasterKPI[Achievement %],Tbl_MasterKPI[Department],B$18,Tbl_MasterKPI[Date],$A86),NA())</f>
        <v/>
      </c>
      <c r="C86" s="21">
        <f>IFERROR(AVERAGEIFS(Tbl_MasterKPI[Achievement %],Tbl_MasterKPI[Department],C$18,Tbl_MasterKPI[Date],$A86),NA())</f>
        <v/>
      </c>
      <c r="D86" s="21">
        <f>IFERROR(AVERAGEIFS(Tbl_MasterKPI[Achievement %],Tbl_MasterKPI[Department],D$18,Tbl_MasterKPI[Date],$A86),NA())</f>
        <v/>
      </c>
      <c r="E86" s="21">
        <f>IFERROR(AVERAGEIFS(Tbl_MasterKPI[Achievement %],Tbl_MasterKPI[Department],E$18,Tbl_MasterKPI[Date],$A86),NA())</f>
        <v/>
      </c>
      <c r="F86" s="21">
        <f>IFERROR(AVERAGEIFS(Tbl_MasterKPI[Achievement %],Tbl_MasterKPI[Department],F$18,Tbl_MasterKPI[Date],$A86),NA())</f>
        <v/>
      </c>
      <c r="G86" s="21">
        <f>IFERROR(AVERAGEIFS(Tbl_MasterKPI[Achievement %],Tbl_MasterKPI[Department],G$18,Tbl_MasterKPI[Date],$A86),NA())</f>
        <v/>
      </c>
      <c r="H86" s="21">
        <f>IFERROR(AVERAGEIFS(Tbl_MasterKPI[Achievement %],Tbl_MasterKPI[Department],H$18,Tbl_MasterKPI[Date],$A86),NA())</f>
        <v/>
      </c>
      <c r="I86" s="21">
        <f>IFERROR(AVERAGEIFS(Tbl_MasterKPI[Achievement %],Tbl_MasterKPI[Department],I$18,Tbl_MasterKPI[Date],$A86),NA())</f>
        <v/>
      </c>
      <c r="J86" s="21">
        <f>IFERROR(AVERAGEIFS(Tbl_MasterKPI[Achievement %],Tbl_MasterKPI[Department],J$18,Tbl_MasterKPI[Date],$A86),NA())</f>
        <v/>
      </c>
      <c r="K86" s="21">
        <f>IFERROR(AVERAGEIFS(Tbl_MasterKPI[Achievement %],Tbl_MasterKPI[Department],K$18,Tbl_MasterKPI[Date],$A86),NA())</f>
        <v/>
      </c>
      <c r="M86" s="43">
        <f>AVERAGE(B86,C86,D86,E86,F86,G86,H86,I86,J86,K86)</f>
        <v/>
      </c>
    </row>
    <row r="87">
      <c r="A87" s="20" t="n">
        <v>46198</v>
      </c>
      <c r="B87" s="21">
        <f>IFERROR(AVERAGEIFS(Tbl_MasterKPI[Achievement %],Tbl_MasterKPI[Department],B$18,Tbl_MasterKPI[Date],$A87),NA())</f>
        <v/>
      </c>
      <c r="C87" s="21">
        <f>IFERROR(AVERAGEIFS(Tbl_MasterKPI[Achievement %],Tbl_MasterKPI[Department],C$18,Tbl_MasterKPI[Date],$A87),NA())</f>
        <v/>
      </c>
      <c r="D87" s="21">
        <f>IFERROR(AVERAGEIFS(Tbl_MasterKPI[Achievement %],Tbl_MasterKPI[Department],D$18,Tbl_MasterKPI[Date],$A87),NA())</f>
        <v/>
      </c>
      <c r="E87" s="21">
        <f>IFERROR(AVERAGEIFS(Tbl_MasterKPI[Achievement %],Tbl_MasterKPI[Department],E$18,Tbl_MasterKPI[Date],$A87),NA())</f>
        <v/>
      </c>
      <c r="F87" s="21">
        <f>IFERROR(AVERAGEIFS(Tbl_MasterKPI[Achievement %],Tbl_MasterKPI[Department],F$18,Tbl_MasterKPI[Date],$A87),NA())</f>
        <v/>
      </c>
      <c r="G87" s="21">
        <f>IFERROR(AVERAGEIFS(Tbl_MasterKPI[Achievement %],Tbl_MasterKPI[Department],G$18,Tbl_MasterKPI[Date],$A87),NA())</f>
        <v/>
      </c>
      <c r="H87" s="21">
        <f>IFERROR(AVERAGEIFS(Tbl_MasterKPI[Achievement %],Tbl_MasterKPI[Department],H$18,Tbl_MasterKPI[Date],$A87),NA())</f>
        <v/>
      </c>
      <c r="I87" s="21">
        <f>IFERROR(AVERAGEIFS(Tbl_MasterKPI[Achievement %],Tbl_MasterKPI[Department],I$18,Tbl_MasterKPI[Date],$A87),NA())</f>
        <v/>
      </c>
      <c r="J87" s="21">
        <f>IFERROR(AVERAGEIFS(Tbl_MasterKPI[Achievement %],Tbl_MasterKPI[Department],J$18,Tbl_MasterKPI[Date],$A87),NA())</f>
        <v/>
      </c>
      <c r="K87" s="21">
        <f>IFERROR(AVERAGEIFS(Tbl_MasterKPI[Achievement %],Tbl_MasterKPI[Department],K$18,Tbl_MasterKPI[Date],$A87),NA())</f>
        <v/>
      </c>
      <c r="M87" s="43">
        <f>AVERAGE(B87,C87,D87,E87,F87,G87,H87,I87,J87,K87)</f>
        <v/>
      </c>
    </row>
    <row r="88">
      <c r="A88" s="20" t="n">
        <v>46199</v>
      </c>
      <c r="B88" s="21">
        <f>IFERROR(AVERAGEIFS(Tbl_MasterKPI[Achievement %],Tbl_MasterKPI[Department],B$18,Tbl_MasterKPI[Date],$A88),NA())</f>
        <v/>
      </c>
      <c r="C88" s="21">
        <f>IFERROR(AVERAGEIFS(Tbl_MasterKPI[Achievement %],Tbl_MasterKPI[Department],C$18,Tbl_MasterKPI[Date],$A88),NA())</f>
        <v/>
      </c>
      <c r="D88" s="21">
        <f>IFERROR(AVERAGEIFS(Tbl_MasterKPI[Achievement %],Tbl_MasterKPI[Department],D$18,Tbl_MasterKPI[Date],$A88),NA())</f>
        <v/>
      </c>
      <c r="E88" s="21">
        <f>IFERROR(AVERAGEIFS(Tbl_MasterKPI[Achievement %],Tbl_MasterKPI[Department],E$18,Tbl_MasterKPI[Date],$A88),NA())</f>
        <v/>
      </c>
      <c r="F88" s="21">
        <f>IFERROR(AVERAGEIFS(Tbl_MasterKPI[Achievement %],Tbl_MasterKPI[Department],F$18,Tbl_MasterKPI[Date],$A88),NA())</f>
        <v/>
      </c>
      <c r="G88" s="21">
        <f>IFERROR(AVERAGEIFS(Tbl_MasterKPI[Achievement %],Tbl_MasterKPI[Department],G$18,Tbl_MasterKPI[Date],$A88),NA())</f>
        <v/>
      </c>
      <c r="H88" s="21">
        <f>IFERROR(AVERAGEIFS(Tbl_MasterKPI[Achievement %],Tbl_MasterKPI[Department],H$18,Tbl_MasterKPI[Date],$A88),NA())</f>
        <v/>
      </c>
      <c r="I88" s="21">
        <f>IFERROR(AVERAGEIFS(Tbl_MasterKPI[Achievement %],Tbl_MasterKPI[Department],I$18,Tbl_MasterKPI[Date],$A88),NA())</f>
        <v/>
      </c>
      <c r="J88" s="21">
        <f>IFERROR(AVERAGEIFS(Tbl_MasterKPI[Achievement %],Tbl_MasterKPI[Department],J$18,Tbl_MasterKPI[Date],$A88),NA())</f>
        <v/>
      </c>
      <c r="K88" s="21">
        <f>IFERROR(AVERAGEIFS(Tbl_MasterKPI[Achievement %],Tbl_MasterKPI[Department],K$18,Tbl_MasterKPI[Date],$A88),NA())</f>
        <v/>
      </c>
      <c r="M88" s="43">
        <f>AVERAGE(B88,C88,D88,E88,F88,G88,H88,I88,J88,K88)</f>
        <v/>
      </c>
    </row>
    <row r="89">
      <c r="A89" s="20" t="n">
        <v>46200</v>
      </c>
      <c r="B89" s="21">
        <f>IFERROR(AVERAGEIFS(Tbl_MasterKPI[Achievement %],Tbl_MasterKPI[Department],B$18,Tbl_MasterKPI[Date],$A89),NA())</f>
        <v/>
      </c>
      <c r="C89" s="21">
        <f>IFERROR(AVERAGEIFS(Tbl_MasterKPI[Achievement %],Tbl_MasterKPI[Department],C$18,Tbl_MasterKPI[Date],$A89),NA())</f>
        <v/>
      </c>
      <c r="D89" s="21">
        <f>IFERROR(AVERAGEIFS(Tbl_MasterKPI[Achievement %],Tbl_MasterKPI[Department],D$18,Tbl_MasterKPI[Date],$A89),NA())</f>
        <v/>
      </c>
      <c r="E89" s="21">
        <f>IFERROR(AVERAGEIFS(Tbl_MasterKPI[Achievement %],Tbl_MasterKPI[Department],E$18,Tbl_MasterKPI[Date],$A89),NA())</f>
        <v/>
      </c>
      <c r="F89" s="21">
        <f>IFERROR(AVERAGEIFS(Tbl_MasterKPI[Achievement %],Tbl_MasterKPI[Department],F$18,Tbl_MasterKPI[Date],$A89),NA())</f>
        <v/>
      </c>
      <c r="G89" s="21">
        <f>IFERROR(AVERAGEIFS(Tbl_MasterKPI[Achievement %],Tbl_MasterKPI[Department],G$18,Tbl_MasterKPI[Date],$A89),NA())</f>
        <v/>
      </c>
      <c r="H89" s="21">
        <f>IFERROR(AVERAGEIFS(Tbl_MasterKPI[Achievement %],Tbl_MasterKPI[Department],H$18,Tbl_MasterKPI[Date],$A89),NA())</f>
        <v/>
      </c>
      <c r="I89" s="21">
        <f>IFERROR(AVERAGEIFS(Tbl_MasterKPI[Achievement %],Tbl_MasterKPI[Department],I$18,Tbl_MasterKPI[Date],$A89),NA())</f>
        <v/>
      </c>
      <c r="J89" s="21">
        <f>IFERROR(AVERAGEIFS(Tbl_MasterKPI[Achievement %],Tbl_MasterKPI[Department],J$18,Tbl_MasterKPI[Date],$A89),NA())</f>
        <v/>
      </c>
      <c r="K89" s="21">
        <f>IFERROR(AVERAGEIFS(Tbl_MasterKPI[Achievement %],Tbl_MasterKPI[Department],K$18,Tbl_MasterKPI[Date],$A89),NA())</f>
        <v/>
      </c>
      <c r="M89" s="43">
        <f>AVERAGE(B89,C89,D89,E89,F89,G89,H89,I89,J89,K89)</f>
        <v/>
      </c>
    </row>
    <row r="90">
      <c r="A90" s="20" t="n">
        <v>46201</v>
      </c>
      <c r="B90" s="21">
        <f>IFERROR(AVERAGEIFS(Tbl_MasterKPI[Achievement %],Tbl_MasterKPI[Department],B$18,Tbl_MasterKPI[Date],$A90),NA())</f>
        <v/>
      </c>
      <c r="C90" s="21">
        <f>IFERROR(AVERAGEIFS(Tbl_MasterKPI[Achievement %],Tbl_MasterKPI[Department],C$18,Tbl_MasterKPI[Date],$A90),NA())</f>
        <v/>
      </c>
      <c r="D90" s="21">
        <f>IFERROR(AVERAGEIFS(Tbl_MasterKPI[Achievement %],Tbl_MasterKPI[Department],D$18,Tbl_MasterKPI[Date],$A90),NA())</f>
        <v/>
      </c>
      <c r="E90" s="21">
        <f>IFERROR(AVERAGEIFS(Tbl_MasterKPI[Achievement %],Tbl_MasterKPI[Department],E$18,Tbl_MasterKPI[Date],$A90),NA())</f>
        <v/>
      </c>
      <c r="F90" s="21">
        <f>IFERROR(AVERAGEIFS(Tbl_MasterKPI[Achievement %],Tbl_MasterKPI[Department],F$18,Tbl_MasterKPI[Date],$A90),NA())</f>
        <v/>
      </c>
      <c r="G90" s="21">
        <f>IFERROR(AVERAGEIFS(Tbl_MasterKPI[Achievement %],Tbl_MasterKPI[Department],G$18,Tbl_MasterKPI[Date],$A90),NA())</f>
        <v/>
      </c>
      <c r="H90" s="21">
        <f>IFERROR(AVERAGEIFS(Tbl_MasterKPI[Achievement %],Tbl_MasterKPI[Department],H$18,Tbl_MasterKPI[Date],$A90),NA())</f>
        <v/>
      </c>
      <c r="I90" s="21">
        <f>IFERROR(AVERAGEIFS(Tbl_MasterKPI[Achievement %],Tbl_MasterKPI[Department],I$18,Tbl_MasterKPI[Date],$A90),NA())</f>
        <v/>
      </c>
      <c r="J90" s="21">
        <f>IFERROR(AVERAGEIFS(Tbl_MasterKPI[Achievement %],Tbl_MasterKPI[Department],J$18,Tbl_MasterKPI[Date],$A90),NA())</f>
        <v/>
      </c>
      <c r="K90" s="21">
        <f>IFERROR(AVERAGEIFS(Tbl_MasterKPI[Achievement %],Tbl_MasterKPI[Department],K$18,Tbl_MasterKPI[Date],$A90),NA())</f>
        <v/>
      </c>
      <c r="M90" s="43">
        <f>AVERAGE(B90,C90,D90,E90,F90,G90,H90,I90,J90,K90)</f>
        <v/>
      </c>
    </row>
    <row r="91">
      <c r="A91" s="20" t="n">
        <v>46202</v>
      </c>
      <c r="B91" s="21">
        <f>IFERROR(AVERAGEIFS(Tbl_MasterKPI[Achievement %],Tbl_MasterKPI[Department],B$18,Tbl_MasterKPI[Date],$A91),NA())</f>
        <v/>
      </c>
      <c r="C91" s="21">
        <f>IFERROR(AVERAGEIFS(Tbl_MasterKPI[Achievement %],Tbl_MasterKPI[Department],C$18,Tbl_MasterKPI[Date],$A91),NA())</f>
        <v/>
      </c>
      <c r="D91" s="21">
        <f>IFERROR(AVERAGEIFS(Tbl_MasterKPI[Achievement %],Tbl_MasterKPI[Department],D$18,Tbl_MasterKPI[Date],$A91),NA())</f>
        <v/>
      </c>
      <c r="E91" s="21">
        <f>IFERROR(AVERAGEIFS(Tbl_MasterKPI[Achievement %],Tbl_MasterKPI[Department],E$18,Tbl_MasterKPI[Date],$A91),NA())</f>
        <v/>
      </c>
      <c r="F91" s="21">
        <f>IFERROR(AVERAGEIFS(Tbl_MasterKPI[Achievement %],Tbl_MasterKPI[Department],F$18,Tbl_MasterKPI[Date],$A91),NA())</f>
        <v/>
      </c>
      <c r="G91" s="21">
        <f>IFERROR(AVERAGEIFS(Tbl_MasterKPI[Achievement %],Tbl_MasterKPI[Department],G$18,Tbl_MasterKPI[Date],$A91),NA())</f>
        <v/>
      </c>
      <c r="H91" s="21">
        <f>IFERROR(AVERAGEIFS(Tbl_MasterKPI[Achievement %],Tbl_MasterKPI[Department],H$18,Tbl_MasterKPI[Date],$A91),NA())</f>
        <v/>
      </c>
      <c r="I91" s="21">
        <f>IFERROR(AVERAGEIFS(Tbl_MasterKPI[Achievement %],Tbl_MasterKPI[Department],I$18,Tbl_MasterKPI[Date],$A91),NA())</f>
        <v/>
      </c>
      <c r="J91" s="21">
        <f>IFERROR(AVERAGEIFS(Tbl_MasterKPI[Achievement %],Tbl_MasterKPI[Department],J$18,Tbl_MasterKPI[Date],$A91),NA())</f>
        <v/>
      </c>
      <c r="K91" s="21">
        <f>IFERROR(AVERAGEIFS(Tbl_MasterKPI[Achievement %],Tbl_MasterKPI[Department],K$18,Tbl_MasterKPI[Date],$A91),NA())</f>
        <v/>
      </c>
      <c r="M91" s="43">
        <f>AVERAGE(B91,C91,D91,E91,F91,G91,H91,I91,J91,K91)</f>
        <v/>
      </c>
    </row>
    <row r="92">
      <c r="A92" s="20" t="n">
        <v>46203</v>
      </c>
      <c r="B92" s="21">
        <f>IFERROR(AVERAGEIFS(Tbl_MasterKPI[Achievement %],Tbl_MasterKPI[Department],B$18,Tbl_MasterKPI[Date],$A92),NA())</f>
        <v/>
      </c>
      <c r="C92" s="21">
        <f>IFERROR(AVERAGEIFS(Tbl_MasterKPI[Achievement %],Tbl_MasterKPI[Department],C$18,Tbl_MasterKPI[Date],$A92),NA())</f>
        <v/>
      </c>
      <c r="D92" s="21">
        <f>IFERROR(AVERAGEIFS(Tbl_MasterKPI[Achievement %],Tbl_MasterKPI[Department],D$18,Tbl_MasterKPI[Date],$A92),NA())</f>
        <v/>
      </c>
      <c r="E92" s="21">
        <f>IFERROR(AVERAGEIFS(Tbl_MasterKPI[Achievement %],Tbl_MasterKPI[Department],E$18,Tbl_MasterKPI[Date],$A92),NA())</f>
        <v/>
      </c>
      <c r="F92" s="21">
        <f>IFERROR(AVERAGEIFS(Tbl_MasterKPI[Achievement %],Tbl_MasterKPI[Department],F$18,Tbl_MasterKPI[Date],$A92),NA())</f>
        <v/>
      </c>
      <c r="G92" s="21">
        <f>IFERROR(AVERAGEIFS(Tbl_MasterKPI[Achievement %],Tbl_MasterKPI[Department],G$18,Tbl_MasterKPI[Date],$A92),NA())</f>
        <v/>
      </c>
      <c r="H92" s="21">
        <f>IFERROR(AVERAGEIFS(Tbl_MasterKPI[Achievement %],Tbl_MasterKPI[Department],H$18,Tbl_MasterKPI[Date],$A92),NA())</f>
        <v/>
      </c>
      <c r="I92" s="21">
        <f>IFERROR(AVERAGEIFS(Tbl_MasterKPI[Achievement %],Tbl_MasterKPI[Department],I$18,Tbl_MasterKPI[Date],$A92),NA())</f>
        <v/>
      </c>
      <c r="J92" s="21">
        <f>IFERROR(AVERAGEIFS(Tbl_MasterKPI[Achievement %],Tbl_MasterKPI[Department],J$18,Tbl_MasterKPI[Date],$A92),NA())</f>
        <v/>
      </c>
      <c r="K92" s="21">
        <f>IFERROR(AVERAGEIFS(Tbl_MasterKPI[Achievement %],Tbl_MasterKPI[Department],K$18,Tbl_MasterKPI[Date],$A92),NA())</f>
        <v/>
      </c>
      <c r="M92" s="43">
        <f>AVERAGE(B92,C92,D92,E92,F92,G92,H92,I92,J92,K92)</f>
        <v/>
      </c>
    </row>
    <row r="93">
      <c r="A93" s="20" t="n">
        <v>46204</v>
      </c>
      <c r="B93" s="21">
        <f>IFERROR(AVERAGEIFS(Tbl_MasterKPI[Achievement %],Tbl_MasterKPI[Department],B$18,Tbl_MasterKPI[Date],$A93),NA())</f>
        <v/>
      </c>
      <c r="C93" s="21">
        <f>IFERROR(AVERAGEIFS(Tbl_MasterKPI[Achievement %],Tbl_MasterKPI[Department],C$18,Tbl_MasterKPI[Date],$A93),NA())</f>
        <v/>
      </c>
      <c r="D93" s="21">
        <f>IFERROR(AVERAGEIFS(Tbl_MasterKPI[Achievement %],Tbl_MasterKPI[Department],D$18,Tbl_MasterKPI[Date],$A93),NA())</f>
        <v/>
      </c>
      <c r="E93" s="21">
        <f>IFERROR(AVERAGEIFS(Tbl_MasterKPI[Achievement %],Tbl_MasterKPI[Department],E$18,Tbl_MasterKPI[Date],$A93),NA())</f>
        <v/>
      </c>
      <c r="F93" s="21">
        <f>IFERROR(AVERAGEIFS(Tbl_MasterKPI[Achievement %],Tbl_MasterKPI[Department],F$18,Tbl_MasterKPI[Date],$A93),NA())</f>
        <v/>
      </c>
      <c r="G93" s="21">
        <f>IFERROR(AVERAGEIFS(Tbl_MasterKPI[Achievement %],Tbl_MasterKPI[Department],G$18,Tbl_MasterKPI[Date],$A93),NA())</f>
        <v/>
      </c>
      <c r="H93" s="21">
        <f>IFERROR(AVERAGEIFS(Tbl_MasterKPI[Achievement %],Tbl_MasterKPI[Department],H$18,Tbl_MasterKPI[Date],$A93),NA())</f>
        <v/>
      </c>
      <c r="I93" s="21">
        <f>IFERROR(AVERAGEIFS(Tbl_MasterKPI[Achievement %],Tbl_MasterKPI[Department],I$18,Tbl_MasterKPI[Date],$A93),NA())</f>
        <v/>
      </c>
      <c r="J93" s="21">
        <f>IFERROR(AVERAGEIFS(Tbl_MasterKPI[Achievement %],Tbl_MasterKPI[Department],J$18,Tbl_MasterKPI[Date],$A93),NA())</f>
        <v/>
      </c>
      <c r="K93" s="21">
        <f>IFERROR(AVERAGEIFS(Tbl_MasterKPI[Achievement %],Tbl_MasterKPI[Department],K$18,Tbl_MasterKPI[Date],$A93),NA())</f>
        <v/>
      </c>
      <c r="M93" s="43">
        <f>AVERAGE(B93,C93,D93,E93,F93,G93,H93,I93,J93,K93)</f>
        <v/>
      </c>
    </row>
    <row r="94">
      <c r="A94" s="20" t="n">
        <v>46205</v>
      </c>
      <c r="B94" s="21">
        <f>IFERROR(AVERAGEIFS(Tbl_MasterKPI[Achievement %],Tbl_MasterKPI[Department],B$18,Tbl_MasterKPI[Date],$A94),NA())</f>
        <v/>
      </c>
      <c r="C94" s="21">
        <f>IFERROR(AVERAGEIFS(Tbl_MasterKPI[Achievement %],Tbl_MasterKPI[Department],C$18,Tbl_MasterKPI[Date],$A94),NA())</f>
        <v/>
      </c>
      <c r="D94" s="21">
        <f>IFERROR(AVERAGEIFS(Tbl_MasterKPI[Achievement %],Tbl_MasterKPI[Department],D$18,Tbl_MasterKPI[Date],$A94),NA())</f>
        <v/>
      </c>
      <c r="E94" s="21">
        <f>IFERROR(AVERAGEIFS(Tbl_MasterKPI[Achievement %],Tbl_MasterKPI[Department],E$18,Tbl_MasterKPI[Date],$A94),NA())</f>
        <v/>
      </c>
      <c r="F94" s="21">
        <f>IFERROR(AVERAGEIFS(Tbl_MasterKPI[Achievement %],Tbl_MasterKPI[Department],F$18,Tbl_MasterKPI[Date],$A94),NA())</f>
        <v/>
      </c>
      <c r="G94" s="21">
        <f>IFERROR(AVERAGEIFS(Tbl_MasterKPI[Achievement %],Tbl_MasterKPI[Department],G$18,Tbl_MasterKPI[Date],$A94),NA())</f>
        <v/>
      </c>
      <c r="H94" s="21">
        <f>IFERROR(AVERAGEIFS(Tbl_MasterKPI[Achievement %],Tbl_MasterKPI[Department],H$18,Tbl_MasterKPI[Date],$A94),NA())</f>
        <v/>
      </c>
      <c r="I94" s="21">
        <f>IFERROR(AVERAGEIFS(Tbl_MasterKPI[Achievement %],Tbl_MasterKPI[Department],I$18,Tbl_MasterKPI[Date],$A94),NA())</f>
        <v/>
      </c>
      <c r="J94" s="21">
        <f>IFERROR(AVERAGEIFS(Tbl_MasterKPI[Achievement %],Tbl_MasterKPI[Department],J$18,Tbl_MasterKPI[Date],$A94),NA())</f>
        <v/>
      </c>
      <c r="K94" s="21">
        <f>IFERROR(AVERAGEIFS(Tbl_MasterKPI[Achievement %],Tbl_MasterKPI[Department],K$18,Tbl_MasterKPI[Date],$A94),NA())</f>
        <v/>
      </c>
      <c r="M94" s="43">
        <f>AVERAGE(B94,C94,D94,E94,F94,G94,H94,I94,J94,K94)</f>
        <v/>
      </c>
    </row>
    <row r="95">
      <c r="A95" s="20" t="n">
        <v>46206</v>
      </c>
      <c r="B95" s="21">
        <f>IFERROR(AVERAGEIFS(Tbl_MasterKPI[Achievement %],Tbl_MasterKPI[Department],B$18,Tbl_MasterKPI[Date],$A95),NA())</f>
        <v/>
      </c>
      <c r="C95" s="21">
        <f>IFERROR(AVERAGEIFS(Tbl_MasterKPI[Achievement %],Tbl_MasterKPI[Department],C$18,Tbl_MasterKPI[Date],$A95),NA())</f>
        <v/>
      </c>
      <c r="D95" s="21">
        <f>IFERROR(AVERAGEIFS(Tbl_MasterKPI[Achievement %],Tbl_MasterKPI[Department],D$18,Tbl_MasterKPI[Date],$A95),NA())</f>
        <v/>
      </c>
      <c r="E95" s="21">
        <f>IFERROR(AVERAGEIFS(Tbl_MasterKPI[Achievement %],Tbl_MasterKPI[Department],E$18,Tbl_MasterKPI[Date],$A95),NA())</f>
        <v/>
      </c>
      <c r="F95" s="21">
        <f>IFERROR(AVERAGEIFS(Tbl_MasterKPI[Achievement %],Tbl_MasterKPI[Department],F$18,Tbl_MasterKPI[Date],$A95),NA())</f>
        <v/>
      </c>
      <c r="G95" s="21">
        <f>IFERROR(AVERAGEIFS(Tbl_MasterKPI[Achievement %],Tbl_MasterKPI[Department],G$18,Tbl_MasterKPI[Date],$A95),NA())</f>
        <v/>
      </c>
      <c r="H95" s="21">
        <f>IFERROR(AVERAGEIFS(Tbl_MasterKPI[Achievement %],Tbl_MasterKPI[Department],H$18,Tbl_MasterKPI[Date],$A95),NA())</f>
        <v/>
      </c>
      <c r="I95" s="21">
        <f>IFERROR(AVERAGEIFS(Tbl_MasterKPI[Achievement %],Tbl_MasterKPI[Department],I$18,Tbl_MasterKPI[Date],$A95),NA())</f>
        <v/>
      </c>
      <c r="J95" s="21">
        <f>IFERROR(AVERAGEIFS(Tbl_MasterKPI[Achievement %],Tbl_MasterKPI[Department],J$18,Tbl_MasterKPI[Date],$A95),NA())</f>
        <v/>
      </c>
      <c r="K95" s="21">
        <f>IFERROR(AVERAGEIFS(Tbl_MasterKPI[Achievement %],Tbl_MasterKPI[Department],K$18,Tbl_MasterKPI[Date],$A95),NA())</f>
        <v/>
      </c>
      <c r="M95" s="43">
        <f>AVERAGE(B95,C95,D95,E95,F95,G95,H95,I95,J95,K95)</f>
        <v/>
      </c>
    </row>
    <row r="96">
      <c r="A96" s="20" t="n">
        <v>46207</v>
      </c>
      <c r="B96" s="21">
        <f>IFERROR(AVERAGEIFS(Tbl_MasterKPI[Achievement %],Tbl_MasterKPI[Department],B$18,Tbl_MasterKPI[Date],$A96),NA())</f>
        <v/>
      </c>
      <c r="C96" s="21">
        <f>IFERROR(AVERAGEIFS(Tbl_MasterKPI[Achievement %],Tbl_MasterKPI[Department],C$18,Tbl_MasterKPI[Date],$A96),NA())</f>
        <v/>
      </c>
      <c r="D96" s="21">
        <f>IFERROR(AVERAGEIFS(Tbl_MasterKPI[Achievement %],Tbl_MasterKPI[Department],D$18,Tbl_MasterKPI[Date],$A96),NA())</f>
        <v/>
      </c>
      <c r="E96" s="21">
        <f>IFERROR(AVERAGEIFS(Tbl_MasterKPI[Achievement %],Tbl_MasterKPI[Department],E$18,Tbl_MasterKPI[Date],$A96),NA())</f>
        <v/>
      </c>
      <c r="F96" s="21">
        <f>IFERROR(AVERAGEIFS(Tbl_MasterKPI[Achievement %],Tbl_MasterKPI[Department],F$18,Tbl_MasterKPI[Date],$A96),NA())</f>
        <v/>
      </c>
      <c r="G96" s="21">
        <f>IFERROR(AVERAGEIFS(Tbl_MasterKPI[Achievement %],Tbl_MasterKPI[Department],G$18,Tbl_MasterKPI[Date],$A96),NA())</f>
        <v/>
      </c>
      <c r="H96" s="21">
        <f>IFERROR(AVERAGEIFS(Tbl_MasterKPI[Achievement %],Tbl_MasterKPI[Department],H$18,Tbl_MasterKPI[Date],$A96),NA())</f>
        <v/>
      </c>
      <c r="I96" s="21">
        <f>IFERROR(AVERAGEIFS(Tbl_MasterKPI[Achievement %],Tbl_MasterKPI[Department],I$18,Tbl_MasterKPI[Date],$A96),NA())</f>
        <v/>
      </c>
      <c r="J96" s="21">
        <f>IFERROR(AVERAGEIFS(Tbl_MasterKPI[Achievement %],Tbl_MasterKPI[Department],J$18,Tbl_MasterKPI[Date],$A96),NA())</f>
        <v/>
      </c>
      <c r="K96" s="21">
        <f>IFERROR(AVERAGEIFS(Tbl_MasterKPI[Achievement %],Tbl_MasterKPI[Department],K$18,Tbl_MasterKPI[Date],$A96),NA())</f>
        <v/>
      </c>
      <c r="M96" s="43">
        <f>AVERAGE(B96,C96,D96,E96,F96,G96,H96,I96,J96,K96)</f>
        <v/>
      </c>
    </row>
    <row r="97">
      <c r="A97" s="20" t="n">
        <v>46208</v>
      </c>
      <c r="B97" s="21">
        <f>IFERROR(AVERAGEIFS(Tbl_MasterKPI[Achievement %],Tbl_MasterKPI[Department],B$18,Tbl_MasterKPI[Date],$A97),NA())</f>
        <v/>
      </c>
      <c r="C97" s="21">
        <f>IFERROR(AVERAGEIFS(Tbl_MasterKPI[Achievement %],Tbl_MasterKPI[Department],C$18,Tbl_MasterKPI[Date],$A97),NA())</f>
        <v/>
      </c>
      <c r="D97" s="21">
        <f>IFERROR(AVERAGEIFS(Tbl_MasterKPI[Achievement %],Tbl_MasterKPI[Department],D$18,Tbl_MasterKPI[Date],$A97),NA())</f>
        <v/>
      </c>
      <c r="E97" s="21">
        <f>IFERROR(AVERAGEIFS(Tbl_MasterKPI[Achievement %],Tbl_MasterKPI[Department],E$18,Tbl_MasterKPI[Date],$A97),NA())</f>
        <v/>
      </c>
      <c r="F97" s="21">
        <f>IFERROR(AVERAGEIFS(Tbl_MasterKPI[Achievement %],Tbl_MasterKPI[Department],F$18,Tbl_MasterKPI[Date],$A97),NA())</f>
        <v/>
      </c>
      <c r="G97" s="21">
        <f>IFERROR(AVERAGEIFS(Tbl_MasterKPI[Achievement %],Tbl_MasterKPI[Department],G$18,Tbl_MasterKPI[Date],$A97),NA())</f>
        <v/>
      </c>
      <c r="H97" s="21">
        <f>IFERROR(AVERAGEIFS(Tbl_MasterKPI[Achievement %],Tbl_MasterKPI[Department],H$18,Tbl_MasterKPI[Date],$A97),NA())</f>
        <v/>
      </c>
      <c r="I97" s="21">
        <f>IFERROR(AVERAGEIFS(Tbl_MasterKPI[Achievement %],Tbl_MasterKPI[Department],I$18,Tbl_MasterKPI[Date],$A97),NA())</f>
        <v/>
      </c>
      <c r="J97" s="21">
        <f>IFERROR(AVERAGEIFS(Tbl_MasterKPI[Achievement %],Tbl_MasterKPI[Department],J$18,Tbl_MasterKPI[Date],$A97),NA())</f>
        <v/>
      </c>
      <c r="K97" s="21">
        <f>IFERROR(AVERAGEIFS(Tbl_MasterKPI[Achievement %],Tbl_MasterKPI[Department],K$18,Tbl_MasterKPI[Date],$A97),NA())</f>
        <v/>
      </c>
      <c r="M97" s="43">
        <f>AVERAGE(B97,C97,D97,E97,F97,G97,H97,I97,J97,K97)</f>
        <v/>
      </c>
    </row>
    <row r="98">
      <c r="A98" s="20" t="n">
        <v>46209</v>
      </c>
      <c r="B98" s="21">
        <f>IFERROR(AVERAGEIFS(Tbl_MasterKPI[Achievement %],Tbl_MasterKPI[Department],B$18,Tbl_MasterKPI[Date],$A98),NA())</f>
        <v/>
      </c>
      <c r="C98" s="21">
        <f>IFERROR(AVERAGEIFS(Tbl_MasterKPI[Achievement %],Tbl_MasterKPI[Department],C$18,Tbl_MasterKPI[Date],$A98),NA())</f>
        <v/>
      </c>
      <c r="D98" s="21">
        <f>IFERROR(AVERAGEIFS(Tbl_MasterKPI[Achievement %],Tbl_MasterKPI[Department],D$18,Tbl_MasterKPI[Date],$A98),NA())</f>
        <v/>
      </c>
      <c r="E98" s="21">
        <f>IFERROR(AVERAGEIFS(Tbl_MasterKPI[Achievement %],Tbl_MasterKPI[Department],E$18,Tbl_MasterKPI[Date],$A98),NA())</f>
        <v/>
      </c>
      <c r="F98" s="21">
        <f>IFERROR(AVERAGEIFS(Tbl_MasterKPI[Achievement %],Tbl_MasterKPI[Department],F$18,Tbl_MasterKPI[Date],$A98),NA())</f>
        <v/>
      </c>
      <c r="G98" s="21">
        <f>IFERROR(AVERAGEIFS(Tbl_MasterKPI[Achievement %],Tbl_MasterKPI[Department],G$18,Tbl_MasterKPI[Date],$A98),NA())</f>
        <v/>
      </c>
      <c r="H98" s="21">
        <f>IFERROR(AVERAGEIFS(Tbl_MasterKPI[Achievement %],Tbl_MasterKPI[Department],H$18,Tbl_MasterKPI[Date],$A98),NA())</f>
        <v/>
      </c>
      <c r="I98" s="21">
        <f>IFERROR(AVERAGEIFS(Tbl_MasterKPI[Achievement %],Tbl_MasterKPI[Department],I$18,Tbl_MasterKPI[Date],$A98),NA())</f>
        <v/>
      </c>
      <c r="J98" s="21">
        <f>IFERROR(AVERAGEIFS(Tbl_MasterKPI[Achievement %],Tbl_MasterKPI[Department],J$18,Tbl_MasterKPI[Date],$A98),NA())</f>
        <v/>
      </c>
      <c r="K98" s="21">
        <f>IFERROR(AVERAGEIFS(Tbl_MasterKPI[Achievement %],Tbl_MasterKPI[Department],K$18,Tbl_MasterKPI[Date],$A98),NA())</f>
        <v/>
      </c>
      <c r="M98" s="43">
        <f>AVERAGE(B98,C98,D98,E98,F98,G98,H98,I98,J98,K98)</f>
        <v/>
      </c>
    </row>
    <row r="99">
      <c r="A99" s="20" t="n">
        <v>46210</v>
      </c>
      <c r="B99" s="21">
        <f>IFERROR(AVERAGEIFS(Tbl_MasterKPI[Achievement %],Tbl_MasterKPI[Department],B$18,Tbl_MasterKPI[Date],$A99),NA())</f>
        <v/>
      </c>
      <c r="C99" s="21">
        <f>IFERROR(AVERAGEIFS(Tbl_MasterKPI[Achievement %],Tbl_MasterKPI[Department],C$18,Tbl_MasterKPI[Date],$A99),NA())</f>
        <v/>
      </c>
      <c r="D99" s="21">
        <f>IFERROR(AVERAGEIFS(Tbl_MasterKPI[Achievement %],Tbl_MasterKPI[Department],D$18,Tbl_MasterKPI[Date],$A99),NA())</f>
        <v/>
      </c>
      <c r="E99" s="21">
        <f>IFERROR(AVERAGEIFS(Tbl_MasterKPI[Achievement %],Tbl_MasterKPI[Department],E$18,Tbl_MasterKPI[Date],$A99),NA())</f>
        <v/>
      </c>
      <c r="F99" s="21">
        <f>IFERROR(AVERAGEIFS(Tbl_MasterKPI[Achievement %],Tbl_MasterKPI[Department],F$18,Tbl_MasterKPI[Date],$A99),NA())</f>
        <v/>
      </c>
      <c r="G99" s="21">
        <f>IFERROR(AVERAGEIFS(Tbl_MasterKPI[Achievement %],Tbl_MasterKPI[Department],G$18,Tbl_MasterKPI[Date],$A99),NA())</f>
        <v/>
      </c>
      <c r="H99" s="21">
        <f>IFERROR(AVERAGEIFS(Tbl_MasterKPI[Achievement %],Tbl_MasterKPI[Department],H$18,Tbl_MasterKPI[Date],$A99),NA())</f>
        <v/>
      </c>
      <c r="I99" s="21">
        <f>IFERROR(AVERAGEIFS(Tbl_MasterKPI[Achievement %],Tbl_MasterKPI[Department],I$18,Tbl_MasterKPI[Date],$A99),NA())</f>
        <v/>
      </c>
      <c r="J99" s="21">
        <f>IFERROR(AVERAGEIFS(Tbl_MasterKPI[Achievement %],Tbl_MasterKPI[Department],J$18,Tbl_MasterKPI[Date],$A99),NA())</f>
        <v/>
      </c>
      <c r="K99" s="21">
        <f>IFERROR(AVERAGEIFS(Tbl_MasterKPI[Achievement %],Tbl_MasterKPI[Department],K$18,Tbl_MasterKPI[Date],$A99),NA())</f>
        <v/>
      </c>
      <c r="M99" s="43">
        <f>AVERAGE(B99,C99,D99,E99,F99,G99,H99,I99,J99,K99)</f>
        <v/>
      </c>
    </row>
    <row r="100">
      <c r="A100" s="20" t="n">
        <v>46211</v>
      </c>
      <c r="B100" s="21">
        <f>IFERROR(AVERAGEIFS(Tbl_MasterKPI[Achievement %],Tbl_MasterKPI[Department],B$18,Tbl_MasterKPI[Date],$A100),NA())</f>
        <v/>
      </c>
      <c r="C100" s="21">
        <f>IFERROR(AVERAGEIFS(Tbl_MasterKPI[Achievement %],Tbl_MasterKPI[Department],C$18,Tbl_MasterKPI[Date],$A100),NA())</f>
        <v/>
      </c>
      <c r="D100" s="21">
        <f>IFERROR(AVERAGEIFS(Tbl_MasterKPI[Achievement %],Tbl_MasterKPI[Department],D$18,Tbl_MasterKPI[Date],$A100),NA())</f>
        <v/>
      </c>
      <c r="E100" s="21">
        <f>IFERROR(AVERAGEIFS(Tbl_MasterKPI[Achievement %],Tbl_MasterKPI[Department],E$18,Tbl_MasterKPI[Date],$A100),NA())</f>
        <v/>
      </c>
      <c r="F100" s="21">
        <f>IFERROR(AVERAGEIFS(Tbl_MasterKPI[Achievement %],Tbl_MasterKPI[Department],F$18,Tbl_MasterKPI[Date],$A100),NA())</f>
        <v/>
      </c>
      <c r="G100" s="21">
        <f>IFERROR(AVERAGEIFS(Tbl_MasterKPI[Achievement %],Tbl_MasterKPI[Department],G$18,Tbl_MasterKPI[Date],$A100),NA())</f>
        <v/>
      </c>
      <c r="H100" s="21">
        <f>IFERROR(AVERAGEIFS(Tbl_MasterKPI[Achievement %],Tbl_MasterKPI[Department],H$18,Tbl_MasterKPI[Date],$A100),NA())</f>
        <v/>
      </c>
      <c r="I100" s="21">
        <f>IFERROR(AVERAGEIFS(Tbl_MasterKPI[Achievement %],Tbl_MasterKPI[Department],I$18,Tbl_MasterKPI[Date],$A100),NA())</f>
        <v/>
      </c>
      <c r="J100" s="21">
        <f>IFERROR(AVERAGEIFS(Tbl_MasterKPI[Achievement %],Tbl_MasterKPI[Department],J$18,Tbl_MasterKPI[Date],$A100),NA())</f>
        <v/>
      </c>
      <c r="K100" s="21">
        <f>IFERROR(AVERAGEIFS(Tbl_MasterKPI[Achievement %],Tbl_MasterKPI[Department],K$18,Tbl_MasterKPI[Date],$A100),NA())</f>
        <v/>
      </c>
      <c r="M100" s="43">
        <f>AVERAGE(B100,C100,D100,E100,F100,G100,H100,I100,J100,K100)</f>
        <v/>
      </c>
    </row>
    <row r="101">
      <c r="A101" s="20" t="n">
        <v>46212</v>
      </c>
      <c r="B101" s="21">
        <f>IFERROR(AVERAGEIFS(Tbl_MasterKPI[Achievement %],Tbl_MasterKPI[Department],B$18,Tbl_MasterKPI[Date],$A101),NA())</f>
        <v/>
      </c>
      <c r="C101" s="21">
        <f>IFERROR(AVERAGEIFS(Tbl_MasterKPI[Achievement %],Tbl_MasterKPI[Department],C$18,Tbl_MasterKPI[Date],$A101),NA())</f>
        <v/>
      </c>
      <c r="D101" s="21">
        <f>IFERROR(AVERAGEIFS(Tbl_MasterKPI[Achievement %],Tbl_MasterKPI[Department],D$18,Tbl_MasterKPI[Date],$A101),NA())</f>
        <v/>
      </c>
      <c r="E101" s="21">
        <f>IFERROR(AVERAGEIFS(Tbl_MasterKPI[Achievement %],Tbl_MasterKPI[Department],E$18,Tbl_MasterKPI[Date],$A101),NA())</f>
        <v/>
      </c>
      <c r="F101" s="21">
        <f>IFERROR(AVERAGEIFS(Tbl_MasterKPI[Achievement %],Tbl_MasterKPI[Department],F$18,Tbl_MasterKPI[Date],$A101),NA())</f>
        <v/>
      </c>
      <c r="G101" s="21">
        <f>IFERROR(AVERAGEIFS(Tbl_MasterKPI[Achievement %],Tbl_MasterKPI[Department],G$18,Tbl_MasterKPI[Date],$A101),NA())</f>
        <v/>
      </c>
      <c r="H101" s="21">
        <f>IFERROR(AVERAGEIFS(Tbl_MasterKPI[Achievement %],Tbl_MasterKPI[Department],H$18,Tbl_MasterKPI[Date],$A101),NA())</f>
        <v/>
      </c>
      <c r="I101" s="21">
        <f>IFERROR(AVERAGEIFS(Tbl_MasterKPI[Achievement %],Tbl_MasterKPI[Department],I$18,Tbl_MasterKPI[Date],$A101),NA())</f>
        <v/>
      </c>
      <c r="J101" s="21">
        <f>IFERROR(AVERAGEIFS(Tbl_MasterKPI[Achievement %],Tbl_MasterKPI[Department],J$18,Tbl_MasterKPI[Date],$A101),NA())</f>
        <v/>
      </c>
      <c r="K101" s="21">
        <f>IFERROR(AVERAGEIFS(Tbl_MasterKPI[Achievement %],Tbl_MasterKPI[Department],K$18,Tbl_MasterKPI[Date],$A101),NA())</f>
        <v/>
      </c>
      <c r="M101" s="43">
        <f>AVERAGE(B101,C101,D101,E101,F101,G101,H101,I101,J101,K101)</f>
        <v/>
      </c>
    </row>
    <row r="102">
      <c r="A102" s="20" t="n">
        <v>46213</v>
      </c>
      <c r="B102" s="21">
        <f>IFERROR(AVERAGEIFS(Tbl_MasterKPI[Achievement %],Tbl_MasterKPI[Department],B$18,Tbl_MasterKPI[Date],$A102),NA())</f>
        <v/>
      </c>
      <c r="C102" s="21">
        <f>IFERROR(AVERAGEIFS(Tbl_MasterKPI[Achievement %],Tbl_MasterKPI[Department],C$18,Tbl_MasterKPI[Date],$A102),NA())</f>
        <v/>
      </c>
      <c r="D102" s="21">
        <f>IFERROR(AVERAGEIFS(Tbl_MasterKPI[Achievement %],Tbl_MasterKPI[Department],D$18,Tbl_MasterKPI[Date],$A102),NA())</f>
        <v/>
      </c>
      <c r="E102" s="21">
        <f>IFERROR(AVERAGEIFS(Tbl_MasterKPI[Achievement %],Tbl_MasterKPI[Department],E$18,Tbl_MasterKPI[Date],$A102),NA())</f>
        <v/>
      </c>
      <c r="F102" s="21">
        <f>IFERROR(AVERAGEIFS(Tbl_MasterKPI[Achievement %],Tbl_MasterKPI[Department],F$18,Tbl_MasterKPI[Date],$A102),NA())</f>
        <v/>
      </c>
      <c r="G102" s="21">
        <f>IFERROR(AVERAGEIFS(Tbl_MasterKPI[Achievement %],Tbl_MasterKPI[Department],G$18,Tbl_MasterKPI[Date],$A102),NA())</f>
        <v/>
      </c>
      <c r="H102" s="21">
        <f>IFERROR(AVERAGEIFS(Tbl_MasterKPI[Achievement %],Tbl_MasterKPI[Department],H$18,Tbl_MasterKPI[Date],$A102),NA())</f>
        <v/>
      </c>
      <c r="I102" s="21">
        <f>IFERROR(AVERAGEIFS(Tbl_MasterKPI[Achievement %],Tbl_MasterKPI[Department],I$18,Tbl_MasterKPI[Date],$A102),NA())</f>
        <v/>
      </c>
      <c r="J102" s="21">
        <f>IFERROR(AVERAGEIFS(Tbl_MasterKPI[Achievement %],Tbl_MasterKPI[Department],J$18,Tbl_MasterKPI[Date],$A102),NA())</f>
        <v/>
      </c>
      <c r="K102" s="21">
        <f>IFERROR(AVERAGEIFS(Tbl_MasterKPI[Achievement %],Tbl_MasterKPI[Department],K$18,Tbl_MasterKPI[Date],$A102),NA())</f>
        <v/>
      </c>
      <c r="M102" s="43">
        <f>AVERAGE(B102,C102,D102,E102,F102,G102,H102,I102,J102,K102)</f>
        <v/>
      </c>
    </row>
    <row r="103">
      <c r="A103" s="20" t="n">
        <v>46214</v>
      </c>
      <c r="B103" s="21">
        <f>IFERROR(AVERAGEIFS(Tbl_MasterKPI[Achievement %],Tbl_MasterKPI[Department],B$18,Tbl_MasterKPI[Date],$A103),NA())</f>
        <v/>
      </c>
      <c r="C103" s="21">
        <f>IFERROR(AVERAGEIFS(Tbl_MasterKPI[Achievement %],Tbl_MasterKPI[Department],C$18,Tbl_MasterKPI[Date],$A103),NA())</f>
        <v/>
      </c>
      <c r="D103" s="21">
        <f>IFERROR(AVERAGEIFS(Tbl_MasterKPI[Achievement %],Tbl_MasterKPI[Department],D$18,Tbl_MasterKPI[Date],$A103),NA())</f>
        <v/>
      </c>
      <c r="E103" s="21">
        <f>IFERROR(AVERAGEIFS(Tbl_MasterKPI[Achievement %],Tbl_MasterKPI[Department],E$18,Tbl_MasterKPI[Date],$A103),NA())</f>
        <v/>
      </c>
      <c r="F103" s="21">
        <f>IFERROR(AVERAGEIFS(Tbl_MasterKPI[Achievement %],Tbl_MasterKPI[Department],F$18,Tbl_MasterKPI[Date],$A103),NA())</f>
        <v/>
      </c>
      <c r="G103" s="21">
        <f>IFERROR(AVERAGEIFS(Tbl_MasterKPI[Achievement %],Tbl_MasterKPI[Department],G$18,Tbl_MasterKPI[Date],$A103),NA())</f>
        <v/>
      </c>
      <c r="H103" s="21">
        <f>IFERROR(AVERAGEIFS(Tbl_MasterKPI[Achievement %],Tbl_MasterKPI[Department],H$18,Tbl_MasterKPI[Date],$A103),NA())</f>
        <v/>
      </c>
      <c r="I103" s="21">
        <f>IFERROR(AVERAGEIFS(Tbl_MasterKPI[Achievement %],Tbl_MasterKPI[Department],I$18,Tbl_MasterKPI[Date],$A103),NA())</f>
        <v/>
      </c>
      <c r="J103" s="21">
        <f>IFERROR(AVERAGEIFS(Tbl_MasterKPI[Achievement %],Tbl_MasterKPI[Department],J$18,Tbl_MasterKPI[Date],$A103),NA())</f>
        <v/>
      </c>
      <c r="K103" s="21">
        <f>IFERROR(AVERAGEIFS(Tbl_MasterKPI[Achievement %],Tbl_MasterKPI[Department],K$18,Tbl_MasterKPI[Date],$A103),NA())</f>
        <v/>
      </c>
      <c r="M103" s="43">
        <f>AVERAGE(B103,C103,D103,E103,F103,G103,H103,I103,J103,K103)</f>
        <v/>
      </c>
    </row>
    <row r="104">
      <c r="A104" s="20" t="n">
        <v>46215</v>
      </c>
      <c r="B104" s="21">
        <f>IFERROR(AVERAGEIFS(Tbl_MasterKPI[Achievement %],Tbl_MasterKPI[Department],B$18,Tbl_MasterKPI[Date],$A104),NA())</f>
        <v/>
      </c>
      <c r="C104" s="21">
        <f>IFERROR(AVERAGEIFS(Tbl_MasterKPI[Achievement %],Tbl_MasterKPI[Department],C$18,Tbl_MasterKPI[Date],$A104),NA())</f>
        <v/>
      </c>
      <c r="D104" s="21">
        <f>IFERROR(AVERAGEIFS(Tbl_MasterKPI[Achievement %],Tbl_MasterKPI[Department],D$18,Tbl_MasterKPI[Date],$A104),NA())</f>
        <v/>
      </c>
      <c r="E104" s="21">
        <f>IFERROR(AVERAGEIFS(Tbl_MasterKPI[Achievement %],Tbl_MasterKPI[Department],E$18,Tbl_MasterKPI[Date],$A104),NA())</f>
        <v/>
      </c>
      <c r="F104" s="21">
        <f>IFERROR(AVERAGEIFS(Tbl_MasterKPI[Achievement %],Tbl_MasterKPI[Department],F$18,Tbl_MasterKPI[Date],$A104),NA())</f>
        <v/>
      </c>
      <c r="G104" s="21">
        <f>IFERROR(AVERAGEIFS(Tbl_MasterKPI[Achievement %],Tbl_MasterKPI[Department],G$18,Tbl_MasterKPI[Date],$A104),NA())</f>
        <v/>
      </c>
      <c r="H104" s="21">
        <f>IFERROR(AVERAGEIFS(Tbl_MasterKPI[Achievement %],Tbl_MasterKPI[Department],H$18,Tbl_MasterKPI[Date],$A104),NA())</f>
        <v/>
      </c>
      <c r="I104" s="21">
        <f>IFERROR(AVERAGEIFS(Tbl_MasterKPI[Achievement %],Tbl_MasterKPI[Department],I$18,Tbl_MasterKPI[Date],$A104),NA())</f>
        <v/>
      </c>
      <c r="J104" s="21">
        <f>IFERROR(AVERAGEIFS(Tbl_MasterKPI[Achievement %],Tbl_MasterKPI[Department],J$18,Tbl_MasterKPI[Date],$A104),NA())</f>
        <v/>
      </c>
      <c r="K104" s="21">
        <f>IFERROR(AVERAGEIFS(Tbl_MasterKPI[Achievement %],Tbl_MasterKPI[Department],K$18,Tbl_MasterKPI[Date],$A104),NA())</f>
        <v/>
      </c>
      <c r="M104" s="43">
        <f>AVERAGE(B104,C104,D104,E104,F104,G104,H104,I104,J104,K104)</f>
        <v/>
      </c>
    </row>
    <row r="105">
      <c r="A105" s="20" t="n">
        <v>46216</v>
      </c>
      <c r="B105" s="21">
        <f>IFERROR(AVERAGEIFS(Tbl_MasterKPI[Achievement %],Tbl_MasterKPI[Department],B$18,Tbl_MasterKPI[Date],$A105),NA())</f>
        <v/>
      </c>
      <c r="C105" s="21">
        <f>IFERROR(AVERAGEIFS(Tbl_MasterKPI[Achievement %],Tbl_MasterKPI[Department],C$18,Tbl_MasterKPI[Date],$A105),NA())</f>
        <v/>
      </c>
      <c r="D105" s="21">
        <f>IFERROR(AVERAGEIFS(Tbl_MasterKPI[Achievement %],Tbl_MasterKPI[Department],D$18,Tbl_MasterKPI[Date],$A105),NA())</f>
        <v/>
      </c>
      <c r="E105" s="21">
        <f>IFERROR(AVERAGEIFS(Tbl_MasterKPI[Achievement %],Tbl_MasterKPI[Department],E$18,Tbl_MasterKPI[Date],$A105),NA())</f>
        <v/>
      </c>
      <c r="F105" s="21">
        <f>IFERROR(AVERAGEIFS(Tbl_MasterKPI[Achievement %],Tbl_MasterKPI[Department],F$18,Tbl_MasterKPI[Date],$A105),NA())</f>
        <v/>
      </c>
      <c r="G105" s="21">
        <f>IFERROR(AVERAGEIFS(Tbl_MasterKPI[Achievement %],Tbl_MasterKPI[Department],G$18,Tbl_MasterKPI[Date],$A105),NA())</f>
        <v/>
      </c>
      <c r="H105" s="21">
        <f>IFERROR(AVERAGEIFS(Tbl_MasterKPI[Achievement %],Tbl_MasterKPI[Department],H$18,Tbl_MasterKPI[Date],$A105),NA())</f>
        <v/>
      </c>
      <c r="I105" s="21">
        <f>IFERROR(AVERAGEIFS(Tbl_MasterKPI[Achievement %],Tbl_MasterKPI[Department],I$18,Tbl_MasterKPI[Date],$A105),NA())</f>
        <v/>
      </c>
      <c r="J105" s="21">
        <f>IFERROR(AVERAGEIFS(Tbl_MasterKPI[Achievement %],Tbl_MasterKPI[Department],J$18,Tbl_MasterKPI[Date],$A105),NA())</f>
        <v/>
      </c>
      <c r="K105" s="21">
        <f>IFERROR(AVERAGEIFS(Tbl_MasterKPI[Achievement %],Tbl_MasterKPI[Department],K$18,Tbl_MasterKPI[Date],$A105),NA())</f>
        <v/>
      </c>
      <c r="M105" s="43">
        <f>AVERAGE(B105,C105,D105,E105,F105,G105,H105,I105,J105,K105)</f>
        <v/>
      </c>
    </row>
    <row r="106">
      <c r="A106" s="20" t="n">
        <v>46217</v>
      </c>
      <c r="B106" s="21">
        <f>IFERROR(AVERAGEIFS(Tbl_MasterKPI[Achievement %],Tbl_MasterKPI[Department],B$18,Tbl_MasterKPI[Date],$A106),NA())</f>
        <v/>
      </c>
      <c r="C106" s="21">
        <f>IFERROR(AVERAGEIFS(Tbl_MasterKPI[Achievement %],Tbl_MasterKPI[Department],C$18,Tbl_MasterKPI[Date],$A106),NA())</f>
        <v/>
      </c>
      <c r="D106" s="21">
        <f>IFERROR(AVERAGEIFS(Tbl_MasterKPI[Achievement %],Tbl_MasterKPI[Department],D$18,Tbl_MasterKPI[Date],$A106),NA())</f>
        <v/>
      </c>
      <c r="E106" s="21">
        <f>IFERROR(AVERAGEIFS(Tbl_MasterKPI[Achievement %],Tbl_MasterKPI[Department],E$18,Tbl_MasterKPI[Date],$A106),NA())</f>
        <v/>
      </c>
      <c r="F106" s="21">
        <f>IFERROR(AVERAGEIFS(Tbl_MasterKPI[Achievement %],Tbl_MasterKPI[Department],F$18,Tbl_MasterKPI[Date],$A106),NA())</f>
        <v/>
      </c>
      <c r="G106" s="21">
        <f>IFERROR(AVERAGEIFS(Tbl_MasterKPI[Achievement %],Tbl_MasterKPI[Department],G$18,Tbl_MasterKPI[Date],$A106),NA())</f>
        <v/>
      </c>
      <c r="H106" s="21">
        <f>IFERROR(AVERAGEIFS(Tbl_MasterKPI[Achievement %],Tbl_MasterKPI[Department],H$18,Tbl_MasterKPI[Date],$A106),NA())</f>
        <v/>
      </c>
      <c r="I106" s="21">
        <f>IFERROR(AVERAGEIFS(Tbl_MasterKPI[Achievement %],Tbl_MasterKPI[Department],I$18,Tbl_MasterKPI[Date],$A106),NA())</f>
        <v/>
      </c>
      <c r="J106" s="21">
        <f>IFERROR(AVERAGEIFS(Tbl_MasterKPI[Achievement %],Tbl_MasterKPI[Department],J$18,Tbl_MasterKPI[Date],$A106),NA())</f>
        <v/>
      </c>
      <c r="K106" s="21">
        <f>IFERROR(AVERAGEIFS(Tbl_MasterKPI[Achievement %],Tbl_MasterKPI[Department],K$18,Tbl_MasterKPI[Date],$A106),NA())</f>
        <v/>
      </c>
      <c r="M106" s="43">
        <f>AVERAGE(B106,C106,D106,E106,F106,G106,H106,I106,J106,K106)</f>
        <v/>
      </c>
    </row>
    <row r="107">
      <c r="A107" s="20" t="n">
        <v>46218</v>
      </c>
      <c r="B107" s="21">
        <f>IFERROR(AVERAGEIFS(Tbl_MasterKPI[Achievement %],Tbl_MasterKPI[Department],B$18,Tbl_MasterKPI[Date],$A107),NA())</f>
        <v/>
      </c>
      <c r="C107" s="21">
        <f>IFERROR(AVERAGEIFS(Tbl_MasterKPI[Achievement %],Tbl_MasterKPI[Department],C$18,Tbl_MasterKPI[Date],$A107),NA())</f>
        <v/>
      </c>
      <c r="D107" s="21">
        <f>IFERROR(AVERAGEIFS(Tbl_MasterKPI[Achievement %],Tbl_MasterKPI[Department],D$18,Tbl_MasterKPI[Date],$A107),NA())</f>
        <v/>
      </c>
      <c r="E107" s="21">
        <f>IFERROR(AVERAGEIFS(Tbl_MasterKPI[Achievement %],Tbl_MasterKPI[Department],E$18,Tbl_MasterKPI[Date],$A107),NA())</f>
        <v/>
      </c>
      <c r="F107" s="21">
        <f>IFERROR(AVERAGEIFS(Tbl_MasterKPI[Achievement %],Tbl_MasterKPI[Department],F$18,Tbl_MasterKPI[Date],$A107),NA())</f>
        <v/>
      </c>
      <c r="G107" s="21">
        <f>IFERROR(AVERAGEIFS(Tbl_MasterKPI[Achievement %],Tbl_MasterKPI[Department],G$18,Tbl_MasterKPI[Date],$A107),NA())</f>
        <v/>
      </c>
      <c r="H107" s="21">
        <f>IFERROR(AVERAGEIFS(Tbl_MasterKPI[Achievement %],Tbl_MasterKPI[Department],H$18,Tbl_MasterKPI[Date],$A107),NA())</f>
        <v/>
      </c>
      <c r="I107" s="21">
        <f>IFERROR(AVERAGEIFS(Tbl_MasterKPI[Achievement %],Tbl_MasterKPI[Department],I$18,Tbl_MasterKPI[Date],$A107),NA())</f>
        <v/>
      </c>
      <c r="J107" s="21">
        <f>IFERROR(AVERAGEIFS(Tbl_MasterKPI[Achievement %],Tbl_MasterKPI[Department],J$18,Tbl_MasterKPI[Date],$A107),NA())</f>
        <v/>
      </c>
      <c r="K107" s="21">
        <f>IFERROR(AVERAGEIFS(Tbl_MasterKPI[Achievement %],Tbl_MasterKPI[Department],K$18,Tbl_MasterKPI[Date],$A107),NA())</f>
        <v/>
      </c>
      <c r="M107" s="43">
        <f>AVERAGE(B107,C107,D107,E107,F107,G107,H107,I107,J107,K107)</f>
        <v/>
      </c>
    </row>
    <row r="108">
      <c r="A108" s="20" t="n">
        <v>46219</v>
      </c>
      <c r="B108" s="21">
        <f>IFERROR(AVERAGEIFS(Tbl_MasterKPI[Achievement %],Tbl_MasterKPI[Department],B$18,Tbl_MasterKPI[Date],$A108),NA())</f>
        <v/>
      </c>
      <c r="C108" s="21">
        <f>IFERROR(AVERAGEIFS(Tbl_MasterKPI[Achievement %],Tbl_MasterKPI[Department],C$18,Tbl_MasterKPI[Date],$A108),NA())</f>
        <v/>
      </c>
      <c r="D108" s="21">
        <f>IFERROR(AVERAGEIFS(Tbl_MasterKPI[Achievement %],Tbl_MasterKPI[Department],D$18,Tbl_MasterKPI[Date],$A108),NA())</f>
        <v/>
      </c>
      <c r="E108" s="21">
        <f>IFERROR(AVERAGEIFS(Tbl_MasterKPI[Achievement %],Tbl_MasterKPI[Department],E$18,Tbl_MasterKPI[Date],$A108),NA())</f>
        <v/>
      </c>
      <c r="F108" s="21">
        <f>IFERROR(AVERAGEIFS(Tbl_MasterKPI[Achievement %],Tbl_MasterKPI[Department],F$18,Tbl_MasterKPI[Date],$A108),NA())</f>
        <v/>
      </c>
      <c r="G108" s="21">
        <f>IFERROR(AVERAGEIFS(Tbl_MasterKPI[Achievement %],Tbl_MasterKPI[Department],G$18,Tbl_MasterKPI[Date],$A108),NA())</f>
        <v/>
      </c>
      <c r="H108" s="21">
        <f>IFERROR(AVERAGEIFS(Tbl_MasterKPI[Achievement %],Tbl_MasterKPI[Department],H$18,Tbl_MasterKPI[Date],$A108),NA())</f>
        <v/>
      </c>
      <c r="I108" s="21">
        <f>IFERROR(AVERAGEIFS(Tbl_MasterKPI[Achievement %],Tbl_MasterKPI[Department],I$18,Tbl_MasterKPI[Date],$A108),NA())</f>
        <v/>
      </c>
      <c r="J108" s="21">
        <f>IFERROR(AVERAGEIFS(Tbl_MasterKPI[Achievement %],Tbl_MasterKPI[Department],J$18,Tbl_MasterKPI[Date],$A108),NA())</f>
        <v/>
      </c>
      <c r="K108" s="21">
        <f>IFERROR(AVERAGEIFS(Tbl_MasterKPI[Achievement %],Tbl_MasterKPI[Department],K$18,Tbl_MasterKPI[Date],$A108),NA())</f>
        <v/>
      </c>
      <c r="M108" s="43">
        <f>AVERAGE(B108,C108,D108,E108,F108,G108,H108,I108,J108,K108)</f>
        <v/>
      </c>
    </row>
  </sheetData>
  <mergeCells count="3">
    <mergeCell ref="A3:G3"/>
    <mergeCell ref="A17:K17"/>
    <mergeCell ref="A1:L1"/>
  </mergeCells>
  <conditionalFormatting sqref="G5:G14">
    <cfRule type="expression" priority="1" dxfId="5">
      <formula>ISNUMBER(SEARCH("Improving",G5))</formula>
    </cfRule>
    <cfRule type="expression" priority="2" dxfId="4">
      <formula>ISNUMBER(SEARCH("Declining",G5))</formula>
    </cfRule>
  </conditionalFormatting>
  <pageMargins left="0.3" right="0.3" top="0.4" bottom="0.4" header="0.2" footer="0.2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8" customWidth="1" min="2" max="2"/>
    <col width="14" customWidth="1" min="3" max="3"/>
    <col width="14" customWidth="1" min="4" max="4"/>
    <col width="13" customWidth="1" min="5" max="5"/>
    <col width="14" customWidth="1" min="6" max="6"/>
    <col width="13" customWidth="1" min="7" max="7"/>
    <col width="13" customWidth="1" min="8" max="8"/>
    <col width="14" customWidth="1" min="9" max="9"/>
  </cols>
  <sheetData>
    <row r="1" ht="28" customHeight="1">
      <c r="A1" s="11" t="inlineStr">
        <is>
          <t>MONTHLY SUMMARY — Department performance for the selected month</t>
        </is>
      </c>
    </row>
    <row r="3">
      <c r="A3" s="12" t="inlineStr">
        <is>
          <t>Select Month:</t>
        </is>
      </c>
      <c r="B3" s="22">
        <f>TEXT(TODAY(),"mmm-yyyy")</f>
        <v/>
      </c>
    </row>
    <row r="5" ht="32" customHeight="1">
      <c r="A5" s="2" t="inlineStr">
        <is>
          <t>Department</t>
        </is>
      </c>
      <c r="B5" s="2" t="inlineStr">
        <is>
          <t>Target (headline KPI)</t>
        </is>
      </c>
      <c r="C5" s="2" t="inlineStr">
        <is>
          <t>Actual (avg)</t>
        </is>
      </c>
      <c r="D5" s="2" t="inlineStr">
        <is>
          <t>Achievement %</t>
        </is>
      </c>
      <c r="E5" s="2" t="inlineStr">
        <is>
          <t>Red KPI-Days</t>
        </is>
      </c>
      <c r="F5" s="2" t="inlineStr">
        <is>
          <t>Amber KPI-Days</t>
        </is>
      </c>
      <c r="G5" s="2" t="inlineStr">
        <is>
          <t>Green KPI-Days</t>
        </is>
      </c>
      <c r="H5" s="2" t="inlineStr">
        <is>
          <t>Actions Closed</t>
        </is>
      </c>
      <c r="I5" s="2" t="inlineStr">
        <is>
          <t>Actions Pending</t>
        </is>
      </c>
    </row>
    <row r="6">
      <c r="A6" s="4" t="inlineStr">
        <is>
          <t>Safety</t>
        </is>
      </c>
      <c r="B6" s="23">
        <f>IFERROR(INDEX(Tbl_KPIMaster[Maximum Target],MATCH("Safety Incidents (LTI)",Tbl_KPIMaster[KPI],0)),0)</f>
        <v/>
      </c>
      <c r="C6" s="23">
        <f>IFERROR(AVERAGEIFS(Tbl_MasterKPI[Actual],Tbl_MasterKPI[KPI Name],"Safety Incidents (LTI)",Tbl_MasterKPI[Month],$B$3),0)</f>
        <v/>
      </c>
      <c r="D6" s="5">
        <f>IFERROR(AVERAGEIFS(Tbl_MasterKPI[Achievement %],Tbl_MasterKPI[Department],$A6,Tbl_MasterKPI[Month],$B$3),0)</f>
        <v/>
      </c>
      <c r="E6" s="4">
        <f>COUNTIFS(Tbl_MasterKPI[Department],$A6,Tbl_MasterKPI[Month],$B$3,Tbl_MasterKPI[Traffic Light],"Red")</f>
        <v/>
      </c>
      <c r="F6" s="4">
        <f>COUNTIFS(Tbl_MasterKPI[Department],$A6,Tbl_MasterKPI[Month],$B$3,Tbl_MasterKPI[Traffic Light],"Amber")</f>
        <v/>
      </c>
      <c r="G6" s="4">
        <f>COUNTIFS(Tbl_MasterKPI[Department],$A6,Tbl_MasterKPI[Month],$B$3,Tbl_MasterKPI[Traffic Light],"Green")</f>
        <v/>
      </c>
      <c r="H6" s="4">
        <f>COUNTIFS(Tbl_ActionTracker[Department],$A6,Tbl_ActionTracker[Status],"Closed",Tbl_ActionTracker[Meeting Date],"&gt;="&amp;DATEVALUE("1-"&amp;$B$3),Tbl_ActionTracker[Meeting Date],"&lt;"&amp;EDATE(DATEVALUE("1-"&amp;$B$3),1))</f>
        <v/>
      </c>
      <c r="I6" s="4">
        <f>COUNTIFS(Tbl_ActionTracker[Department],$A6,Tbl_ActionTracker[Status],"&lt;&gt;Closed",Tbl_ActionTracker[Meeting Date],"&gt;="&amp;DATEVALUE("1-"&amp;$B$3),Tbl_ActionTracker[Meeting Date],"&lt;"&amp;EDATE(DATEVALUE("1-"&amp;$B$3),1))</f>
        <v/>
      </c>
    </row>
    <row r="7">
      <c r="A7" s="8" t="inlineStr">
        <is>
          <t>Production</t>
        </is>
      </c>
      <c r="B7" s="24">
        <f>IFERROR(INDEX(Tbl_KPIMaster[Maximum Target],MATCH("Production Output",Tbl_KPIMaster[KPI],0)),0)</f>
        <v/>
      </c>
      <c r="C7" s="24">
        <f>IFERROR(AVERAGEIFS(Tbl_MasterKPI[Actual],Tbl_MasterKPI[KPI Name],"Production Output",Tbl_MasterKPI[Month],$B$3),0)</f>
        <v/>
      </c>
      <c r="D7" s="9">
        <f>IFERROR(AVERAGEIFS(Tbl_MasterKPI[Achievement %],Tbl_MasterKPI[Department],$A7,Tbl_MasterKPI[Month],$B$3),0)</f>
        <v/>
      </c>
      <c r="E7" s="8">
        <f>COUNTIFS(Tbl_MasterKPI[Department],$A7,Tbl_MasterKPI[Month],$B$3,Tbl_MasterKPI[Traffic Light],"Red")</f>
        <v/>
      </c>
      <c r="F7" s="8">
        <f>COUNTIFS(Tbl_MasterKPI[Department],$A7,Tbl_MasterKPI[Month],$B$3,Tbl_MasterKPI[Traffic Light],"Amber")</f>
        <v/>
      </c>
      <c r="G7" s="8">
        <f>COUNTIFS(Tbl_MasterKPI[Department],$A7,Tbl_MasterKPI[Month],$B$3,Tbl_MasterKPI[Traffic Light],"Green")</f>
        <v/>
      </c>
      <c r="H7" s="8">
        <f>COUNTIFS(Tbl_ActionTracker[Department],$A7,Tbl_ActionTracker[Status],"Closed",Tbl_ActionTracker[Meeting Date],"&gt;="&amp;DATEVALUE("1-"&amp;$B$3),Tbl_ActionTracker[Meeting Date],"&lt;"&amp;EDATE(DATEVALUE("1-"&amp;$B$3),1))</f>
        <v/>
      </c>
      <c r="I7" s="8">
        <f>COUNTIFS(Tbl_ActionTracker[Department],$A7,Tbl_ActionTracker[Status],"&lt;&gt;Closed",Tbl_ActionTracker[Meeting Date],"&gt;="&amp;DATEVALUE("1-"&amp;$B$3),Tbl_ActionTracker[Meeting Date],"&lt;"&amp;EDATE(DATEVALUE("1-"&amp;$B$3),1))</f>
        <v/>
      </c>
    </row>
    <row r="8">
      <c r="A8" s="4" t="inlineStr">
        <is>
          <t>Quality</t>
        </is>
      </c>
      <c r="B8" s="23">
        <f>IFERROR(INDEX(Tbl_KPIMaster[Maximum Target],MATCH("Defect Rate %",Tbl_KPIMaster[KPI],0)),0)</f>
        <v/>
      </c>
      <c r="C8" s="23">
        <f>IFERROR(AVERAGEIFS(Tbl_MasterKPI[Actual],Tbl_MasterKPI[KPI Name],"Defect Rate %",Tbl_MasterKPI[Month],$B$3),0)</f>
        <v/>
      </c>
      <c r="D8" s="5">
        <f>IFERROR(AVERAGEIFS(Tbl_MasterKPI[Achievement %],Tbl_MasterKPI[Department],$A8,Tbl_MasterKPI[Month],$B$3),0)</f>
        <v/>
      </c>
      <c r="E8" s="4">
        <f>COUNTIFS(Tbl_MasterKPI[Department],$A8,Tbl_MasterKPI[Month],$B$3,Tbl_MasterKPI[Traffic Light],"Red")</f>
        <v/>
      </c>
      <c r="F8" s="4">
        <f>COUNTIFS(Tbl_MasterKPI[Department],$A8,Tbl_MasterKPI[Month],$B$3,Tbl_MasterKPI[Traffic Light],"Amber")</f>
        <v/>
      </c>
      <c r="G8" s="4">
        <f>COUNTIFS(Tbl_MasterKPI[Department],$A8,Tbl_MasterKPI[Month],$B$3,Tbl_MasterKPI[Traffic Light],"Green")</f>
        <v/>
      </c>
      <c r="H8" s="4">
        <f>COUNTIFS(Tbl_ActionTracker[Department],$A8,Tbl_ActionTracker[Status],"Closed",Tbl_ActionTracker[Meeting Date],"&gt;="&amp;DATEVALUE("1-"&amp;$B$3),Tbl_ActionTracker[Meeting Date],"&lt;"&amp;EDATE(DATEVALUE("1-"&amp;$B$3),1))</f>
        <v/>
      </c>
      <c r="I8" s="4">
        <f>COUNTIFS(Tbl_ActionTracker[Department],$A8,Tbl_ActionTracker[Status],"&lt;&gt;Closed",Tbl_ActionTracker[Meeting Date],"&gt;="&amp;DATEVALUE("1-"&amp;$B$3),Tbl_ActionTracker[Meeting Date],"&lt;"&amp;EDATE(DATEVALUE("1-"&amp;$B$3),1))</f>
        <v/>
      </c>
    </row>
    <row r="9">
      <c r="A9" s="8" t="inlineStr">
        <is>
          <t>Maintenance</t>
        </is>
      </c>
      <c r="B9" s="24">
        <f>IFERROR(INDEX(Tbl_KPIMaster[Maximum Target],MATCH("Unplanned Downtime",Tbl_KPIMaster[KPI],0)),0)</f>
        <v/>
      </c>
      <c r="C9" s="24">
        <f>IFERROR(AVERAGEIFS(Tbl_MasterKPI[Actual],Tbl_MasterKPI[KPI Name],"Unplanned Downtime",Tbl_MasterKPI[Month],$B$3),0)</f>
        <v/>
      </c>
      <c r="D9" s="9">
        <f>IFERROR(AVERAGEIFS(Tbl_MasterKPI[Achievement %],Tbl_MasterKPI[Department],$A9,Tbl_MasterKPI[Month],$B$3),0)</f>
        <v/>
      </c>
      <c r="E9" s="8">
        <f>COUNTIFS(Tbl_MasterKPI[Department],$A9,Tbl_MasterKPI[Month],$B$3,Tbl_MasterKPI[Traffic Light],"Red")</f>
        <v/>
      </c>
      <c r="F9" s="8">
        <f>COUNTIFS(Tbl_MasterKPI[Department],$A9,Tbl_MasterKPI[Month],$B$3,Tbl_MasterKPI[Traffic Light],"Amber")</f>
        <v/>
      </c>
      <c r="G9" s="8">
        <f>COUNTIFS(Tbl_MasterKPI[Department],$A9,Tbl_MasterKPI[Month],$B$3,Tbl_MasterKPI[Traffic Light],"Green")</f>
        <v/>
      </c>
      <c r="H9" s="8">
        <f>COUNTIFS(Tbl_ActionTracker[Department],$A9,Tbl_ActionTracker[Status],"Closed",Tbl_ActionTracker[Meeting Date],"&gt;="&amp;DATEVALUE("1-"&amp;$B$3),Tbl_ActionTracker[Meeting Date],"&lt;"&amp;EDATE(DATEVALUE("1-"&amp;$B$3),1))</f>
        <v/>
      </c>
      <c r="I9" s="8">
        <f>COUNTIFS(Tbl_ActionTracker[Department],$A9,Tbl_ActionTracker[Status],"&lt;&gt;Closed",Tbl_ActionTracker[Meeting Date],"&gt;="&amp;DATEVALUE("1-"&amp;$B$3),Tbl_ActionTracker[Meeting Date],"&lt;"&amp;EDATE(DATEVALUE("1-"&amp;$B$3),1))</f>
        <v/>
      </c>
    </row>
    <row r="10">
      <c r="A10" s="4" t="inlineStr">
        <is>
          <t>Utilities</t>
        </is>
      </c>
      <c r="B10" s="23">
        <f>IFERROR(INDEX(Tbl_KPIMaster[Maximum Target],MATCH("Power Consumption",Tbl_KPIMaster[KPI],0)),0)</f>
        <v/>
      </c>
      <c r="C10" s="23">
        <f>IFERROR(AVERAGEIFS(Tbl_MasterKPI[Actual],Tbl_MasterKPI[KPI Name],"Power Consumption",Tbl_MasterKPI[Month],$B$3),0)</f>
        <v/>
      </c>
      <c r="D10" s="5">
        <f>IFERROR(AVERAGEIFS(Tbl_MasterKPI[Achievement %],Tbl_MasterKPI[Department],$A10,Tbl_MasterKPI[Month],$B$3),0)</f>
        <v/>
      </c>
      <c r="E10" s="4">
        <f>COUNTIFS(Tbl_MasterKPI[Department],$A10,Tbl_MasterKPI[Month],$B$3,Tbl_MasterKPI[Traffic Light],"Red")</f>
        <v/>
      </c>
      <c r="F10" s="4">
        <f>COUNTIFS(Tbl_MasterKPI[Department],$A10,Tbl_MasterKPI[Month],$B$3,Tbl_MasterKPI[Traffic Light],"Amber")</f>
        <v/>
      </c>
      <c r="G10" s="4">
        <f>COUNTIFS(Tbl_MasterKPI[Department],$A10,Tbl_MasterKPI[Month],$B$3,Tbl_MasterKPI[Traffic Light],"Green")</f>
        <v/>
      </c>
      <c r="H10" s="4">
        <f>COUNTIFS(Tbl_ActionTracker[Department],$A10,Tbl_ActionTracker[Status],"Closed",Tbl_ActionTracker[Meeting Date],"&gt;="&amp;DATEVALUE("1-"&amp;$B$3),Tbl_ActionTracker[Meeting Date],"&lt;"&amp;EDATE(DATEVALUE("1-"&amp;$B$3),1))</f>
        <v/>
      </c>
      <c r="I10" s="4">
        <f>COUNTIFS(Tbl_ActionTracker[Department],$A10,Tbl_ActionTracker[Status],"&lt;&gt;Closed",Tbl_ActionTracker[Meeting Date],"&gt;="&amp;DATEVALUE("1-"&amp;$B$3),Tbl_ActionTracker[Meeting Date],"&lt;"&amp;EDATE(DATEVALUE("1-"&amp;$B$3),1))</f>
        <v/>
      </c>
    </row>
    <row r="11">
      <c r="A11" s="8" t="inlineStr">
        <is>
          <t>Warehouse</t>
        </is>
      </c>
      <c r="B11" s="24">
        <f>IFERROR(INDEX(Tbl_KPIMaster[Maximum Target],MATCH("On-Time Dispatch %",Tbl_KPIMaster[KPI],0)),0)</f>
        <v/>
      </c>
      <c r="C11" s="24">
        <f>IFERROR(AVERAGEIFS(Tbl_MasterKPI[Actual],Tbl_MasterKPI[KPI Name],"On-Time Dispatch %",Tbl_MasterKPI[Month],$B$3),0)</f>
        <v/>
      </c>
      <c r="D11" s="9">
        <f>IFERROR(AVERAGEIFS(Tbl_MasterKPI[Achievement %],Tbl_MasterKPI[Department],$A11,Tbl_MasterKPI[Month],$B$3),0)</f>
        <v/>
      </c>
      <c r="E11" s="8">
        <f>COUNTIFS(Tbl_MasterKPI[Department],$A11,Tbl_MasterKPI[Month],$B$3,Tbl_MasterKPI[Traffic Light],"Red")</f>
        <v/>
      </c>
      <c r="F11" s="8">
        <f>COUNTIFS(Tbl_MasterKPI[Department],$A11,Tbl_MasterKPI[Month],$B$3,Tbl_MasterKPI[Traffic Light],"Amber")</f>
        <v/>
      </c>
      <c r="G11" s="8">
        <f>COUNTIFS(Tbl_MasterKPI[Department],$A11,Tbl_MasterKPI[Month],$B$3,Tbl_MasterKPI[Traffic Light],"Green")</f>
        <v/>
      </c>
      <c r="H11" s="8">
        <f>COUNTIFS(Tbl_ActionTracker[Department],$A11,Tbl_ActionTracker[Status],"Closed",Tbl_ActionTracker[Meeting Date],"&gt;="&amp;DATEVALUE("1-"&amp;$B$3),Tbl_ActionTracker[Meeting Date],"&lt;"&amp;EDATE(DATEVALUE("1-"&amp;$B$3),1))</f>
        <v/>
      </c>
      <c r="I11" s="8">
        <f>COUNTIFS(Tbl_ActionTracker[Department],$A11,Tbl_ActionTracker[Status],"&lt;&gt;Closed",Tbl_ActionTracker[Meeting Date],"&gt;="&amp;DATEVALUE("1-"&amp;$B$3),Tbl_ActionTracker[Meeting Date],"&lt;"&amp;EDATE(DATEVALUE("1-"&amp;$B$3),1))</f>
        <v/>
      </c>
    </row>
    <row r="12">
      <c r="A12" s="4" t="inlineStr">
        <is>
          <t>HR</t>
        </is>
      </c>
      <c r="B12" s="23">
        <f>IFERROR(INDEX(Tbl_KPIMaster[Maximum Target],MATCH("Absenteeism %",Tbl_KPIMaster[KPI],0)),0)</f>
        <v/>
      </c>
      <c r="C12" s="23">
        <f>IFERROR(AVERAGEIFS(Tbl_MasterKPI[Actual],Tbl_MasterKPI[KPI Name],"Absenteeism %",Tbl_MasterKPI[Month],$B$3),0)</f>
        <v/>
      </c>
      <c r="D12" s="5">
        <f>IFERROR(AVERAGEIFS(Tbl_MasterKPI[Achievement %],Tbl_MasterKPI[Department],$A12,Tbl_MasterKPI[Month],$B$3),0)</f>
        <v/>
      </c>
      <c r="E12" s="4">
        <f>COUNTIFS(Tbl_MasterKPI[Department],$A12,Tbl_MasterKPI[Month],$B$3,Tbl_MasterKPI[Traffic Light],"Red")</f>
        <v/>
      </c>
      <c r="F12" s="4">
        <f>COUNTIFS(Tbl_MasterKPI[Department],$A12,Tbl_MasterKPI[Month],$B$3,Tbl_MasterKPI[Traffic Light],"Amber")</f>
        <v/>
      </c>
      <c r="G12" s="4">
        <f>COUNTIFS(Tbl_MasterKPI[Department],$A12,Tbl_MasterKPI[Month],$B$3,Tbl_MasterKPI[Traffic Light],"Green")</f>
        <v/>
      </c>
      <c r="H12" s="4">
        <f>COUNTIFS(Tbl_ActionTracker[Department],$A12,Tbl_ActionTracker[Status],"Closed",Tbl_ActionTracker[Meeting Date],"&gt;="&amp;DATEVALUE("1-"&amp;$B$3),Tbl_ActionTracker[Meeting Date],"&lt;"&amp;EDATE(DATEVALUE("1-"&amp;$B$3),1))</f>
        <v/>
      </c>
      <c r="I12" s="4">
        <f>COUNTIFS(Tbl_ActionTracker[Department],$A12,Tbl_ActionTracker[Status],"&lt;&gt;Closed",Tbl_ActionTracker[Meeting Date],"&gt;="&amp;DATEVALUE("1-"&amp;$B$3),Tbl_ActionTracker[Meeting Date],"&lt;"&amp;EDATE(DATEVALUE("1-"&amp;$B$3),1))</f>
        <v/>
      </c>
    </row>
    <row r="13">
      <c r="A13" s="8" t="inlineStr">
        <is>
          <t>Engineering</t>
        </is>
      </c>
      <c r="B13" s="24">
        <f>IFERROR(INDEX(Tbl_KPIMaster[Maximum Target],MATCH("Project Milestone Adherence %",Tbl_KPIMaster[KPI],0)),0)</f>
        <v/>
      </c>
      <c r="C13" s="24">
        <f>IFERROR(AVERAGEIFS(Tbl_MasterKPI[Actual],Tbl_MasterKPI[KPI Name],"Project Milestone Adherence %",Tbl_MasterKPI[Month],$B$3),0)</f>
        <v/>
      </c>
      <c r="D13" s="9">
        <f>IFERROR(AVERAGEIFS(Tbl_MasterKPI[Achievement %],Tbl_MasterKPI[Department],$A13,Tbl_MasterKPI[Month],$B$3),0)</f>
        <v/>
      </c>
      <c r="E13" s="8">
        <f>COUNTIFS(Tbl_MasterKPI[Department],$A13,Tbl_MasterKPI[Month],$B$3,Tbl_MasterKPI[Traffic Light],"Red")</f>
        <v/>
      </c>
      <c r="F13" s="8">
        <f>COUNTIFS(Tbl_MasterKPI[Department],$A13,Tbl_MasterKPI[Month],$B$3,Tbl_MasterKPI[Traffic Light],"Amber")</f>
        <v/>
      </c>
      <c r="G13" s="8">
        <f>COUNTIFS(Tbl_MasterKPI[Department],$A13,Tbl_MasterKPI[Month],$B$3,Tbl_MasterKPI[Traffic Light],"Green")</f>
        <v/>
      </c>
      <c r="H13" s="8">
        <f>COUNTIFS(Tbl_ActionTracker[Department],$A13,Tbl_ActionTracker[Status],"Closed",Tbl_ActionTracker[Meeting Date],"&gt;="&amp;DATEVALUE("1-"&amp;$B$3),Tbl_ActionTracker[Meeting Date],"&lt;"&amp;EDATE(DATEVALUE("1-"&amp;$B$3),1))</f>
        <v/>
      </c>
      <c r="I13" s="8">
        <f>COUNTIFS(Tbl_ActionTracker[Department],$A13,Tbl_ActionTracker[Status],"&lt;&gt;Closed",Tbl_ActionTracker[Meeting Date],"&gt;="&amp;DATEVALUE("1-"&amp;$B$3),Tbl_ActionTracker[Meeting Date],"&lt;"&amp;EDATE(DATEVALUE("1-"&amp;$B$3),1))</f>
        <v/>
      </c>
    </row>
    <row r="14">
      <c r="A14" s="4" t="inlineStr">
        <is>
          <t>Cost</t>
        </is>
      </c>
      <c r="B14" s="23">
        <f>IFERROR(INDEX(Tbl_KPIMaster[Maximum Target],MATCH("Cost per Unit",Tbl_KPIMaster[KPI],0)),0)</f>
        <v/>
      </c>
      <c r="C14" s="23">
        <f>IFERROR(AVERAGEIFS(Tbl_MasterKPI[Actual],Tbl_MasterKPI[KPI Name],"Cost per Unit",Tbl_MasterKPI[Month],$B$3),0)</f>
        <v/>
      </c>
      <c r="D14" s="5">
        <f>IFERROR(AVERAGEIFS(Tbl_MasterKPI[Achievement %],Tbl_MasterKPI[Department],$A14,Tbl_MasterKPI[Month],$B$3),0)</f>
        <v/>
      </c>
      <c r="E14" s="4">
        <f>COUNTIFS(Tbl_MasterKPI[Department],$A14,Tbl_MasterKPI[Month],$B$3,Tbl_MasterKPI[Traffic Light],"Red")</f>
        <v/>
      </c>
      <c r="F14" s="4">
        <f>COUNTIFS(Tbl_MasterKPI[Department],$A14,Tbl_MasterKPI[Month],$B$3,Tbl_MasterKPI[Traffic Light],"Amber")</f>
        <v/>
      </c>
      <c r="G14" s="4">
        <f>COUNTIFS(Tbl_MasterKPI[Department],$A14,Tbl_MasterKPI[Month],$B$3,Tbl_MasterKPI[Traffic Light],"Green")</f>
        <v/>
      </c>
      <c r="H14" s="4">
        <f>COUNTIFS(Tbl_ActionTracker[Department],$A14,Tbl_ActionTracker[Status],"Closed",Tbl_ActionTracker[Meeting Date],"&gt;="&amp;DATEVALUE("1-"&amp;$B$3),Tbl_ActionTracker[Meeting Date],"&lt;"&amp;EDATE(DATEVALUE("1-"&amp;$B$3),1))</f>
        <v/>
      </c>
      <c r="I14" s="4">
        <f>COUNTIFS(Tbl_ActionTracker[Department],$A14,Tbl_ActionTracker[Status],"&lt;&gt;Closed",Tbl_ActionTracker[Meeting Date],"&gt;="&amp;DATEVALUE("1-"&amp;$B$3),Tbl_ActionTracker[Meeting Date],"&lt;"&amp;EDATE(DATEVALUE("1-"&amp;$B$3),1))</f>
        <v/>
      </c>
    </row>
    <row r="15">
      <c r="A15" s="8" t="inlineStr">
        <is>
          <t>Energy</t>
        </is>
      </c>
      <c r="B15" s="24">
        <f>IFERROR(INDEX(Tbl_KPIMaster[Maximum Target],MATCH("Energy Intensity (kWh/unit)",Tbl_KPIMaster[KPI],0)),0)</f>
        <v/>
      </c>
      <c r="C15" s="24">
        <f>IFERROR(AVERAGEIFS(Tbl_MasterKPI[Actual],Tbl_MasterKPI[KPI Name],"Energy Intensity (kWh/unit)",Tbl_MasterKPI[Month],$B$3),0)</f>
        <v/>
      </c>
      <c r="D15" s="9">
        <f>IFERROR(AVERAGEIFS(Tbl_MasterKPI[Achievement %],Tbl_MasterKPI[Department],$A15,Tbl_MasterKPI[Month],$B$3),0)</f>
        <v/>
      </c>
      <c r="E15" s="8">
        <f>COUNTIFS(Tbl_MasterKPI[Department],$A15,Tbl_MasterKPI[Month],$B$3,Tbl_MasterKPI[Traffic Light],"Red")</f>
        <v/>
      </c>
      <c r="F15" s="8">
        <f>COUNTIFS(Tbl_MasterKPI[Department],$A15,Tbl_MasterKPI[Month],$B$3,Tbl_MasterKPI[Traffic Light],"Amber")</f>
        <v/>
      </c>
      <c r="G15" s="8">
        <f>COUNTIFS(Tbl_MasterKPI[Department],$A15,Tbl_MasterKPI[Month],$B$3,Tbl_MasterKPI[Traffic Light],"Green")</f>
        <v/>
      </c>
      <c r="H15" s="8">
        <f>COUNTIFS(Tbl_ActionTracker[Department],$A15,Tbl_ActionTracker[Status],"Closed",Tbl_ActionTracker[Meeting Date],"&gt;="&amp;DATEVALUE("1-"&amp;$B$3),Tbl_ActionTracker[Meeting Date],"&lt;"&amp;EDATE(DATEVALUE("1-"&amp;$B$3),1))</f>
        <v/>
      </c>
      <c r="I15" s="8">
        <f>COUNTIFS(Tbl_ActionTracker[Department],$A15,Tbl_ActionTracker[Status],"&lt;&gt;Closed",Tbl_ActionTracker[Meeting Date],"&gt;="&amp;DATEVALUE("1-"&amp;$B$3),Tbl_ActionTracker[Meeting Date],"&lt;"&amp;EDATE(DATEVALUE("1-"&amp;$B$3),1))</f>
        <v/>
      </c>
    </row>
  </sheetData>
  <mergeCells count="1">
    <mergeCell ref="A1:K1"/>
  </mergeCells>
  <conditionalFormatting sqref="D6:D15">
    <cfRule type="cellIs" priority="1" operator="greaterThanOrEqual" dxfId="6">
      <formula>1</formula>
    </cfRule>
    <cfRule type="cellIs" priority="2" operator="between" dxfId="7">
      <formula>0.85</formula>
      <formula>1</formula>
    </cfRule>
    <cfRule type="cellIs" priority="3" operator="lessThan" dxfId="8">
      <formula>0.85</formula>
    </cfRule>
  </conditionalFormatting>
  <conditionalFormatting sqref="E6:E15">
    <cfRule type="colorScale" priority="4">
      <colorScale>
        <cfvo type="min"/>
        <cfvo type="max"/>
        <color rgb="00C6EFCE"/>
        <color rgb="00FFC7CE"/>
      </colorScale>
    </cfRule>
  </conditionalFormatting>
  <dataValidations count="1">
    <dataValidation sqref="B3" showDropDown="0" showInputMessage="0" showErrorMessage="0" allowBlank="0" type="list">
      <formula1>Tbl_MasterKPI[Month]</formula1>
    </dataValidation>
  </dataValidations>
  <pageMargins left="0.3" right="0.3" top="0.4" bottom="0.4" header="0.2" footer="0.2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DMS Dashboard Generator</dc:creator>
  <dc:title>Advanced Daily Management System (DMS) Dashboard</dc:title>
  <dc:description>Executive DMS dashboard: enter data only in the Master KPI sheet; Dashboard, Trend Analysis and Monthly Summary refresh automatically.</dc:description>
  <dc:subject>Plant Daily Management System</dc:subject>
  <dcterms:created xsi:type="dcterms:W3CDTF">2026-07-16T15:01:33Z</dcterms:created>
  <dcterms:modified xsi:type="dcterms:W3CDTF">2026-07-16T15:01:39Z</dcterms:modified>
</cp:coreProperties>
</file>